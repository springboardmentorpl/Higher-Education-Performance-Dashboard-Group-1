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38\EXCELCNV\a7053d9f-ba38-457d-9e03-409347f739e7\"/>
    </mc:Choice>
  </mc:AlternateContent>
  <xr:revisionPtr revIDLastSave="0" documentId="8_{742DF913-D31A-4DE5-988A-BED411B03717}" xr6:coauthVersionLast="47" xr6:coauthVersionMax="47" xr10:uidLastSave="{00000000-0000-0000-0000-000000000000}"/>
  <bookViews>
    <workbookView xWindow="-60" yWindow="-60" windowWidth="15480" windowHeight="11640" activeTab="2" xr2:uid="{F013FE47-9236-464B-9851-4BCF1D303EF9}"/>
  </bookViews>
  <sheets>
    <sheet name="the" sheetId="1" r:id="rId1"/>
    <sheet name="q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3" i="2" l="1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7" i="2"/>
  <c r="A556" i="2"/>
  <c r="A555" i="2"/>
  <c r="A554" i="2"/>
  <c r="A553" i="2"/>
  <c r="A552" i="2"/>
  <c r="A551" i="2"/>
  <c r="A550" i="2"/>
  <c r="A549" i="2"/>
  <c r="A548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1" i="2"/>
  <c r="A530" i="2"/>
  <c r="A529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7" i="2"/>
  <c r="A486" i="2"/>
  <c r="A485" i="2"/>
  <c r="A484" i="2"/>
  <c r="A480" i="2"/>
  <c r="A479" i="2"/>
  <c r="A478" i="2"/>
  <c r="A477" i="2"/>
  <c r="A476" i="2"/>
  <c r="A474" i="2"/>
  <c r="A473" i="2"/>
  <c r="A472" i="2"/>
  <c r="A471" i="2"/>
  <c r="A470" i="2"/>
  <c r="A469" i="2"/>
  <c r="A468" i="2"/>
  <c r="A466" i="2"/>
  <c r="A465" i="2"/>
  <c r="A464" i="2"/>
  <c r="A461" i="2"/>
  <c r="A460" i="2"/>
  <c r="A459" i="2"/>
  <c r="A458" i="2"/>
  <c r="A457" i="2"/>
  <c r="A456" i="2"/>
  <c r="A455" i="2"/>
  <c r="A453" i="2"/>
  <c r="A452" i="2"/>
  <c r="A451" i="2"/>
  <c r="A450" i="2"/>
  <c r="A449" i="2"/>
  <c r="A448" i="2"/>
  <c r="A447" i="2"/>
  <c r="A446" i="2"/>
  <c r="A445" i="2"/>
  <c r="A444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27" i="2"/>
  <c r="A426" i="2"/>
  <c r="A425" i="2"/>
  <c r="A424" i="2"/>
  <c r="A423" i="2"/>
  <c r="A422" i="2"/>
  <c r="A421" i="2"/>
  <c r="A419" i="2"/>
  <c r="A418" i="2"/>
  <c r="A417" i="2"/>
  <c r="A416" i="2"/>
  <c r="A415" i="2"/>
  <c r="A414" i="2"/>
  <c r="A413" i="2"/>
  <c r="A412" i="2"/>
  <c r="A410" i="2"/>
  <c r="A409" i="2"/>
  <c r="A408" i="2"/>
  <c r="A407" i="2"/>
  <c r="A406" i="2"/>
  <c r="A404" i="2"/>
  <c r="A403" i="2"/>
  <c r="A402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7" i="2"/>
  <c r="A386" i="2"/>
  <c r="A385" i="2"/>
  <c r="A384" i="2"/>
  <c r="A380" i="2"/>
  <c r="A379" i="2"/>
  <c r="A378" i="2"/>
  <c r="A377" i="2"/>
  <c r="A375" i="2"/>
  <c r="A374" i="2"/>
  <c r="A373" i="2"/>
  <c r="A372" i="2"/>
  <c r="A371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4" i="2"/>
  <c r="A353" i="2"/>
  <c r="A352" i="2"/>
  <c r="A351" i="2"/>
  <c r="A350" i="2"/>
  <c r="A349" i="2"/>
  <c r="A348" i="2"/>
  <c r="A347" i="2"/>
  <c r="A343" i="2"/>
  <c r="A342" i="2"/>
  <c r="A341" i="2"/>
  <c r="A340" i="2"/>
  <c r="A339" i="2"/>
  <c r="A338" i="2"/>
  <c r="A335" i="2"/>
  <c r="A334" i="2"/>
  <c r="A333" i="2"/>
  <c r="A332" i="2"/>
  <c r="A331" i="2"/>
  <c r="A330" i="2"/>
  <c r="A329" i="2"/>
  <c r="A328" i="2"/>
  <c r="A327" i="2"/>
  <c r="A326" i="2"/>
  <c r="A325" i="2"/>
  <c r="A323" i="2"/>
  <c r="A322" i="2"/>
  <c r="A321" i="2"/>
  <c r="A319" i="2"/>
  <c r="A318" i="2"/>
  <c r="A317" i="2"/>
  <c r="A316" i="2"/>
  <c r="A315" i="2"/>
  <c r="A313" i="2"/>
  <c r="A312" i="2"/>
  <c r="A311" i="2"/>
  <c r="A310" i="2"/>
  <c r="A309" i="2"/>
  <c r="A306" i="2"/>
  <c r="A305" i="2"/>
  <c r="A304" i="2"/>
  <c r="A303" i="2"/>
  <c r="A297" i="2"/>
  <c r="A296" i="2"/>
  <c r="A294" i="2"/>
  <c r="A293" i="2"/>
  <c r="A289" i="2"/>
  <c r="A288" i="2"/>
  <c r="A287" i="2"/>
  <c r="A286" i="2"/>
  <c r="A283" i="2"/>
  <c r="A282" i="2"/>
  <c r="A280" i="2"/>
  <c r="A279" i="2"/>
  <c r="A278" i="2"/>
  <c r="A277" i="2"/>
  <c r="A274" i="2"/>
  <c r="A273" i="2"/>
  <c r="A271" i="2"/>
  <c r="A270" i="2"/>
  <c r="A269" i="2"/>
  <c r="A268" i="2"/>
  <c r="A267" i="2"/>
  <c r="A266" i="2"/>
  <c r="A265" i="2"/>
  <c r="A259" i="2"/>
  <c r="A258" i="2"/>
  <c r="A257" i="2"/>
  <c r="A250" i="2"/>
  <c r="A249" i="2"/>
  <c r="A248" i="2"/>
  <c r="A247" i="2"/>
  <c r="A241" i="2"/>
  <c r="A240" i="2"/>
  <c r="A239" i="2"/>
  <c r="A238" i="2"/>
  <c r="A235" i="2"/>
  <c r="A234" i="2"/>
  <c r="A232" i="2"/>
  <c r="A231" i="2"/>
  <c r="A228" i="2"/>
  <c r="A227" i="2"/>
  <c r="A224" i="2"/>
  <c r="A223" i="2"/>
  <c r="A222" i="2"/>
  <c r="A221" i="2"/>
  <c r="A205" i="2"/>
  <c r="A204" i="2"/>
  <c r="A202" i="2"/>
  <c r="A201" i="2"/>
  <c r="A200" i="2"/>
  <c r="A194" i="2"/>
  <c r="A193" i="2"/>
  <c r="A192" i="2"/>
  <c r="A191" i="2"/>
  <c r="A190" i="2"/>
  <c r="A187" i="2"/>
  <c r="A186" i="2"/>
  <c r="A185" i="2"/>
  <c r="A182" i="2"/>
  <c r="A181" i="2"/>
  <c r="A179" i="2"/>
  <c r="A178" i="2"/>
  <c r="A177" i="2"/>
  <c r="A176" i="2"/>
  <c r="A175" i="2"/>
  <c r="A174" i="2"/>
  <c r="A173" i="2"/>
  <c r="A172" i="2"/>
  <c r="A171" i="2"/>
  <c r="A170" i="2"/>
  <c r="A167" i="2"/>
  <c r="A166" i="2"/>
  <c r="A165" i="2"/>
  <c r="A162" i="2"/>
  <c r="A161" i="2"/>
  <c r="A160" i="2"/>
  <c r="A158" i="2"/>
  <c r="A157" i="2"/>
  <c r="A156" i="2"/>
  <c r="A155" i="2"/>
  <c r="A153" i="2"/>
  <c r="A152" i="2"/>
  <c r="A151" i="2"/>
  <c r="A150" i="2"/>
  <c r="A148" i="2"/>
  <c r="A147" i="2"/>
  <c r="A146" i="2"/>
  <c r="A145" i="2"/>
  <c r="A144" i="2"/>
  <c r="A143" i="2"/>
  <c r="A142" i="2"/>
  <c r="A139" i="2"/>
  <c r="A138" i="2"/>
  <c r="A136" i="2"/>
  <c r="A135" i="2"/>
  <c r="A134" i="2"/>
  <c r="A133" i="2"/>
  <c r="A132" i="2"/>
  <c r="A131" i="2"/>
  <c r="A128" i="2"/>
  <c r="A127" i="2"/>
  <c r="A126" i="2"/>
  <c r="A125" i="2"/>
  <c r="A109" i="2"/>
  <c r="A108" i="2"/>
  <c r="A102" i="2"/>
  <c r="A101" i="2"/>
  <c r="A97" i="2"/>
  <c r="A96" i="2"/>
  <c r="A95" i="2"/>
  <c r="A94" i="2"/>
  <c r="A93" i="2"/>
  <c r="A92" i="2"/>
  <c r="A89" i="2"/>
  <c r="A88" i="2"/>
  <c r="A87" i="2"/>
  <c r="A86" i="2"/>
  <c r="A83" i="2"/>
  <c r="A82" i="2"/>
  <c r="A78" i="2"/>
  <c r="A77" i="2"/>
  <c r="A75" i="2"/>
  <c r="A74" i="2"/>
  <c r="A67" i="2"/>
  <c r="A66" i="2"/>
  <c r="A50" i="2"/>
  <c r="A49" i="2"/>
  <c r="A48" i="2"/>
  <c r="A45" i="2"/>
  <c r="A40" i="2"/>
  <c r="A39" i="2"/>
  <c r="A36" i="2"/>
  <c r="A35" i="2"/>
  <c r="A28" i="2"/>
  <c r="A27" i="2"/>
  <c r="A21" i="2"/>
  <c r="A20" i="2"/>
  <c r="A19" i="2"/>
  <c r="A18" i="2"/>
  <c r="B31" i="1"/>
  <c r="B32" i="1"/>
  <c r="B39" i="1"/>
  <c r="B40" i="1"/>
  <c r="B56" i="1"/>
  <c r="B57" i="1"/>
  <c r="B65" i="1"/>
  <c r="B66" i="1"/>
  <c r="B67" i="1"/>
  <c r="B88" i="1"/>
  <c r="B89" i="1"/>
  <c r="B90" i="1"/>
  <c r="B93" i="1"/>
  <c r="B94" i="1"/>
  <c r="B96" i="1"/>
  <c r="B97" i="1"/>
  <c r="B98" i="1"/>
  <c r="B99" i="1"/>
  <c r="B100" i="1"/>
  <c r="B101" i="1"/>
  <c r="B104" i="1"/>
  <c r="B105" i="1"/>
  <c r="B107" i="1"/>
  <c r="B108" i="1"/>
  <c r="B109" i="1"/>
  <c r="B110" i="1"/>
  <c r="B111" i="1"/>
  <c r="B112" i="1"/>
  <c r="B113" i="1"/>
  <c r="B114" i="1"/>
  <c r="B117" i="1"/>
  <c r="B118" i="1"/>
  <c r="B120" i="1"/>
  <c r="B121" i="1"/>
  <c r="B124" i="1"/>
  <c r="B125" i="1"/>
  <c r="B131" i="1"/>
  <c r="B132" i="1"/>
  <c r="B137" i="1"/>
  <c r="B138" i="1"/>
  <c r="B139" i="1"/>
  <c r="B140" i="1"/>
  <c r="B141" i="1"/>
  <c r="B142" i="1"/>
  <c r="B143" i="1"/>
  <c r="B144" i="1"/>
  <c r="B145" i="1"/>
  <c r="B146" i="1"/>
  <c r="B147" i="1"/>
  <c r="B151" i="1"/>
  <c r="B152" i="1"/>
  <c r="B153" i="1"/>
  <c r="B154" i="1"/>
  <c r="B155" i="1"/>
  <c r="B156" i="1"/>
  <c r="B157" i="1"/>
  <c r="B158" i="1"/>
  <c r="B159" i="1"/>
  <c r="B160" i="1"/>
  <c r="B162" i="1"/>
  <c r="B163" i="1"/>
  <c r="B164" i="1"/>
  <c r="B165" i="1"/>
  <c r="B166" i="1"/>
  <c r="B169" i="1"/>
  <c r="B170" i="1"/>
  <c r="B171" i="1"/>
  <c r="B172" i="1"/>
  <c r="B173" i="1"/>
  <c r="B174" i="1"/>
  <c r="B176" i="1"/>
  <c r="B177" i="1"/>
  <c r="B178" i="1"/>
  <c r="B179" i="1"/>
  <c r="B180" i="1"/>
  <c r="B186" i="1"/>
  <c r="B187" i="1"/>
  <c r="B188" i="1"/>
  <c r="B189" i="1"/>
  <c r="B192" i="1"/>
  <c r="B193" i="1"/>
  <c r="B194" i="1"/>
  <c r="B195" i="1"/>
  <c r="B196" i="1"/>
  <c r="B197" i="1"/>
  <c r="B198" i="1"/>
  <c r="B200" i="1"/>
  <c r="B201" i="1"/>
  <c r="B202" i="1"/>
</calcChain>
</file>

<file path=xl/sharedStrings.xml><?xml version="1.0" encoding="utf-8"?>
<sst xmlns="http://schemas.openxmlformats.org/spreadsheetml/2006/main" count="45253" uniqueCount="6833">
  <si>
    <t>rank_order</t>
  </si>
  <si>
    <t>World Rank</t>
  </si>
  <si>
    <t>University Name</t>
  </si>
  <si>
    <t>Overall Score</t>
  </si>
  <si>
    <t>scores_overall_rank</t>
  </si>
  <si>
    <t>scores_teaching</t>
  </si>
  <si>
    <t>scores_teaching_rank</t>
  </si>
  <si>
    <t>scores_research</t>
  </si>
  <si>
    <t>scores_research_rank</t>
  </si>
  <si>
    <t>Citation Score</t>
  </si>
  <si>
    <t>scores_citations_rank</t>
  </si>
  <si>
    <t>scores_industry_income</t>
  </si>
  <si>
    <t>scores_industry_income_rank</t>
  </si>
  <si>
    <t>scores_international_outlook</t>
  </si>
  <si>
    <t>scores_international_outlook_rank</t>
  </si>
  <si>
    <t>Country</t>
  </si>
  <si>
    <t>stats_number_students</t>
  </si>
  <si>
    <t>stats_student_staff_ratio</t>
  </si>
  <si>
    <t>stats_pc_intl_students</t>
  </si>
  <si>
    <t>stats_female_male_ratio</t>
  </si>
  <si>
    <t>stats_proportion_of_isr</t>
  </si>
  <si>
    <t>aliases</t>
  </si>
  <si>
    <t>subjects_offered</t>
  </si>
  <si>
    <t>closed</t>
  </si>
  <si>
    <t>unaccredited</t>
  </si>
  <si>
    <t>University of Oxford</t>
  </si>
  <si>
    <t>United Kingdom</t>
  </si>
  <si>
    <t>Geography,Chemistry,Chemical Engineering,Biological Sciences,General Engineering,Computer Science,Art, Performing Arts &amp; Design,Communication &amp; Media Studies,Electrical &amp; Electronic Engineering,Law,Economics &amp; Econometrics,Geology, Environmental, Earth &amp; Marine Sciences,Politics &amp; International Studies (incl Development Studies),History, Philosophy &amp; Theology,Medicine &amp; Dentistry,Languages, Literature &amp; Linguistics,Business &amp; Management,Accounting &amp; Finance,Mechanical &amp; Aerospace Engineering,Mathematics &amp; Statistics,Physics &amp; Astronomy,Psychology,Other Health,Archaeology,Sociology,Civil Engineering,Education</t>
  </si>
  <si>
    <t>Stanford University</t>
  </si>
  <si>
    <t>United States</t>
  </si>
  <si>
    <t>Computer Science,Communication &amp; Media Studies,Electrical &amp; Electronic Engineering,Mathematics &amp; Statistics,Education,Medicine &amp; Dentistry,Civil Engineering,Politics &amp; International Studies (incl Development Studies),History, Philosophy &amp; Theology,Veterinary Science,Economics &amp; Econometrics,Other Health,Geology, Environmental, Earth &amp; Marine Sciences,Accounting &amp; Finance,Mechanical &amp; Aerospace Engineering,Chemistry,Sociology,Art, Performing Arts &amp; Design,Chemical Engineering,Business &amp; Management,General Engineering,Physics &amp; Astronomy,Archaeology,Agriculture &amp; Forestry,Law,Languages, Literature &amp; Linguistics,Biological Sciences,Psychology</t>
  </si>
  <si>
    <t>Massachusetts Institute of Technology</t>
  </si>
  <si>
    <t>Architecture,Economics &amp; Econometrics,Archaeology,Biological Sciences,Languages, Literature &amp; Linguistics,Mechanical &amp; Aerospace Engineering,Psychology,Politics &amp; International Studies (incl Development Studies),History, Philosophy &amp; Theology,Mathematics &amp; Statistics,Civil Engineering,Geology, Environmental, Earth &amp; Marine Sciences,General Engineering,Art, Performing Arts &amp; Design,Other Health,Physics &amp; Astronomy,Computer Science,Accounting &amp; Finance,Chemical Engineering,Business &amp; Management,Electrical &amp; Electronic Engineering,Communication &amp; Media Studies,Chemistry</t>
  </si>
  <si>
    <t>Harvard University</t>
  </si>
  <si>
    <t>Sociology,Architecture,Physics &amp; Astronomy,Psychology,Mechanical &amp; Aerospace Engineering,Law,Electrical &amp; Electronic Engineering,Medicine &amp; Dentistry,Communication &amp; Media Studies,Mathematics &amp; Statistics,History, Philosophy &amp; Theology,Languages, Literature &amp; Linguistics,Agriculture &amp; Forestry,Education,Computer Science,Business &amp; Management,Geography,Accounting &amp; Finance,Politics &amp; International Studies (incl Development Studies),Chemistry,Archaeology,Art, Performing Arts &amp; Design,Other Health,Biological Sciences,Geology, Environmental, Earth &amp; Marine Sciences,Economics &amp; Econometrics,General Engineering,Civil Engineering</t>
  </si>
  <si>
    <t>University of Cambridge</t>
  </si>
  <si>
    <t>Politics &amp; International Studies (incl Development Studies),Biological Sciences,Business &amp; Management,Civil Engineering,Geology, Environmental, Earth &amp; Marine Sciences,Mathematics &amp; Statistics,Psychology,General Engineering,Physics &amp; Astronomy,Chemical Engineering,Chemistry,Economics &amp; Econometrics,History, Philosophy &amp; Theology,Computer Science,Accounting &amp; Finance,Education,Veterinary Science,Electrical &amp; Electronic Engineering,Geography,Other Health,Architecture,Art, Performing Arts &amp; Design,Law,Mechanical &amp; Aerospace Engineering,Sociology,Medicine &amp; Dentistry,Archaeology,Languages, Literature &amp; Linguistics</t>
  </si>
  <si>
    <t>Princeton University</t>
  </si>
  <si>
    <t>History, Philosophy &amp; Theology,Agriculture &amp; Forestry,Economics &amp; Econometrics,Languages, Literature &amp; Linguistics,Architecture,Sociology,General Engineering,Geology, Environmental, Earth &amp; Marine Sciences,Other Health,Chemistry,Mechanical &amp; Aerospace Engineering,Physics &amp; Astronomy,Civil Engineering,Mathematics &amp; Statistics,Electrical &amp; Electronic Engineering,Biological Sciences,Computer Science,Politics &amp; International Studies (incl Development Studies),Art, Performing Arts &amp; Design,Chemical Engineering,Psychology</t>
  </si>
  <si>
    <t>California Institute of Technology</t>
  </si>
  <si>
    <t>37 : 63</t>
  </si>
  <si>
    <t>California Institute of Technology caltech</t>
  </si>
  <si>
    <t>Computer Science,Chemistry,Chemical Engineering,Mathematics &amp; Statistics,Physics &amp; Astronomy,Economics &amp; Econometrics,Languages, Literature &amp; Linguistics,General Engineering,Geology, Environmental, Earth &amp; Marine Sciences,History, Philosophy &amp; Theology,Politics &amp; International Studies (incl Development Studies),Mechanical &amp; Aerospace Engineering,Civil Engineering,Biological Sciences,Electrical &amp; Electronic Engineering,Business &amp; Management</t>
  </si>
  <si>
    <t>Imperial College London</t>
  </si>
  <si>
    <t>Computer Science,Mechanical &amp; Aerospace Engineering,Chemical Engineering,Physics &amp; Astronomy,Other Health,Mathematics &amp; Statistics,Electrical &amp; Electronic Engineering,Chemistry,Medicine &amp; Dentistry,General Engineering,Geology, Environmental, Earth &amp; Marine Sciences,Biological Sciences,Civil Engineering</t>
  </si>
  <si>
    <t>University of California, Berkeley</t>
  </si>
  <si>
    <t>Chemistry,Electrical &amp; Electronic Engineering,Geology, Environmental, Earth &amp; Marine Sciences,Computer Science,Mathematics &amp; Statistics,Archaeology,History, Philosophy &amp; Theology,Law,Agriculture &amp; Forestry,Education,Communication &amp; Media Studies,Other Health,Art, Performing Arts &amp; Design,Civil Engineering,Mechanical &amp; Aerospace Engineering,Psychology,Languages, Literature &amp; Linguistics,Politics &amp; International Studies (incl Development Studies),Chemical Engineering,Architecture,Geography,Economics &amp; Econometrics,Biological Sciences,Sociology,General Engineering,Physics &amp; Astronomy,Business &amp; Management</t>
  </si>
  <si>
    <t>Yale University</t>
  </si>
  <si>
    <t>Law,Computer Science,Electrical &amp; Electronic Engineering,Chemical Engineering,Economics &amp; Econometrics,Accounting &amp; Finance,Archaeology,Mechanical &amp; Aerospace Engineering,Business &amp; Management,Medicine &amp; Dentistry,Mathematics &amp; Statistics,Art, Performing Arts &amp; Design,Architecture,Sociology,Politics &amp; International Studies (incl Development Studies),Biological Sciences,Agriculture &amp; Forestry,Geology, Environmental, Earth &amp; Marine Sciences,History, Philosophy &amp; Theology,Languages, Literature &amp; Linguistics,General Engineering,Physics &amp; Astronomy,Chemistry,Other Health,Psychology</t>
  </si>
  <si>
    <t>ETH Zurich</t>
  </si>
  <si>
    <t>Switzerland</t>
  </si>
  <si>
    <t>33 : 67</t>
  </si>
  <si>
    <t>Mechanical &amp; Aerospace Engineering,Education,Agriculture &amp; Forestry,Mathematics &amp; Statistics,Chemical Engineering,Accounting &amp; Finance,Electrical &amp; Electronic Engineering,Business &amp; Management,Medicine &amp; Dentistry,Economics &amp; Econometrics,Other Health,Chemistry,Architecture,Civil Engineering,Sport Science,Biological Sciences,Geology, Environmental, Earth &amp; Marine Sciences,Computer Science,Physics &amp; Astronomy,General Engineering,Politics &amp; International Studies (incl Development Studies)</t>
  </si>
  <si>
    <t>Tsinghua University</t>
  </si>
  <si>
    <t>China</t>
  </si>
  <si>
    <t>Tsinghua University Qinghua University Tsing hua University Qing hua University</t>
  </si>
  <si>
    <t>Mechanical &amp; Aerospace Engineering,Sociology,Architecture,Civil Engineering,Politics &amp; International Studies (incl Development Studies),Other Health,Chemistry,Accounting &amp; Finance,Archaeology,Physics &amp; Astronomy,Business &amp; Management,Electrical &amp; Electronic Engineering,Geography,Medicine &amp; Dentistry,Chemical Engineering,Psychology,History, Philosophy &amp; Theology,Mathematics &amp; Statistics,Law,Languages, Literature &amp; Linguistics,Biological Sciences,Education,General Engineering,Geology, Environmental, Earth &amp; Marine Sciences,Economics &amp; Econometrics,Art, Performing Arts &amp; Design,Computer Science,Sport Science,Communication &amp; Media Studies</t>
  </si>
  <si>
    <t>The University of Chicago</t>
  </si>
  <si>
    <t>Chemistry,Languages, Literature &amp; Linguistics,Biological Sciences,Economics &amp; Econometrics,Medicine &amp; Dentistry,Law,Archaeology,Sociology,Geology, Environmental, Earth &amp; Marine Sciences,Business &amp; Management,Art, Performing Arts &amp; Design,Politics &amp; International Studies (incl Development Studies),Physics &amp; Astronomy,Chemical Engineering,Computer Science,Psychology,History, Philosophy &amp; Theology,Mathematics &amp; Statistics,Accounting &amp; Finance</t>
  </si>
  <si>
    <t>Peking University</t>
  </si>
  <si>
    <t>History, Philosophy &amp; Theology,Geology, Environmental, Earth &amp; Marine Sciences,Computer Science,Politics &amp; International Studies (incl Development Studies),Archaeology,Communication &amp; Media Studies,Business &amp; Management,Other Health,Physics &amp; Astronomy,Economics &amp; Econometrics,Mechanical &amp; Aerospace Engineering,Sociology,Medicine &amp; Dentistry,Chemistry,Accounting &amp; Finance,Languages, Literature &amp; Linguistics,Mathematics &amp; Statistics,Education,Art, Performing Arts &amp; Design,Electrical &amp; Electronic Engineering,Law,General Engineering,Geography,Biological Sciences,Psychology</t>
  </si>
  <si>
    <t>Johns Hopkins University</t>
  </si>
  <si>
    <t>Civil Engineering,Geology, Environmental, Earth &amp; Marine Sciences,Art, Performing Arts &amp; Design,Computer Science,Physics &amp; Astronomy,Business &amp; Management,Archaeology,Mathematics &amp; Statistics,Sociology,Other Health,Economics &amp; Econometrics,General Engineering,Psychology,Mechanical &amp; Aerospace Engineering,Chemistry,History, Philosophy &amp; Theology,Chemical Engineering,Education,Biological Sciences,Accounting &amp; Finance,Medicine &amp; Dentistry,Languages, Literature &amp; Linguistics,Electrical &amp; Electronic Engineering,Politics &amp; International Studies (incl Development Studies)</t>
  </si>
  <si>
    <t>University of Pennsylvania</t>
  </si>
  <si>
    <t>Other Health,Physics &amp; Astronomy,Accounting &amp; Finance,General Engineering,Mathematics &amp; Statistics,Economics &amp; Econometrics,Languages, Literature &amp; Linguistics,Biological Sciences,Sociology,Archaeology,Geology, Environmental, Earth &amp; Marine Sciences,History, Philosophy &amp; Theology,Architecture,Geography,Art, Performing Arts &amp; Design,Mechanical &amp; Aerospace Engineering,Politics &amp; International Studies (incl Development Studies),Psychology,Electrical &amp; Electronic Engineering,Chemistry,Medicine &amp; Dentistry,Veterinary Science,Education,Chemical Engineering,Law,Business &amp; Management,Computer Science,Communication &amp; Media Studies</t>
  </si>
  <si>
    <t>Columbia University</t>
  </si>
  <si>
    <t>Accounting &amp; Finance,Chemical Engineering,Psychology,Computer Science,Sport Science,Architecture,Medicine &amp; Dentistry,Physics &amp; Astronomy,Economics &amp; Econometrics,Civil Engineering,Art, Performing Arts &amp; Design,Chemistry,Biological Sciences,General Engineering,Languages, Literature &amp; Linguistics,Politics &amp; International Studies (incl Development Studies),Archaeology,Sociology,Law,Electrical &amp; Electronic Engineering,Communication &amp; Media Studies,Business &amp; Management,Other Health,Mathematics &amp; Statistics,Agriculture &amp; Forestry,Mechanical &amp; Aerospace Engineering,History, Philosophy &amp; Theology,Geology, Environmental, Earth &amp; Marine Sciences</t>
  </si>
  <si>
    <t>University of California, Los Angeles</t>
  </si>
  <si>
    <t>Electrical &amp; Electronic Engineering,Veterinary Science,Mechanical &amp; Aerospace Engineering,Geology, Environmental, Earth &amp; Marine Sciences,Psychology,Archaeology,Art, Performing Arts &amp; Design,Chemistry,Chemical Engineering,Medicine &amp; Dentistry,Education,Law,Biological Sciences,Sport Science,Mathematics &amp; Statistics,Economics &amp; Econometrics,History, Philosophy &amp; Theology,Communication &amp; Media Studies,Civil Engineering,Other Health,Business &amp; Management,Politics &amp; International Studies (incl Development Studies),Geography,Accounting &amp; Finance,Physics &amp; Astronomy,Agriculture &amp; Forestry,Sociology,Architecture,Languages, Literature &amp; Linguistics,Computer Science,General Engineering</t>
  </si>
  <si>
    <t>National University of Singapore</t>
  </si>
  <si>
    <t>Singapore</t>
  </si>
  <si>
    <t>National University of Singapore nus</t>
  </si>
  <si>
    <t>Computer Science,Geology, Environmental, Earth &amp; Marine Sciences,Business &amp; Management,History, Philosophy &amp; Theology,Civil Engineering,Geography,Archaeology,Sociology,Mechanical &amp; Aerospace Engineering,Biological Sciences,Accounting &amp; Finance,Architecture,Mathematics &amp; Statistics,Psychology,Electrical &amp; Electronic Engineering,Politics &amp; International Studies (incl Development Studies),General Engineering,Chemistry,Economics &amp; Econometrics,Art, Performing Arts &amp; Design,Medicine &amp; Dentistry,Agriculture &amp; Forestry,Law,Other Health,Physics &amp; Astronomy,Languages, Literature &amp; Linguistics,Chemical Engineering,Communication &amp; Media Studies</t>
  </si>
  <si>
    <t>Cornell University</t>
  </si>
  <si>
    <t>Electrical &amp; Electronic Engineering,History, Philosophy &amp; Theology,Agriculture &amp; Forestry,Chemistry,Biological Sciences,Economics &amp; Econometrics,Business &amp; Management,Civil Engineering,Architecture,Law,Archaeology,Mathematics &amp; Statistics,Psychology,Veterinary Science,Sociology,Mechanical &amp; Aerospace Engineering,Geology, Environmental, Earth &amp; Marine Sciences,Art, Performing Arts &amp; Design,Other Health,General Engineering,Politics &amp; International Studies (incl Development Studies),Computer Science,Languages, Literature &amp; Linguistics,Chemical Engineering,Communication &amp; Media Studies,Physics &amp; Astronomy</t>
  </si>
  <si>
    <t>University of Toronto</t>
  </si>
  <si>
    <t>Canada</t>
  </si>
  <si>
    <t>Art, Performing Arts &amp; Design,Civil Engineering,Economics &amp; Econometrics,Sport Science,Accounting &amp; Finance,Politics &amp; International Studies (incl Development Studies),Mathematics &amp; Statistics,Geography,Other Health,Computer Science,Psychology,Electrical &amp; Electronic Engineering,History, Philosophy &amp; Theology,General Engineering,Law,Sociology,Languages, Literature &amp; Linguistics,Business &amp; Management,Geology, Environmental, Earth &amp; Marine Sciences,Biological Sciences,Architecture,Mechanical &amp; Aerospace Engineering,Communication &amp; Media Studies,Chemical Engineering,Physics &amp; Astronomy,Medicine &amp; Dentistry,Chemistry,Education,Archaeology,Agriculture &amp; Forestry</t>
  </si>
  <si>
    <t>UCL</t>
  </si>
  <si>
    <t>UCL ucl UCL</t>
  </si>
  <si>
    <t>Medicine &amp; Dentistry,Sport Science,Law,General Engineering,Physics &amp; Astronomy,Mathematics &amp; Statistics,Communication &amp; Media Studies,Languages, Literature &amp; Linguistics,Civil Engineering,Politics &amp; International Studies (incl Development Studies),Business &amp; Management,Computer Science,Education,Architecture,Electrical &amp; Electronic Engineering,Psychology,Other Health,Sociology,Biological Sciences,Geography,History, Philosophy &amp; Theology,Art, Performing Arts &amp; Design,Chemical Engineering,Geology, Environmental, Earth &amp; Marine Sciences,Economics &amp; Econometrics,Archaeology,Mechanical &amp; Aerospace Engineering,Chemistry</t>
  </si>
  <si>
    <t>University of Michigan-Ann Arbor</t>
  </si>
  <si>
    <t>Chemical Engineering,Accounting &amp; Finance,Archaeology,Economics &amp; Econometrics,Sociology,Psychology,Mathematics &amp; Statistics,Physics &amp; Astronomy,Politics &amp; International Studies (incl Development Studies),Sport Science,Biological Sciences,Agriculture &amp; Forestry,Civil Engineering,Electrical &amp; Electronic Engineering,History, Philosophy &amp; Theology,General Engineering,Business &amp; Management,Education,Mechanical &amp; Aerospace Engineering,Languages, Literature &amp; Linguistics,Geology, Environmental, Earth &amp; Marine Sciences,Computer Science,Architecture,Chemistry,Medicine &amp; Dentistry,Other Health,Art, Performing Arts &amp; Design,Communication &amp; Media Studies,Law</t>
  </si>
  <si>
    <t>Carnegie Mellon University</t>
  </si>
  <si>
    <t>Art, Performing Arts &amp; Design,Civil Engineering,Economics &amp; Econometrics,Biological Sciences,Languages, Literature &amp; Linguistics,Chemistry,Electrical &amp; Electronic Engineering,Communication &amp; Media Studies,Architecture,Chemical Engineering,Computer Science,Psychology,Mechanical &amp; Aerospace Engineering,Business &amp; Management,Politics &amp; International Studies (incl Development Studies),Accounting &amp; Finance,Mathematics &amp; Statistics,History, Philosophy &amp; Theology,Physics &amp; Astronomy</t>
  </si>
  <si>
    <t>University of Washington</t>
  </si>
  <si>
    <t>Languages, Literature &amp; Linguistics,Economics &amp; Econometrics,Architecture,Art, Performing Arts &amp; Design,Psychology,Mathematics &amp; Statistics,General Engineering,Civil Engineering,History, Philosophy &amp; Theology,Archaeology,Chemical Engineering,Education,Other Health,Law,Medicine &amp; Dentistry,Mechanical &amp; Aerospace Engineering,Sociology,Agriculture &amp; Forestry,Chemistry,Geography,Accounting &amp; Finance,Veterinary Science,Business &amp; Management,Computer Science,Physics &amp; Astronomy,Communication &amp; Media Studies,Politics &amp; International Studies (incl Development Studies),Geology, Environmental, Earth &amp; Marine Sciences,Biological Sciences,Electrical &amp; Electronic Engineering</t>
  </si>
  <si>
    <t>Duke University</t>
  </si>
  <si>
    <t>Mechanical &amp; Aerospace Engineering,Agriculture &amp; Forestry,Psychology,History, Philosophy &amp; Theology,Mathematics &amp; Statistics,Accounting &amp; Finance,Art, Performing Arts &amp; Design,Electrical &amp; Electronic Engineering,Sociology,Civil Engineering,Physics &amp; Astronomy,Economics &amp; Econometrics,General Engineering,Geology, Environmental, Earth &amp; Marine Sciences,Other Health,Law,Computer Science,Chemistry,Languages, Literature &amp; Linguistics,Biological Sciences,Business &amp; Management,Medicine &amp; Dentistry,Politics &amp; International Studies (incl Development Studies),Communication &amp; Media Studies</t>
  </si>
  <si>
    <t>New York University</t>
  </si>
  <si>
    <t>Medicine &amp; Dentistry,Mathematics &amp; Statistics,Sociology,Politics &amp; International Studies (incl Development Studies),Mechanical &amp; Aerospace Engineering,Archaeology,General Engineering,Art, Performing Arts &amp; Design,Communication &amp; Media Studies,Languages, Literature &amp; Linguistics,Geology, Environmental, Earth &amp; Marine Sciences,Business &amp; Management,Electrical &amp; Electronic Engineering,Physics &amp; Astronomy,History, Philosophy &amp; Theology,Economics &amp; Econometrics,Biological Sciences,Chemistry,Other Health,Civil Engineering,Accounting &amp; Finance,Psychology,Computer Science,Chemical Engineering,Education,Law,Architecture</t>
  </si>
  <si>
    <t>Northwestern University</t>
  </si>
  <si>
    <t>Civil Engineering,Medicine &amp; Dentistry,Sport Science,Law,Economics &amp; Econometrics,Archaeology,Mechanical &amp; Aerospace Engineering,Geology, Environmental, Earth &amp; Marine Sciences,Other Health,Communication &amp; Media Studies,History, Philosophy &amp; Theology,Mathematics &amp; Statistics,Business &amp; Management,Architecture,Biological Sciences,Geography,Languages, Literature &amp; Linguistics,Chemical Engineering,Psychology,Computer Science,Chemistry,Accounting &amp; Finance,General Engineering,Physics &amp; Astronomy,Education,Art, Performing Arts &amp; Design,Electrical &amp; Electronic Engineering,Sociology,Politics &amp; International Studies (incl Development Studies)</t>
  </si>
  <si>
    <t>The University of Tokyo</t>
  </si>
  <si>
    <t>Japan</t>
  </si>
  <si>
    <t>Other Health,Biological Sciences,Geography,Mechanical &amp; Aerospace Engineering,Geology, Environmental, Earth &amp; Marine Sciences,General Engineering,Mathematics &amp; Statistics,Psychology,Architecture,Electrical &amp; Electronic Engineering,Chemistry,Languages, Literature &amp; Linguistics,Veterinary Science,Law,Computer Science,Sport Science,Education,Medicine &amp; Dentistry,Chemical Engineering,Politics &amp; International Studies (incl Development Studies),Economics &amp; Econometrics,Archaeology,Civil Engineering,Sociology,Business &amp; Management,Art, Performing Arts &amp; Design,Agriculture &amp; Forestry,Communication &amp; Media Studies,History, Philosophy &amp; Theology,Physics &amp; Astronomy,Accounting &amp; Finance</t>
  </si>
  <si>
    <t>University of Edinburgh</t>
  </si>
  <si>
    <t>Physics &amp; Astronomy,Biological Sciences,Mathematics &amp; Statistics,Sport Science,Other Health,Education,Medicine &amp; Dentistry,Business &amp; Management,Chemical Engineering,Architecture,Economics &amp; Econometrics,Politics &amp; International Studies (incl Development Studies),Sociology,Civil Engineering,Computer Science,General Engineering,Geography,Languages, Literature &amp; Linguistics,Mechanical &amp; Aerospace Engineering,Chemistry,Veterinary Science,Accounting &amp; Finance,Psychology,Geology, Environmental, Earth &amp; Marine Sciences,History, Philosophy &amp; Theology,Law,Art, Performing Arts &amp; Design,Electrical &amp; Electronic Engineering,Archaeology</t>
  </si>
  <si>
    <t>Technical University of Munich</t>
  </si>
  <si>
    <t>Germany</t>
  </si>
  <si>
    <t>Electrical &amp; Electronic Engineering,Geology, Environmental, Earth &amp; Marine Sciences,Architecture,Biological Sciences,Business &amp; Management,General Engineering,Mathematics &amp; Statistics,Civil Engineering,Education,Physics &amp; Astronomy,Computer Science,Agriculture &amp; Forestry,Sociology,Chemical Engineering,Accounting &amp; Finance,Mechanical &amp; Aerospace Engineering,Politics &amp; International Studies (incl Development Studies),Medicine &amp; Dentistry,Sport Science,Other Health,Chemistry</t>
  </si>
  <si>
    <t>Nanyang Technological University, Singapore</t>
  </si>
  <si>
    <t>Nanyang Technological University, Singapore NTU Nan yang</t>
  </si>
  <si>
    <t>General Engineering,Chemistry,Psychology,Electrical &amp; Electronic Engineering,Politics &amp; International Studies (incl Development Studies),Medicine &amp; Dentistry,Biological Sciences,Computer Science,Geology, Environmental, Earth &amp; Marine Sciences,Education,Art, Performing Arts &amp; Design,Sport Science,Sociology,Mechanical &amp; Aerospace Engineering,Communication &amp; Media Studies,Other Health,Mathematics &amp; Statistics,Economics &amp; Econometrics,Languages, Literature &amp; Linguistics,Chemical Engineering,Business &amp; Management,History, Philosophy &amp; Theology,Civil Engineering,Physics &amp; Astronomy,Accounting &amp; Finance</t>
  </si>
  <si>
    <t>Ã‰cole Polytechnique FÃ©dÃ©rale de Lausanne</t>
  </si>
  <si>
    <t>30 : 70</t>
  </si>
  <si>
    <t>Civil Engineering,Chemical Engineering,Electrical &amp; Electronic Engineering,Biological Sciences,Chemistry,Mechanical &amp; Aerospace Engineering,Architecture,Business &amp; Management,Mathematics &amp; Statistics,General Engineering,Computer Science,Physics &amp; Astronomy</t>
  </si>
  <si>
    <t>University of California, San Diego</t>
  </si>
  <si>
    <t>Other Health,Physics &amp; Astronomy,General Engineering,Medicine &amp; Dentistry,Geology, Environmental, Earth &amp; Marine Sciences,Biological Sciences,Communication &amp; Media Studies,Languages, Literature &amp; Linguistics,Computer Science,Civil Engineering,Politics &amp; International Studies (incl Development Studies),Art, Performing Arts &amp; Design,Business &amp; Management,Mathematics &amp; Statistics,Chemical Engineering,Economics &amp; Econometrics,Mechanical &amp; Aerospace Engineering,Accounting &amp; Finance,Chemistry,Electrical &amp; Electronic Engineering,Psychology,Education,Sociology,History, Philosophy &amp; Theology</t>
  </si>
  <si>
    <t>University of Hong Kong</t>
  </si>
  <si>
    <t>Hong Kong</t>
  </si>
  <si>
    <t>Law,Economics &amp; Econometrics,Communication &amp; Media Studies,Civil Engineering,Art, Performing Arts &amp; Design,Psychology,Mathematics &amp; Statistics,General Engineering,Politics &amp; International Studies (incl Development Studies),Geography,Architecture,Mechanical &amp; Aerospace Engineering,Accounting &amp; Finance,Chemistry,Agriculture &amp; Forestry,Electrical &amp; Electronic Engineering,History, Philosophy &amp; Theology,Other Health,Biological Sciences,Sociology,Geology, Environmental, Earth &amp; Marine Sciences,Languages, Literature &amp; Linguistics,Computer Science,Education,Business &amp; Management,Medicine &amp; Dentistry,Physics &amp; Astronomy</t>
  </si>
  <si>
    <t>Georgia Institute of Technology</t>
  </si>
  <si>
    <t>34 : 66</t>
  </si>
  <si>
    <t>Chemical Engineering,Other Health,Languages, Literature &amp; Linguistics,Physics &amp; Astronomy,Politics &amp; International Studies (incl Development Studies),Mechanical &amp; Aerospace Engineering,Biological Sciences,Geography,Communication &amp; Media Studies,Architecture,Art, Performing Arts &amp; Design,Sociology,General Engineering,Computer Science,Geology, Environmental, Earth &amp; Marine Sciences,Electrical &amp; Electronic Engineering,Economics &amp; Econometrics,Business &amp; Management,Mathematics &amp; Statistics,Chemistry,Psychology,Civil Engineering,History, Philosophy &amp; Theology</t>
  </si>
  <si>
    <t>University of Melbourne</t>
  </si>
  <si>
    <t>Australia</t>
  </si>
  <si>
    <t>University of Melbourne UniMelb Australia</t>
  </si>
  <si>
    <t>Other Health,Economics &amp; Econometrics,Biological Sciences,Electrical &amp; Electronic Engineering,Civil Engineering,Accounting &amp; Finance,Chemical Engineering,Mathematics &amp; Statistics,Sociology,Archaeology,Computer Science,Geography,Languages, Literature &amp; Linguistics,Law,Physics &amp; Astronomy,General Engineering,Geology, Environmental, Earth &amp; Marine Sciences,Art, Performing Arts &amp; Design,Sport Science,Business &amp; Management,History, Philosophy &amp; Theology,Chemistry,Architecture,Education,Medicine &amp; Dentistry,Veterinary Science,Agriculture &amp; Forestry,Communication &amp; Media Studies,Psychology,Politics &amp; International Studies (incl Development Studies),Mechanical &amp; Aerospace Engineering</t>
  </si>
  <si>
    <t>Kingâ€™s College London</t>
  </si>
  <si>
    <t>Medicine &amp; Dentistry,Geology, Environmental, Earth &amp; Marine Sciences,Education,Art, Performing Arts &amp; Design,Physics &amp; Astronomy,Business &amp; Management,Mathematics &amp; Statistics,Psychology,History, Philosophy &amp; Theology,Electrical &amp; Electronic Engineering,Sociology,Archaeology,General Engineering,Economics &amp; Econometrics,Other Health,Chemistry,Law,Mechanical &amp; Aerospace Engineering,Politics &amp; International Studies (incl Development Studies),Sport Science,Geography,Languages, Literature &amp; Linguistics,Biological Sciences,Accounting &amp; Finance,Computer Science,Communication &amp; Media Studies</t>
  </si>
  <si>
    <t>LMU Munich</t>
  </si>
  <si>
    <t>LMU Munich Ludwig-Maximilians-UniversitÃ¤t MÃ¼nchen</t>
  </si>
  <si>
    <t>Biological Sciences,Geography,Computer Science,Law,Veterinary Science,Sociology,History, Philosophy &amp; Theology,Chemistry,Business &amp; Management,Politics &amp; International Studies (incl Development Studies),Medicine &amp; Dentistry,Psychology,Archaeology,Physics &amp; Astronomy,Economics &amp; Econometrics,Art, Performing Arts &amp; Design,Mathematics &amp; Statistics,Communication &amp; Media Studies,Other Health,Education,Languages, Literature &amp; Linguistics,Geology, Environmental, Earth &amp; Marine Sciences</t>
  </si>
  <si>
    <t>Paris Sciences et Lettres â€“ PSL Research University Paris</t>
  </si>
  <si>
    <t>France</t>
  </si>
  <si>
    <t>Biological Sciences,Law,Languages, Literature &amp; Linguistics,Chemical Engineering,Business &amp; Management,Computer Science,Mathematics &amp; Statistics,Economics &amp; Econometrics,Mechanical &amp; Aerospace Engineering,Chemistry,General Engineering,Geology, Environmental, Earth &amp; Marine Sciences,Electrical &amp; Electronic Engineering,Sociology,History, Philosophy &amp; Theology,Physics &amp; Astronomy,Accounting &amp; Finance,Other Health,Politics &amp; International Studies (incl Development Studies),Archaeology,Communication &amp; Media Studies,Art, Performing Arts &amp; Design,Civil Engineering,Geography</t>
  </si>
  <si>
    <t>University of British Columbia</t>
  </si>
  <si>
    <t>Business &amp; Management,Economics &amp; Econometrics,Geography,Education,Civil Engineering,Archaeology,Geology, Environmental, Earth &amp; Marine Sciences,Computer Science,Communication &amp; Media Studies,Art, Performing Arts &amp; Design,Chemistry,Physics &amp; Astronomy,Psychology,Mechanical &amp; Aerospace Engineering,Accounting &amp; Finance,Other Health,Agriculture &amp; Forestry,History, Philosophy &amp; Theology,Politics &amp; International Studies (incl Development Studies),Biological Sciences,Languages, Literature &amp; Linguistics,Sociology,Chemical Engineering,Electrical &amp; Electronic Engineering,Law,Mathematics &amp; Statistics,Sport Science,General Engineering,Architecture,Medicine &amp; Dentistry</t>
  </si>
  <si>
    <t>University of Illinois at Urbana-Champaign</t>
  </si>
  <si>
    <t>Computer Science,Mathematics &amp; Statistics,Education,Architecture,Chemical Engineering,Geology, Environmental, Earth &amp; Marine Sciences,Economics &amp; Econometrics,Electrical &amp; Electronic Engineering,Physics &amp; Astronomy,Accounting &amp; Finance,Languages, Literature &amp; Linguistics,Biological Sciences,Psychology,General Engineering,Chemistry,Business &amp; Management,Art, Performing Arts &amp; Design,Civil Engineering,Politics &amp; International Studies (incl Development Studies),Archaeology,Veterinary Science,Law,Medicine &amp; Dentistry,Sport Science,Sociology,History, Philosophy &amp; Theology,Mechanical &amp; Aerospace Engineering,Communication &amp; Media Studies,Other Health,Agriculture &amp; Forestry,Geography</t>
  </si>
  <si>
    <t>Shanghai Jiao Tong University</t>
  </si>
  <si>
    <t>Shanghai Jiao Tong University SJTU</t>
  </si>
  <si>
    <t>Other Health,Medicine &amp; Dentistry,Education,Business &amp; Management,Mechanical &amp; Aerospace Engineering,Languages, Literature &amp; Linguistics,Chemistry,Biological Sciences,Psychology,History, Philosophy &amp; Theology,Sociology,Communication &amp; Media Studies,Politics &amp; International Studies (incl Development Studies),Electrical &amp; Electronic Engineering,Mathematics &amp; Statistics,Law,Veterinary Science,Geology, Environmental, Earth &amp; Marine Sciences,Civil Engineering,Art, Performing Arts &amp; Design,Agriculture &amp; Forestry,Computer Science,Economics &amp; Econometrics,Chemical Engineering,Accounting &amp; Finance,Sport Science,Architecture,General Engineering,Physics &amp; Astronomy</t>
  </si>
  <si>
    <t>Fudan University</t>
  </si>
  <si>
    <t>Archaeology,Other Health,Physics &amp; Astronomy,Economics &amp; Econometrics,General Engineering,Law,Chemical Engineering,Electrical &amp; Electronic Engineering,Chemistry,Accounting &amp; Finance,Mathematics &amp; Statistics,Business &amp; Management,History, Philosophy &amp; Theology,Communication &amp; Media Studies,Mechanical &amp; Aerospace Engineering,Education,Languages, Literature &amp; Linguistics,Biological Sciences,Psychology,Computer Science,Sociology,Medicine &amp; Dentistry,Geology, Environmental, Earth &amp; Marine Sciences,Politics &amp; International Studies (incl Development Studies)</t>
  </si>
  <si>
    <t>KU Leuven</t>
  </si>
  <si>
    <t>Belgium</t>
  </si>
  <si>
    <t>Other Health,Chemistry,Accounting &amp; Finance,Architecture,Agriculture &amp; Forestry,Geography,Electrical &amp; Electronic Engineering,Communication &amp; Media Studies,Languages, Literature &amp; Linguistics,Sport Science,Psychology,History, Philosophy &amp; Theology,Mechanical &amp; Aerospace Engineering,Mathematics &amp; Statistics,Business &amp; Management,General Engineering,Politics &amp; International Studies (incl Development Studies),Economics &amp; Econometrics,Medicine &amp; Dentistry,Physics &amp; Astronomy,Law,Computer Science,Chemical Engineering,Sociology,Art, Performing Arts &amp; Design,Civil Engineering,Geology, Environmental, Earth &amp; Marine Sciences,Archaeology,Biological Sciences,Education</t>
  </si>
  <si>
    <t>London School of Economics and Political Science</t>
  </si>
  <si>
    <t>History, Philosophy &amp; Theology,Politics &amp; International Studies (incl Development Studies),Geography,Economics &amp; Econometrics,Accounting &amp; Finance,Languages, Literature &amp; Linguistics,Law,Sociology,Geology, Environmental, Earth &amp; Marine Sciences,Psychology,Business &amp; Management,Mathematics &amp; Statistics,Communication &amp; Media Studies</t>
  </si>
  <si>
    <t>UniversitÃ¤t Heidelberg</t>
  </si>
  <si>
    <t>Archaeology,Geology, Environmental, Earth &amp; Marine Sciences,Biological Sciences,Education,History, Philosophy &amp; Theology,Geography,Other Health,Sociology,Mathematics &amp; Statistics,Economics &amp; Econometrics,Sport Science,Psychology,Computer Science,Law,Physics &amp; Astronomy,Art, Performing Arts &amp; Design,Medicine &amp; Dentistry,Politics &amp; International Studies (incl Development Studies),Languages, Literature &amp; Linguistics,Chemistry</t>
  </si>
  <si>
    <t>Delft University of Technology</t>
  </si>
  <si>
    <t>Netherlands</t>
  </si>
  <si>
    <t>31 : 69</t>
  </si>
  <si>
    <t>Mechanical &amp; Aerospace Engineering,Education,Electrical &amp; Electronic Engineering,Chemistry,Art, Performing Arts &amp; Design,Chemical Engineering,Politics &amp; International Studies (incl Development Studies),Computer Science,Physics &amp; Astronomy,General Engineering,Mathematics &amp; Statistics,Economics &amp; Econometrics,Civil Engineering,Geology, Environmental, Earth &amp; Marine Sciences,Agriculture &amp; Forestry,Business &amp; Management,Other Health,Sport Science,Architecture,Communication &amp; Media Studies,History, Philosophy &amp; Theology,Biological Sciences,Geography</t>
  </si>
  <si>
    <t>McGill University</t>
  </si>
  <si>
    <t>Electrical &amp; Electronic Engineering,Communication &amp; Media Studies,Archaeology,Biological Sciences,Geography,Art, Performing Arts &amp; Design,Civil Engineering,Politics &amp; International Studies (incl Development Studies),Accounting &amp; Finance,History, Philosophy &amp; Theology,Sport Science,Law,Computer Science,Mathematics &amp; Statistics,Education,Languages, Literature &amp; Linguistics,General Engineering,Physics &amp; Astronomy,Business &amp; Management,Medicine &amp; Dentistry,Agriculture &amp; Forestry,Sociology,Mechanical &amp; Aerospace Engineering,Geology, Environmental, Earth &amp; Marine Sciences,Other Health,Chemistry,Economics &amp; Econometrics,Architecture,Chemical Engineering,Psychology</t>
  </si>
  <si>
    <t>Karolinska Institute</t>
  </si>
  <si>
    <t>Sweden</t>
  </si>
  <si>
    <t>Medicine &amp; Dentistry,Chemical Engineering,Other Health,Biological Sciences,Geology, Environmental, Earth &amp; Marine Sciences,Mathematics &amp; Statistics,Education,Sociology,Languages, Literature &amp; Linguistics,Psychology,Business &amp; Management</t>
  </si>
  <si>
    <t>University of Manchester</t>
  </si>
  <si>
    <t>Architecture,Mechanical &amp; Aerospace Engineering,Economics &amp; Econometrics,Other Health,Civil Engineering,Computer Science,Chemistry,Business &amp; Management,Art, Performing Arts &amp; Design,Biological Sciences,Geography,History, Philosophy &amp; Theology,Geology, Environmental, Earth &amp; Marine Sciences,Education,Medicine &amp; Dentistry,Electrical &amp; Electronic Engineering,Politics &amp; International Studies (incl Development Studies),Accounting &amp; Finance,General Engineering,Mathematics &amp; Statistics,Sociology,Languages, Literature &amp; Linguistics,Physics &amp; Astronomy,Psychology,Chemical Engineering,Archaeology,Communication &amp; Media Studies,Law</t>
  </si>
  <si>
    <t>University of Texas at Austin</t>
  </si>
  <si>
    <t>General Engineering,Law,Archaeology,Biological Sciences,Geology, Environmental, Earth &amp; Marine Sciences,Other Health,Mathematics &amp; Statistics,Psychology,History, Philosophy &amp; Theology,Mechanical &amp; Aerospace Engineering,Chemistry,Languages, Literature &amp; Linguistics,Chemical Engineering,Education,Art, Performing Arts &amp; Design,Computer Science,Geography,Medicine &amp; Dentistry,Physics &amp; Astronomy,Business &amp; Management,Architecture,Sport Science,Sociology,Civil Engineering,Communication &amp; Media Studies,Accounting &amp; Finance,Electrical &amp; Electronic Engineering,Politics &amp; International Studies (incl Development Studies),Economics &amp; Econometrics</t>
  </si>
  <si>
    <t>Chinese University of Hong Kong</t>
  </si>
  <si>
    <t>Chinese University of Hong Kong CUHK</t>
  </si>
  <si>
    <t>Languages, Literature &amp; Linguistics,Architecture,Computer Science,Mechanical &amp; Aerospace Engineering,Sport Science,Medicine &amp; Dentistry,Politics &amp; International Studies (incl Development Studies),Physics &amp; Astronomy,General Engineering,Mathematics &amp; Statistics,Education,Accounting &amp; Finance,Other Health,Chemistry,Electrical &amp; Electronic Engineering,Biological Sciences,Psychology,Law,Economics &amp; Econometrics,Communication &amp; Media Studies,Geology, Environmental, Earth &amp; Marine Sciences,Geography,History, Philosophy &amp; Theology,Sociology,Art, Performing Arts &amp; Design,Business &amp; Management</t>
  </si>
  <si>
    <t>Monash University</t>
  </si>
  <si>
    <t>Electrical &amp; Electronic Engineering,Mathematics &amp; Statistics,Economics &amp; Econometrics,General Engineering,Chemistry,Psychology,Medicine &amp; Dentistry,Agriculture &amp; Forestry,Geology, Environmental, Earth &amp; Marine Sciences,Business &amp; Management,Architecture,Veterinary Science,Law,Languages, Literature &amp; Linguistics,Civil Engineering,Politics &amp; International Studies (incl Development Studies),History, Philosophy &amp; Theology,Chemical Engineering,Communication &amp; Media Studies,Other Health,Physics &amp; Astronomy,Accounting &amp; Finance,Mechanical &amp; Aerospace Engineering,Sociology,Archaeology,Biological Sciences,Education,Art, Performing Arts &amp; Design,Computer Science,Sport Science,Geography</t>
  </si>
  <si>
    <t>Kyoto University</t>
  </si>
  <si>
    <t>25 : 75</t>
  </si>
  <si>
    <t>Mathematics &amp; Statistics,Education,Economics &amp; Econometrics,Mechanical &amp; Aerospace Engineering,Psychology,Computer Science,Biological Sciences,History, Philosophy &amp; Theology,Law,Electrical &amp; Electronic Engineering,Architecture,Civil Engineering,Languages, Literature &amp; Linguistics,Art, Performing Arts &amp; Design,Politics &amp; International Studies (incl Development Studies),Medicine &amp; Dentistry,Accounting &amp; Finance,Agriculture &amp; Forestry,Geography,Other Health,Physics &amp; Astronomy,Chemistry,Geology, Environmental, Earth &amp; Marine Sciences,Archaeology,Chemical Engineering,Sociology,Sport Science,General Engineering,Business &amp; Management,Communication &amp; Media Studies</t>
  </si>
  <si>
    <t>Zhejiang University</t>
  </si>
  <si>
    <t>Zhejiang University ZJU Zhejiang University China research</t>
  </si>
  <si>
    <t>Other Health,Physics &amp; Astronomy,Business &amp; Management,Architecture,Veterinary Science,Law,History, Philosophy &amp; Theology,Biological Sciences,Education,Languages, Literature &amp; Linguistics,Mechanical &amp; Aerospace Engineering,Sport Science,Geography,General Engineering,Chemistry,Accounting &amp; Finance,Medicine &amp; Dentistry,Agriculture &amp; Forestry,Sociology,Art, Performing Arts &amp; Design,Electrical &amp; Electronic Engineering,Mathematics &amp; Statistics,Psychology,Computer Science,Geology, Environmental, Earth &amp; Marine Sciences,Economics &amp; Econometrics,Civil Engineering,Communication &amp; Media Studies,Archaeology,Chemical Engineering,Politics &amp; International Studies (incl Development Studies)</t>
  </si>
  <si>
    <t>University of Science and Technology of China</t>
  </si>
  <si>
    <t>University of Science and Technology of China USTC China University of Science and Technology</t>
  </si>
  <si>
    <t>History, Philosophy &amp; Theology,Physics &amp; Astronomy,Communication &amp; Media Studies,Mathematics &amp; Statistics,Archaeology,Biological Sciences,Computer Science,Accounting &amp; Finance,Chemistry,Chemical Engineering,Languages, Literature &amp; Linguistics,Other Health,Law,Economics &amp; Econometrics,Electrical &amp; Electronic Engineering,Business &amp; Management,General Engineering,Geology, Environmental, Earth &amp; Marine Sciences</t>
  </si>
  <si>
    <t>UniversitÃ© Paris-Saclay</t>
  </si>
  <si>
    <t>Chemical Engineering,Accounting &amp; Finance,Biological Sciences,Business &amp; Management,Languages, Literature &amp; Linguistics,Electrical &amp; Electronic Engineering,Chemistry,Economics &amp; Econometrics,Art, Performing Arts &amp; Design,Mechanical &amp; Aerospace Engineering,Politics &amp; International Studies (incl Development Studies),Medicine &amp; Dentistry,Mathematics &amp; Statistics,Sociology,Other Health,Physics &amp; Astronomy,Computer Science,Sport Science,Law,Architecture,Agriculture &amp; Forestry,Education,General Engineering,Communication &amp; Media Studies,History, Philosophy &amp; Theology,Civil Engineering,Geology, Environmental, Earth &amp; Marine Sciences</t>
  </si>
  <si>
    <t>University of California, Davis</t>
  </si>
  <si>
    <t>Mathematics &amp; Statistics,Architecture,History, Philosophy &amp; Theology,Law,Civil Engineering,Chemical Engineering,Business &amp; Management,Languages, Literature &amp; Linguistics,Electrical &amp; Electronic Engineering,Sociology,Physics &amp; Astronomy,Medicine &amp; Dentistry,Mechanical &amp; Aerospace Engineering,General Engineering,Archaeology,Geography,Veterinary Science,Other Health,Psychology,Biological Sciences,Chemistry,Accounting &amp; Finance,Politics &amp; International Studies (incl Development Studies),Computer Science,Communication &amp; Media Studies,Education,Sport Science,Art, Performing Arts &amp; Design,Agriculture &amp; Forestry,Economics &amp; Econometrics,Geology, Environmental, Earth &amp; Marine Sciences</t>
  </si>
  <si>
    <t>The University of Sydney</t>
  </si>
  <si>
    <t>The University of Sydney UniSyd</t>
  </si>
  <si>
    <t>Other Health,Geology, Environmental, Earth &amp; Marine Sciences,Economics &amp; Econometrics,Architecture,Veterinary Science,Business &amp; Management,Art, Performing Arts &amp; Design,Agriculture &amp; Forestry,Law,Computer Science,Mathematics &amp; Statistics,Psychology,Medicine &amp; Dentistry,Mechanical &amp; Aerospace Engineering,Politics &amp; International Studies (incl Development Studies),History, Philosophy &amp; Theology,Civil Engineering,Chemistry,Accounting &amp; Finance,Electrical &amp; Electronic Engineering,Physics &amp; Astronomy,Education,Archaeology,Chemical Engineering,Communication &amp; Media Studies,Languages, Literature &amp; Linguistics,Biological Sciences,Geography,General Engineering,Sport Science,Sociology</t>
  </si>
  <si>
    <t>University of Amsterdam</t>
  </si>
  <si>
    <t>University of Amsterdam uva</t>
  </si>
  <si>
    <t>Computer Science,Other Health,History, Philosophy &amp; Theology,Art, Performing Arts &amp; Design,Politics &amp; International Studies (incl Development Studies),Geology, Environmental, Earth &amp; Marine Sciences,Psychology,Communication &amp; Media Studies,Economics &amp; Econometrics,Law,Biological Sciences,Sociology,Languages, Literature &amp; Linguistics,Education,Geography,Mathematics &amp; Statistics,Business &amp; Management,Physics &amp; Astronomy,Chemistry,Archaeology,Accounting &amp; Finance,Medicine &amp; Dentistry</t>
  </si>
  <si>
    <t>Seoul National University</t>
  </si>
  <si>
    <t>South Korea</t>
  </si>
  <si>
    <t>Medicine &amp; Dentistry,Archaeology,Physics &amp; Astronomy,Psychology,Other Health,Geology, Environmental, Earth &amp; Marine Sciences,Sociology,History, Philosophy &amp; Theology,Veterinary Science,Law,General Engineering,Chemical Engineering,Geography,Art, Performing Arts &amp; Design,Agriculture &amp; Forestry,Education,Languages, Literature &amp; Linguistics,Electrical &amp; Electronic Engineering,Sport Science,Accounting &amp; Finance,Architecture,Chemistry,Politics &amp; International Studies (incl Development Studies),Computer Science,Biological Sciences,Business &amp; Management,Civil Engineering,Mechanical &amp; Aerospace Engineering,Communication &amp; Media Studies,Mathematics &amp; Statistics,Economics &amp; Econometrics</t>
  </si>
  <si>
    <t>University of Wisconsin-Madison</t>
  </si>
  <si>
    <t>Civil Engineering,Geography,Medicine &amp; Dentistry,Law,Mathematics &amp; Statistics,Communication &amp; Media Studies,Accounting &amp; Finance,Archaeology,Languages, Literature &amp; Linguistics,History, Philosophy &amp; Theology,Physics &amp; Astronomy,General Engineering,Electrical &amp; Electronic Engineering,Sport Science,Veterinary Science,Chemistry,Politics &amp; International Studies (incl Development Studies),Business &amp; Management,Agriculture &amp; Forestry,Biological Sciences,Computer Science,Chemical Engineering,Psychology,Art, Performing Arts &amp; Design,Mechanical &amp; Aerospace Engineering,Geology, Environmental, Earth &amp; Marine Sciences,Other Health,Education,Architecture,Economics &amp; Econometrics,Sociology</t>
  </si>
  <si>
    <t>Brown University</t>
  </si>
  <si>
    <t>General Engineering,Communication &amp; Media Studies,Languages, Literature &amp; Linguistics,Biological Sciences,Architecture,Physics &amp; Astronomy,Business &amp; Management,History, Philosophy &amp; Theology,Electrical &amp; Electronic Engineering,Education,Chemical Engineering,Sociology,Art, Performing Arts &amp; Design,Mechanical &amp; Aerospace Engineering,Psychology,Medicine &amp; Dentistry,Chemistry,Archaeology,Geology, Environmental, Earth &amp; Marine Sciences,Economics &amp; Econometrics,Other Health,Mathematics &amp; Statistics,Computer Science,Politics &amp; International Studies (incl Development Studies)</t>
  </si>
  <si>
    <t>The Hong Kong University of Science and Technology</t>
  </si>
  <si>
    <t>The Hong Kong University of Science and Technology hkust</t>
  </si>
  <si>
    <t>Mathematics &amp; Statistics,Electrical &amp; Electronic Engineering,Business &amp; Management,Mechanical &amp; Aerospace Engineering,Accounting &amp; Finance,Civil Engineering,Physics &amp; Astronomy,Geology, Environmental, Earth &amp; Marine Sciences,Computer Science,Biological Sciences,Other Health,Chemical Engineering,Economics &amp; Econometrics,General Engineering,Sociology,Chemistry</t>
  </si>
  <si>
    <t>Wageningen University &amp; Research</t>
  </si>
  <si>
    <t>Other Health,Economics &amp; Econometrics,Politics &amp; International Studies (incl Development Studies),Geology, Environmental, Earth &amp; Marine Sciences,Veterinary Science,Chemistry,Biological Sciences,Chemical Engineering,Sociology,Agriculture &amp; Forestry,Business &amp; Management,Communication &amp; Media Studies</t>
  </si>
  <si>
    <t>Australian National University</t>
  </si>
  <si>
    <t>Australian National University anu</t>
  </si>
  <si>
    <t>Communication &amp; Media Studies,History, Philosophy &amp; Theology,Psychology,Languages, Literature &amp; Linguistics,Computer Science,Biological Sciences,Archaeology,Civil Engineering,Accounting &amp; Finance,Mathematics &amp; Statistics,Sociology,Electrical &amp; Electronic Engineering,Law,Chemistry,Art, Performing Arts &amp; Design,Other Health,Physics &amp; Astronomy,Economics &amp; Econometrics,Mechanical &amp; Aerospace Engineering,Agriculture &amp; Forestry,General Engineering,Politics &amp; International Studies (incl Development Studies),Geography,Medicine &amp; Dentistry,Geology, Environmental, Earth &amp; Marine Sciences,Business &amp; Management</t>
  </si>
  <si>
    <t>Washington University in St Louis</t>
  </si>
  <si>
    <t>Computer Science,History, Philosophy &amp; Theology,Psychology,Mathematics &amp; Statistics,Electrical &amp; Electronic Engineering,Art, Performing Arts &amp; Design,Other Health,Business &amp; Management,Education,Geology, Environmental, Earth &amp; Marine Sciences,Communication &amp; Media Studies,Economics &amp; Econometrics,Accounting &amp; Finance,Sociology,Law,Politics &amp; International Studies (incl Development Studies),Biological Sciences,Mechanical &amp; Aerospace Engineering,General Engineering,Languages, Literature &amp; Linguistics,Architecture,Chemical Engineering,Chemistry,Medicine &amp; Dentistry,Archaeology,Physics &amp; Astronomy</t>
  </si>
  <si>
    <t>University of California, Santa Barbara</t>
  </si>
  <si>
    <t>Sociology,Geography,Chemistry,Mechanical &amp; Aerospace Engineering,Biological Sciences,Education,Electrical &amp; Electronic Engineering,History, Philosophy &amp; Theology,Politics &amp; International Studies (incl Development Studies),Geology, Environmental, Earth &amp; Marine Sciences,Agriculture &amp; Forestry,Psychology,Veterinary Science,Art, Performing Arts &amp; Design,Languages, Literature &amp; Linguistics,Archaeology,Chemical Engineering,Mathematics &amp; Statistics,Accounting &amp; Finance,Architecture,Physics &amp; Astronomy,Economics &amp; Econometrics,Computer Science,Communication &amp; Media Studies</t>
  </si>
  <si>
    <t>The University of Queensland</t>
  </si>
  <si>
    <t>The University of Queensland UQ UOQ</t>
  </si>
  <si>
    <t>Art, Performing Arts &amp; Design,Chemical Engineering,Politics &amp; International Studies (incl Development Studies),Other Health,Physics &amp; Astronomy,Law,Architecture,Mechanical &amp; Aerospace Engineering,Communication &amp; Media Studies,Languages, Literature &amp; Linguistics,Civil Engineering,Chemistry,Economics &amp; Econometrics,Medicine &amp; Dentistry,Agriculture &amp; Forestry,Education,General Engineering,Mathematics &amp; Statistics,Psychology,Electrical &amp; Electronic Engineering,Biological Sciences,Sociology,History, Philosophy &amp; Theology,Sport Science,Business &amp; Management,Archaeology,Geology, Environmental, Earth &amp; Marine Sciences,Accounting &amp; Finance,Computer Science,Veterinary Science,Geography</t>
  </si>
  <si>
    <t>Institut Polytechnique de Paris</t>
  </si>
  <si>
    <t>Art, Performing Arts &amp; Design,General Engineering,Mathematics &amp; Statistics,History, Philosophy &amp; Theology,Geology, Environmental, Earth &amp; Marine Sciences,Civil Engineering,Education,Languages, Literature &amp; Linguistics,Communication &amp; Media Studies,Medicine &amp; Dentistry,Other Health,Physics &amp; Astronomy,Chemical Engineering,Economics &amp; Econometrics,Mechanical &amp; Aerospace Engineering,Accounting &amp; Finance,Electrical &amp; Electronic Engineering,Politics &amp; International Studies (incl Development Studies),Sociology,Computer Science,Biological Sciences,Business &amp; Management,Chemistry</t>
  </si>
  <si>
    <t>University of North Carolina at Chapel Hill</t>
  </si>
  <si>
    <t>Computer Science,Accounting &amp; Finance,Art, Performing Arts &amp; Design,Chemistry,Psychology,Physics &amp; Astronomy,Languages, Literature &amp; Linguistics,Sport Science,Sociology,Geography,Geology, Environmental, Earth &amp; Marine Sciences,Business &amp; Management,Agriculture &amp; Forestry,Mathematics &amp; Statistics,History, Philosophy &amp; Theology,Other Health,Law,General Engineering,Education,Economics &amp; Econometrics,Archaeology,Communication &amp; Media Studies,Politics &amp; International Studies (incl Development Studies),Biological Sciences,Medicine &amp; Dentistry</t>
  </si>
  <si>
    <t>Nanjing University</t>
  </si>
  <si>
    <t>Archaeology,Architecture,Sociology,Electrical &amp; Electronic Engineering,Politics &amp; International Studies (incl Development Studies),Business &amp; Management,Computer Science,Biological Sciences,Law,Languages, Literature &amp; Linguistics,Communication &amp; Media Studies,Psychology,Art, Performing Arts &amp; Design,Chemical Engineering,Education,Other Health,Chemistry,Economics &amp; Econometrics,History, Philosophy &amp; Theology,Geology, Environmental, Earth &amp; Marine Sciences,Accounting &amp; Finance,General Engineering,Geography,Medicine &amp; Dentistry,Physics &amp; Astronomy,Mathematics &amp; Statistics</t>
  </si>
  <si>
    <t>University of Southern California</t>
  </si>
  <si>
    <t>Mathematics &amp; Statistics,Other Health,Physics &amp; Astronomy,Languages, Literature &amp; Linguistics,Psychology,Geology, Environmental, Earth &amp; Marine Sciences,Economics &amp; Econometrics,Mechanical &amp; Aerospace Engineering,Agriculture &amp; Forestry,Archaeology,Business &amp; Management,Chemistry,Computer Science,Art, Performing Arts &amp; Design,Politics &amp; International Studies (incl Development Studies),Law,Geography,Chemical Engineering,Medicine &amp; Dentistry,Sport Science,Sociology,Communication &amp; Media Studies,General Engineering,Accounting &amp; Finance,Education,Electrical &amp; Electronic Engineering,Architecture,Civil Engineering,History, Philosophy &amp; Theology,Biological Sciences</t>
  </si>
  <si>
    <t>Sorbonne University</t>
  </si>
  <si>
    <t>Biological Sciences,General Engineering,Mathematics &amp; Statistics,History, Philosophy &amp; Theology,Civil Engineering,Geography,Other Health,Mechanical &amp; Aerospace Engineering,Sociology,Education,Geology, Environmental, Earth &amp; Marine Sciences,Computer Science,Chemical Engineering,Business &amp; Management,Languages, Literature &amp; Linguistics,Electrical &amp; Electronic Engineering,Archaeology,Chemistry,Communication &amp; Media Studies,Medicine &amp; Dentistry,Physics &amp; Astronomy</t>
  </si>
  <si>
    <t>Yonsei University (Seoul campus)</t>
  </si>
  <si>
    <t>Yonsei University (Seoul campus) Yonsei Yon Sei</t>
  </si>
  <si>
    <t>Business &amp; Management,Civil Engineering,Chemistry,Medicine &amp; Dentistry,Mechanical &amp; Aerospace Engineering,Electrical &amp; Electronic Engineering,Communication &amp; Media Studies,Education,Physics &amp; Astronomy,Languages, Literature &amp; Linguistics,General Engineering,History, Philosophy &amp; Theology,Chemical Engineering,Architecture,Mathematics &amp; Statistics,Psychology,Other Health,Sociology,Economics &amp; Econometrics,Computer Science,Geology, Environmental, Earth &amp; Marine Sciences,Art, Performing Arts &amp; Design,Politics &amp; International Studies (incl Development Studies),Accounting &amp; Finance,Biological Sciences,Sport Science,Law</t>
  </si>
  <si>
    <t>Leiden University</t>
  </si>
  <si>
    <t>Politics &amp; International Studies (incl Development Studies),Other Health,Law,History, Philosophy &amp; Theology,Communication &amp; Media Studies,Languages, Literature &amp; Linguistics,Physics &amp; Astronomy,Art, Performing Arts &amp; Design,Mathematics &amp; Statistics,Computer Science,Education,Chemistry,Biological Sciences,Psychology,Medicine &amp; Dentistry,Sociology,Archaeology,Geology, Environmental, Earth &amp; Marine Sciences</t>
  </si>
  <si>
    <t>Boston University</t>
  </si>
  <si>
    <t>Electrical &amp; Electronic Engineering,Architecture,Mathematics &amp; Statistics,Accounting &amp; Finance,Medicine &amp; Dentistry,Chemistry,Politics &amp; International Studies (incl Development Studies),Mechanical &amp; Aerospace Engineering,General Engineering,Law,Archaeology,Sociology,History, Philosophy &amp; Theology,Languages, Literature &amp; Linguistics,Biological Sciences,Communication &amp; Media Studies,Psychology,Business &amp; Management,Physics &amp; Astronomy,Computer Science,Art, Performing Arts &amp; Design,Education,Geology, Environmental, Earth &amp; Marine Sciences,Geography,Other Health,Economics &amp; Econometrics</t>
  </si>
  <si>
    <t>University of Groningen</t>
  </si>
  <si>
    <t>Archaeology,Communication &amp; Media Studies,Geography,History, Philosophy &amp; Theology,Mathematics &amp; Statistics,Psychology,Politics &amp; International Studies (incl Development Studies),Education,Chemical Engineering,Accounting &amp; Finance,Computer Science,Sociology,General Engineering,Physics &amp; Astronomy,Law,Other Health,Biological Sciences,Economics &amp; Econometrics,Medicine &amp; Dentistry,Chemistry,Business &amp; Management,Languages, Literature &amp; Linguistics,Geology, Environmental, Earth &amp; Marine Sciences</t>
  </si>
  <si>
    <t>University of Zurich</t>
  </si>
  <si>
    <t>Business &amp; Management,Accounting &amp; Finance,Veterinary Science,Physics &amp; Astronomy,Sociology,Education,Chemistry,Geography,Archaeology,Politics &amp; International Studies (incl Development Studies),Mathematics &amp; Statistics,Biological Sciences,Other Health,Communication &amp; Media Studies,Law,Computer Science,Agriculture &amp; Forestry,Art, Performing Arts &amp; Design,Psychology,Economics &amp; Econometrics,History, Philosophy &amp; Theology,Geology, Environmental, Earth &amp; Marine Sciences,Languages, Literature &amp; Linguistics,Medicine &amp; Dentistry</t>
  </si>
  <si>
    <t>University of Bristol</t>
  </si>
  <si>
    <t>Archaeology,Veterinary Science,Accounting &amp; Finance,Civil Engineering,Geography,Other Health,Mathematics &amp; Statistics,Mechanical &amp; Aerospace Engineering,Politics &amp; International Studies (incl Development Studies),Medicine &amp; Dentistry,Chemistry,Law,Computer Science,Geology, Environmental, Earth &amp; Marine Sciences,Economics &amp; Econometrics,Languages, Literature &amp; Linguistics,General Engineering,Education,Electrical &amp; Electronic Engineering,Sociology,Business &amp; Management,Art, Performing Arts &amp; Design,Biological Sciences,Psychology,History, Philosophy &amp; Theology,Physics &amp; Astronomy</t>
  </si>
  <si>
    <t>City University of Hong Kong</t>
  </si>
  <si>
    <t>City University of Hong Kong CityU HK</t>
  </si>
  <si>
    <t>Law,Art, Performing Arts &amp; Design,Electrical &amp; Electronic Engineering,Architecture,Accounting &amp; Finance,Chemistry,Languages, Literature &amp; Linguistics,History, Philosophy &amp; Theology,Chemical Engineering,Physics &amp; Astronomy,Business &amp; Management,Economics &amp; Econometrics,Veterinary Science,Sociology,Mechanical &amp; Aerospace Engineering,Civil Engineering,General Engineering,Geology, Environmental, Earth &amp; Marine Sciences,Biological Sciences,Politics &amp; International Studies (incl Development Studies),Mathematics &amp; Statistics,Computer Science,Psychology,Communication &amp; Media Studies</t>
  </si>
  <si>
    <t>Korea Advanced Institute of Science and Technology (KAIST)</t>
  </si>
  <si>
    <t>History, Philosophy &amp; Theology,Chemistry,Mathematics &amp; Statistics,Computer Science,Law,Education,Sport Science,Economics &amp; Econometrics,Geology, Environmental, Earth &amp; Marine Sciences,Physics &amp; Astronomy,Accounting &amp; Finance,Biological Sciences,Psychology,General Engineering,Art, Performing Arts &amp; Design,Architecture,Archaeology,Electrical &amp; Electronic Engineering,Politics &amp; International Studies (incl Development Studies),Communication &amp; Media Studies,Civil Engineering,Mechanical &amp; Aerospace Engineering,Veterinary Science,Medicine &amp; Dentistry,Chemical Engineering,Languages, Literature &amp; Linguistics,Business &amp; Management,Other Health,Sociology</t>
  </si>
  <si>
    <t>UNSW Sydney</t>
  </si>
  <si>
    <t>UNSW Sydney unsw australia unsw</t>
  </si>
  <si>
    <t>Accounting &amp; Finance,Medicine &amp; Dentistry,Business &amp; Management,Mechanical &amp; Aerospace Engineering,Economics &amp; Econometrics,Sport Science,Chemical Engineering,Chemistry,General Engineering,Mathematics &amp; Statistics,Art, Performing Arts &amp; Design,Architecture,Psychology,Sociology,Geography,Other Health,Electrical &amp; Electronic Engineering,Geology, Environmental, Earth &amp; Marine Sciences,Biological Sciences,Civil Engineering,Languages, Literature &amp; Linguistics,Communication &amp; Media Studies,Education,Politics &amp; International Studies (incl Development Studies),Computer Science,Law,Physics &amp; Astronomy,History, Philosophy &amp; Theology</t>
  </si>
  <si>
    <t>University of Minnesota</t>
  </si>
  <si>
    <t>Languages, Literature &amp; Linguistics,Agriculture &amp; Forestry,Veterinary Science,Chemical Engineering,Physics &amp; Astronomy,Psychology,History, Philosophy &amp; Theology,Civil Engineering,Communication &amp; Media Studies,Architecture,Biological Sciences,Mathematics &amp; Statistics,Education,General Engineering,Politics &amp; International Studies (incl Development Studies),Business &amp; Management,Other Health,Geography,Accounting &amp; Finance,Electrical &amp; Electronic Engineering,Law,Economics &amp; Econometrics,Medicine &amp; Dentistry,Sport Science,Sociology,Computer Science,Chemistry,Art, Performing Arts &amp; Design,Mechanical &amp; Aerospace Engineering,Geology, Environmental, Earth &amp; Marine Sciences</t>
  </si>
  <si>
    <t>Purdue University West Lafayette</t>
  </si>
  <si>
    <t>General Engineering,Communication &amp; Media Studies,Economics &amp; Econometrics,Languages, Literature &amp; Linguistics,Civil Engineering,Politics &amp; International Studies (incl Development Studies),Computer Science,Mathematics &amp; Statistics,Psychology,Architecture,Biological Sciences,Business &amp; Management,Chemical Engineering,Law,Other Health,Sport Science,Sociology,History, Philosophy &amp; Theology,Agriculture &amp; Forestry,Chemistry,Accounting &amp; Finance,Art, Performing Arts &amp; Design,Mechanical &amp; Aerospace Engineering,Physics &amp; Astronomy,Medicine &amp; Dentistry,Veterinary Science,Education,Electrical &amp; Electronic Engineering,Geology, Environmental, Earth &amp; Marine Sciences</t>
  </si>
  <si>
    <t>University of Glasgow</t>
  </si>
  <si>
    <t>Architecture,Veterinary Science,Law,History, Philosophy &amp; Theology,Civil Engineering,Sociology,Languages, Literature &amp; Linguistics,Biological Sciences,Communication &amp; Media Studies,Economics &amp; Econometrics,Electrical &amp; Electronic Engineering,Chemistry,Accounting &amp; Finance,Archaeology,Sport Science,Geography,Computer Science,Mathematics &amp; Statistics,Business &amp; Management,Mechanical &amp; Aerospace Engineering,Politics &amp; International Studies (incl Development Studies),Art, Performing Arts &amp; Design,Other Health,Geology, Environmental, Earth &amp; Marine Sciences,General Engineering,Physics &amp; Astronomy,Education,Medicine &amp; Dentistry,Agriculture &amp; Forestry,Psychology</t>
  </si>
  <si>
    <t>The Hong Kong Polytechnic University</t>
  </si>
  <si>
    <t>The Hong Kong Polytechnic University PolyU Poly U HK PolyU</t>
  </si>
  <si>
    <t>Physics &amp; Astronomy,Biological Sciences,Business &amp; Management,Languages, Literature &amp; Linguistics,Art, Performing Arts &amp; Design,Sociology,Civil Engineering,Geology, Environmental, Earth &amp; Marine Sciences,Economics &amp; Econometrics,Communication &amp; Media Studies,Chemistry,Electrical &amp; Electronic Engineering,Computer Science,Accounting &amp; Finance,Psychology,Chemical Engineering,Mechanical &amp; Aerospace Engineering,History, Philosophy &amp; Theology,Other Health,General Engineering,Mathematics &amp; Statistics</t>
  </si>
  <si>
    <t>Humboldt University of Berlin</t>
  </si>
  <si>
    <t>Communication &amp; Media Studies,Geology, Environmental, Earth &amp; Marine Sciences,Computer Science,History, Philosophy &amp; Theology,Economics &amp; Econometrics,Languages, Literature &amp; Linguistics,Psychology,Education,Physics &amp; Astronomy,Law,Chemistry,Business &amp; Management,Medicine &amp; Dentistry,Art, Performing Arts &amp; Design,Mathematics &amp; Statistics,Accounting &amp; Finance,Politics &amp; International Studies (incl Development Studies),Biological Sciences,Archaeology,Sport Science,Agriculture &amp; Forestry,Geography,Sociology,Other Health</t>
  </si>
  <si>
    <t>RWTH Aachen University</t>
  </si>
  <si>
    <t>Mechanical &amp; Aerospace Engineering,Communication &amp; Media Studies,Computer Science,Biological Sciences,Chemistry,Accounting &amp; Finance,Chemical Engineering,Mathematics &amp; Statistics,Business &amp; Management,History, Philosophy &amp; Theology,Civil Engineering,Education,Languages, Literature &amp; Linguistics,Geography,Electrical &amp; Electronic Engineering,Sociology,Other Health,Veterinary Science,Physics &amp; Astronomy,Economics &amp; Econometrics,General Engineering,Geology, Environmental, Earth &amp; Marine Sciences,Medicine &amp; Dentistry,Politics &amp; International Studies (incl Development Studies),Architecture,Psychology</t>
  </si>
  <si>
    <t>University of Bonn</t>
  </si>
  <si>
    <t>Communication &amp; Media Studies,History, Philosophy &amp; Theology,Geology, Environmental, Earth &amp; Marine Sciences,Business &amp; Management,Computer Science,Law,Biological Sciences,Politics &amp; International Studies (incl Development Studies),Archaeology,Sociology,Other Health,Chemistry,Economics &amp; Econometrics,Languages, Literature &amp; Linguistics,Physics &amp; Astronomy,Agriculture &amp; Forestry,Education,Medicine &amp; Dentistry,Mathematics &amp; Statistics,Psychology,Geography</t>
  </si>
  <si>
    <t>University of California, Irvine</t>
  </si>
  <si>
    <t>Electrical &amp; Electronic Engineering,General Engineering,Civil Engineering,Sociology,Biological Sciences,Psychology,Education,Chemical Engineering,Chemistry,Other Health,Medicine &amp; Dentistry,Languages, Literature &amp; Linguistics,Economics &amp; Econometrics,Politics &amp; International Studies (incl Development Studies),Business &amp; Management,Art, Performing Arts &amp; Design,Architecture,Physics &amp; Astronomy,Mathematics &amp; Statistics,Geology, Environmental, Earth &amp; Marine Sciences,Accounting &amp; Finance,Law,Mechanical &amp; Aerospace Engineering,History, Philosophy &amp; Theology,Computer Science</t>
  </si>
  <si>
    <t>Vanderbilt University</t>
  </si>
  <si>
    <t>Physics &amp; Astronomy,Mechanical &amp; Aerospace Engineering,General Engineering,Sociology,History, Philosophy &amp; Theology,Geology, Environmental, Earth &amp; Marine Sciences,Computer Science,Psychology,Other Health,Economics &amp; Econometrics,Chemistry,Mathematics &amp; Statistics,Accounting &amp; Finance,Communication &amp; Media Studies,Business &amp; Management,Civil Engineering,Medicine &amp; Dentistry,Art, Performing Arts &amp; Design,Geography,Politics &amp; International Studies (incl Development Studies),Biological Sciences,Archaeology,Electrical &amp; Electronic Engineering,Law,Education,Chemical Engineering,Languages, Literature &amp; Linguistics</t>
  </si>
  <si>
    <t>CharitÃ© - UniversitÃ¤tsmedizin Berlin</t>
  </si>
  <si>
    <t>Medicine &amp; Dentistry,Other Health</t>
  </si>
  <si>
    <t>Lomonosov Moscow State University</t>
  </si>
  <si>
    <t>Russian Federation</t>
  </si>
  <si>
    <t>Art, Performing Arts &amp; Design,Agriculture &amp; Forestry,Biological Sciences,Chemistry,Economics &amp; Econometrics,Mechanical &amp; Aerospace Engineering,Politics &amp; International Studies (incl Development Studies),Electrical &amp; Electronic Engineering,Education,Chemical Engineering,Communication &amp; Media Studies,Computer Science,Geography,History, Philosophy &amp; Theology,Sport Science,Law,Other Health,Geology, Environmental, Earth &amp; Marine Sciences,Psychology,Languages, Literature &amp; Linguistics,Medicine &amp; Dentistry,Physics &amp; Astronomy,Accounting &amp; Finance,Archaeology,Mathematics &amp; Statistics,Business &amp; Management,Sociology</t>
  </si>
  <si>
    <t>University of TÃ¼bingen</t>
  </si>
  <si>
    <t>Chemistry,Economics &amp; Econometrics,Communication &amp; Media Studies,Physics &amp; Astronomy,Medicine &amp; Dentistry,Geography,Politics &amp; International Studies (incl Development Studies),Biological Sciences,Sport Science,Accounting &amp; Finance,Computer Science,Psychology,Languages, Literature &amp; Linguistics,Education,Business &amp; Management,Mathematics &amp; Statistics,History, Philosophy &amp; Theology,Archaeology,Geology, Environmental, Earth &amp; Marine Sciences,Other Health,Law,Sociology</t>
  </si>
  <si>
    <t>KTH Royal Institute of Technology</t>
  </si>
  <si>
    <t>Chemical Engineering,General Engineering,Economics &amp; Econometrics,Mathematics &amp; Statistics,Architecture,Physics &amp; Astronomy,Geology, Environmental, Earth &amp; Marine Sciences,Education,Computer Science,Mechanical &amp; Aerospace Engineering,Biological Sciences,Chemistry,Civil Engineering,Business &amp; Management,Electrical &amp; Electronic Engineering</t>
  </si>
  <si>
    <t>University of Southampton</t>
  </si>
  <si>
    <t>Geography,Computer Science,Geology, Environmental, Earth &amp; Marine Sciences,Other Health,Civil Engineering,Chemistry,Business &amp; Management,General Engineering,Communication &amp; Media Studies,Economics &amp; Econometrics,History, Philosophy &amp; Theology,Education,Medicine &amp; Dentistry,Politics &amp; International Studies (incl Development Studies),Law,Archaeology,Biological Sciences,Mechanical &amp; Aerospace Engineering,Electrical &amp; Electronic Engineering,Languages, Literature &amp; Linguistics,Physics &amp; Astronomy,Psychology,Mathematics &amp; Statistics,Art, Performing Arts &amp; Design,Chemical Engineering,Sociology,Accounting &amp; Finance</t>
  </si>
  <si>
    <t>Erasmus University Rotterdam</t>
  </si>
  <si>
    <t>Biological Sciences,Law,Psychology,Mathematics &amp; Statistics,Art, Performing Arts &amp; Design,Other Health,History, Philosophy &amp; Theology,Sociology,Politics &amp; International Studies (incl Development Studies),Economics &amp; Econometrics,Accounting &amp; Finance,Business &amp; Management,Medicine &amp; Dentistry,Education,Communication &amp; Media Studies</t>
  </si>
  <si>
    <t>Ohio State University (Main campus)</t>
  </si>
  <si>
    <t>Art, Performing Arts &amp; Design,Medicine &amp; Dentistry,Psychology,Agriculture &amp; Forestry,Accounting &amp; Finance,Computer Science,Other Health,Archaeology,Education,Business &amp; Management,Economics &amp; Econometrics,Communication &amp; Media Studies,Mechanical &amp; Aerospace Engineering,Chemical Engineering,Architecture,Sport Science,Sociology,Law,Languages, Literature &amp; Linguistics,Veterinary Science,Biological Sciences,Mathematics &amp; Statistics,Geology, Environmental, Earth &amp; Marine Sciences,Politics &amp; International Studies (incl Development Studies),Electrical &amp; Electronic Engineering,History, Philosophy &amp; Theology,Physics &amp; Astronomy,Chemistry,Geography,General Engineering,Civil Engineering</t>
  </si>
  <si>
    <t>University of Birmingham</t>
  </si>
  <si>
    <t>Art, Performing Arts &amp; Design,Civil Engineering,Geography,General Engineering,Geology, Environmental, Earth &amp; Marine Sciences,Business &amp; Management,Archaeology,Mathematics &amp; Statistics,Accounting &amp; Finance,Other Health,Physics &amp; Astronomy,Education,History, Philosophy &amp; Theology,Sport Science,Psychology,Languages, Literature &amp; Linguistics,Chemical Engineering,Law,Medicine &amp; Dentistry,Biological Sciences,Electrical &amp; Electronic Engineering,Sociology,Computer Science,Chemistry,Economics &amp; Econometrics,Mechanical &amp; Aerospace Engineering,Politics &amp; International Studies (incl Development Studies)</t>
  </si>
  <si>
    <t>Free University of Berlin</t>
  </si>
  <si>
    <t>Politics &amp; International Studies (incl Development Studies),Chemistry,Communication &amp; Media Studies,Art, Performing Arts &amp; Design,Business &amp; Management,Archaeology,History, Philosophy &amp; Theology,Biological Sciences,Computer Science,Psychology,Mathematics &amp; Statistics,Law,Languages, Literature &amp; Linguistics,Education,Sociology,Physics &amp; Astronomy,Veterinary Science,Economics &amp; Econometrics,Accounting &amp; Finance,Geography,Geology, Environmental, Earth &amp; Marine Sciences</t>
  </si>
  <si>
    <t>University of Copenhagen</t>
  </si>
  <si>
    <t>Denmark</t>
  </si>
  <si>
    <t>Sport Science,Chemistry,Archaeology,Geography,Medicine &amp; Dentistry,Languages, Literature &amp; Linguistics,Computer Science,Other Health,Mathematics &amp; Statistics,Communication &amp; Media Studies,Geology, Environmental, Earth &amp; Marine Sciences,Psychology,Biological Sciences,Law,Veterinary Science,Economics &amp; Econometrics,Agriculture &amp; Forestry,Sociology,Physics &amp; Astronomy,Politics &amp; International Studies (incl Development Studies),History, Philosophy &amp; Theology</t>
  </si>
  <si>
    <t>McMaster University</t>
  </si>
  <si>
    <t>Other Health,Physics &amp; Astronomy,Economics &amp; Econometrics,Politics &amp; International Studies (incl Development Studies),Mechanical &amp; Aerospace Engineering,General Engineering,Geology, Environmental, Earth &amp; Marine Sciences,History, Philosophy &amp; Theology,Biological Sciences,Psychology,Art, Performing Arts &amp; Design,Civil Engineering,Sociology,Languages, Literature &amp; Linguistics,Chemical Engineering,Geography,Electrical &amp; Electronic Engineering,Communication &amp; Media Studies,Archaeology,Sport Science,Business &amp; Management,Medicine &amp; Dentistry,Mathematics &amp; Statistics,Accounting &amp; Finance,Computer Science,Chemistry</t>
  </si>
  <si>
    <t>University of Sheffield</t>
  </si>
  <si>
    <t>University of Sheffield united kingdom UK Sheffield</t>
  </si>
  <si>
    <t>History, Philosophy &amp; Theology,Computer Science,Geography,Archaeology,Mathematics &amp; Statistics,Sociology,Languages, Literature &amp; Linguistics,Chemical Engineering,General Engineering,Geology, Environmental, Earth &amp; Marine Sciences,Mechanical &amp; Aerospace Engineering,Chemistry,Electrical &amp; Electronic Engineering,Politics &amp; International Studies (incl Development Studies),Other Health,Economics &amp; Econometrics,Communication &amp; Media Studies,Law,Civil Engineering,Physics &amp; Astronomy,Medicine &amp; Dentistry,Accounting &amp; Finance,Business &amp; Management,Psychology,Architecture,Biological Sciences,Education</t>
  </si>
  <si>
    <t>Emory University</t>
  </si>
  <si>
    <t>Art, Performing Arts &amp; Design,Mathematics &amp; Statistics,Accounting &amp; Finance,Chemistry,Economics &amp; Econometrics,General Engineering,Psychology,Languages, Literature &amp; Linguistics,Geology, Environmental, Earth &amp; Marine Sciences,Computer Science,History, Philosophy &amp; Theology,Communication &amp; Media Studies,Other Health,Sociology,Politics &amp; International Studies (incl Development Studies),Physics &amp; Astronomy,Law,Medicine &amp; Dentistry,Biological Sciences,Business &amp; Management</t>
  </si>
  <si>
    <t>Lund University</t>
  </si>
  <si>
    <t>Sociology,Computer Science,Physics &amp; Astronomy,Business &amp; Management,Geology, Environmental, Earth &amp; Marine Sciences,Economics &amp; Econometrics,General Engineering,Chemistry,Accounting &amp; Finance,Art, Performing Arts &amp; Design,Electrical &amp; Electronic Engineering,Communication &amp; Media Studies,Architecture,Medicine &amp; Dentistry,Biological Sciences,Education,Chemical Engineering,Geography,Archaeology,Agriculture &amp; Forestry,Law,History, Philosophy &amp; Theology,Civil Engineering,Other Health,Mathematics &amp; Statistics,Psychology,Languages, Literature &amp; Linguistics,Mechanical &amp; Aerospace Engineering,Politics &amp; International Studies (incl Development Studies)</t>
  </si>
  <si>
    <t>University of Warwick</t>
  </si>
  <si>
    <t>Computer Science,Politics &amp; International Studies (incl Development Studies),General Engineering,Chemistry,History, Philosophy &amp; Theology,Education,Medicine &amp; Dentistry,Communication &amp; Media Studies,Economics &amp; Econometrics,Mechanical &amp; Aerospace Engineering,Mathematics &amp; Statistics,Psychology,Civil Engineering,Geography,Electrical &amp; Electronic Engineering,Physics &amp; Astronomy,Languages, Literature &amp; Linguistics,Biological Sciences,Business &amp; Management,Other Health,Sociology,Accounting &amp; Finance,Art, Performing Arts &amp; Design,Law</t>
  </si>
  <si>
    <t>Aarhus University</t>
  </si>
  <si>
    <t>Other Health,Sport Science,Law,Computer Science,Mathematics &amp; Statistics,Education,Veterinary Science,Geography,Economics &amp; Econometrics,Electrical &amp; Electronic Engineering,Communication &amp; Media Studies,Biological Sciences,Politics &amp; International Studies (incl Development Studies),Archaeology,Physics &amp; Astronomy,Accounting &amp; Finance,Languages, Literature &amp; Linguistics,Chemical Engineering,Business &amp; Management,Medicine &amp; Dentistry,Agriculture &amp; Forestry,Geology, Environmental, Earth &amp; Marine Sciences,History, Philosophy &amp; Theology,Civil Engineering,Psychology,Art, Performing Arts &amp; Design,Mechanical &amp; Aerospace Engineering,Chemistry</t>
  </si>
  <si>
    <t>University of Alberta</t>
  </si>
  <si>
    <t>History, Philosophy &amp; Theology,Agriculture &amp; Forestry,Sociology,Computer Science,Chemical Engineering,Law,Architecture,Sport Science,Politics &amp; International Studies (incl Development Studies),Art, Performing Arts &amp; Design,Electrical &amp; Electronic Engineering,Mathematics &amp; Statistics,Business &amp; Management,Mechanical &amp; Aerospace Engineering,Geology, Environmental, Earth &amp; Marine Sciences,Accounting &amp; Finance,General Engineering,Physics &amp; Astronomy,Economics &amp; Econometrics,Other Health,Civil Engineering,Communication &amp; Media Studies,Languages, Literature &amp; Linguistics,Biological Sciences,Education,Medicine &amp; Dentistry,Veterinary Science,Geography,Archaeology,Chemistry,Psychology</t>
  </si>
  <si>
    <t>University of Adelaide</t>
  </si>
  <si>
    <t>University of Adelaide Adelaide University</t>
  </si>
  <si>
    <t>Other Health,Geology, Environmental, Earth &amp; Marine Sciences,Economics &amp; Econometrics,Computer Science,Mathematics &amp; Statistics,Art, Performing Arts &amp; Design,Chemical Engineering,Chemistry,Geography,Law,General Engineering,Physics &amp; Astronomy,Architecture,Veterinary Science,Education,Languages, Literature &amp; Linguistics,Civil Engineering,History, Philosophy &amp; Theology,Mechanical &amp; Aerospace Engineering,Medicine &amp; Dentistry,Electrical &amp; Electronic Engineering,Biological Sciences,Communication &amp; Media Studies,Sociology,Business &amp; Management,Agriculture &amp; Forestry,Politics &amp; International Studies (incl Development Studies),Psychology,Accounting &amp; Finance</t>
  </si>
  <si>
    <t>University of GÃ¶ttingen</t>
  </si>
  <si>
    <t>History, Philosophy &amp; Theology,Veterinary Science,Law,Languages, Literature &amp; Linguistics,Physics &amp; Astronomy,Geography,Sport Science,Accounting &amp; Finance,Computer Science,Politics &amp; International Studies (incl Development Studies),Medicine &amp; Dentistry,Education,Archaeology,Sociology,Other Health,Geology, Environmental, Earth &amp; Marine Sciences,Agriculture &amp; Forestry,Psychology,Biological Sciences,Chemistry,Economics &amp; Econometrics,Art, Performing Arts &amp; Design,Mathematics &amp; Statistics,Business &amp; Management</t>
  </si>
  <si>
    <t>UniversitÃ© de MontrÃ©al</t>
  </si>
  <si>
    <t>UniversitÃ© de MontrÃ©al UniversitÃ© de MontrÃ©al Universite de Montreal</t>
  </si>
  <si>
    <t>Languages, Literature &amp; Linguistics,Veterinary Science,Geography,History, Philosophy &amp; Theology,Mechanical &amp; Aerospace Engineering,Chemistry,Accounting &amp; Finance,Other Health,Electrical &amp; Electronic Engineering,Sociology,Medicine &amp; Dentistry,Physics &amp; Astronomy,Business &amp; Management,Archaeology,Mathematics &amp; Statistics,Communication &amp; Media Studies,Architecture,Biological Sciences,Education,General Engineering,Geology, Environmental, Earth &amp; Marine Sciences,Economics &amp; Econometrics,Art, Performing Arts &amp; Design,Sport Science,Psychology,Computer Science,Civil Engineering,Law,Chemical Engineering,Politics &amp; International Studies (incl Development Studies)</t>
  </si>
  <si>
    <t>University of Maryland, College Park</t>
  </si>
  <si>
    <t>Chemical Engineering,General Engineering,Education,Geography,Communication &amp; Media Studies,History, Philosophy &amp; Theology,Economics &amp; Econometrics,Art, Performing Arts &amp; Design,Computer Science,Civil Engineering,Other Health,Mathematics &amp; Statistics,Languages, Literature &amp; Linguistics,Chemistry,Mechanical &amp; Aerospace Engineering,Archaeology,Sport Science,Politics &amp; International Studies (incl Development Studies),Sociology,Accounting &amp; Finance,Business &amp; Management,Agriculture &amp; Forestry,Physics &amp; Astronomy,Electrical &amp; Electronic Engineering,Architecture,Veterinary Science,Geology, Environmental, Earth &amp; Marine Sciences,Biological Sciences</t>
  </si>
  <si>
    <t>Ghent University</t>
  </si>
  <si>
    <t>Languages, Literature &amp; Linguistics,Accounting &amp; Finance,Chemistry,Chemical Engineering,Psychology,Economics &amp; Econometrics,Archaeology,Physics &amp; Astronomy,Biological Sciences,History, Philosophy &amp; Theology,Mathematics &amp; Statistics,Sociology,Law,Mechanical &amp; Aerospace Engineering,Other Health,Geography,Art, Performing Arts &amp; Design,Medicine &amp; Dentistry,General Engineering,Politics &amp; International Studies (incl Development Studies),Electrical &amp; Electronic Engineering,Geology, Environmental, Earth &amp; Marine Sciences,Computer Science,Sport Science,Business &amp; Management,Civil Engineering,Veterinary Science,Education,Agriculture &amp; Forestry,Communication &amp; Media Studies</t>
  </si>
  <si>
    <t>University of Bern</t>
  </si>
  <si>
    <t>Medicine &amp; Dentistry,Mathematics &amp; Statistics,Accounting &amp; Finance,Biological Sciences,Law,Other Health,Sociology,Veterinary Science,Psychology,Languages, Literature &amp; Linguistics,Archaeology,Geology, Environmental, Earth &amp; Marine Sciences,Business &amp; Management,Chemistry,Education,Art, Performing Arts &amp; Design,Computer Science,Geography,History, Philosophy &amp; Theology,Politics &amp; International Studies (incl Development Studies),Economics &amp; Econometrics,Physics &amp; Astronomy,Sport Science,Communication &amp; Media Studies</t>
  </si>
  <si>
    <t>Michigan State University</t>
  </si>
  <si>
    <t>Architecture,Veterinary Science,Communication &amp; Media Studies,Art, Performing Arts &amp; Design,Agriculture &amp; Forestry,Biological Sciences,Electrical &amp; Electronic Engineering,Law,Medicine &amp; Dentistry,Geography,History, Philosophy &amp; Theology,Geology, Environmental, Earth &amp; Marine Sciences,Accounting &amp; Finance,Chemical Engineering,Economics &amp; Econometrics,Other Health,Sociology,Languages, Literature &amp; Linguistics,Education,Chemistry,Business &amp; Management,Sport Science,Physics &amp; Astronomy,Mechanical &amp; Aerospace Engineering,Civil Engineering,Mathematics &amp; Statistics,Psychology,Computer Science,Politics &amp; International Studies (incl Development Studies),General Engineering</t>
  </si>
  <si>
    <t>Texas A&amp;M University</t>
  </si>
  <si>
    <t>Architecture,Physics &amp; Astronomy,Communication &amp; Media Studies,Education,Computer Science,Sport Science,Accounting &amp; Finance,History, Philosophy &amp; Theology,Chemical Engineering,Sociology,General Engineering,Geology, Environmental, Earth &amp; Marine Sciences,Law,Medicine &amp; Dentistry,Agriculture &amp; Forestry,Politics &amp; International Studies (incl Development Studies),Art, Performing Arts &amp; Design,Mechanical &amp; Aerospace Engineering,Chemistry,Archaeology,Biological Sciences,Psychology,Electrical &amp; Electronic Engineering,Veterinary Science,Business &amp; Management,Other Health,Mathematics &amp; Statistics,Economics &amp; Econometrics,Languages, Literature &amp; Linguistics,Civil Engineering,Geography</t>
  </si>
  <si>
    <t>Rice University</t>
  </si>
  <si>
    <t>Mechanical &amp; Aerospace Engineering,Physics &amp; Astronomy,Business &amp; Management,Biological Sciences,Other Health,General Engineering,Geology, Environmental, Earth &amp; Marine Sciences,Art, Performing Arts &amp; Design,Sport Science,Economics &amp; Econometrics,Civil Engineering,Sociology,Architecture,Chemistry,Languages, Literature &amp; Linguistics,Mathematics &amp; Statistics,Education,Computer Science,Politics &amp; International Studies (incl Development Studies),Electrical &amp; Electronic Engineering,Psychology,History, Philosophy &amp; Theology,Chemical Engineering,Accounting &amp; Finance</t>
  </si>
  <si>
    <t>University of Vienna</t>
  </si>
  <si>
    <t>Austria</t>
  </si>
  <si>
    <t>Physics &amp; Astronomy,Accounting &amp; Finance,Archaeology,Chemistry,Education,History, Philosophy &amp; Theology,Geography,Sport Science,Law,Languages, Literature &amp; Linguistics,Veterinary Science,Business &amp; Management,Mathematics &amp; Statistics,Psychology,Other Health,Communication &amp; Media Studies,Economics &amp; Econometrics,Computer Science,Politics &amp; International Studies (incl Development Studies),Biological Sciences,Sociology,Agriculture &amp; Forestry,Geology, Environmental, Earth &amp; Marine Sciences</t>
  </si>
  <si>
    <t>University of Helsinki</t>
  </si>
  <si>
    <t>Finland</t>
  </si>
  <si>
    <t>Computer Science,Geography,Physics &amp; Astronomy,Biological Sciences,Psychology,Archaeology,Chemistry,Medicine &amp; Dentistry,Communication &amp; Media Studies,Agriculture &amp; Forestry,Sociology,Languages, Literature &amp; Linguistics,Mathematics &amp; Statistics,Economics &amp; Econometrics,Other Health,Geology, Environmental, Earth &amp; Marine Sciences,Law,History, Philosophy &amp; Theology,Politics &amp; International Studies (incl Development Studies),Veterinary Science,Education</t>
  </si>
  <si>
    <t>Penn State (Main campus)</t>
  </si>
  <si>
    <t>Education,Economics &amp; Econometrics,Agriculture &amp; Forestry,Archaeology,Veterinary Science,Geography,Law,Mathematics &amp; Statistics,Electrical &amp; Electronic Engineering,Geology, Environmental, Earth &amp; Marine Sciences,Biological Sciences,Communication &amp; Media Studies,Medicine &amp; Dentistry,General Engineering,Chemical Engineering,Sociology,Physics &amp; Astronomy,Sport Science,Other Health,Languages, Literature &amp; Linguistics,Accounting &amp; Finance,Art, Performing Arts &amp; Design,Civil Engineering,Computer Science,Business &amp; Management,Psychology,Chemistry,Politics &amp; International Studies (incl Development Studies),Mechanical &amp; Aerospace Engineering,History, Philosophy &amp; Theology,Architecture</t>
  </si>
  <si>
    <t>University of Basel</t>
  </si>
  <si>
    <t>Economics &amp; Econometrics,Psychology,Communication &amp; Media Studies,Art, Performing Arts &amp; Design,Languages, Literature &amp; Linguistics,Geology, Environmental, Earth &amp; Marine Sciences,Accounting &amp; Finance,Chemistry,Other Health,Computer Science,Sociology,Politics &amp; International Studies (incl Development Studies),Sport Science,Mathematics &amp; Statistics,History, Philosophy &amp; Theology,Law,Medicine &amp; Dentistry,Physics &amp; Astronomy,Archaeology,Geography,Business &amp; Management,Education,Biological Sciences</t>
  </si>
  <si>
    <t>University of Massachusetts</t>
  </si>
  <si>
    <t>Veterinary Science,Electrical &amp; Electronic Engineering,Sport Science,Sociology,Art, Performing Arts &amp; Design,Education,Medicine &amp; Dentistry,Physics &amp; Astronomy,Mathematics &amp; Statistics,Languages, Literature &amp; Linguistics,General Engineering,Business &amp; Management,Computer Science,Politics &amp; International Studies (incl Development Studies),Agriculture &amp; Forestry,Chemical Engineering,Civil Engineering,Other Health,Chemistry,Law,Psychology,Geology, Environmental, Earth &amp; Marine Sciences,Mechanical &amp; Aerospace Engineering,History, Philosophy &amp; Theology,Communication &amp; Media Studies,Architecture,Biological Sciences,Economics &amp; Econometrics,Accounting &amp; Finance,Archaeology,Geography</t>
  </si>
  <si>
    <t>Vrije Universiteit Amsterdam</t>
  </si>
  <si>
    <t>Sport Science,Psychology,Sociology,Medicine &amp; Dentistry,Politics &amp; International Studies (incl Development Studies),Chemistry,Languages, Literature &amp; Linguistics,Other Health,Accounting &amp; Finance,Geology, Environmental, Earth &amp; Marine Sciences,Art, Performing Arts &amp; Design,Biological Sciences,Computer Science,Communication &amp; Media Studies,Law,Agriculture &amp; Forestry,History, Philosophy &amp; Theology,Mechanical &amp; Aerospace Engineering,Education,Economics &amp; Econometrics,Geography,Physics &amp; Astronomy,Business &amp; Management,Archaeology,Mathematics &amp; Statistics</t>
  </si>
  <si>
    <t>Technical University of Denmark</t>
  </si>
  <si>
    <t>32 : 68</t>
  </si>
  <si>
    <t>Veterinary Science,Mechanical &amp; Aerospace Engineering,Mathematics &amp; Statistics,Electrical &amp; Electronic Engineering,Chemical Engineering,Agriculture &amp; Forestry,General Engineering,Physics &amp; Astronomy,Geology, Environmental, Earth &amp; Marine Sciences,Civil Engineering,Chemistry,Biological Sciences,Computer Science,Other Health</t>
  </si>
  <si>
    <t>University of Oslo</t>
  </si>
  <si>
    <t>Norway</t>
  </si>
  <si>
    <t>Politics &amp; International Studies (incl Development Studies),Mathematics &amp; Statistics,Geology, Environmental, Earth &amp; Marine Sciences,Other Health,Art, Performing Arts &amp; Design,Biological Sciences,Geography,Education,Computer Science,Communication &amp; Media Studies,Archaeology,Chemistry,History, Philosophy &amp; Theology,Languages, Literature &amp; Linguistics,Sociology,Psychology,Economics &amp; Econometrics,Medicine &amp; Dentistry,Physics &amp; Astronomy,Law</t>
  </si>
  <si>
    <t>University of Freiburg</t>
  </si>
  <si>
    <t>Archaeology,Sport Science,Law,Mechanical &amp; Aerospace Engineering,Politics &amp; International Studies (incl Development Studies),General Engineering,Biological Sciences,Accounting &amp; Finance,Computer Science,Physics &amp; Astronomy,Business &amp; Management,Languages, Literature &amp; Linguistics,Chemical Engineering,Sociology,Other Health,Civil Engineering,Communication &amp; Media Studies,Agriculture &amp; Forestry,Psychology,Electrical &amp; Electronic Engineering,Geology, Environmental, Earth &amp; Marine Sciences,Economics &amp; Econometrics,Medicine &amp; Dentistry,Chemistry,Geography,History, Philosophy &amp; Theology,Mathematics &amp; Statistics,Education</t>
  </si>
  <si>
    <t>University of Leeds</t>
  </si>
  <si>
    <t>Geography,Physics &amp; Astronomy,Chemical Engineering,Medicine &amp; Dentistry,Economics &amp; Econometrics,Psychology,Other Health,Law,Business &amp; Management,Mechanical &amp; Aerospace Engineering,General Engineering,Mathematics &amp; Statistics,Biological Sciences,Electrical &amp; Electronic Engineering,Chemistry,Agriculture &amp; Forestry,Geology, Environmental, Earth &amp; Marine Sciences,Civil Engineering,Sociology,Architecture,History, Philosophy &amp; Theology,Computer Science,Sport Science,Politics &amp; International Studies (incl Development Studies),Art, Performing Arts &amp; Design,Accounting &amp; Finance,Education,Communication &amp; Media Studies,Languages, Literature &amp; Linguistics</t>
  </si>
  <si>
    <t>University of Nottingham</t>
  </si>
  <si>
    <t>History, Philosophy &amp; Theology,Civil Engineering,Politics &amp; International Studies (incl Development Studies),Computer Science,Communication &amp; Media Studies,General Engineering,Geology, Environmental, Earth &amp; Marine Sciences,Economics &amp; Econometrics,Other Health,Mechanical &amp; Aerospace Engineering,Mathematics &amp; Statistics,Psychology,Biological Sciences,Law,Accounting &amp; Finance,Archaeology,Chemical Engineering,Chemistry,Art, Performing Arts &amp; Design,Agriculture &amp; Forestry,Physics &amp; Astronomy,Architecture,Sport Science,Geography,Medicine &amp; Dentistry,Veterinary Science,Sociology,Business &amp; Management,Languages, Literature &amp; Linguistics,Electrical &amp; Electronic Engineering,Education</t>
  </si>
  <si>
    <t>Tohoku University</t>
  </si>
  <si>
    <t>28 : 72</t>
  </si>
  <si>
    <t>Architecture,Agriculture &amp; Forestry,Chemistry,Business &amp; Management,Electrical &amp; Electronic Engineering,Communication &amp; Media Studies,Economics &amp; Econometrics,Civil Engineering,Geology, Environmental, Earth &amp; Marine Sciences,Medicine &amp; Dentistry,Physics &amp; Astronomy,Archaeology,Biological Sciences,Geography,General Engineering,Sociology,Accounting &amp; Finance,Languages, Literature &amp; Linguistics,Chemical Engineering,Mathematics &amp; Statistics,Psychology,History, Philosophy &amp; Theology,Mechanical &amp; Aerospace Engineering,Politics &amp; International Studies (incl Development Studies),Art, Performing Arts &amp; Design,Other Health,Veterinary Science,Education,Computer Science,Sport Science,Law</t>
  </si>
  <si>
    <t>University of Florida</t>
  </si>
  <si>
    <t>Mechanical &amp; Aerospace Engineering,Communication &amp; Media Studies,Economics &amp; Econometrics,Medicine &amp; Dentistry,Veterinary Science,Sociology,Other Health,Biological Sciences,Psychology,Computer Science,Mathematics &amp; Statistics,Education,Languages, Literature &amp; Linguistics,General Engineering,Chemistry,Electrical &amp; Electronic Engineering,Physics &amp; Astronomy,Law,Art, Performing Arts &amp; Design,Chemical Engineering,Geography,Architecture,Agriculture &amp; Forestry,Business &amp; Management,History, Philosophy &amp; Theology,Sport Science,Geology, Environmental, Earth &amp; Marine Sciences,Accounting &amp; Finance,Civil Engineering,Politics &amp; International Studies (incl Development Studies)</t>
  </si>
  <si>
    <t>University of Rochester</t>
  </si>
  <si>
    <t>Mechanical &amp; Aerospace Engineering,Biological Sciences,Education,Medicine &amp; Dentistry,History, Philosophy &amp; Theology,General Engineering,Geology, Environmental, Earth &amp; Marine Sciences,Chemistry,Communication &amp; Media Studies,Mathematics &amp; Statistics,Chemical Engineering,Sociology,Psychology,Accounting &amp; Finance,Electrical &amp; Electronic Engineering,Business &amp; Management,Languages, Literature &amp; Linguistics,Other Health,Art, Performing Arts &amp; Design,Archaeology,Politics &amp; International Studies (incl Development Studies),Computer Science,Physics &amp; Astronomy,Economics &amp; Econometrics</t>
  </si>
  <si>
    <t>Trinity College Dublin</t>
  </si>
  <si>
    <t>Ireland</t>
  </si>
  <si>
    <t>Mechanical &amp; Aerospace Engineering,Art, Performing Arts &amp; Design,Civil Engineering,Psychology,General Engineering,Geology, Environmental, Earth &amp; Marine Sciences,Computer Science,Sociology,Biological Sciences,Geography,History, Philosophy &amp; Theology,Physics &amp; Astronomy,Accounting &amp; Finance,Electrical &amp; Electronic Engineering,Law,Medicine &amp; Dentistry,Chemistry,Education,Other Health,Politics &amp; International Studies (incl Development Studies),Economics &amp; Econometrics,Languages, Literature &amp; Linguistics,Mathematics &amp; Statistics,Business &amp; Management</t>
  </si>
  <si>
    <t>Queen Mary University of London</t>
  </si>
  <si>
    <t>Medicine &amp; Dentistry,Biological Sciences,Chemistry,Communication &amp; Media Studies,Electrical &amp; Electronic Engineering,Business &amp; Management,Mechanical &amp; Aerospace Engineering,Languages, Literature &amp; Linguistics,Psychology,Civil Engineering,General Engineering,Geology, Environmental, Earth &amp; Marine Sciences,Economics &amp; Econometrics,Art, Performing Arts &amp; Design,History, Philosophy &amp; Theology,Law,Computer Science,Mathematics &amp; Statistics,Chemical Engineering,Geography,Politics &amp; International Studies (incl Development Studies),Other Health,Veterinary Science,Accounting &amp; Finance,Physics &amp; Astronomy</t>
  </si>
  <si>
    <t>University of Hamburg</t>
  </si>
  <si>
    <t>Accounting &amp; Finance,Geography,Business &amp; Management,Agriculture &amp; Forestry,Sport Science,Geology, Environmental, Earth &amp; Marine Sciences,Law,History, Philosophy &amp; Theology,Mathematics &amp; Statistics,Computer Science,Politics &amp; International Studies (incl Development Studies),Communication &amp; Media Studies,Physics &amp; Astronomy,Medicine &amp; Dentistry,Chemistry,Archaeology,Languages, Literature &amp; Linguistics,Economics &amp; Econometrics,Other Health,Education,Psychology,Sociology,Biological Sciences</t>
  </si>
  <si>
    <t>Technical University of Berlin</t>
  </si>
  <si>
    <t>35 : 65</t>
  </si>
  <si>
    <t>General Engineering,Languages, Literature &amp; Linguistics,Physics &amp; Astronomy,Architecture,Education,Chemical Engineering,Electrical &amp; Electronic Engineering,Chemistry,Civil Engineering,Mathematics &amp; Statistics,Sociology,Mechanical &amp; Aerospace Engineering,History, Philosophy &amp; Theology,Accounting &amp; Finance,Computer Science</t>
  </si>
  <si>
    <t>University of Colorado Boulder</t>
  </si>
  <si>
    <t>Business &amp; Management,Art, Performing Arts &amp; Design,General Engineering,Mathematics &amp; Statistics,Law,Sociology,Computer Science,Chemistry,Geology, Environmental, Earth &amp; Marine Sciences,Accounting &amp; Finance,Mechanical &amp; Aerospace Engineering,Politics &amp; International Studies (incl Development Studies),Economics &amp; Econometrics,Physics &amp; Astronomy,Architecture,Communication &amp; Media Studies,Electrical &amp; Electronic Engineering,Psychology,Education,Biological Sciences,Civil Engineering,History, Philosophy &amp; Theology,Chemical Engineering,Languages, Literature &amp; Linguistics,Geography</t>
  </si>
  <si>
    <t>Maastricht University</t>
  </si>
  <si>
    <t>Education,Biological Sciences,Computer Science,Chemical Engineering,Medicine &amp; Dentistry,Communication &amp; Media Studies,Law,Languages, Literature &amp; Linguistics,Economics &amp; Econometrics,Other Health,Politics &amp; International Studies (incl Development Studies),Art, Performing Arts &amp; Design,Sociology,Business &amp; Management,Sport Science,Psychology,Accounting &amp; Finance,Chemistry,Mathematics &amp; Statistics,General Engineering,History, Philosophy &amp; Theology</t>
  </si>
  <si>
    <t>Karlsruhe Institute of Technology</t>
  </si>
  <si>
    <t>29 : 71</t>
  </si>
  <si>
    <t>Civil Engineering,Chemistry,Electrical &amp; Electronic Engineering,Geography,History, Philosophy &amp; Theology,Agriculture &amp; Forestry,Accounting &amp; Finance,Architecture,Biological Sciences,Mathematics &amp; Statistics,Business &amp; Management,General Engineering,Education,Art, Performing Arts &amp; Design,Sport Science,Chemical Engineering,Geology, Environmental, Earth &amp; Marine Sciences,Economics &amp; Econometrics,Computer Science,Physics &amp; Astronomy,Mechanical &amp; Aerospace Engineering,Communication &amp; Media Studies</t>
  </si>
  <si>
    <t>Radboud University Nijmegen</t>
  </si>
  <si>
    <t>Geography,Art, Performing Arts &amp; Design,Economics &amp; Econometrics,Politics &amp; International Studies (incl Development Studies),Mathematics &amp; Statistics,Agriculture &amp; Forestry,Archaeology,Law,Education,Chemistry,Communication &amp; Media Studies,Medicine &amp; Dentistry,Psychology,Business &amp; Management,Geology, Environmental, Earth &amp; Marine Sciences,Languages, Literature &amp; Linguistics,Computer Science,Other Health,Biological Sciences,Physics &amp; Astronomy,History, Philosophy &amp; Theology,Sociology,Accounting &amp; Finance</t>
  </si>
  <si>
    <t>Uppsala University</t>
  </si>
  <si>
    <t>Languages, Literature &amp; Linguistics,Biological Sciences,Communication &amp; Media Studies,General Engineering,Politics &amp; International Studies (incl Development Studies),History, Philosophy &amp; Theology,Chemistry,Economics &amp; Econometrics,Medicine &amp; Dentistry,Civil Engineering,Education,Chemical Engineering,Law,Accounting &amp; Finance,Computer Science,Geography,Business &amp; Management,Mathematics &amp; Statistics,Psychology,Electrical &amp; Electronic Engineering,Sociology,Archaeology,Geology, Environmental, Earth &amp; Marine Sciences,Other Health,Physics &amp; Astronomy</t>
  </si>
  <si>
    <t>University of Lausanne</t>
  </si>
  <si>
    <t>Geography,Biological Sciences,Communication &amp; Media Studies,Sociology,Languages, Literature &amp; Linguistics,Psychology,Accounting &amp; Finance,Geology, Environmental, Earth &amp; Marine Sciences,History, Philosophy &amp; Theology,Archaeology,Law,Economics &amp; Econometrics,Other Health,Business &amp; Management,Education,Medicine &amp; Dentistry,Politics &amp; International Studies (incl Development Studies),Sport Science,Computer Science</t>
  </si>
  <si>
    <t>The University of Western Australia</t>
  </si>
  <si>
    <t>Physics &amp; Astronomy,Electrical &amp; Electronic Engineering,Civil Engineering,Politics &amp; International Studies (incl Development Studies),Economics &amp; Econometrics,Psychology,Veterinary Science,Biological Sciences,Sociology,Archaeology,Architecture,Sport Science,Chemical Engineering,History, Philosophy &amp; Theology,Languages, Literature &amp; Linguistics,Geography,Medicine &amp; Dentistry,Chemistry,Mathematics &amp; Statistics,Art, Performing Arts &amp; Design,Business &amp; Management,Law,Accounting &amp; Finance,General Engineering,Geology, Environmental, Earth &amp; Marine Sciences,Mechanical &amp; Aerospace Engineering,Other Health,Computer Science,Communication &amp; Media Studies,Agriculture &amp; Forestry,Education</t>
  </si>
  <si>
    <t>University of Pittsburgh-Pittsburgh campus</t>
  </si>
  <si>
    <t>Electrical &amp; Electronic Engineering,Geography,Architecture,Chemistry,Economics &amp; Econometrics,Psychology,Mechanical &amp; Aerospace Engineering,History, Philosophy &amp; Theology,Mathematics &amp; Statistics,Education,Computer Science,Communication &amp; Media Studies,Business &amp; Management,Geology, Environmental, Earth &amp; Marine Sciences,Other Health,Law,General Engineering,Medicine &amp; Dentistry,Chemical Engineering,Art, Performing Arts &amp; Design,Civil Engineering,Sociology,Biological Sciences,Languages, Literature &amp; Linguistics,Physics &amp; Astronomy,Accounting &amp; Finance,Politics &amp; International Studies (incl Development Studies),Sport Science</t>
  </si>
  <si>
    <t>Sungkyunkwan University (SKKU)</t>
  </si>
  <si>
    <t>Architecture,Chemical Engineering,Education,Other Health,Communication &amp; Media Studies,Accounting &amp; Finance,Languages, Literature &amp; Linguistics,Biological Sciences,Psychology,Art, Performing Arts &amp; Design,Medicine &amp; Dentistry,Sport Science,Business &amp; Management,General Engineering,Chemistry,History, Philosophy &amp; Theology,Law,Civil Engineering,Sociology,Computer Science,Physics &amp; Astronomy,Economics &amp; Econometrics,Mechanical &amp; Aerospace Engineering,Politics &amp; International Studies (incl Development Studies),Electrical &amp; Electronic Engineering,Mathematics &amp; Statistics</t>
  </si>
  <si>
    <t>University of York</t>
  </si>
  <si>
    <t>Chemistry,Archaeology,Geography,Economics &amp; Econometrics,Computer Science,Electrical &amp; Electronic Engineering,General Engineering,Languages, Literature &amp; Linguistics,Geology, Environmental, Earth &amp; Marine Sciences,Mechanical &amp; Aerospace Engineering,Physics &amp; Astronomy,Business &amp; Management,Law,Accounting &amp; Finance,Education,Mathematics &amp; Statistics,History, Philosophy &amp; Theology,Medicine &amp; Dentistry,Psychology,Communication &amp; Media Studies,Sociology,Art, Performing Arts &amp; Design,Biological Sciences,Politics &amp; International Studies (incl Development Studies),Other Health</t>
  </si>
  <si>
    <t>University of Technology Sydney</t>
  </si>
  <si>
    <t>University of Technology Sydney UTS</t>
  </si>
  <si>
    <t>General Engineering,Chemistry,Computer Science,Sport Science,Psychology,Other Health,Agriculture &amp; Forestry,Accounting &amp; Finance,Medicine &amp; Dentistry,Physics &amp; Astronomy,Law,Architecture,Mathematics &amp; Statistics,Education,Civil Engineering,Geology, Environmental, Earth &amp; Marine Sciences,Electrical &amp; Electronic Engineering,Politics &amp; International Studies (incl Development Studies),Languages, Literature &amp; Linguistics,Chemical Engineering,Communication &amp; Media Studies,Business &amp; Management,Art, Performing Arts &amp; Design,Mechanical &amp; Aerospace Engineering,Sociology,History, Philosophy &amp; Theology,Biological Sciences,Geography,Economics &amp; Econometrics</t>
  </si>
  <si>
    <t>Pohang University of Science and Technology (POSTECH)</t>
  </si>
  <si>
    <t>Pohang University of Science and Technology (POSTECH) postech</t>
  </si>
  <si>
    <t>Physics &amp; Astronomy,General Engineering,Biological Sciences,Agriculture &amp; Forestry,Mechanical &amp; Aerospace Engineering,Other Health,Chemical Engineering,Electrical &amp; Electronic Engineering,Medicine &amp; Dentistry,Geology, Environmental, Earth &amp; Marine Sciences,Chemistry,Mathematics &amp; Statistics,Computer Science,Communication &amp; Media Studies,Art, Performing Arts &amp; Design</t>
  </si>
  <si>
    <t>University of Auckland</t>
  </si>
  <si>
    <t>New Zealand</t>
  </si>
  <si>
    <t>University of Auckland UOA Auckland University</t>
  </si>
  <si>
    <t>Psychology,Civil Engineering,Mathematics &amp; Statistics,Politics &amp; International Studies (incl Development Studies),Electrical &amp; Electronic Engineering,Communication &amp; Media Studies,Mechanical &amp; Aerospace Engineering,History, Philosophy &amp; Theology,Chemical Engineering,Economics &amp; Econometrics,Law,Medicine &amp; Dentistry,Biological Sciences,Archaeology,Sociology,Languages, Literature &amp; Linguistics,Architecture,Geography,Sport Science,Physics &amp; Astronomy,Accounting &amp; Finance,General Engineering,Other Health,Art, Performing Arts &amp; Design,Education,Business &amp; Management,Chemistry,Computer Science,Geology, Environmental, Earth &amp; Marine Sciences</t>
  </si>
  <si>
    <t>Sichuan University</t>
  </si>
  <si>
    <t>Mechanical &amp; Aerospace Engineering,Geology, Environmental, Earth &amp; Marine Sciences,Languages, Literature &amp; Linguistics,Electrical &amp; Electronic Engineering,Business &amp; Management,Computer Science,Education,Chemical Engineering,Sociology,Art, Performing Arts &amp; Design,General Engineering,Economics &amp; Econometrics,History, Philosophy &amp; Theology,Mathematics &amp; Statistics,Communication &amp; Media Studies,Accounting &amp; Finance,Other Health,Physics &amp; Astronomy,Architecture,Biological Sciences,Politics &amp; International Studies (incl Development Studies),Archaeology,Civil Engineering,Law,Medicine &amp; Dentistry,Chemistry</t>
  </si>
  <si>
    <t>University of Barcelona</t>
  </si>
  <si>
    <t>Spain</t>
  </si>
  <si>
    <t>Physics &amp; Astronomy,Business &amp; Management,Languages, Literature &amp; Linguistics,Mathematics &amp; Statistics,Geology, Environmental, Earth &amp; Marine Sciences,Law,Agriculture &amp; Forestry,Computer Science,Communication &amp; Media Studies,Art, Performing Arts &amp; Design,Chemical Engineering,Archaeology,Economics &amp; Econometrics,Sociology,Education,Geography,History, Philosophy &amp; Theology,Psychology,Medicine &amp; Dentistry,Other Health,Accounting &amp; Finance,Sport Science,Biological Sciences,General Engineering,Politics &amp; International Studies (incl Development Studies),Chemistry,Electrical &amp; Electronic Engineering</t>
  </si>
  <si>
    <t>National Taiwan University (NTU)</t>
  </si>
  <si>
    <t>Taiwan</t>
  </si>
  <si>
    <t>Architecture,Mechanical &amp; Aerospace Engineering,Chemistry,Archaeology,Chemical Engineering,Communication &amp; Media Studies,Computer Science,Physics &amp; Astronomy,Accounting &amp; Finance,Languages, Literature &amp; Linguistics,Electrical &amp; Electronic Engineering,Geology, Environmental, Earth &amp; Marine Sciences,Economics &amp; Econometrics,Other Health,Agriculture &amp; Forestry,Sociology,Art, Performing Arts &amp; Design,Mathematics &amp; Statistics,Politics &amp; International Studies (incl Development Studies),History, Philosophy &amp; Theology,Veterinary Science,Business &amp; Management,General Engineering,Sport Science,Geography,Medicine &amp; Dentistry,Civil Engineering,Law,Biological Sciences,Psychology</t>
  </si>
  <si>
    <t>UniversitÃ© Paris CitÃ©</t>
  </si>
  <si>
    <t>UniversitÃ© Paris CitÃ© france international student life</t>
  </si>
  <si>
    <t>Medicine &amp; Dentistry,Chemical Engineering,Chemistry,Sociology,Economics &amp; Econometrics,Accounting &amp; Finance,History, Philosophy &amp; Theology,Communication &amp; Media Studies,Archaeology,Geography,Electrical &amp; Electronic Engineering,Languages, Literature &amp; Linguistics,General Engineering,Psychology,Law,Geology, Environmental, Earth &amp; Marine Sciences,Politics &amp; International Studies (incl Development Studies),Mechanical &amp; Aerospace Engineering,Biological Sciences,Physics &amp; Astronomy,Business &amp; Management,Education,Civil Engineering,Art, Performing Arts &amp; Design,Computer Science,Sport Science,Mathematics &amp; Statistics,Other Health</t>
  </si>
  <si>
    <t>University of Arizona</t>
  </si>
  <si>
    <t>Languages, Literature &amp; Linguistics,Chemistry,Law,Business &amp; Management,Economics &amp; Econometrics,History, Philosophy &amp; Theology,Sociology,Veterinary Science,Psychology,Other Health,Politics &amp; International Studies (incl Development Studies),Geology, Environmental, Earth &amp; Marine Sciences,Chemical Engineering,Archaeology,Accounting &amp; Finance,Biological Sciences,Mathematics &amp; Statistics,General Engineering,Agriculture &amp; Forestry,Geography,Physics &amp; Astronomy,Computer Science,Architecture,Sport Science,Electrical &amp; Electronic Engineering,Education,Communication &amp; Media Studies,Mechanical &amp; Aerospace Engineering,Medicine &amp; Dentistry,Art, Performing Arts &amp; Design,Civil Engineering</t>
  </si>
  <si>
    <t>University of Bologna</t>
  </si>
  <si>
    <t>Italy</t>
  </si>
  <si>
    <t>History, Philosophy &amp; Theology,Agriculture &amp; Forestry,Education,Other Health,Sport Science,Sociology,Languages, Literature &amp; Linguistics,General Engineering,Veterinary Science,Geography,Architecture,Chemical Engineering,Law,Art, Performing Arts &amp; Design,Mechanical &amp; Aerospace Engineering,Communication &amp; Media Studies,Civil Engineering,Chemistry,Business &amp; Management,Medicine &amp; Dentistry,Biological Sciences,Politics &amp; International Studies (incl Development Studies),Computer Science,Physics &amp; Astronomy,Economics &amp; Econometrics,Archaeology,Mathematics &amp; Statistics,Psychology,Electrical &amp; Electronic Engineering,Geology, Environmental, Earth &amp; Marine Sciences,Accounting &amp; Finance</t>
  </si>
  <si>
    <t>Lancaster University</t>
  </si>
  <si>
    <t>Chemistry,Electrical &amp; Electronic Engineering,History, Philosophy &amp; Theology,Mechanical &amp; Aerospace Engineering,Business &amp; Management,Physics &amp; Astronomy,Psychology,Economics &amp; Econometrics,Politics &amp; International Studies (incl Development Studies),Other Health,Architecture,Communication &amp; Media Studies,Sociology,General Engineering,Sport Science,Chemical Engineering,Accounting &amp; Finance,Art, Performing Arts &amp; Design,Languages, Literature &amp; Linguistics,Law,Geology, Environmental, Earth &amp; Marine Sciences,Computer Science,Biological Sciences,Mathematics &amp; Statistics,Geography,Medicine &amp; Dentistry,Education</t>
  </si>
  <si>
    <t>Huazhong University of Science and Technology</t>
  </si>
  <si>
    <t>Huazhong University of Science and Technology Hua Zhong University HUST Tech</t>
  </si>
  <si>
    <t>Architecture,Electrical &amp; Electronic Engineering,Sociology,Communication &amp; Media Studies,Mathematics &amp; Statistics,Physics &amp; Astronomy,History, Philosophy &amp; Theology,Agriculture &amp; Forestry,General Engineering,Business &amp; Management,Computer Science,Geology, Environmental, Earth &amp; Marine Sciences,Medicine &amp; Dentistry,Law,Economics &amp; Econometrics,Chemistry,Mechanical &amp; Aerospace Engineering,Languages, Literature &amp; Linguistics,Civil Engineering,Biological Sciences,Education,Chemical Engineering,Other Health</t>
  </si>
  <si>
    <t>University of Waterloo</t>
  </si>
  <si>
    <t>Computer Science,Chemistry,General Engineering,Geology, Environmental, Earth &amp; Marine Sciences,Other Health,Physics &amp; Astronomy,Economics &amp; Econometrics,Civil Engineering,Sociology,Mechanical &amp; Aerospace Engineering,Politics &amp; International Studies (incl Development Studies),History, Philosophy &amp; Theology,Sport Science,Accounting &amp; Finance,Art, Performing Arts &amp; Design,Chemical Engineering,Geography,Architecture,Electrical &amp; Electronic Engineering,Mathematics &amp; Statistics,Communication &amp; Media Studies,Business &amp; Management,Languages, Literature &amp; Linguistics,Biological Sciences,Psychology</t>
  </si>
  <si>
    <t>University of Cologne</t>
  </si>
  <si>
    <t>Languages, Literature &amp; Linguistics,Sociology,Physics &amp; Astronomy,Education,Chemistry,Economics &amp; Econometrics,Medicine &amp; Dentistry,Law,Accounting &amp; Finance,Archaeology,Geography,Other Health,Communication &amp; Media Studies,Mathematics &amp; Statistics,Business &amp; Management,Computer Science,Politics &amp; International Studies (incl Development Studies),Art, Performing Arts &amp; Design,Geology, Environmental, Earth &amp; Marine Sciences,History, Philosophy &amp; Theology,Biological Sciences,Psychology</t>
  </si>
  <si>
    <t>University of Antwerp</t>
  </si>
  <si>
    <t>Sociology,General Engineering,Education,Biological Sciences,Law,Languages, Literature &amp; Linguistics,Business &amp; Management,Chemical Engineering,Physics &amp; Astronomy,History, Philosophy &amp; Theology,Economics &amp; Econometrics,Veterinary Science,Chemistry,Electrical &amp; Electronic Engineering,Politics &amp; International Studies (incl Development Studies),Communication &amp; Media Studies,Computer Science,Other Health,Geology, Environmental, Earth &amp; Marine Sciences,Architecture,Mechanical &amp; Aerospace Engineering,Medicine &amp; Dentistry,Mathematics &amp; Statistics,Art, Performing Arts &amp; Design</t>
  </si>
  <si>
    <t>Dartmouth College</t>
  </si>
  <si>
    <t>General Engineering,Geography,History, Philosophy &amp; Theology,Mathematics &amp; Statistics,Business &amp; Management,Art, Performing Arts &amp; Design,Chemical Engineering,Politics &amp; International Studies (incl Development Studies),Languages, Literature &amp; Linguistics,Agriculture &amp; Forestry,Sociology,Mechanical &amp; Aerospace Engineering,Communication &amp; Media Studies,Medicine &amp; Dentistry,Civil Engineering,Psychology,Computer Science,Geology, Environmental, Earth &amp; Marine Sciences,Other Health,Chemistry,Economics &amp; Econometrics,Archaeology,Biological Sciences,Electrical &amp; Electronic Engineering,Physics &amp; Astronomy</t>
  </si>
  <si>
    <t>TU Dresden</t>
  </si>
  <si>
    <t>Accounting &amp; Finance,Mechanical &amp; Aerospace Engineering,Education,Communication &amp; Media Studies,Languages, Literature &amp; Linguistics,Other Health,Electrical &amp; Electronic Engineering,Geography,Sociology,Civil Engineering,Biological Sciences,Business &amp; Management,Chemical Engineering,Geology, Environmental, Earth &amp; Marine Sciences,Physics &amp; Astronomy,Medicine &amp; Dentistry,Computer Science,Psychology,Architecture,Chemistry,Economics &amp; Econometrics,Mathematics &amp; Statistics,General Engineering,Agriculture &amp; Forestry,History, Philosophy &amp; Theology,Politics &amp; International Studies (incl Development Studies)</t>
  </si>
  <si>
    <t>Case Western Reserve University</t>
  </si>
  <si>
    <t>General Engineering,Physics &amp; Astronomy,Business &amp; Management,Mechanical &amp; Aerospace Engineering,Chemistry,Economics &amp; Econometrics,Other Health,Politics &amp; International Studies (incl Development Studies),Medicine &amp; Dentistry,Geology, Environmental, Earth &amp; Marine Sciences,History, Philosophy &amp; Theology,Chemical Engineering,Psychology,Civil Engineering,Mathematics &amp; Statistics,Accounting &amp; Finance,Languages, Literature &amp; Linguistics,Biological Sciences,Electrical &amp; Electronic Engineering,Education,Architecture,Law,Art, Performing Arts &amp; Design,Computer Science,Sociology</t>
  </si>
  <si>
    <t>Wuhan University</t>
  </si>
  <si>
    <t>Computer Science,Chemistry,Business &amp; Management,Languages, Literature &amp; Linguistics,Agriculture &amp; Forestry,Geography,Art, Performing Arts &amp; Design,Mechanical &amp; Aerospace Engineering,Sociology,General Engineering,Biological Sciences,Communication &amp; Media Studies,History, Philosophy &amp; Theology,Civil Engineering,Law,Archaeology,Veterinary Science,Psychology,Architecture,Electrical &amp; Electronic Engineering,Geology, Environmental, Earth &amp; Marine Sciences,Education,Chemical Engineering,Politics &amp; International Studies (incl Development Studies),Medicine &amp; Dentistry,Physics &amp; Astronomy,Economics &amp; Econometrics,Other Health,Mathematics &amp; Statistics,Accounting &amp; Finance</t>
  </si>
  <si>
    <t>University of Virginia (Main campus)</t>
  </si>
  <si>
    <t>Computer Science,Geology, Environmental, Earth &amp; Marine Sciences,Economics &amp; Econometrics,Art, Performing Arts &amp; Design,Mechanical &amp; Aerospace Engineering,Sociology,General Engineering,Sport Science,Education,Other Health,Chemistry,History, Philosophy &amp; Theology,Biological Sciences,Geography,Electrical &amp; Electronic Engineering,Communication &amp; Media Studies,Accounting &amp; Finance,Medicine &amp; Dentistry,Physics &amp; Astronomy,Psychology,Architecture,Mathematics &amp; Statistics,Business &amp; Management,Languages, Literature &amp; Linguistics,Chemical Engineering,Law,Archaeology,Civil Engineering,Politics &amp; International Studies (incl Development Studies)</t>
  </si>
  <si>
    <t>University of Cape Town</t>
  </si>
  <si>
    <t>South Africa</t>
  </si>
  <si>
    <t>University of Cape Town UCT</t>
  </si>
  <si>
    <t>Communication &amp; Media Studies,Economics &amp; Econometrics,Law,General Engineering,Art, Performing Arts &amp; Design,Accounting &amp; Finance,Architecture,Mechanical &amp; Aerospace Engineering,Biological Sciences,History, Philosophy &amp; Theology,Business &amp; Management,Sport Science,Chemistry,Physics &amp; Astronomy,Sociology,Archaeology,Psychology,Medicine &amp; Dentistry,Other Health,Computer Science,Education,Languages, Literature &amp; Linguistics,Chemical Engineering,Geology, Environmental, Earth &amp; Marine Sciences,Electrical &amp; Electronic Engineering,Geography,Mathematics &amp; Statistics,Civil Engineering,Politics &amp; International Studies (incl Development Studies)</t>
  </si>
  <si>
    <t>UniversitÃ© Catholique de Louvain</t>
  </si>
  <si>
    <t>Other Health,Mathematics &amp; Statistics,Geography,Mechanical &amp; Aerospace Engineering,Agriculture &amp; Forestry,Law,Archaeology,Sport Science,Business &amp; Management,General Engineering,Biological Sciences,Art, Performing Arts &amp; Design,Medicine &amp; Dentistry,Geology, Environmental, Earth &amp; Marine Sciences,Politics &amp; International Studies (incl Development Studies),Languages, Literature &amp; Linguistics,Civil Engineering,Communication &amp; Media Studies,Economics &amp; Econometrics,History, Philosophy &amp; Theology,Chemical Engineering,Sociology,Computer Science,Chemistry,Psychology,Electrical &amp; Electronic Engineering,Veterinary Science,Accounting &amp; Finance,Architecture,Physics &amp; Astronomy,Education</t>
  </si>
  <si>
    <t>Eindhoven University of Technology</t>
  </si>
  <si>
    <t>Art, Performing Arts &amp; Design,Electrical &amp; Electronic Engineering,Languages, Literature &amp; Linguistics,Civil Engineering,Mechanical &amp; Aerospace Engineering,Archaeology,Geology, Environmental, Earth &amp; Marine Sciences,Chemical Engineering,Architecture,Chemistry,History, Philosophy &amp; Theology,Physics &amp; Astronomy,General Engineering,Mathematics &amp; Statistics,Computer Science</t>
  </si>
  <si>
    <t>Harbin Institute of Technology</t>
  </si>
  <si>
    <t>Mathematics &amp; Statistics,Computer Science,Geology, Environmental, Earth &amp; Marine Sciences,Chemistry,Civil Engineering,Business &amp; Management,Languages, Literature &amp; Linguistics,Mechanical &amp; Aerospace Engineering,Physics &amp; Astronomy,Economics &amp; Econometrics,Chemical Engineering,Electrical &amp; Electronic Engineering,Law,Biological Sciences,Accounting &amp; Finance,General Engineering</t>
  </si>
  <si>
    <t>University of Liverpool</t>
  </si>
  <si>
    <t>General Engineering,Medicine &amp; Dentistry,Mechanical &amp; Aerospace Engineering,Chemistry,Sociology,Economics &amp; Econometrics,Electrical &amp; Electronic Engineering,Languages, Literature &amp; Linguistics,Computer Science,Physics &amp; Astronomy,Politics &amp; International Studies (incl Development Studies),Veterinary Science,History, Philosophy &amp; Theology,Civil Engineering,Accounting &amp; Finance,Communication &amp; Media Studies,Law,Other Health,Archaeology,Mathematics &amp; Statistics,Business &amp; Management,Psychology,Biological Sciences,Geology, Environmental, Earth &amp; Marine Sciences,Geography,Architecture</t>
  </si>
  <si>
    <t>Newcastle University</t>
  </si>
  <si>
    <t>Computer Science,Physics &amp; Astronomy,Business &amp; Management,Architecture,Other Health,Mathematics &amp; Statistics,Psychology,Medicine &amp; Dentistry,Mechanical &amp; Aerospace Engineering,Communication &amp; Media Studies,Accounting &amp; Finance,History, Philosophy &amp; Theology,Sport Science,Education,Archaeology,Electrical &amp; Electronic Engineering,Geology, Environmental, Earth &amp; Marine Sciences,Languages, Literature &amp; Linguistics,Agriculture &amp; Forestry,Geography,Economics &amp; Econometrics,Biological Sciences,Law,Art, Performing Arts &amp; Design,Chemical Engineering,Sociology,Veterinary Science,General Engineering,Chemistry,Politics &amp; International Studies (incl Development Studies),Civil Engineering</t>
  </si>
  <si>
    <t>Scuola Normale Superiore di Pisa</t>
  </si>
  <si>
    <t>History, Philosophy &amp; Theology,Archaeology,Physics &amp; Astronomy,Mathematics &amp; Statistics,Computer Science,Sociology,Politics &amp; International Studies (incl Development Studies),Biological Sciences,Chemistry,Art, Performing Arts &amp; Design,Geology, Environmental, Earth &amp; Marine Sciences,Languages, Literature &amp; Linguistics</t>
  </si>
  <si>
    <t>Durham University</t>
  </si>
  <si>
    <t>Durham University united kingdom UK  England</t>
  </si>
  <si>
    <t>Civil Engineering,Sociology,Communication &amp; Media Studies,Art, Performing Arts &amp; Design,Archaeology,Mechanical &amp; Aerospace Engineering,Geography,Physics &amp; Astronomy,Economics &amp; Econometrics,Education,History, Philosophy &amp; Theology,General Engineering,Business &amp; Management,Sport Science,Languages, Literature &amp; Linguistics,Chemical Engineering,Mathematics &amp; Statistics,Law,Geology, Environmental, Earth &amp; Marine Sciences,Electrical &amp; Electronic Engineering,Accounting &amp; Finance,Psychology,Other Health,Chemistry,Computer Science,Biological Sciences,Politics &amp; International Studies (incl Development Studies)</t>
  </si>
  <si>
    <t>Osaka University</t>
  </si>
  <si>
    <t>Osaka University Handai OU</t>
  </si>
  <si>
    <t>Archaeology,Mathematics &amp; Statistics,General Engineering,Communication &amp; Media Studies,Education,Electrical &amp; Electronic Engineering,Geology, Environmental, Earth &amp; Marine Sciences,Architecture,Physics &amp; Astronomy,Economics &amp; Econometrics,Computer Science,Biological Sciences,Business &amp; Management,History, Philosophy &amp; Theology,Chemistry,Accounting &amp; Finance,Other Health,Sport Science,Politics &amp; International Studies (incl Development Studies),Art, Performing Arts &amp; Design,Mechanical &amp; Aerospace Engineering,Sociology,Medicine &amp; Dentistry,Chemical Engineering,Geography,Languages, Literature &amp; Linguistics,Civil Engineering,Law,Psychology</t>
  </si>
  <si>
    <t>University of WÃ¼rzburg</t>
  </si>
  <si>
    <t>Communication &amp; Media Studies,Mathematics &amp; Statistics,Mechanical &amp; Aerospace Engineering,Archaeology,Business &amp; Management,Accounting &amp; Finance,Economics &amp; Econometrics,Biological Sciences,Physics &amp; Astronomy,Geology, Environmental, Earth &amp; Marine Sciences,Politics &amp; International Studies (incl Development Studies),Other Health,Chemistry,History, Philosophy &amp; Theology,Chemical Engineering,Agriculture &amp; Forestry,Geography,Psychology,Veterinary Science,Medicine &amp; Dentistry,Education,Sociology,Sport Science,Computer Science,Languages, Literature &amp; Linguistics,Law</t>
  </si>
  <si>
    <t>Beijing Normal University</t>
  </si>
  <si>
    <t>Education,Biological Sciences,Psychology,History, Philosophy &amp; Theology,Physics &amp; Astronomy,Computer Science,Chemistry,Economics &amp; Econometrics,Languages, Literature &amp; Linguistics,Geology, Environmental, Earth &amp; Marine Sciences,Accounting &amp; Finance,Archaeology,Mathematics &amp; Statistics,Sport Science,Geography,Art, Performing Arts &amp; Design,Communication &amp; Media Studies,Business &amp; Management,Civil Engineering,Sociology,General Engineering,Law</t>
  </si>
  <si>
    <t>University of Exeter</t>
  </si>
  <si>
    <t>Other Health,Sociology,Medicine &amp; Dentistry,Agriculture &amp; Forestry,Psychology,Languages, Literature &amp; Linguistics,Sport Science,Economics &amp; Econometrics,Civil Engineering,Mathematics &amp; Statistics,Archaeology,Mechanical &amp; Aerospace Engineering,Education,Computer Science,Politics &amp; International Studies (incl Development Studies),History, Philosophy &amp; Theology,Electrical &amp; Electronic Engineering,Geology, Environmental, Earth &amp; Marine Sciences,Law,General Engineering,Communication &amp; Media Studies,Accounting &amp; Finance,Veterinary Science,Physics &amp; Astronomy,Business &amp; Management,Art, Performing Arts &amp; Design,Biological Sciences,Geography</t>
  </si>
  <si>
    <t>University of Ottawa</t>
  </si>
  <si>
    <t>Other Health,Chemistry,Sociology,Art, Performing Arts &amp; Design,Politics &amp; International Studies (incl Development Studies),Business &amp; Management,General Engineering,Psychology,Languages, Literature &amp; Linguistics,Education,Civil Engineering,Geography,Chemical Engineering,Biological Sciences,Communication &amp; Media Studies,Geology, Environmental, Earth &amp; Marine Sciences,Medicine &amp; Dentistry,Electrical &amp; Electronic Engineering,Computer Science,Law,Mathematics &amp; Statistics,Mechanical &amp; Aerospace Engineering,Accounting &amp; Finance,Physics &amp; Astronomy,Economics &amp; Econometrics,History, Philosophy &amp; Theology,Sport Science</t>
  </si>
  <si>
    <t>Macquarie University</t>
  </si>
  <si>
    <t>General Engineering,Biological Sciences,Sociology,Civil Engineering,Medicine &amp; Dentistry,Economics &amp; Econometrics,Mathematics &amp; Statistics,Other Health,Mechanical &amp; Aerospace Engineering,Communication &amp; Media Studies,Education,Politics &amp; International Studies (incl Development Studies),Physics &amp; Astronomy,Law,Psychology,Agriculture &amp; Forestry,Geology, Environmental, Earth &amp; Marine Sciences,Geography,History, Philosophy &amp; Theology,Art, Performing Arts &amp; Design,Accounting &amp; Finance,Architecture,Languages, Literature &amp; Linguistics,Archaeology,Chemistry,Electrical &amp; Electronic Engineering,Sport Science,Computer Science,Business &amp; Management</t>
  </si>
  <si>
    <t>Sapienza University of Rome</t>
  </si>
  <si>
    <t>History, Philosophy &amp; Theology,Geology, Environmental, Earth &amp; Marine Sciences,Civil Engineering,Communication &amp; Media Studies,Education,Art, Performing Arts &amp; Design,Chemical Engineering,Law,Computer Science,Physics &amp; Astronomy,Business &amp; Management,Architecture,Electrical &amp; Electronic Engineering,Geography,Medicine &amp; Dentistry,Biological Sciences,Sociology,Mechanical &amp; Aerospace Engineering,Psychology,Other Health,Politics &amp; International Studies (incl Development Studies),Languages, Literature &amp; Linguistics,Mathematics &amp; Statistics,Economics &amp; Econometrics,Archaeology,General Engineering,Chemistry,Accounting &amp; Finance</t>
  </si>
  <si>
    <t>Arizona State University (Tempe)</t>
  </si>
  <si>
    <t>Archaeology,Architecture,Economics &amp; Econometrics,Computer Science,Chemistry,Mechanical &amp; Aerospace Engineering,Mathematics &amp; Statistics,Electrical &amp; Electronic Engineering,Sociology,Accounting &amp; Finance,Geography,Politics &amp; International Studies (incl Development Studies),Other Health,Art, Performing Arts &amp; Design,Geology, Environmental, Earth &amp; Marine Sciences,Civil Engineering,Education,History, Philosophy &amp; Theology,Physics &amp; Astronomy,Psychology,Languages, Literature &amp; Linguistics,Communication &amp; Media Studies,Sport Science,General Engineering,Law,Business &amp; Management,Biological Sciences,Chemical Engineering</t>
  </si>
  <si>
    <t>University of Geneva</t>
  </si>
  <si>
    <t>Computer Science,Geography,Chemistry,Biological Sciences,Psychology,Languages, Literature &amp; Linguistics,Physics &amp; Astronomy,Economics &amp; Econometrics,Archaeology,Sociology,History, Philosophy &amp; Theology,Mathematics &amp; Statistics,Law,Sport Science,Geology, Environmental, Earth &amp; Marine Sciences,Business &amp; Management,Other Health,Politics &amp; International Studies (incl Development Studies),Medicine &amp; Dentistry,Education,Communication &amp; Media Studies,Accounting &amp; Finance</t>
  </si>
  <si>
    <t>University of Twente</t>
  </si>
  <si>
    <t>Law,Chemical Engineering,Sport Science,Computer Science,Biological Sciences,History, Philosophy &amp; Theology,Sociology,Business &amp; Management,Mathematics &amp; Statistics,Civil Engineering,Psychology,Accounting &amp; Finance,Physics &amp; Astronomy,Economics &amp; Econometrics,Politics &amp; International Studies (incl Development Studies),General Engineering,Mechanical &amp; Aerospace Engineering,Other Health,Geography,Agriculture &amp; Forestry,Electrical &amp; Electronic Engineering,Communication &amp; Media Studies,Medicine &amp; Dentistry,Geology, Environmental, Earth &amp; Marine Sciences,Chemistry,Education</t>
  </si>
  <si>
    <t>Stockholm University</t>
  </si>
  <si>
    <t>Biological Sciences,Law,Mathematics &amp; Statistics,Economics &amp; Econometrics,Languages, Literature &amp; Linguistics,Chemistry,Psychology,History, Philosophy &amp; Theology,Geology, Environmental, Earth &amp; Marine Sciences,Education,Physics &amp; Astronomy,Accounting &amp; Finance,Computer Science,Politics &amp; International Studies (incl Development Studies),Archaeology,Geography,Agriculture &amp; Forestry,Business &amp; Management,Art, Performing Arts &amp; Design,Veterinary Science,Communication &amp; Media Studies,Other Health,Sociology</t>
  </si>
  <si>
    <t>Tongji University</t>
  </si>
  <si>
    <t>Art, Performing Arts &amp; Design,Electrical &amp; Electronic Engineering,Civil Engineering,Other Health,Agriculture &amp; Forestry,History, Philosophy &amp; Theology,Sport Science,Chemical Engineering,General Engineering,Medicine &amp; Dentistry,Mathematics &amp; Statistics,Sociology,Geology, Environmental, Earth &amp; Marine Sciences,Politics &amp; International Studies (incl Development Studies),Geography,Economics &amp; Econometrics,Psychology,Computer Science,Mechanical &amp; Aerospace Engineering,Chemistry,Architecture,Business &amp; Management,Law,Biological Sciences,Physics &amp; Astronomy,Communication &amp; Media Studies,Languages, Literature &amp; Linguistics,Education,Veterinary Science,Accounting &amp; Finance</t>
  </si>
  <si>
    <t>Georgetown University</t>
  </si>
  <si>
    <t>Agriculture &amp; Forestry,Politics &amp; International Studies (incl Development Studies),Economics &amp; Econometrics,Other Health,Geology, Environmental, Earth &amp; Marine Sciences,Art, Performing Arts &amp; Design,Communication &amp; Media Studies,Accounting &amp; Finance,Mathematics &amp; Statistics,General Engineering,Law,Languages, Literature &amp; Linguistics,Biological Sciences,Education,History, Philosophy &amp; Theology,Sport Science,Psychology,Architecture,Chemistry,Computer Science,Sociology,Medicine &amp; Dentistry,Physics &amp; Astronomy,Business &amp; Management</t>
  </si>
  <si>
    <t>University of Mannheim</t>
  </si>
  <si>
    <t>Education,Business &amp; Management,Economics &amp; Econometrics,Accounting &amp; Finance,Politics &amp; International Studies (incl Development Studies),Psychology,Mathematics &amp; Statistics,Law,Communication &amp; Media Studies,History, Philosophy &amp; Theology,Languages, Literature &amp; Linguistics,Computer Science,Sociology</t>
  </si>
  <si>
    <t>Chalmers University of Technology</t>
  </si>
  <si>
    <t>Economics &amp; Econometrics,Accounting &amp; Finance,Mechanical &amp; Aerospace Engineering,Chemistry,Civil Engineering,Education,Chemical Engineering,Electrical &amp; Electronic Engineering,Computer Science,Mathematics &amp; Statistics,Other Health,Geology, Environmental, Earth &amp; Marine Sciences,General Engineering,Architecture,Business &amp; Management,Physics &amp; Astronomy,Sport Science,Biological Sciences</t>
  </si>
  <si>
    <t>Cardiff University</t>
  </si>
  <si>
    <t>Communication &amp; Media Studies,Mathematics &amp; Statistics,Architecture,History, Philosophy &amp; Theology,Economics &amp; Econometrics,Computer Science,Chemistry,Languages, Literature &amp; Linguistics,Biological Sciences,Sociology,Civil Engineering,Medicine &amp; Dentistry,Geology, Environmental, Earth &amp; Marine Sciences,Law,Other Health,Archaeology,Business &amp; Management,Education,Electrical &amp; Electronic Engineering,Geography,General Engineering,Chemical Engineering,Politics &amp; International Studies (incl Development Studies),Physics &amp; Astronomy,Mechanical &amp; Aerospace Engineering,Accounting &amp; Finance,Psychology,Art, Performing Arts &amp; Design</t>
  </si>
  <si>
    <t>Tokyo Institute of Technology</t>
  </si>
  <si>
    <t>Physics &amp; Astronomy,Mechanical &amp; Aerospace Engineering,Communication &amp; Media Studies,Computer Science,Chemistry,Architecture,Mathematics &amp; Statistics,Biological Sciences,Civil Engineering,Sociology,Sport Science,General Engineering,Geology, Environmental, Earth &amp; Marine Sciences,Electrical &amp; Electronic Engineering,Politics &amp; International Studies (incl Development Studies),Chemical Engineering,Business &amp; Management</t>
  </si>
  <si>
    <t>Tufts University</t>
  </si>
  <si>
    <t>Computer Science,History, Philosophy &amp; Theology,Architecture,Medicine &amp; Dentistry,Veterinary Science,Civil Engineering,Sociology,Other Health,Biological Sciences,Business &amp; Management,Languages, Literature &amp; Linguistics,Agriculture &amp; Forestry,Mathematics &amp; Statistics,Archaeology,Politics &amp; International Studies (incl Development Studies),Economics &amp; Econometrics,General Engineering,Physics &amp; Astronomy,Art, Performing Arts &amp; Design,Mechanical &amp; Aerospace Engineering,Geology, Environmental, Earth &amp; Marine Sciences,Education,Electrical &amp; Electronic Engineering,Chemistry,Psychology,Chemical Engineering,Law,Communication &amp; Media Studies,Geography</t>
  </si>
  <si>
    <t>University of Erlangen-Nuremberg</t>
  </si>
  <si>
    <t>Geology, Environmental, Earth &amp; Marine Sciences,Electrical &amp; Electronic Engineering,Communication &amp; Media Studies,Psychology,Languages, Literature &amp; Linguistics,General Engineering,Sociology,Physics &amp; Astronomy,Accounting &amp; Finance,Chemistry,Geography,Archaeology,Other Health,Education,Medicine &amp; Dentistry,Politics &amp; International Studies (incl Development Studies),Sport Science,Chemical Engineering,Economics &amp; Econometrics,Biological Sciences,Business &amp; Management,Art, Performing Arts &amp; Design,History, Philosophy &amp; Theology,Law,Computer Science,Mathematics &amp; Statistics,Mechanical &amp; Aerospace Engineering</t>
  </si>
  <si>
    <t>University of Macau</t>
  </si>
  <si>
    <t>Macao</t>
  </si>
  <si>
    <t>Sport Science,Law,General Engineering,Geology, Environmental, Earth &amp; Marine Sciences,Other Health,Physics &amp; Astronomy,Biological Sciences,Politics &amp; International Studies (incl Development Studies),Electrical &amp; Electronic Engineering,Sociology,History, Philosophy &amp; Theology,Mechanical &amp; Aerospace Engineering,Psychology,Languages, Literature &amp; Linguistics,Civil Engineering,Communication &amp; Media Studies,Economics &amp; Econometrics,Art, Performing Arts &amp; Design,Mathematics &amp; Statistics,Accounting &amp; Finance,Computer Science,Chemistry,Business &amp; Management,Medicine &amp; Dentistry,Education</t>
  </si>
  <si>
    <t>University of MÃ¼nster</t>
  </si>
  <si>
    <t>Physics &amp; Astronomy,Languages, Literature &amp; Linguistics,Chemistry,Business &amp; Management,Archaeology,Communication &amp; Media Studies,Accounting &amp; Finance,Art, Performing Arts &amp; Design,Mathematics &amp; Statistics,Psychology,Other Health,Politics &amp; International Studies (incl Development Studies),History, Philosophy &amp; Theology,Geology, Environmental, Earth &amp; Marine Sciences,Economics &amp; Econometrics,Biological Sciences,Education,Medicine &amp; Dentistry,Sociology,Computer Science,Geography,Sport Science,Law</t>
  </si>
  <si>
    <t>University of St Andrews</t>
  </si>
  <si>
    <t>Chemistry,Economics &amp; Econometrics,Mathematics &amp; Statistics,Geology, Environmental, Earth &amp; Marine Sciences,Medicine &amp; Dentistry,Sociology,Archaeology,Psychology,Other Health,Geography,Languages, Literature &amp; Linguistics,Computer Science,Biological Sciences,Politics &amp; International Studies (incl Development Studies),Physics &amp; Astronomy,Business &amp; Management,History, Philosophy &amp; Theology,Communication &amp; Media Studies</t>
  </si>
  <si>
    <t>Ulm University</t>
  </si>
  <si>
    <t>Other Health,Electrical &amp; Electronic Engineering,Computer Science,Chemical Engineering,Psychology,Sport Science,Biological Sciences,Chemistry,Education,Medicine &amp; Dentistry,Mathematics &amp; Statistics,Physics &amp; Astronomy</t>
  </si>
  <si>
    <t>Indiana University</t>
  </si>
  <si>
    <t>Mechanical &amp; Aerospace Engineering,Physics &amp; Astronomy,Law,Languages, Literature &amp; Linguistics,Electrical &amp; Electronic Engineering,Geology, Environmental, Earth &amp; Marine Sciences,Art, Performing Arts &amp; Design,Chemical Engineering,Sociology,Archaeology,Civil Engineering,Education,General Engineering,Mathematics &amp; Statistics,Communication &amp; Media Studies,Economics &amp; Econometrics,Medicine &amp; Dentistry,Veterinary Science,Geography,History, Philosophy &amp; Theology,Agriculture &amp; Forestry,Architecture,Biological Sciences,Politics &amp; International Studies (incl Development Studies),Accounting &amp; Finance,Other Health,Sport Science,Psychology,Computer Science,Chemistry,Business &amp; Management</t>
  </si>
  <si>
    <t>University of Notre Dame</t>
  </si>
  <si>
    <t>Civil Engineering,Psychology,Biological Sciences,Law,Languages, Literature &amp; Linguistics,Mathematics &amp; Statistics,Economics &amp; Econometrics,Mechanical &amp; Aerospace Engineering,Education,Communication &amp; Media Studies,Art, Performing Arts &amp; Design,Physics &amp; Astronomy,Accounting &amp; Finance,History, Philosophy &amp; Theology,Geology, Environmental, Earth &amp; Marine Sciences,Computer Science,Sociology,Architecture,Chemistry,Business &amp; Management,Electrical &amp; Electronic Engineering,Politics &amp; International Studies (incl Development Studies),Chemical Engineering,General Engineering</t>
  </si>
  <si>
    <t>Queensland University of Technology</t>
  </si>
  <si>
    <t>Queensland University of Technology qut</t>
  </si>
  <si>
    <t>Other Health,Psychology,Art, Performing Arts &amp; Design,Chemical Engineering,Education,Computer Science,Sport Science,Accounting &amp; Finance,Civil Engineering,Law,Physics &amp; Astronomy,Economics &amp; Econometrics,Geology, Environmental, Earth &amp; Marine Sciences,Politics &amp; International Studies (incl Development Studies),Biological Sciences,Mathematics &amp; Statistics,Languages, Literature &amp; Linguistics,Chemistry,Communication &amp; Media Studies,Business &amp; Management,Mechanical &amp; Aerospace Engineering,Geography,General Engineering,Architecture,Electrical &amp; Electronic Engineering</t>
  </si>
  <si>
    <t>Ulsan National Institute of Science and Technology (UNIST)</t>
  </si>
  <si>
    <t>General Engineering,Physics &amp; Astronomy,Biological Sciences,Computer Science,Business &amp; Management,Mathematics &amp; Statistics,Mechanical &amp; Aerospace Engineering,Chemical Engineering,Geology, Environmental, Earth &amp; Marine Sciences,Chemistry,Civil Engineering,Accounting &amp; Finance,Electrical &amp; Electronic Engineering,Economics &amp; Econometrics</t>
  </si>
  <si>
    <t>201â€“250</t>
  </si>
  <si>
    <t>Aalborg University</t>
  </si>
  <si>
    <t>55.9â€“58.6</t>
  </si>
  <si>
    <t>Art, Performing Arts &amp; Design,Electrical &amp; Electronic Engineering,Politics &amp; International Studies (incl Development Studies),Computer Science,Chemical Engineering,Law,Civil Engineering,Geography,Languages, Literature &amp; Linguistics,Mechanical &amp; Aerospace Engineering,Geology, Environmental, Earth &amp; Marine Sciences,Economics &amp; Econometrics,General Engineering,Chemistry,Accounting &amp; Finance,Other Health,Biological Sciences,Communication &amp; Media Studies,Agriculture &amp; Forestry,Sociology,Medicine &amp; Dentistry,Mathematics &amp; Statistics,Education,Architecture,Physics &amp; Astronomy,Business &amp; Management,History, Philosophy &amp; Theology,Sport Science,Psychology</t>
  </si>
  <si>
    <t>Aalto University</t>
  </si>
  <si>
    <t>39 : 61</t>
  </si>
  <si>
    <t>Electrical &amp; Electronic Engineering,Art, Performing Arts &amp; Design,Education,Business &amp; Management,Computer Science,Communication &amp; Media Studies,Accounting &amp; Finance,Chemistry,Mathematics &amp; Statistics,Physics &amp; Astronomy,Architecture,Economics &amp; Econometrics,Psychology,Chemical Engineering,Mechanical &amp; Aerospace Engineering,Civil Engineering,General Engineering</t>
  </si>
  <si>
    <t>University of Aberdeen</t>
  </si>
  <si>
    <t>Education,History, Philosophy &amp; Theology,Physics &amp; Astronomy,Mathematics &amp; Statistics,Geography,Art, Performing Arts &amp; Design,Business &amp; Management,Medicine &amp; Dentistry,Sport Science,Other Health,Chemical Engineering,Politics &amp; International Studies (incl Development Studies),Languages, Literature &amp; Linguistics,Computer Science,Chemistry,Accounting &amp; Finance,Biological Sciences,Law,Geology, Environmental, Earth &amp; Marine Sciences,Mechanical &amp; Aerospace Engineering,General Engineering,Economics &amp; Econometrics,Sociology,Electrical &amp; Electronic Engineering,Archaeology,Civil Engineering,Psychology</t>
  </si>
  <si>
    <t>Autonomous University of Barcelona</t>
  </si>
  <si>
    <t>Autonomous University of Barcelona uab</t>
  </si>
  <si>
    <t>Medicine &amp; Dentistry,Psychology,Mechanical &amp; Aerospace Engineering,Mathematics &amp; Statistics,Chemistry,Computer Science,Biological Sciences,Economics &amp; Econometrics,Electrical &amp; Electronic Engineering,Communication &amp; Media Studies,Education,Other Health,Geology, Environmental, Earth &amp; Marine Sciences,Business &amp; Management,History, Philosophy &amp; Theology,Physics &amp; Astronomy,Accounting &amp; Finance,Art, Performing Arts &amp; Design,Chemical Engineering,Sociology,Languages, Literature &amp; Linguistics,Veterinary Science,Geography,Agriculture &amp; Forestry,Politics &amp; International Studies (incl Development Studies),Sport Science,Law,Archaeology</t>
  </si>
  <si>
    <t>University of Calgary</t>
  </si>
  <si>
    <t>Architecture,Art, Performing Arts &amp; Design,Agriculture &amp; Forestry,Politics &amp; International Studies (incl Development Studies),Sociology,Archaeology,Languages, Literature &amp; Linguistics,Physics &amp; Astronomy,Medicine &amp; Dentistry,History, Philosophy &amp; Theology,Biological Sciences,General Engineering,Communication &amp; Media Studies,Veterinary Science,Geology, Environmental, Earth &amp; Marine Sciences,Civil Engineering,Mechanical &amp; Aerospace Engineering,Geography,Business &amp; Management,Chemistry,Sport Science,Computer Science,Psychology,Accounting &amp; Finance,Electrical &amp; Electronic Engineering,Mathematics &amp; Statistics,Economics &amp; Econometrics,Chemical Engineering,Law,Education,Other Health</t>
  </si>
  <si>
    <t>University of California, Santa Cruz</t>
  </si>
  <si>
    <t>Art, Performing Arts &amp; Design,Electrical &amp; Electronic Engineering,Other Health,Languages, Literature &amp; Linguistics,Politics &amp; International Studies (incl Development Studies),General Engineering,Sociology,Computer Science,Biological Sciences,Economics &amp; Econometrics,Education,Business &amp; Management,Psychology,Mathematics &amp; Statistics,Communication &amp; Media Studies,Archaeology,Agriculture &amp; Forestry,History, Philosophy &amp; Theology,Geology, Environmental, Earth &amp; Marine Sciences,Physics &amp; Astronomy,Chemistry</t>
  </si>
  <si>
    <t>Curtin University</t>
  </si>
  <si>
    <t>Curtin University Curtin</t>
  </si>
  <si>
    <t>Languages, Literature &amp; Linguistics,Computer Science,Physics &amp; Astronomy,History, Philosophy &amp; Theology,Sport Science,Education,Medicine &amp; Dentistry,Agriculture &amp; Forestry,Law,Chemical Engineering,Politics &amp; International Studies (incl Development Studies),Architecture,Mathematics &amp; Statistics,Psychology,Civil Engineering,Geology, Environmental, Earth &amp; Marine Sciences,Business &amp; Management,Other Health,Biological Sciences,Sociology,Electrical &amp; Electronic Engineering,Chemistry,Accounting &amp; Finance,Mechanical &amp; Aerospace Engineering,Communication &amp; Media Studies,Economics &amp; Econometrics,Art, Performing Arts &amp; Design,General Engineering,Geography</t>
  </si>
  <si>
    <t>Friedrich Schiller University Jena</t>
  </si>
  <si>
    <t>Medicine &amp; Dentistry,Communication &amp; Media Studies,Economics &amp; Econometrics,General Engineering,Politics &amp; International Studies (incl Development Studies),Chemistry,Computer Science,Languages, Literature &amp; Linguistics,Other Health,History, Philosophy &amp; Theology,Education,Sport Science,Art, Performing Arts &amp; Design,Mathematics &amp; Statistics,Psychology,Archaeology,Business &amp; Management,Geography,Agriculture &amp; Forestry,Biological Sciences,Chemical Engineering,Accounting &amp; Finance,Law,Geology, Environmental, Earth &amp; Marine Sciences,Physics &amp; Astronomy,Sociology</t>
  </si>
  <si>
    <t>George Washington University</t>
  </si>
  <si>
    <t>Geography,Chemistry,Mathematics &amp; Statistics,Medicine &amp; Dentistry,Computer Science,Education,Economics &amp; Econometrics,Psychology,Sport Science,Politics &amp; International Studies (incl Development Studies),Other Health,Mechanical &amp; Aerospace Engineering,Archaeology,History, Philosophy &amp; Theology,Architecture,Art, Performing Arts &amp; Design,Communication &amp; Media Studies,Civil Engineering,Business &amp; Management,Electrical &amp; Electronic Engineering,Law,Accounting &amp; Finance,Physics &amp; Astronomy,Geology, Environmental, Earth &amp; Marine Sciences,General Engineering,Sociology,Biological Sciences,Languages, Literature &amp; Linguistics</t>
  </si>
  <si>
    <t>Goethe University Frankfurt</t>
  </si>
  <si>
    <t>Computer Science,Chemistry,Other Health,Law,Biological Sciences,Geology, Environmental, Earth &amp; Marine Sciences,History, Philosophy &amp; Theology,Politics &amp; International Studies (incl Development Studies),Accounting &amp; Finance,Mathematics &amp; Statistics,Business &amp; Management,Physics &amp; Astronomy,Languages, Literature &amp; Linguistics,Sport Science,Psychology,Art, Performing Arts &amp; Design,Geography,Economics &amp; Econometrics,Archaeology,Education,Medicine &amp; Dentistry,Sociology</t>
  </si>
  <si>
    <t>University of Gothenburg</t>
  </si>
  <si>
    <t>Psychology,Geography,Accounting &amp; Finance,Languages, Literature &amp; Linguistics,Sociology,Sport Science,Education,Geology, Environmental, Earth &amp; Marine Sciences,Archaeology,Communication &amp; Media Studies,History, Philosophy &amp; Theology,Business &amp; Management,Veterinary Science,Art, Performing Arts &amp; Design,Chemistry,Physics &amp; Astronomy,Medicine &amp; Dentistry,Economics &amp; Econometrics,Law,Mathematics &amp; Statistics,Biological Sciences,Politics &amp; International Studies (incl Development Studies),Computer Science,Other Health</t>
  </si>
  <si>
    <t>University of Hawaiâ€™i at MÄnoa</t>
  </si>
  <si>
    <t>General Engineering,Archaeology,Mathematics &amp; Statistics,Psychology,Accounting &amp; Finance,Law,Politics &amp; International Studies (incl Development Studies),History, Philosophy &amp; Theology,Education,Economics &amp; Econometrics,Business &amp; Management,Geography,Geology, Environmental, Earth &amp; Marine Sciences,Electrical &amp; Electronic Engineering,Art, Performing Arts &amp; Design,Chemistry,Sociology,Communication &amp; Media Studies,Mechanical &amp; Aerospace Engineering,Other Health,Biological Sciences,Languages, Literature &amp; Linguistics,Computer Science,Architecture,Agriculture &amp; Forestry,Physics &amp; Astronomy,Sport Science,Civil Engineering,Medicine &amp; Dentistry</t>
  </si>
  <si>
    <t>University of Illinois Chicago</t>
  </si>
  <si>
    <t>Archaeology,Sport Science,Accounting &amp; Finance,Computer Science,Physics &amp; Astronomy,Law,History, Philosophy &amp; Theology,Chemical Engineering,Business &amp; Management,Architecture,Biological Sciences,Economics &amp; Econometrics,Languages, Literature &amp; Linguistics,Civil Engineering,Psychology,Medicine &amp; Dentistry,Mathematics &amp; Statistics,Sociology,Electrical &amp; Electronic Engineering,Communication &amp; Media Studies,Art, Performing Arts &amp; Design,Mechanical &amp; Aerospace Engineering,Education,Other Health,Chemistry,Geography,General Engineering,Geology, Environmental, Earth &amp; Marine Sciences,Politics &amp; International Studies (incl Development Studies)</t>
  </si>
  <si>
    <t>Indian Institute of Science</t>
  </si>
  <si>
    <t>India</t>
  </si>
  <si>
    <t>27 : 73</t>
  </si>
  <si>
    <t>Chemistry,Computer Science,Biological Sciences,Civil Engineering,Mechanical &amp; Aerospace Engineering,Electrical &amp; Electronic Engineering,Mathematics &amp; Statistics,Chemical Engineering,Physics &amp; Astronomy,Geology, Environmental, Earth &amp; Marine Sciences</t>
  </si>
  <si>
    <t>University of Iowa</t>
  </si>
  <si>
    <t>Languages, Literature &amp; Linguistics,Medicine &amp; Dentistry,Mathematics &amp; Statistics,Sport Science,Sociology,Biological Sciences,Economics &amp; Econometrics,Electrical &amp; Electronic Engineering,Physics &amp; Astronomy,Law,Other Health,Chemical Engineering,Archaeology,Chemistry,Business &amp; Management,History, Philosophy &amp; Theology,Psychology,Mechanical &amp; Aerospace Engineering,Politics &amp; International Studies (incl Development Studies),Education,Accounting &amp; Finance,Geology, Environmental, Earth &amp; Marine Sciences,Civil Engineering,Communication &amp; Media Studies,General Engineering,Art, Performing Arts &amp; Design,Computer Science,Geography</t>
  </si>
  <si>
    <t>King Fahd University of Petroleum and Minerals</t>
  </si>
  <si>
    <t>Saudi Arabia</t>
  </si>
  <si>
    <t>Business &amp; Management,Civil Engineering,General Engineering,Geology, Environmental, Earth &amp; Marine Sciences,Accounting &amp; Finance,Chemical Engineering,Computer Science,Mathematics &amp; Statistics,Chemistry,Electrical &amp; Electronic Engineering,Economics &amp; Econometrics,Physics &amp; Astronomy,Mechanical &amp; Aerospace Engineering</t>
  </si>
  <si>
    <t>Korea University</t>
  </si>
  <si>
    <t>Electrical &amp; Electronic Engineering,Politics &amp; International Studies (incl Development Studies),Art, Performing Arts &amp; Design,Economics &amp; Econometrics,General Engineering,Civil Engineering,Computer Science,Mathematics &amp; Statistics,Other Health,Geography,Sociology,Chemistry,Geology, Environmental, Earth &amp; Marine Sciences,Accounting &amp; Finance,Medicine &amp; Dentistry,History, Philosophy &amp; Theology,Chemical Engineering,Business &amp; Management,Physics &amp; Astronomy,Education,Communication &amp; Media Studies,Biological Sciences,Languages, Literature &amp; Linguistics,Law,Architecture,Agriculture &amp; Forestry,Mechanical &amp; Aerospace Engineering,Archaeology,Psychology</t>
  </si>
  <si>
    <t>University of Leicester</t>
  </si>
  <si>
    <t>University of Leicester uk united kingdom leicester</t>
  </si>
  <si>
    <t>Education,Mechanical &amp; Aerospace Engineering,Geology, Environmental, Earth &amp; Marine Sciences,General Engineering,Physics &amp; Astronomy,Law,Sociology,Economics &amp; Econometrics,Other Health,Chemistry,Business &amp; Management,Languages, Literature &amp; Linguistics,Communication &amp; Media Studies,History, Philosophy &amp; Theology,Accounting &amp; Finance,Medicine &amp; Dentistry,Mathematics &amp; Statistics,Psychology,Electrical &amp; Electronic Engineering,Politics &amp; International Studies (incl Development Studies),Computer Science,Geography,Archaeology,Biological Sciences</t>
  </si>
  <si>
    <t>UniversitÃ© Libre de Bruxelles</t>
  </si>
  <si>
    <t>Art, Performing Arts &amp; Design,Electrical &amp; Electronic Engineering,Physics &amp; Astronomy,Other Health,Communication &amp; Media Studies,General Engineering,Chemistry,Business &amp; Management,Computer Science,Agriculture &amp; Forestry,Sociology,History, Philosophy &amp; Theology,Civil Engineering,Sport Science,Psychology,Languages, Literature &amp; Linguistics,Mathematics &amp; Statistics,Education,Mechanical &amp; Aerospace Engineering,Politics &amp; International Studies (incl Development Studies),Archaeology,Chemical Engineering,Geography,Economics &amp; Econometrics,Medicine &amp; Dentistry,Veterinary Science,Law,Architecture,Biological Sciences,Geology, Environmental, Earth &amp; Marine Sciences,Accounting &amp; Finance</t>
  </si>
  <si>
    <t>University of Luxembourg</t>
  </si>
  <si>
    <t>Luxembourg</t>
  </si>
  <si>
    <t>Psychology,Communication &amp; Media Studies,Mathematics &amp; Statistics,Economics &amp; Econometrics,Medicine &amp; Dentistry,General Engineering,Civil Engineering,Education,Business &amp; Management,Other Health,Physics &amp; Astronomy,Law,Veterinary Science,Geography,Architecture,Biological Sciences,Computer Science,History, Philosophy &amp; Theology,Languages, Literature &amp; Linguistics,Politics &amp; International Studies (incl Development Studies),Art, Performing Arts &amp; Design,Accounting &amp; Finance,Mechanical &amp; Aerospace Engineering,Electrical &amp; Electronic Engineering</t>
  </si>
  <si>
    <t>Medical University of Graz</t>
  </si>
  <si>
    <t>Medical University of Vienna</t>
  </si>
  <si>
    <t>University of Miami</t>
  </si>
  <si>
    <t>Languages, Literature &amp; Linguistics,Other Health,Sociology,Mechanical &amp; Aerospace Engineering,Law,Psychology,General Engineering,Communication &amp; Media Studies,Mathematics &amp; Statistics,Education,Architecture,Biological Sciences,Agriculture &amp; Forestry,History, Philosophy &amp; Theology,Electrical &amp; Electronic Engineering,Physics &amp; Astronomy,Economics &amp; Econometrics,Computer Science,Geology, Environmental, Earth &amp; Marine Sciences,Art, Performing Arts &amp; Design,Sport Science,Geography,Accounting &amp; Finance,Medicine &amp; Dentistry,Chemistry,Business &amp; Management,Civil Engineering,Politics &amp; International Studies (incl Development Studies),Chemical Engineering</t>
  </si>
  <si>
    <t>Moscow Institute of Physics and Technology (MIPT)</t>
  </si>
  <si>
    <t>Mathematics &amp; Statistics,Biological Sciences,Chemical Engineering,Mechanical &amp; Aerospace Engineering,Electrical &amp; Electronic Engineering,Chemistry,General Engineering,Economics &amp; Econometrics,Physics &amp; Astronomy,Education,Computer Science,Business &amp; Management,Other Health,Geology, Environmental, Earth &amp; Marine Sciences</t>
  </si>
  <si>
    <t>Nagoya University</t>
  </si>
  <si>
    <t>Architecture,Electrical &amp; Electronic Engineering,Psychology,Agriculture &amp; Forestry,Geography,Other Health,Communication &amp; Media Studies,Accounting &amp; Finance,Languages, Literature &amp; Linguistics,Chemical Engineering,Physics &amp; Astronomy,Biological Sciences,Education,Civil Engineering,Law,Archaeology,Computer Science,Mathematics &amp; Statistics,Sociology,Economics &amp; Econometrics,Mechanical &amp; Aerospace Engineering,Chemistry,Business &amp; Management,Medicine &amp; Dentistry,General Engineering,Geology, Environmental, Earth &amp; Marine Sciences,History, Philosophy &amp; Theology,Sport Science,Politics &amp; International Studies (incl Development Studies)</t>
  </si>
  <si>
    <t>University of Newcastle</t>
  </si>
  <si>
    <t>University of Newcastle Australia Newcastle</t>
  </si>
  <si>
    <t>Biological Sciences,Politics &amp; International Studies (incl Development Studies),Architecture,Chemical Engineering,Law,Languages, Literature &amp; Linguistics,Chemistry,Accounting &amp; Finance,Geology, Environmental, Earth &amp; Marine Sciences,Art, Performing Arts &amp; Design,Mechanical &amp; Aerospace Engineering,Geography,Medicine &amp; Dentistry,Sociology,History, Philosophy &amp; Theology,Agriculture &amp; Forestry,Physics &amp; Astronomy,Economics &amp; Econometrics,Electrical &amp; Electronic Engineering,Mathematics &amp; Statistics,Education,Computer Science,Communication &amp; Media Studies,Business &amp; Management,General Engineering,Civil Engineering,Sport Science,Psychology,Other Health</t>
  </si>
  <si>
    <t>Northeastern University, US</t>
  </si>
  <si>
    <t>Geography,Chemical Engineering,Computer Science,Mathematics &amp; Statistics,Politics &amp; International Studies (incl Development Studies),Psychology,History, Philosophy &amp; Theology,General Engineering,Economics &amp; Econometrics,Sociology,Business &amp; Management,Medicine &amp; Dentistry,Geology, Environmental, Earth &amp; Marine Sciences,Mechanical &amp; Aerospace Engineering,Law,Electrical &amp; Electronic Engineering,Education,Veterinary Science,Communication &amp; Media Studies,Languages, Literature &amp; Linguistics,Other Health,Chemistry,Accounting &amp; Finance,Physics &amp; Astronomy,Sport Science,Biological Sciences,Architecture,Art, Performing Arts &amp; Design,Civil Engineering</t>
  </si>
  <si>
    <t>University of Padua</t>
  </si>
  <si>
    <t>History, Philosophy &amp; Theology,Agriculture &amp; Forestry,Sociology,Computer Science,Biological Sciences,Geography,Art, Performing Arts &amp; Design,Electrical &amp; Electronic Engineering,Geology, Environmental, Earth &amp; Marine Sciences,Economics &amp; Econometrics,Architecture,Mathematics &amp; Statistics,Business &amp; Management,Mechanical &amp; Aerospace Engineering,Chemistry,Archaeology,Sport Science,Politics &amp; International Studies (incl Development Studies),Medicine &amp; Dentistry,Veterinary Science,Accounting &amp; Finance,Languages, Literature &amp; Linguistics,Civil Engineering,Communication &amp; Media Studies,Psychology,Other Health,Chemical Engineering,Law,General Engineering,Physics &amp; Astronomy,Education</t>
  </si>
  <si>
    <t>Politecnico di Milano</t>
  </si>
  <si>
    <t>Civil Engineering,Business &amp; Management,Electrical &amp; Electronic Engineering,Architecture,Mechanical &amp; Aerospace Engineering,Art, Performing Arts &amp; Design,Computer Science,Chemical Engineering,General Engineering</t>
  </si>
  <si>
    <t>Pompeu Fabra University</t>
  </si>
  <si>
    <t>Sociology,Education,Computer Science,Languages, Literature &amp; Linguistics,History, Philosophy &amp; Theology,Art, Performing Arts &amp; Design,Business &amp; Management,Politics &amp; International Studies (incl Development Studies),Economics &amp; Econometrics,Biological Sciences,Accounting &amp; Finance,Archaeology,Law,Medicine &amp; Dentistry,Communication &amp; Media Studies,Other Health,Electrical &amp; Electronic Engineering</t>
  </si>
  <si>
    <t>University of Potsdam</t>
  </si>
  <si>
    <t>Languages, Literature &amp; Linguistics,History, Philosophy &amp; Theology,Chemistry,Communication &amp; Media Studies,Economics &amp; Econometrics,Biological Sciences,Law,Computer Science,Politics &amp; International Studies (incl Development Studies),Sociology,Education,Mathematics &amp; Statistics,Physics &amp; Astronomy,Business &amp; Management,Sport Science,Geography,Psychology,Geology, Environmental, Earth &amp; Marine Sciences</t>
  </si>
  <si>
    <t>Queenâ€™s University Belfast</t>
  </si>
  <si>
    <t>Queenâ€™s University Belfast qub queen&amp;#039;s</t>
  </si>
  <si>
    <t>Medicine &amp; Dentistry,Business &amp; Management,Biological Sciences,Geology, Environmental, Earth &amp; Marine Sciences,Accounting &amp; Finance,Physics &amp; Astronomy,Computer Science,Economics &amp; Econometrics,Chemistry,Art, Performing Arts &amp; Design,Mechanical &amp; Aerospace Engineering,Geography,Electrical &amp; Electronic Engineering,Communication &amp; Media Studies,Other Health,Psychology,Mathematics &amp; Statistics,Sociology,Politics &amp; International Studies (incl Development Studies),Civil Engineering,Agriculture &amp; Forestry,Chemical Engineering,Archaeology,Law,History, Philosophy &amp; Theology,Architecture,Education,Languages, Literature &amp; Linguistics</t>
  </si>
  <si>
    <t>University of Reading</t>
  </si>
  <si>
    <t>Other Health,Mathematics &amp; Statistics,Accounting &amp; Finance,Art, Performing Arts &amp; Design,Chemical Engineering,Education,Biological Sciences,Physics &amp; Astronomy,Computer Science,Geography,History, Philosophy &amp; Theology,Agriculture &amp; Forestry,Psychology,Languages, Literature &amp; Linguistics,Veterinary Science,Business &amp; Management,Archaeology,Law,Civil Engineering,Politics &amp; International Studies (incl Development Studies),General Engineering,Geology, Environmental, Earth &amp; Marine Sciences,Economics &amp; Econometrics,Architecture,Chemistry,Communication &amp; Media Studies</t>
  </si>
  <si>
    <t>Rutgers University â€“ New Brunswick</t>
  </si>
  <si>
    <t>Archaeology,Architecture,Economics &amp; Econometrics,Chemical Engineering,Chemistry,History, Philosophy &amp; Theology,Mechanical &amp; Aerospace Engineering,Biological Sciences,Sociology,Psychology,Medicine &amp; Dentistry,Business &amp; Management,Art, Performing Arts &amp; Design,Electrical &amp; Electronic Engineering,Other Health,General Engineering,Mathematics &amp; Statistics,Physics &amp; Astronomy,Education,Geology, Environmental, Earth &amp; Marine Sciences,Computer Science,Sport Science,Geography,Civil Engineering,Communication &amp; Media Studies,Agriculture &amp; Forestry,Languages, Literature &amp; Linguistics,Accounting &amp; Finance,Politics &amp; International Studies (incl Development Studies)</t>
  </si>
  <si>
    <t>Santâ€™Anna School of Advanced Studies â€“ Pisa</t>
  </si>
  <si>
    <t>Law,Mechanical &amp; Aerospace Engineering,Biological Sciences,Agriculture &amp; Forestry,Business &amp; Management,Politics &amp; International Studies (incl Development Studies),Electrical &amp; Electronic Engineering,Medicine &amp; Dentistry,Accounting &amp; Finance,Other Health,Economics &amp; Econometrics,Computer Science</t>
  </si>
  <si>
    <t>University of SÃ£o Paulo</t>
  </si>
  <si>
    <t>Brazil</t>
  </si>
  <si>
    <t>Chemistry,Economics &amp; Econometrics,Business &amp; Management,Politics &amp; International Studies (incl Development Studies),Archaeology,Languages, Literature &amp; Linguistics,Mathematics &amp; Statistics,Veterinary Science,Communication &amp; Media Studies,Accounting &amp; Finance,Geography,Civil Engineering,Chemical Engineering,Art, Performing Arts &amp; Design,Mechanical &amp; Aerospace Engineering,Geology, Environmental, Earth &amp; Marine Sciences,History, Philosophy &amp; Theology,General Engineering,Medicine &amp; Dentistry,Electrical &amp; Electronic Engineering,Agriculture &amp; Forestry,Architecture,Physics &amp; Astronomy,Other Health,Education,Law,Biological Sciences,Sociology,Computer Science,Sport Science,Psychology</t>
  </si>
  <si>
    <t>Southern University of Science and Technology (SUSTech)</t>
  </si>
  <si>
    <t>Geology, Environmental, Earth &amp; Marine Sciences,Languages, Literature &amp; Linguistics,Medicine &amp; Dentistry,Art, Performing Arts &amp; Design,Mathematics &amp; Statistics,Biological Sciences,Education,Physics &amp; Astronomy,Mechanical &amp; Aerospace Engineering,General Engineering,Accounting &amp; Finance,Other Health,Chemical Engineering,Electrical &amp; Electronic Engineering,Geography,Chemistry,Sociology,Economics &amp; Econometrics,Computer Science,Business &amp; Management</t>
  </si>
  <si>
    <t>Sun Yat-sen University</t>
  </si>
  <si>
    <t>Languages, Literature &amp; Linguistics,Accounting &amp; Finance,Geography,Agriculture &amp; Forestry,History, Philosophy &amp; Theology,Biological Sciences,Other Health,Education,Architecture,Chemical Engineering,Mathematics &amp; Statistics,Politics &amp; International Studies (incl Development Studies),Sociology,Medicine &amp; Dentistry,Veterinary Science,Art, Performing Arts &amp; Design,Law,Civil Engineering,Psychology,Geology, Environmental, Earth &amp; Marine Sciences,Archaeology,Economics &amp; Econometrics,Physics &amp; Astronomy,Electrical &amp; Electronic Engineering,Business &amp; Management,Chemistry,General Engineering,Sport Science,Mechanical &amp; Aerospace Engineering,Communication &amp; Media Studies,Computer Science</t>
  </si>
  <si>
    <t>University of Sussex</t>
  </si>
  <si>
    <t>Sociology,Mechanical &amp; Aerospace Engineering,Education,Computer Science,Accounting &amp; Finance,General Engineering,Law,Geography,Biological Sciences,Medicine &amp; Dentistry,Chemistry,Art, Performing Arts &amp; Design,Politics &amp; International Studies (incl Development Studies),Business &amp; Management,Mathematics &amp; Statistics,Electrical &amp; Electronic Engineering,Psychology,Economics &amp; Econometrics,History, Philosophy &amp; Theology,Communication &amp; Media Studies,Geology, Environmental, Earth &amp; Marine Sciences,Physics &amp; Astronomy,Languages, Literature &amp; Linguistics,Other Health</t>
  </si>
  <si>
    <t>Swinburne University of Technology</t>
  </si>
  <si>
    <t>Physics &amp; Astronomy,Biological Sciences,Sport Science,Mechanical &amp; Aerospace Engineering,Economics &amp; Econometrics,Languages, Literature &amp; Linguistics,Medicine &amp; Dentistry,Sociology,Chemical Engineering,Mathematics &amp; Statistics,Other Health,Law,Politics &amp; International Studies (incl Development Studies),Computer Science,Electrical &amp; Electronic Engineering,Business &amp; Management,Communication &amp; Media Studies,Accounting &amp; Finance,General Engineering,Agriculture &amp; Forestry,Psychology,Chemistry,Education,History, Philosophy &amp; Theology,Architecture,Civil Engineering,Art, Performing Arts &amp; Design</t>
  </si>
  <si>
    <t>Tel Aviv University</t>
  </si>
  <si>
    <t>Israel</t>
  </si>
  <si>
    <t>Languages, Literature &amp; Linguistics,Computer Science,Archaeology,History, Philosophy &amp; Theology,Mechanical &amp; Aerospace Engineering,Geography,Physics &amp; Astronomy,Psychology,Mathematics &amp; Statistics,Education,Business &amp; Management,Economics &amp; Econometrics,Sociology,Electrical &amp; Electronic Engineering,General Engineering,Art, Performing Arts &amp; Design,Biological Sciences,Chemical Engineering,Agriculture &amp; Forestry,Other Health,Politics &amp; International Studies (incl Development Studies),Chemistry,Law,Geology, Environmental, Earth &amp; Marine Sciences,Medicine &amp; Dentistry,Communication &amp; Media Studies,Architecture,Accounting &amp; Finance</t>
  </si>
  <si>
    <t>Tianjin University</t>
  </si>
  <si>
    <t>Law,Electrical &amp; Electronic Engineering,Mathematics &amp; Statistics,Architecture,Education,Computer Science,Chemistry,Agriculture &amp; Forestry,Veterinary Science,Politics &amp; International Studies (incl Development Studies),Geology, Environmental, Earth &amp; Marine Sciences,General Engineering,Languages, Literature &amp; Linguistics,Biological Sciences,Sport Science,Accounting &amp; Finance,Mechanical &amp; Aerospace Engineering,Civil Engineering,Business &amp; Management,Economics &amp; Econometrics,Chemical Engineering</t>
  </si>
  <si>
    <t>Tilburg University</t>
  </si>
  <si>
    <t>Other Health,Economics &amp; Econometrics,Law,Psychology,Education,Languages, Literature &amp; Linguistics,History, Philosophy &amp; Theology,Accounting &amp; Finance,Sociology,Communication &amp; Media Studies,Business &amp; Management,Computer Science</t>
  </si>
  <si>
    <t>University College Dublin</t>
  </si>
  <si>
    <t>Law,Chemistry,General Engineering,Politics &amp; International Studies (incl Development Studies),Sport Science,Archaeology,Education,Economics &amp; Econometrics,Biological Sciences,Computer Science,Veterinary Science,Civil Engineering,Medicine &amp; Dentistry,Business &amp; Management,Agriculture &amp; Forestry,Architecture,Accounting &amp; Finance,Psychology,Communication &amp; Media Studies,Physics &amp; Astronomy,Electrical &amp; Electronic Engineering,History, Philosophy &amp; Theology,Chemical Engineering,Mechanical &amp; Aerospace Engineering,Art, Performing Arts &amp; Design,Languages, Literature &amp; Linguistics,Mathematics &amp; Statistics,Other Health,Geography,Geology, Environmental, Earth &amp; Marine Sciences,Sociology</t>
  </si>
  <si>
    <t>University of Utah</t>
  </si>
  <si>
    <t>Art, Performing Arts &amp; Design,Medicine &amp; Dentistry,Business &amp; Management,Chemical Engineering,Politics &amp; International Studies (incl Development Studies),Sociology,Electrical &amp; Electronic Engineering,Sport Science,Languages, Literature &amp; Linguistics,History, Philosophy &amp; Theology,Physics &amp; Astronomy,Law,Mechanical &amp; Aerospace Engineering,Communication &amp; Media Studies,Economics &amp; Econometrics,Computer Science,Biological Sciences,Accounting &amp; Finance,Civil Engineering,Geography,Architecture,Geology, Environmental, Earth &amp; Marine Sciences,Other Health,Mathematics &amp; Statistics,Psychology,Agriculture &amp; Forestry,General Engineering,Chemistry,Education</t>
  </si>
  <si>
    <t>Vrije Universiteit Brussel</t>
  </si>
  <si>
    <t>Mechanical &amp; Aerospace Engineering,Sociology,Physics &amp; Astronomy,Biological Sciences,Medicine &amp; Dentistry,Psychology,Chemical Engineering,History, Philosophy &amp; Theology,General Engineering,Civil Engineering,Geology, Environmental, Earth &amp; Marine Sciences,Education,Languages, Literature &amp; Linguistics,Geography,Law,Economics &amp; Econometrics,Mathematics &amp; Statistics,Communication &amp; Media Studies,Archaeology,Chemistry,Politics &amp; International Studies (incl Development Studies),Other Health,Electrical &amp; Electronic Engineering,Business &amp; Management,Sport Science,Computer Science</t>
  </si>
  <si>
    <t>Western University</t>
  </si>
  <si>
    <t>Sociology,History, Philosophy &amp; Theology,Computer Science,Languages, Literature &amp; Linguistics,Communication &amp; Media Studies,Economics &amp; Econometrics,General Engineering,Mathematics &amp; Statistics,Archaeology,Education,Medicine &amp; Dentistry,Accounting &amp; Finance,Electrical &amp; Electronic Engineering,Mechanical &amp; Aerospace Engineering,Chemical Engineering,Politics &amp; International Studies (incl Development Studies),Psychology,Chemistry,Biological Sciences,Business &amp; Management,Geography,Physics &amp; Astronomy,Other Health,Geology, Environmental, Earth &amp; Marine Sciences,Law,Art, Performing Arts &amp; Design,Sport Science,Civil Engineering</t>
  </si>
  <si>
    <t>University of Wollongong</t>
  </si>
  <si>
    <t>University of Wollongong UOW University of Wollongong Australia</t>
  </si>
  <si>
    <t>Archaeology,History, Philosophy &amp; Theology,Politics &amp; International Studies (incl Development Studies),Civil Engineering,Psychology,Economics &amp; Econometrics,Accounting &amp; Finance,Agriculture &amp; Forestry,Geology, Environmental, Earth &amp; Marine Sciences,Geography,Law,Mechanical &amp; Aerospace Engineering,General Engineering,Architecture,Languages, Literature &amp; Linguistics,Physics &amp; Astronomy,Business &amp; Management,Chemistry,Electrical &amp; Electronic Engineering,Communication &amp; Media Studies,Computer Science,Art, Performing Arts &amp; Design,Mathematics &amp; Statistics,Medicine &amp; Dentistry,Education,Sociology,Sport Science,Biological Sciences,Other Health</t>
  </si>
  <si>
    <t>251â€“300</t>
  </si>
  <si>
    <t>Abu Dhabi University</t>
  </si>
  <si>
    <t>53.1â€“55.8</t>
  </si>
  <si>
    <t>United Arab Emirates</t>
  </si>
  <si>
    <t>Psychology,Communication &amp; Media Studies,Business &amp; Management,Sport Science,Agriculture &amp; Forestry,Economics &amp; Econometrics,Mathematics &amp; Statistics,Accounting &amp; Finance,Other Health,Art, Performing Arts &amp; Design,Chemical Engineering,General Engineering,Education,Physics &amp; Astronomy,Biological Sciences,Archaeology,Medicine &amp; Dentistry,Languages, Literature &amp; Linguistics,History, Philosophy &amp; Theology,Chemistry,Architecture,Veterinary Science,Politics &amp; International Studies (incl Development Studies),Law,Civil Engineering,Geography,Computer Science,Sociology</t>
  </si>
  <si>
    <t>University of Bath</t>
  </si>
  <si>
    <t>Electrical &amp; Electronic Engineering,Chemical Engineering,Politics &amp; International Studies (incl Development Studies),Accounting &amp; Finance,Architecture,Economics &amp; Econometrics,Mechanical &amp; Aerospace Engineering,Mathematics &amp; Statistics,Chemistry,Sport Science,Other Health,Computer Science,Physics &amp; Astronomy,Languages, Literature &amp; Linguistics,Education,General Engineering,Geology, Environmental, Earth &amp; Marine Sciences,Psychology,Civil Engineering,Biological Sciences,Business &amp; Management,Sociology</t>
  </si>
  <si>
    <t>Beijing Institute of Technology</t>
  </si>
  <si>
    <t>Sociology,Chemistry,History, Philosophy &amp; Theology,Chemical Engineering,Electrical &amp; Electronic Engineering,Physics &amp; Astronomy,Business &amp; Management,Biological Sciences,Law,Geology, Environmental, Earth &amp; Marine Sciences,Psychology,Languages, Literature &amp; Linguistics,General Engineering,Mathematics &amp; Statistics,Education,Computer Science,Sport Science,Art, Performing Arts &amp; Design,Accounting &amp; Finance,Economics &amp; Econometrics,Mechanical &amp; Aerospace Engineering</t>
  </si>
  <si>
    <t>University of Bergen</t>
  </si>
  <si>
    <t>Other Health,Mathematics &amp; Statistics,Psychology,Art, Performing Arts &amp; Design,Physics &amp; Astronomy,Economics &amp; Econometrics,Biological Sciences,Education,History, Philosophy &amp; Theology,Sociology,Archaeology,Geography,Computer Science,Law,Communication &amp; Media Studies,Chemistry,Medicine &amp; Dentistry,Politics &amp; International Studies (incl Development Studies),Languages, Literature &amp; Linguistics,Geology, Environmental, Earth &amp; Marine Sciences</t>
  </si>
  <si>
    <t>Boston College</t>
  </si>
  <si>
    <t>Business &amp; Management,Physics &amp; Astronomy,Sociology,Psychology,Medicine &amp; Dentistry,Languages, Literature &amp; Linguistics,Art, Performing Arts &amp; Design,Communication &amp; Media Studies,General Engineering,History, Philosophy &amp; Theology,Geology, Environmental, Earth &amp; Marine Sciences,Law,Biological Sciences,Computer Science,Education,Politics &amp; International Studies (incl Development Studies),Economics &amp; Econometrics,Chemistry,Mathematics &amp; Statistics,Accounting &amp; Finance</t>
  </si>
  <si>
    <t>Brandeis University</t>
  </si>
  <si>
    <t>Computer Science,Politics &amp; International Studies (incl Development Studies),Physics &amp; Astronomy,Education,Accounting &amp; Finance,Mathematics &amp; Statistics,Economics &amp; Econometrics,Biological Sciences,History, Philosophy &amp; Theology,Languages, Literature &amp; Linguistics,Business &amp; Management,Art, Performing Arts &amp; Design,Sociology,Psychology,Chemistry</t>
  </si>
  <si>
    <t>University of California, Riverside</t>
  </si>
  <si>
    <t>Politics &amp; International Studies (incl Development Studies),Art, Performing Arts &amp; Design,Biological Sciences,Education,Sociology,Communication &amp; Media Studies,Languages, Literature &amp; Linguistics,Computer Science,History, Philosophy &amp; Theology,Physics &amp; Astronomy,Economics &amp; Econometrics,Mechanical &amp; Aerospace Engineering,Agriculture &amp; Forestry,Business &amp; Management,Mathematics &amp; Statistics,Accounting &amp; Finance,Medicine &amp; Dentistry,Geology, Environmental, Earth &amp; Marine Sciences,Electrical &amp; Electronic Engineering,General Engineering,Chemistry,Chemical Engineering,Psychology,Other Health</t>
  </si>
  <si>
    <t>Deakin University</t>
  </si>
  <si>
    <t>Chemistry,Art, Performing Arts &amp; Design,Sociology,Psychology,Medicine &amp; Dentistry,Geology, Environmental, Earth &amp; Marine Sciences,Civil Engineering,Law,Communication &amp; Media Studies,General Engineering,Economics &amp; Econometrics,Politics &amp; International Studies (incl Development Studies),Computer Science,Other Health,Mechanical &amp; Aerospace Engineering,Mathematics &amp; Statistics,Geography,Accounting &amp; Finance,Biological Sciences,Languages, Literature &amp; Linguistics,Electrical &amp; Electronic Engineering,Architecture,Sport Science,History, Philosophy &amp; Theology,Business &amp; Management,Education</t>
  </si>
  <si>
    <t>University of East Anglia</t>
  </si>
  <si>
    <t>History, Philosophy &amp; Theology,Sport Science,Medicine &amp; Dentistry,Mathematics &amp; Statistics,Education,General Engineering,Law,Archaeology,Biological Sciences,Geography,Computer Science,Physics &amp; Astronomy,Accounting &amp; Finance,Languages, Literature &amp; Linguistics,Agriculture &amp; Forestry,Communication &amp; Media Studies,Economics &amp; Econometrics,Art, Performing Arts &amp; Design,Geology, Environmental, Earth &amp; Marine Sciences,Psychology,Civil Engineering,Sociology,Other Health,Politics &amp; International Studies (incl Development Studies),Chemistry,Business &amp; Management</t>
  </si>
  <si>
    <t>Ã‰cole Normale SupÃ©rieure de Lyon</t>
  </si>
  <si>
    <t>Geography,Mathematics &amp; Statistics,History, Philosophy &amp; Theology,Economics &amp; Econometrics,Art, Performing Arts &amp; Design,Physics &amp; Astronomy,Education,Chemistry,Biological Sciences,Computer Science,Sociology,Languages, Literature &amp; Linguistics,Geology, Environmental, Earth &amp; Marine Sciences</t>
  </si>
  <si>
    <t>Florida State University</t>
  </si>
  <si>
    <t>Archaeology,Geology, Environmental, Earth &amp; Marine Sciences,Sport Science,Biological Sciences,Medicine &amp; Dentistry,Chemical Engineering,Accounting &amp; Finance,Education,Communication &amp; Media Studies,Architecture,Sociology,General Engineering,History, Philosophy &amp; Theology,Physics &amp; Astronomy,Law,Mathematics &amp; Statistics,Other Health,Computer Science,Economics &amp; Econometrics,Languages, Literature &amp; Linguistics,Civil Engineering,Politics &amp; International Studies (incl Development Studies),Electrical &amp; Electronic Engineering,Geography,Art, Performing Arts &amp; Design,Business &amp; Management,Chemistry,Mechanical &amp; Aerospace Engineering,Psychology</t>
  </si>
  <si>
    <t>Griffith University</t>
  </si>
  <si>
    <t>Communication &amp; Media Studies,Medicine &amp; Dentistry,Sociology,Geography,Business &amp; Management,Economics &amp; Econometrics,Architecture,Sport Science,Politics &amp; International Studies (incl Development Studies),Law,Archaeology,Chemistry,Civil Engineering,Accounting &amp; Finance,Biological Sciences,Mathematics &amp; Statistics,Mechanical &amp; Aerospace Engineering,Electrical &amp; Electronic Engineering,Psychology,Computer Science,Education,History, Philosophy &amp; Theology,Languages, Literature &amp; Linguistics,Agriculture &amp; Forestry,Art, Performing Arts &amp; Design,Geology, Environmental, Earth &amp; Marine Sciences,Physics &amp; Astronomy,Other Health,General Engineering</t>
  </si>
  <si>
    <t>Heinrich Heine University DÃ¼sseldorf</t>
  </si>
  <si>
    <t>Business &amp; Management,Languages, Literature &amp; Linguistics,Law,Psychology,Physics &amp; Astronomy,Computer Science,Economics &amp; Econometrics,Medicine &amp; Dentistry,Chemistry,Mathematics &amp; Statistics,History, Philosophy &amp; Theology,Sociology,Politics &amp; International Studies (incl Development Studies),Biological Sciences,Communication &amp; Media Studies,Accounting &amp; Finance,Other Health</t>
  </si>
  <si>
    <t>University of Hohenheim</t>
  </si>
  <si>
    <t>Economics &amp; Econometrics,Biological Sciences,Communication &amp; Media Studies,Business &amp; Management,Geology, Environmental, Earth &amp; Marine Sciences,Accounting &amp; Finance,Other Health,Agriculture &amp; Forestry</t>
  </si>
  <si>
    <t>Humanitas University</t>
  </si>
  <si>
    <t>Other Health,Biological Sciences,Medicine &amp; Dentistry</t>
  </si>
  <si>
    <t>Johannes Gutenberg University of Mainz</t>
  </si>
  <si>
    <t>Education,Biological Sciences,Psychology,Other Health,Mathematics &amp; Statistics,Accounting &amp; Finance,Computer Science,Medicine &amp; Dentistry,Physics &amp; Astronomy,Sociology,Politics &amp; International Studies (incl Development Studies),Sport Science,Art, Performing Arts &amp; Design,Chemistry,Geography,Archaeology,Law,Economics &amp; Econometrics,History, Philosophy &amp; Theology,Communication &amp; Media Studies,Business &amp; Management,Languages, Literature &amp; Linguistics,Geology, Environmental, Earth &amp; Marine Sciences</t>
  </si>
  <si>
    <t>Khalifa University</t>
  </si>
  <si>
    <t>Chemical Engineering,Mechanical &amp; Aerospace Engineering,Politics &amp; International Studies (incl Development Studies),Electrical &amp; Electronic Engineering,Computer Science,Geology, Environmental, Earth &amp; Marine Sciences,Civil Engineering,General Engineering,Physics &amp; Astronomy,Mathematics &amp; Statistics,Medicine &amp; Dentistry,Chemistry</t>
  </si>
  <si>
    <t>King Abdulaziz University</t>
  </si>
  <si>
    <t>Agriculture &amp; Forestry,Civil Engineering,Languages, Literature &amp; Linguistics,Geology, Environmental, Earth &amp; Marine Sciences,Sport Science,Art, Performing Arts &amp; Design,Architecture,Mechanical &amp; Aerospace Engineering,Communication &amp; Media Studies,Chemical Engineering,Geography,History, Philosophy &amp; Theology,Sociology,Law,Business &amp; Management,Computer Science,Economics &amp; Econometrics,Medicine &amp; Dentistry,Education,Electrical &amp; Electronic Engineering,Archaeology,Biological Sciences,Veterinary Science,General Engineering,Accounting &amp; Finance,Physics &amp; Astronomy,Psychology,Mathematics &amp; Statistics,Chemistry,Politics &amp; International Studies (incl Development Studies),Other Health</t>
  </si>
  <si>
    <t>University of Konstanz</t>
  </si>
  <si>
    <t>Languages, Literature &amp; Linguistics,Politics &amp; International Studies (incl Development Studies),Computer Science,Communication &amp; Media Studies,Accounting &amp; Finance,Physics &amp; Astronomy,Art, Performing Arts &amp; Design,Law,Education,Sport Science,Economics &amp; Econometrics,Chemistry,Biological Sciences,Business &amp; Management,Mathematics &amp; Statistics,Psychology,History, Philosophy &amp; Theology,Sociology</t>
  </si>
  <si>
    <t>Kyung Hee University</t>
  </si>
  <si>
    <t>Kyung Hee University KyungHee KHU</t>
  </si>
  <si>
    <t>Law,Other Health,Computer Science,Physics &amp; Astronomy,Sport Science,Mathematics &amp; Statistics,Medicine &amp; Dentistry,Geology, Environmental, Earth &amp; Marine Sciences,Agriculture &amp; Forestry,Education,Economics &amp; Econometrics,Civil Engineering,Communication &amp; Media Studies,Sociology,Chemical Engineering,Languages, Literature &amp; Linguistics,Geography,Electrical &amp; Electronic Engineering,Archaeology,Architecture,Art, Performing Arts &amp; Design,Business &amp; Management,Chemistry,Accounting &amp; Finance,General Engineering,Mechanical &amp; Aerospace Engineering,Politics &amp; International Studies (incl Development Studies),Psychology,Biological Sciences,History, Philosophy &amp; Theology</t>
  </si>
  <si>
    <t>Lappeenranta-Lahti University of Technology LUT</t>
  </si>
  <si>
    <t>Geology, Environmental, Earth &amp; Marine Sciences,Chemical Engineering,Economics &amp; Econometrics,Mathematics &amp; Statistics,Business &amp; Management,Mechanical &amp; Aerospace Engineering,Accounting &amp; Finance,General Engineering,Physics &amp; Astronomy,Chemistry,Electrical &amp; Electronic Engineering,Communication &amp; Media Studies,Computer Science,Sociology</t>
  </si>
  <si>
    <t>La Trobe University</t>
  </si>
  <si>
    <t>Politics &amp; International Studies (incl Development Studies),Economics &amp; Econometrics,Civil Engineering,Geology, Environmental, Earth &amp; Marine Sciences,Education,General Engineering,Chemistry,Veterinary Science,Other Health,Biological Sciences,Law,Computer Science,Mathematics &amp; Statistics,Accounting &amp; Finance,History, Philosophy &amp; Theology,Physics &amp; Astronomy,Business &amp; Management,Archaeology,Sport Science,Psychology,Electrical &amp; Electronic Engineering,Sociology,Languages, Literature &amp; Linguistics,Communication &amp; Media Studies,Medicine &amp; Dentistry,Agriculture &amp; Forestry</t>
  </si>
  <si>
    <t>UniversitÃ© Laval</t>
  </si>
  <si>
    <t>Languages, Literature &amp; Linguistics,Biological Sciences,Sociology,Economics &amp; Econometrics,Medicine &amp; Dentistry,Civil Engineering,Geography,Art, Performing Arts &amp; Design,Chemical Engineering,Communication &amp; Media Studies,History, Philosophy &amp; Theology,Other Health,Chemistry,Law,Computer Science,Mathematics &amp; Statistics,Psychology,Archaeology,Accounting &amp; Finance,Mechanical &amp; Aerospace Engineering,Physics &amp; Astronomy,Business &amp; Management,Architecture,Agriculture &amp; Forestry,Politics &amp; International Studies (incl Development Studies),General Engineering,Geology, Environmental, Earth &amp; Marine Sciences,Electrical &amp; Electronic Engineering,Sport Science,Education</t>
  </si>
  <si>
    <t>LinkÃ¶ping University</t>
  </si>
  <si>
    <t>Art, Performing Arts &amp; Design,Computer Science,Veterinary Science,Economics &amp; Econometrics,General Engineering,Mathematics &amp; Statistics,Civil Engineering,Politics &amp; International Studies (incl Development Studies),Accounting &amp; Finance,Chemical Engineering,Communication &amp; Media Studies,Business &amp; Management,Other Health,Biological Sciences,Electrical &amp; Electronic Engineering,Physics &amp; Astronomy,Psychology,Languages, Literature &amp; Linguistics,Chemistry,Education,Mechanical &amp; Aerospace Engineering,Sociology,Medicine &amp; Dentistry,Agriculture &amp; Forestry,Geography,History, Philosophy &amp; Theology,Geology, Environmental, Earth &amp; Marine Sciences</t>
  </si>
  <si>
    <t>Loughborough University</t>
  </si>
  <si>
    <t>40 : 60</t>
  </si>
  <si>
    <t>Law,General Engineering,Other Health,Civil Engineering,Psychology,Physics &amp; Astronomy,Education,Economics &amp; Econometrics,Sport Science,Biological Sciences,Languages, Literature &amp; Linguistics,Geography,Politics &amp; International Studies (incl Development Studies),Architecture,Mechanical &amp; Aerospace Engineering,Business &amp; Management,Chemistry,Accounting &amp; Finance,Sociology,Geology, Environmental, Earth &amp; Marine Sciences,Art, Performing Arts &amp; Design,Chemical Engineering,Electrical &amp; Electronic Engineering,History, Philosophy &amp; Theology,Mathematics &amp; Statistics,Communication &amp; Media Studies,Computer Science</t>
  </si>
  <si>
    <t>Macau University of Science and Technology</t>
  </si>
  <si>
    <t>Macau University of Science and Technology MUST æ¾³é–€ç§‘æŠ€å¤§å­¸</t>
  </si>
  <si>
    <t>Computer Science,Business &amp; Management,Geology, Environmental, Earth &amp; Marine Sciences,Mathematics &amp; Statistics,Sociology,Education,Physics &amp; Astronomy,Law,Medicine &amp; Dentistry,History, Philosophy &amp; Theology,Architecture,Politics &amp; International Studies (incl Development Studies),Other Health,Accounting &amp; Finance,Economics &amp; Econometrics,Languages, Literature &amp; Linguistics,Electrical &amp; Electronic Engineering,Art, Performing Arts &amp; Design,Communication &amp; Media Studies</t>
  </si>
  <si>
    <t>University of Malaya</t>
  </si>
  <si>
    <t>Malaysia</t>
  </si>
  <si>
    <t>Agriculture &amp; Forestry,Geology, Environmental, Earth &amp; Marine Sciences,General Engineering,Politics &amp; International Studies (incl Development Studies),Chemical Engineering,Mathematics &amp; Statistics,Education,Electrical &amp; Electronic Engineering,Geography,Mechanical &amp; Aerospace Engineering,Languages, Literature &amp; Linguistics,Other Health,Business &amp; Management,Art, Performing Arts &amp; Design,Chemistry,Law,Communication &amp; Media Studies,Accounting &amp; Finance,Architecture,Civil Engineering,Physics &amp; Astronomy,Sport Science,Biological Sciences,History, Philosophy &amp; Theology,Computer Science,Medicine &amp; Dentistry,Psychology,Economics &amp; Econometrics,Sociology</t>
  </si>
  <si>
    <t>Medical University of Innsbruck</t>
  </si>
  <si>
    <t>Other Health,Medicine &amp; Dentistry,Biological Sciences</t>
  </si>
  <si>
    <t>Nankai University</t>
  </si>
  <si>
    <t>Nankai University Nan Kai University</t>
  </si>
  <si>
    <t>Psychology,Education,Geology, Environmental, Earth &amp; Marine Sciences,Art, Performing Arts &amp; Design,Physics &amp; Astronomy,Law,Mathematics &amp; Statistics,Medicine &amp; Dentistry,Computer Science,Electrical &amp; Electronic Engineering,Politics &amp; International Studies (incl Development Studies),Languages, Literature &amp; Linguistics,Biological Sciences,Economics &amp; Econometrics,Business &amp; Management,Accounting &amp; Finance,Chemistry,Communication &amp; Media Studies,Archaeology,Sociology,Agriculture &amp; Forestry,General Engineering,History, Philosophy &amp; Theology</t>
  </si>
  <si>
    <t>North Carolina State University</t>
  </si>
  <si>
    <t>Mechanical &amp; Aerospace Engineering,Communication &amp; Media Studies,Civil Engineering,Politics &amp; International Studies (incl Development Studies),Chemical Engineering,Sociology,History, Philosophy &amp; Theology,Biological Sciences,Economics &amp; Econometrics,Computer Science,Veterinary Science,Business &amp; Management,Languages, Literature &amp; Linguistics,Agriculture &amp; Forestry,Accounting &amp; Finance,Art, Performing Arts &amp; Design,Chemistry,Education,Architecture,Mathematics &amp; Statistics,Psychology,Electrical &amp; Electronic Engineering,Physics &amp; Astronomy,General Engineering,Geology, Environmental, Earth &amp; Marine Sciences</t>
  </si>
  <si>
    <t>University of Oulu</t>
  </si>
  <si>
    <t>Languages, Literature &amp; Linguistics,Mechanical &amp; Aerospace Engineering,Communication &amp; Media Studies,Chemical Engineering,Architecture,Archaeology,Business &amp; Management,Computer Science,History, Philosophy &amp; Theology,Mathematics &amp; Statistics,Physics &amp; Astronomy,Economics &amp; Econometrics,Education,Geography,Biological Sciences,Medicine &amp; Dentistry,Accounting &amp; Finance,Chemistry,General Engineering,Geology, Environmental, Earth &amp; Marine Sciences,Civil Engineering,Psychology,Electrical &amp; Electronic Engineering,Other Health</t>
  </si>
  <si>
    <t>Qatar University</t>
  </si>
  <si>
    <t>Qatar</t>
  </si>
  <si>
    <t>Mechanical &amp; Aerospace Engineering,Politics &amp; International Studies (incl Development Studies),Chemical Engineering,Sociology,Medicine &amp; Dentistry,Computer Science,Geology, Environmental, Earth &amp; Marine Sciences,Biological Sciences,Electrical &amp; Electronic Engineering,Law,Architecture,History, Philosophy &amp; Theology,Physics &amp; Astronomy,Psychology,Civil Engineering,Geography,Other Health,Sport Science,Education,Languages, Literature &amp; Linguistics,Communication &amp; Media Studies,Economics &amp; Econometrics,General Engineering,Mathematics &amp; Statistics,Accounting &amp; Finance,Chemistry,Business &amp; Management,Art, Performing Arts &amp; Design</t>
  </si>
  <si>
    <t>Queenâ€™s University</t>
  </si>
  <si>
    <t>Queenâ€™s University Canadian University Research Student Experience</t>
  </si>
  <si>
    <t>Other Health,Chemistry,Psychology,Civil Engineering,Politics &amp; International Studies (incl Development Studies),Accounting &amp; Finance,Languages, Literature &amp; Linguistics,Sport Science,Education,Art, Performing Arts &amp; Design,Mechanical &amp; Aerospace Engineering,Communication &amp; Media Studies,Agriculture &amp; Forestry,History, Philosophy &amp; Theology,General Engineering,Law,Computer Science,Geology, Environmental, Earth &amp; Marine Sciences,Electrical &amp; Electronic Engineering,Business &amp; Management,Chemical Engineering,Sociology,Economics &amp; Econometrics,Biological Sciences,Geography,Medicine &amp; Dentistry,Mathematics &amp; Statistics,Physics &amp; Astronomy</t>
  </si>
  <si>
    <t>RCSI University of Medicine and Health Sciences</t>
  </si>
  <si>
    <t>RCSI University of Medicine and Health Sciences rcsi</t>
  </si>
  <si>
    <t>RMIT University</t>
  </si>
  <si>
    <t>RMIT University RMIT Australia Melbourne</t>
  </si>
  <si>
    <t>Civil Engineering,Politics &amp; International Studies (incl Development Studies),Medicine &amp; Dentistry,Biological Sciences,Education,Art, Performing Arts &amp; Design,Chemical Engineering,Sociology,Electrical &amp; Electronic Engineering,Geology, Environmental, Earth &amp; Marine Sciences,Economics &amp; Econometrics,Psychology,Mechanical &amp; Aerospace Engineering,Communication &amp; Media Studies,Other Health,Mathematics &amp; Statistics,Business &amp; Management,Computer Science,Physics &amp; Astronomy,Languages, Literature &amp; Linguistics,Agriculture &amp; Forestry,Geography,General Engineering,Chemistry,Accounting &amp; Finance,Architecture,Sport Science,Law</t>
  </si>
  <si>
    <t>Ruhr University Bochum</t>
  </si>
  <si>
    <t>History, Philosophy &amp; Theology,Mathematics &amp; Statistics,Psychology,Languages, Literature &amp; Linguistics,Biological Sciences,Law,Mechanical &amp; Aerospace Engineering,Sociology,Archaeology,Physics &amp; Astronomy,Education,Medicine &amp; Dentistry,Sport Science,Business &amp; Management,Civil Engineering,Geology, Environmental, Earth &amp; Marine Sciences,Art, Performing Arts &amp; Design,Computer Science,Politics &amp; International Studies (incl Development Studies),Economics &amp; Econometrics,Electrical &amp; Electronic Engineering,Chemistry,Other Health,Geography,Accounting &amp; Finance,General Engineering,Communication &amp; Media Studies</t>
  </si>
  <si>
    <t>Sejong University</t>
  </si>
  <si>
    <t>Geology, Environmental, Earth &amp; Marine Sciences,General Engineering,History, Philosophy &amp; Theology,Biological Sciences,Languages, Literature &amp; Linguistics,Sociology,Chemistry,Law,Business &amp; Management,Electrical &amp; Electronic Engineering,Chemical Engineering,Sport Science,Accounting &amp; Finance,Medicine &amp; Dentistry,Mathematics &amp; Statistics,Economics &amp; Econometrics,Art, Performing Arts &amp; Design,Architecture,Physics &amp; Astronomy,Communication &amp; Media Studies,Civil Engineering,Computer Science,Education,Mechanical &amp; Aerospace Engineering,Other Health,Agriculture &amp; Forestry</t>
  </si>
  <si>
    <t>Semmelweis University</t>
  </si>
  <si>
    <t>Hungary</t>
  </si>
  <si>
    <t>Biological Sciences,Education,Other Health,Sociology,Medicine &amp; Dentistry</t>
  </si>
  <si>
    <t>Simon Fraser University</t>
  </si>
  <si>
    <t>Computer Science,Chemistry,Other Health,Politics &amp; International Studies (incl Development Studies),Economics &amp; Econometrics,Biological Sciences,Education,Art, Performing Arts &amp; Design,Mathematics &amp; Statistics,Psychology,History, Philosophy &amp; Theology,Communication &amp; Media Studies,Archaeology,Geology, Environmental, Earth &amp; Marine Sciences,Sport Science,Physics &amp; Astronomy,Business &amp; Management,Electrical &amp; Electronic Engineering,Geography,General Engineering,Law,Languages, Literature &amp; Linguistics,Sociology,Accounting &amp; Finance</t>
  </si>
  <si>
    <t>South China University of Technology</t>
  </si>
  <si>
    <t>38 : 62</t>
  </si>
  <si>
    <t>Computer Science,Communication &amp; Media Studies,Languages, Literature &amp; Linguistics,Other Health,Chemical Engineering,Economics &amp; Econometrics,Architecture,Agriculture &amp; Forestry,Politics &amp; International Studies (incl Development Studies),Sport Science,Sociology,Medicine &amp; Dentistry,Mechanical &amp; Aerospace Engineering,History, Philosophy &amp; Theology,Physics &amp; Astronomy,Business &amp; Management,Art, Performing Arts &amp; Design,Civil Engineering,Geology, Environmental, Earth &amp; Marine Sciences,Electrical &amp; Electronic Engineering,Chemistry,Law,General Engineering,Mathematics &amp; Statistics,Accounting &amp; Finance,Biological Sciences</t>
  </si>
  <si>
    <t>University of Southern Denmark</t>
  </si>
  <si>
    <t>Languages, Literature &amp; Linguistics,Mathematics &amp; Statistics,Accounting &amp; Finance,Sport Science,Art, Performing Arts &amp; Design,Computer Science,Physics &amp; Astronomy,Business &amp; Management,History, Philosophy &amp; Theology,Biological Sciences,Law,Archaeology,Civil Engineering,Geology, Environmental, Earth &amp; Marine Sciences,Education,Other Health,Chemical Engineering,General Engineering,Chemistry,Mechanical &amp; Aerospace Engineering,Communication &amp; Media Studies,Electrical &amp; Electronic Engineering,Politics &amp; International Studies (incl Development Studies),Medicine &amp; Dentistry,Sociology,Psychology,Economics &amp; Econometrics</t>
  </si>
  <si>
    <t>University of South Florida</t>
  </si>
  <si>
    <t>Civil Engineering,Education,Languages, Literature &amp; Linguistics,Electrical &amp; Electronic Engineering,Mathematics &amp; Statistics,Business &amp; Management,Computer Science,Communication &amp; Media Studies,Medicine &amp; Dentistry,Biological Sciences,Sociology,Other Health,Chemistry,Economics &amp; Econometrics,Architecture,Chemical Engineering,Politics &amp; International Studies (incl Development Studies),Psychology,General Engineering,Geology, Environmental, Earth &amp; Marine Sciences,Archaeology,Sport Science,Geography,Art, Performing Arts &amp; Design,Agriculture &amp; Forestry,History, Philosophy &amp; Theology,Mechanical &amp; Aerospace Engineering,Physics &amp; Astronomy,Accounting &amp; Finance</t>
  </si>
  <si>
    <t>Stony Brook University</t>
  </si>
  <si>
    <t>Computer Science,Geography,History, Philosophy &amp; Theology,Civil Engineering,Politics &amp; International Studies (incl Development Studies),Electrical &amp; Electronic Engineering,Psychology,Languages, Literature &amp; Linguistics,Biological Sciences,Sociology,Archaeology,Physics &amp; Astronomy,Accounting &amp; Finance,General Engineering,Geology, Environmental, Earth &amp; Marine Sciences,Art, Performing Arts &amp; Design,Chemical Engineering,Communication &amp; Media Studies,Economics &amp; Econometrics,Other Health,Mathematics &amp; Statistics,Business &amp; Management,Mechanical &amp; Aerospace Engineering,Education,Medicine &amp; Dentistry,Chemistry</t>
  </si>
  <si>
    <t>University of Stuttgart</t>
  </si>
  <si>
    <t>General Engineering,History, Philosophy &amp; Theology,Mathematics &amp; Statistics,Mechanical &amp; Aerospace Engineering,Chemistry,Physics &amp; Astronomy,Architecture,Politics &amp; International Studies (incl Development Studies),Chemical Engineering,Civil Engineering,Computer Science,Biological Sciences,Sport Science,Languages, Literature &amp; Linguistics,Business &amp; Management,Electrical &amp; Electronic Engineering,Sociology</t>
  </si>
  <si>
    <t>University of Surrey</t>
  </si>
  <si>
    <t>Mathematics &amp; Statistics,Law,Communication &amp; Media Studies,Art, Performing Arts &amp; Design,Mechanical &amp; Aerospace Engineering,Electrical &amp; Electronic Engineering,Chemistry,Veterinary Science,Physics &amp; Astronomy,Civil Engineering,Sociology,Languages, Literature &amp; Linguistics,Economics &amp; Econometrics,Politics &amp; International Studies (incl Development Studies),Biological Sciences,Sport Science,Chemical Engineering,Computer Science,Accounting &amp; Finance,Business &amp; Management,Psychology,Geology, Environmental, Earth &amp; Marine Sciences,General Engineering,Other Health</t>
  </si>
  <si>
    <t>UniversitÃ  della Svizzera italiana</t>
  </si>
  <si>
    <t>Business &amp; Management,Medicine &amp; Dentistry,Economics &amp; Econometrics,Computer Science,Accounting &amp; Finance,Architecture,Communication &amp; Media Studies,History, Philosophy &amp; Theology,Languages, Literature &amp; Linguistics</t>
  </si>
  <si>
    <t>Swansea University</t>
  </si>
  <si>
    <t>Electrical &amp; Electronic Engineering,Chemistry,Languages, Literature &amp; Linguistics,Mathematics &amp; Statistics,Business &amp; Management,History, Philosophy &amp; Theology,Mechanical &amp; Aerospace Engineering,Sociology,Other Health,Chemical Engineering,Psychology,Computer Science,Communication &amp; Media Studies,Medicine &amp; Dentistry,Sport Science,Politics &amp; International Studies (incl Development Studies),Archaeology,Biological Sciences,Geography,Geology, Environmental, Earth &amp; Marine Sciences,Economics &amp; Econometrics,Physics &amp; Astronomy,Education,General Engineering,Civil Engineering,Accounting &amp; Finance,Law</t>
  </si>
  <si>
    <t>University of Tasmania</t>
  </si>
  <si>
    <t>Other Health,Geology, Environmental, Earth &amp; Marine Sciences,Languages, Literature &amp; Linguistics,Biological Sciences,Geography,Architecture,Sport Science,Economics &amp; Econometrics,Electrical &amp; Electronic Engineering,Politics &amp; International Studies (incl Development Studies),Computer Science,Physics &amp; Astronomy,Business &amp; Management,History, Philosophy &amp; Theology,Agriculture &amp; Forestry,Sociology,Art, Performing Arts &amp; Design,Mechanical &amp; Aerospace Engineering,Communication &amp; Media Studies,Education,Civil Engineering,Law,General Engineering,Mathematics &amp; Statistics,Psychology,Medicine &amp; Dentistry,Chemistry,Accounting &amp; Finance</t>
  </si>
  <si>
    <t>Technical University of Darmstadt</t>
  </si>
  <si>
    <t>Technical University of Darmstadt Technical University of Darmstadt</t>
  </si>
  <si>
    <t>General Engineering,Computer Science,Chemistry,Other Health,Physics &amp; Astronomy,Education,Biological Sciences,Psychology,Electrical &amp; Electronic Engineering,Sociology,Architecture,Civil Engineering,Economics &amp; Econometrics,History, Philosophy &amp; Theology,Chemical Engineering,Languages, Literature &amp; Linguistics,Mathematics &amp; Statistics,Business &amp; Management,Mechanical &amp; Aerospace Engineering,Geology, Environmental, Earth &amp; Marine Sciences,Sport Science,Politics &amp; International Studies (incl Development Studies)</t>
  </si>
  <si>
    <t>TU Wien</t>
  </si>
  <si>
    <t>General Engineering,Chemistry,Chemical Engineering,Civil Engineering,Architecture,Physics &amp; Astronomy,Electrical &amp; Electronic Engineering,Geology, Environmental, Earth &amp; Marine Sciences</t>
  </si>
  <si>
    <t>Virginia Polytechnic Institute and State University</t>
  </si>
  <si>
    <t>Virginia Polytechnic Institute and State University virginia tech virginia</t>
  </si>
  <si>
    <t>General Engineering,Chemistry,Architecture,Biological Sciences,Mathematics &amp; Statistics,Economics &amp; Econometrics,Languages, Literature &amp; Linguistics,Agriculture &amp; Forestry,Politics &amp; International Studies (incl Development Studies),Geography,Civil Engineering,Communication &amp; Media Studies,History, Philosophy &amp; Theology,Chemical Engineering,Physics &amp; Astronomy,Medicine &amp; Dentistry,Sport Science,Accounting &amp; Finance,Archaeology,Mechanical &amp; Aerospace Engineering,Psychology,Art, Performing Arts &amp; Design,Other Health,Geology, Environmental, Earth &amp; Marine Sciences,Sociology,Computer Science,Veterinary Science,Business &amp; Management,Electrical &amp; Electronic Engineering,Education</t>
  </si>
  <si>
    <t>Vita-Salute San Raffaele University</t>
  </si>
  <si>
    <t>Medicine &amp; Dentistry,Biological Sciences,Psychology,History, Philosophy &amp; Theology,Other Health</t>
  </si>
  <si>
    <t>Xiâ€™an Jiaotong University</t>
  </si>
  <si>
    <t>Languages, Literature &amp; Linguistics,Civil Engineering,Geology, Environmental, Earth &amp; Marine Sciences,Economics &amp; Econometrics,Other Health,Chemistry,Psychology,General Engineering,Veterinary Science,Communication &amp; Media Studies,Electrical &amp; Electronic Engineering,Physics &amp; Astronomy,Business &amp; Management,History, Philosophy &amp; Theology,Agriculture &amp; Forestry,Education,Architecture,Sport Science,Law,Archaeology,Mechanical &amp; Aerospace Engineering,Politics &amp; International Studies (incl Development Studies),Accounting &amp; Finance,Medicine &amp; Dentistry,Biological Sciences,Geography,Computer Science,Mathematics &amp; Statistics,Art, Performing Arts &amp; Design,Chemical Engineering,Sociology</t>
  </si>
  <si>
    <t>301â€“350</t>
  </si>
  <si>
    <t>Beihang University</t>
  </si>
  <si>
    <t>51.1â€“53.0</t>
  </si>
  <si>
    <t>Geology, Environmental, Earth &amp; Marine Sciences,Chemistry,Chemical Engineering,Civil Engineering,General Engineering,Law,Computer Science,Languages, Literature &amp; Linguistics,Business &amp; Management,Mathematics &amp; Statistics,Mechanical &amp; Aerospace Engineering,Economics &amp; Econometrics,Art, Performing Arts &amp; Design,Electrical &amp; Electronic Engineering,Physics &amp; Astronomy</t>
  </si>
  <si>
    <t>Birkbeck, University of London</t>
  </si>
  <si>
    <t>History, Philosophy &amp; Theology,Education,Physics &amp; Astronomy,Politics &amp; International Studies (incl Development Studies),Mathematics &amp; Statistics,Geography,Accounting &amp; Finance,Economics &amp; Econometrics,Business &amp; Management,Geology, Environmental, Earth &amp; Marine Sciences,Biological Sciences,Computer Science,Sociology,Law,Languages, Literature &amp; Linguistics,Archaeology,Psychology,Art, Performing Arts &amp; Design,Communication &amp; Media Studies</t>
  </si>
  <si>
    <t>University of Bremen</t>
  </si>
  <si>
    <t>Geology, Environmental, Earth &amp; Marine Sciences,Economics &amp; Econometrics,Politics &amp; International Studies (incl Development Studies),Other Health,General Engineering,Mechanical &amp; Aerospace Engineering,Agriculture &amp; Forestry,Geography,Electrical &amp; Electronic Engineering,Communication &amp; Media Studies,Art, Performing Arts &amp; Design,Biological Sciences,Law,Chemical Engineering,Sociology,History, Philosophy &amp; Theology,Mathematics &amp; Statistics,Psychology,Languages, Literature &amp; Linguistics,Sport Science,Education,Computer Science,Chemistry,Accounting &amp; Finance,Physics &amp; Astronomy,Business &amp; Management</t>
  </si>
  <si>
    <t>University at Buffalo</t>
  </si>
  <si>
    <t>Art, Performing Arts &amp; Design,Business &amp; Management,Sport Science,Law,Agriculture &amp; Forestry,Architecture,Biological Sciences,General Engineering,Chemistry,Chemical Engineering,Archaeology,Mechanical &amp; Aerospace Engineering,Geography,Politics &amp; International Studies (incl Development Studies),Civil Engineering,Computer Science,Sociology,Mathematics &amp; Statistics,History, Philosophy &amp; Theology,Economics &amp; Econometrics,Medicine &amp; Dentistry,Geology, Environmental, Earth &amp; Marine Sciences,Physics &amp; Astronomy,Education,Languages, Literature &amp; Linguistics,Psychology,Other Health,Accounting &amp; Finance,Electrical &amp; Electronic Engineering,Communication &amp; Media Studies</t>
  </si>
  <si>
    <t>UniversitÃ  Cattolica del Sacro Cuore</t>
  </si>
  <si>
    <t>History, Philosophy &amp; Theology,Sociology,Medicine &amp; Dentistry,Accounting &amp; Finance,Physics &amp; Astronomy,Law,Archaeology,Art, Performing Arts &amp; Design,Agriculture &amp; Forestry,Psychology,Communication &amp; Media Studies,Education,Languages, Literature &amp; Linguistics,Politics &amp; International Studies (incl Development Studies),Mathematics &amp; Statistics,Business &amp; Management,Other Health,Sport Science,Economics &amp; Econometrics</t>
  </si>
  <si>
    <t>China Medical University, Taiwan</t>
  </si>
  <si>
    <t>History, Philosophy &amp; Theology,Medicine &amp; Dentistry,Veterinary Science,Biological Sciences,Business &amp; Management,Other Health,Geology, Environmental, Earth &amp; Marine Sciences,General Engineering,Sport Science,Law</t>
  </si>
  <si>
    <t>Copenhagen Business School</t>
  </si>
  <si>
    <t>Politics &amp; International Studies (incl Development Studies),Psychology,Economics &amp; Econometrics,Communication &amp; Media Studies,Law,Mathematics &amp; Statistics,History, Philosophy &amp; Theology,Accounting &amp; Finance,Other Health,Sociology,Computer Science,Business &amp; Management</t>
  </si>
  <si>
    <t>Dalhousie University</t>
  </si>
  <si>
    <t>Physics &amp; Astronomy,Business &amp; Management,Chemistry,Sport Science,Communication &amp; Media Studies,Economics &amp; Econometrics,Mathematics &amp; Statistics,Chemical Engineering,Architecture,Mechanical &amp; Aerospace Engineering,Geology, Environmental, Earth &amp; Marine Sciences,Art, Performing Arts &amp; Design,Law,Veterinary Science,Politics &amp; International Studies (incl Development Studies),Languages, Literature &amp; Linguistics,Other Health,Accounting &amp; Finance,Electrical &amp; Electronic Engineering,History, Philosophy &amp; Theology,Civil Engineering,Medicine &amp; Dentistry,Computer Science,General Engineering,Agriculture &amp; Forestry,Psychology,Biological Sciences,Sociology</t>
  </si>
  <si>
    <t>Drexel University</t>
  </si>
  <si>
    <t>General Engineering,Chemistry,Architecture,Agriculture &amp; Forestry,Psychology,Languages, Literature &amp; Linguistics,Electrical &amp; Electronic Engineering,Communication &amp; Media Studies,Business &amp; Management,Other Health,Veterinary Science,Sociology,Medicine &amp; Dentistry,Chemical Engineering,Geology, Environmental, Earth &amp; Marine Sciences,Economics &amp; Econometrics,Computer Science,Physics &amp; Astronomy,History, Philosophy &amp; Theology,Sport Science,Law,Civil Engineering,Politics &amp; International Studies (incl Development Studies),Mechanical &amp; Aerospace Engineering,Mathematics &amp; Statistics,Accounting &amp; Finance,Art, Performing Arts &amp; Design,Biological Sciences,Education</t>
  </si>
  <si>
    <t>University of Dundee</t>
  </si>
  <si>
    <t>Medicine &amp; Dentistry,Electrical &amp; Electronic Engineering,Economics &amp; Econometrics,Education,Civil Engineering,Psychology,Art, Performing Arts &amp; Design,Biological Sciences,Languages, Literature &amp; Linguistics,Computer Science,Other Health,Geography,Politics &amp; International Studies (incl Development Studies),Mechanical &amp; Aerospace Engineering,Law,Architecture,Geology, Environmental, Earth &amp; Marine Sciences,Mathematics &amp; Statistics,History, Philosophy &amp; Theology,Communication &amp; Media Studies,Business &amp; Management,Physics &amp; Astronomy,Accounting &amp; Finance</t>
  </si>
  <si>
    <t>East China Normal University</t>
  </si>
  <si>
    <t>East China Normal University ecnu</t>
  </si>
  <si>
    <t>Languages, Literature &amp; Linguistics,Mathematics &amp; Statistics,Psychology,Education,Physics &amp; Astronomy,Law,Computer Science,Art, Performing Arts &amp; Design,Sociology,Sport Science,Politics &amp; International Studies (incl Development Studies),Economics &amp; Econometrics,Other Health,Chemistry,Communication &amp; Media Studies,Business &amp; Management,Biological Sciences,Electrical &amp; Electronic Engineering,Accounting &amp; Finance,Medicine &amp; Dentistry,Geography,Geology, Environmental, Earth &amp; Marine Sciences,History, Philosophy &amp; Theology</t>
  </si>
  <si>
    <t>University of Essex</t>
  </si>
  <si>
    <t>Politics &amp; International Studies (incl Development Studies),Biological Sciences,Sociology,Art, Performing Arts &amp; Design,History, Philosophy &amp; Theology,Languages, Literature &amp; Linguistics,Communication &amp; Media Studies,Computer Science,Psychology,Economics &amp; Econometrics,Sport Science,Business &amp; Management,Mathematics &amp; Statistics,General Engineering,Other Health,Accounting &amp; Finance,Electrical &amp; Electronic Engineering,Law</t>
  </si>
  <si>
    <t>Flinders University</t>
  </si>
  <si>
    <t>Art, Performing Arts &amp; Design,Languages, Literature &amp; Linguistics,Archaeology,Medicine &amp; Dentistry,Other Health,Computer Science,Electrical &amp; Electronic Engineering,General Engineering,Civil Engineering,Biological Sciences,Veterinary Science,Sport Science,Geology, Environmental, Earth &amp; Marine Sciences,Communication &amp; Media Studies,Politics &amp; International Studies (incl Development Studies),Law,Education,Psychology,Business &amp; Management,Accounting &amp; Finance,Economics &amp; Econometrics</t>
  </si>
  <si>
    <t>University of Galway</t>
  </si>
  <si>
    <t>University of Galway nui nui galway</t>
  </si>
  <si>
    <t>Physics &amp; Astronomy,Languages, Literature &amp; Linguistics,Psychology,Geology, Environmental, Earth &amp; Marine Sciences,Education,Mathematics &amp; Statistics,Agriculture &amp; Forestry,Medicine &amp; Dentistry,Chemistry,Computer Science,Mechanical &amp; Aerospace Engineering,Electrical &amp; Electronic Engineering,Politics &amp; International Studies (incl Development Studies),General Engineering,Law,Geography,Sociology,Archaeology,Art, Performing Arts &amp; Design,Accounting &amp; Finance,History, Philosophy &amp; Theology,Communication &amp; Media Studies,Biological Sciences,Economics &amp; Econometrics,Business &amp; Management,Other Health,Civil Engineering</t>
  </si>
  <si>
    <t>UniversitÃ© Grenoble Alpes</t>
  </si>
  <si>
    <t>Geology, Environmental, Earth &amp; Marine Sciences,Computer Science,Business &amp; Management,Physics &amp; Astronomy,General Engineering,Languages, Literature &amp; Linguistics,Medicine &amp; Dentistry,Economics &amp; Econometrics,Communication &amp; Media Studies,Sociology,Electrical &amp; Electronic Engineering,Accounting &amp; Finance,Sport Science,Civil Engineering,Art, Performing Arts &amp; Design,Agriculture &amp; Forestry,Law,Architecture,History, Philosophy &amp; Theology,Biological Sciences,Archaeology,Chemistry,Politics &amp; International Studies (incl Development Studies),Mathematics &amp; Statistics,Education,Mechanical &amp; Aerospace Engineering,Psychology,Chemical Engineering,Other Health,Geography</t>
  </si>
  <si>
    <t>Hanyang University</t>
  </si>
  <si>
    <t>Medicine &amp; Dentistry,Physics &amp; Astronomy,Business &amp; Management,Other Health,Biological Sciences,Law,Art, Performing Arts &amp; Design,General Engineering,Communication &amp; Media Studies,Mechanical &amp; Aerospace Engineering,Sociology,Languages, Literature &amp; Linguistics,Chemistry,Architecture,Mathematics &amp; Statistics,Electrical &amp; Electronic Engineering,Politics &amp; International Studies (incl Development Studies),History, Philosophy &amp; Theology,Sport Science,Economics &amp; Econometrics,Civil Engineering,Geology, Environmental, Earth &amp; Marine Sciences,Education,Computer Science,Chemical Engineering,Accounting &amp; Finance</t>
  </si>
  <si>
    <t>Hebrew University of Jerusalem</t>
  </si>
  <si>
    <t>Other Health,Languages, Literature &amp; Linguistics,Veterinary Science,Education,Physics &amp; Astronomy,Politics &amp; International Studies (incl Development Studies),Accounting &amp; Finance,Art, Performing Arts &amp; Design,Mathematics &amp; Statistics,Agriculture &amp; Forestry,Economics &amp; Econometrics,Geology, Environmental, Earth &amp; Marine Sciences,Medicine &amp; Dentistry,Computer Science,Business &amp; Management,Chemistry,Geography,Communication &amp; Media Studies,Electrical &amp; Electronic Engineering,Archaeology,Law,Sociology,Biological Sciences,Psychology,History, Philosophy &amp; Theology</t>
  </si>
  <si>
    <t>Hong Kong Baptist University</t>
  </si>
  <si>
    <t>Hong Kong Baptist University hkbu</t>
  </si>
  <si>
    <t>Economics &amp; Econometrics,Art, Performing Arts &amp; Design,Mathematics &amp; Statistics,Chemistry,Politics &amp; International Studies (incl Development Studies),Languages, Literature &amp; Linguistics,Communication &amp; Media Studies,Geography,Sociology,Biological Sciences,Business &amp; Management,Medicine &amp; Dentistry,Computer Science,Physics &amp; Astronomy,Agriculture &amp; Forestry,Sport Science,History, Philosophy &amp; Theology,Education,Accounting &amp; Finance</t>
  </si>
  <si>
    <t>University of Innsbruck</t>
  </si>
  <si>
    <t>Education,Geology, Environmental, Earth &amp; Marine Sciences,Physics &amp; Astronomy,Sport Science,Politics &amp; International Studies (incl Development Studies),General Engineering,Computer Science,Chemical Engineering,Communication &amp; Media Studies,Psychology,Economics &amp; Econometrics,Other Health,Business &amp; Management,Accounting &amp; Finance,Archaeology,Chemistry,Law,Electrical &amp; Electronic Engineering,Mathematics &amp; Statistics,Civil Engineering,Sociology,Geography,Languages, Literature &amp; Linguistics,History, Philosophy &amp; Theology,Biological Sciences,Architecture</t>
  </si>
  <si>
    <t>University of Kiel</t>
  </si>
  <si>
    <t>Civil Engineering,Communication &amp; Media Studies,Geography,Business &amp; Management,Other Health,Mathematics &amp; Statistics,Sociology,Accounting &amp; Finance,Electrical &amp; Electronic Engineering,Biological Sciences,Economics &amp; Econometrics,Languages, Literature &amp; Linguistics,Mechanical &amp; Aerospace Engineering,Medicine &amp; Dentistry,Geology, Environmental, Earth &amp; Marine Sciences,Law,History, Philosophy &amp; Theology,Sport Science,General Engineering,Art, Performing Arts &amp; Design,Chemical Engineering,Chemistry,Psychology,Computer Science,Physics &amp; Astronomy,Archaeology,Agriculture &amp; Forestry,Politics &amp; International Studies (incl Development Studies),Education</t>
  </si>
  <si>
    <t>Kyushu University</t>
  </si>
  <si>
    <t>Computer Science,Archaeology,Electrical &amp; Electronic Engineering,Sociology,General Engineering,Medicine &amp; Dentistry,Psychology,Sport Science,Veterinary Science,Business &amp; Management,Architecture,Biological Sciences,Geology, Environmental, Earth &amp; Marine Sciences,Chemistry,Accounting &amp; Finance,Geography,Art, Performing Arts &amp; Design,Other Health,Politics &amp; International Studies (incl Development Studies),Civil Engineering,Languages, Literature &amp; Linguistics,Mechanical &amp; Aerospace Engineering,Agriculture &amp; Forestry,Education,Mathematics &amp; Statistics,Chemical Engineering,Law,History, Philosophy &amp; Theology,Physics &amp; Astronomy,Communication &amp; Media Studies,Economics &amp; Econometrics</t>
  </si>
  <si>
    <t>University of LiÃ¨ge</t>
  </si>
  <si>
    <t>Other Health,Mathematics &amp; Statistics,Archaeology,Veterinary Science,Sociology,Medicine &amp; Dentistry,Civil Engineering,Geology, Environmental, Earth &amp; Marine Sciences,Accounting &amp; Finance,Languages, Literature &amp; Linguistics,Chemical Engineering,Law,Economics &amp; Econometrics,Electrical &amp; Electronic Engineering,Physics &amp; Astronomy,Business &amp; Management,Architecture,Biological Sciences,Politics &amp; International Studies (incl Development Studies),Mechanical &amp; Aerospace Engineering,Communication &amp; Media Studies,Computer Science,Sport Science,Education,General Engineering,Chemistry,History, Philosophy &amp; Theology,Agriculture &amp; Forestry,Geography,Psychology</t>
  </si>
  <si>
    <t>Montpellier University</t>
  </si>
  <si>
    <t>Geology, Environmental, Earth &amp; Marine Sciences,Computer Science,Biological Sciences,Law,Mechanical &amp; Aerospace Engineering,Chemistry,Veterinary Science,Education,Medicine &amp; Dentistry,Agriculture &amp; Forestry,Business &amp; Management,Civil Engineering,Politics &amp; International Studies (incl Development Studies),General Engineering,Mathematics &amp; Statistics,Chemical Engineering,Economics &amp; Econometrics,Other Health,Sport Science,Accounting &amp; Finance,Electrical &amp; Electronic Engineering,Physics &amp; Astronomy</t>
  </si>
  <si>
    <t>University of Navarra</t>
  </si>
  <si>
    <t>Computer Science,Psychology,Archaeology,Law,General Engineering,Business &amp; Management,Chemistry,Architecture,Mechanical &amp; Aerospace Engineering,Electrical &amp; Electronic Engineering,Accounting &amp; Finance,Education,Art, Performing Arts &amp; Design,Politics &amp; International Studies (incl Development Studies),Languages, Literature &amp; Linguistics,Communication &amp; Media Studies,Other Health,Biological Sciences,Medicine &amp; Dentistry,Geology, Environmental, Earth &amp; Marine Sciences,History, Philosophy &amp; Theology,Economics &amp; Econometrics</t>
  </si>
  <si>
    <t>Northwestern Polytechnical University</t>
  </si>
  <si>
    <t>General Engineering,Geology, Environmental, Earth &amp; Marine Sciences,Chemical Engineering,Accounting &amp; Finance,Languages, Literature &amp; Linguistics,Mathematics &amp; Statistics,Economics &amp; Econometrics,Art, Performing Arts &amp; Design,Civil Engineering,Business &amp; Management,Architecture,Sport Science,Medicine &amp; Dentistry,Physics &amp; Astronomy,Computer Science,Chemistry,Electrical &amp; Electronic Engineering,Education,Mechanical &amp; Aerospace Engineering,Law,Biological Sciences,Politics &amp; International Studies (incl Development Studies)</t>
  </si>
  <si>
    <t>Norwegian University of Science and Technology</t>
  </si>
  <si>
    <t>Civil Engineering,Sociology,Art, Performing Arts &amp; Design,Chemical Engineering,Accounting &amp; Finance,Other Health,Electrical &amp; Electronic Engineering,Geography,History, Philosophy &amp; Theology,Geology, Environmental, Earth &amp; Marine Sciences,Economics &amp; Econometrics,Architecture,Mathematics &amp; Statistics,Education,Biological Sciences,Business &amp; Management,Computer Science,Physics &amp; Astronomy,Psychology,Archaeology,Mechanical &amp; Aerospace Engineering,Communication &amp; Media Studies,Medicine &amp; Dentistry,General Engineering,Chemistry,Languages, Literature &amp; Linguistics,Sport Science,Politics &amp; International Studies (incl Development Studies)</t>
  </si>
  <si>
    <t>Oregon Health and Science University</t>
  </si>
  <si>
    <t>Psychology,Medicine &amp; Dentistry,Chemistry,Biological Sciences,Other Health</t>
  </si>
  <si>
    <t>University of Otago</t>
  </si>
  <si>
    <t>General Engineering,Chemistry,Chemical Engineering,Other Health,Communication &amp; Media Studies,Sport Science,History, Philosophy &amp; Theology,Education,Biological Sciences,Psychology,Geography,Art, Performing Arts &amp; Design,Politics &amp; International Studies (incl Development Studies),Law,Mathematics &amp; Statistics,Economics &amp; Econometrics,Archaeology,Medicine &amp; Dentistry,Accounting &amp; Finance,Physics &amp; Astronomy,Agriculture &amp; Forestry,Geology, Environmental, Earth &amp; Marine Sciences,Computer Science,Business &amp; Management,Languages, Literature &amp; Linguistics,Veterinary Science,Sociology</t>
  </si>
  <si>
    <t>University of Pavia</t>
  </si>
  <si>
    <t>Medicine &amp; Dentistry,Mathematics &amp; Statistics,Computer Science,Geology, Environmental, Earth &amp; Marine Sciences,Other Health,Physics &amp; Astronomy,Art, Performing Arts &amp; Design,Biological Sciences,Politics &amp; International Studies (incl Development Studies),Languages, Literature &amp; Linguistics,Agriculture &amp; Forestry,Communication &amp; Media Studies,History, Philosophy &amp; Theology,Civil Engineering,Accounting &amp; Finance,Mechanical &amp; Aerospace Engineering,Psychology,Electrical &amp; Electronic Engineering,Chemistry,Economics &amp; Econometrics,Archaeology,Sport Science,Law,General Engineering,Business &amp; Management</t>
  </si>
  <si>
    <t>University of Rome II â€“ Tor Vergata</t>
  </si>
  <si>
    <t>Computer Science,Biological Sciences,Chemical Engineering,Education,General Engineering,Chemistry,Art, Performing Arts &amp; Design,Civil Engineering,Accounting &amp; Finance,History, Philosophy &amp; Theology,Sport Science,Economics &amp; Econometrics,Architecture,Communication &amp; Media Studies,Medicine &amp; Dentistry,Law,Other Health,Physics &amp; Astronomy,Languages, Literature &amp; Linguistics,Mechanical &amp; Aerospace Engineering,Business &amp; Management,Electrical &amp; Electronic Engineering,Mathematics &amp; Statistics</t>
  </si>
  <si>
    <t>Royal Holloway, University of London</t>
  </si>
  <si>
    <t>History, Philosophy &amp; Theology,Sociology,Electrical &amp; Electronic Engineering,Business &amp; Management,Law,Computer Science,Politics &amp; International Studies (incl Development Studies),Languages, Literature &amp; Linguistics,Mathematics &amp; Statistics,Accounting &amp; Finance,Art, Performing Arts &amp; Design,Biological Sciences,Psychology,Geology, Environmental, Earth &amp; Marine Sciences,Geography,Archaeology,Physics &amp; Astronomy,Other Health,Communication &amp; Media Studies,Economics &amp; Econometrics</t>
  </si>
  <si>
    <t>St Georgeâ€™s, University of London</t>
  </si>
  <si>
    <t>Sharif University of Technology</t>
  </si>
  <si>
    <t>Iran</t>
  </si>
  <si>
    <t>26 : 74</t>
  </si>
  <si>
    <t>Business &amp; Management,Chemistry,Languages, Literature &amp; Linguistics,Computer Science,Physics &amp; Astronomy,Electrical &amp; Electronic Engineering,Mathematics &amp; Statistics,Economics &amp; Econometrics,General Engineering,Civil Engineering,History, Philosophy &amp; Theology,Accounting &amp; Finance,Chemical Engineering,Mechanical &amp; Aerospace Engineering</t>
  </si>
  <si>
    <t>University of South Australia</t>
  </si>
  <si>
    <t>Mechanical &amp; Aerospace Engineering,General Engineering,Civil Engineering,Architecture,Economics &amp; Econometrics,Sport Science,History, Philosophy &amp; Theology,Art, Performing Arts &amp; Design,Sociology,Law,Accounting &amp; Finance,Business &amp; Management,Other Health,Communication &amp; Media Studies,Geology, Environmental, Earth &amp; Marine Sciences,Computer Science,Electrical &amp; Electronic Engineering,Psychology,Languages, Literature &amp; Linguistics,Mathematics &amp; Statistics,Biological Sciences,Medicine &amp; Dentistry,Education</t>
  </si>
  <si>
    <t>Southeast University</t>
  </si>
  <si>
    <t>36 : 64</t>
  </si>
  <si>
    <t>Medicine &amp; Dentistry,Physics &amp; Astronomy,Education,Art, Performing Arts &amp; Design,Civil Engineering,Accounting &amp; Finance,Architecture,Sport Science,Economics &amp; Econometrics,Computer Science,Law,General Engineering,Sociology,Mechanical &amp; Aerospace Engineering,Chemistry,Languages, Literature &amp; Linguistics,Chemical Engineering,Business &amp; Management,Other Health,Mathematics &amp; Statistics,History, Philosophy &amp; Theology,Biological Sciences,Psychology,Electrical &amp; Electronic Engineering,Geology, Environmental, Earth &amp; Marine Sciences</t>
  </si>
  <si>
    <t>Stellenbosch University</t>
  </si>
  <si>
    <t>Stellenbosch University SU South Africa</t>
  </si>
  <si>
    <t>Art, Performing Arts &amp; Design,Civil Engineering,Geology, Environmental, Earth &amp; Marine Sciences,Medicine &amp; Dentistry,Chemistry,Business &amp; Management,Computer Science,Sociology,Psychology,Languages, Literature &amp; Linguistics,Mechanical &amp; Aerospace Engineering,Politics &amp; International Studies (incl Development Studies),Economics &amp; Econometrics,Other Health,Geography,Electrical &amp; Electronic Engineering,Sport Science,Accounting &amp; Finance,History, Philosophy &amp; Theology,General Engineering,Mathematics &amp; Statistics,Agriculture &amp; Forestry,Communication &amp; Media Studies,Archaeology,Biological Sciences,Law,Chemical Engineering,Physics &amp; Astronomy,Education</t>
  </si>
  <si>
    <t>University of Strathclyde</t>
  </si>
  <si>
    <t>History, Philosophy &amp; Theology,Agriculture &amp; Forestry,Geology, Environmental, Earth &amp; Marine Sciences,Economics &amp; Econometrics,Art, Performing Arts &amp; Design,General Engineering,Communication &amp; Media Studies,Civil Engineering,Sociology,Electrical &amp; Electronic Engineering,Politics &amp; International Studies (incl Development Studies),Other Health,Mathematics &amp; Statistics,Psychology,Sport Science,Education,Languages, Literature &amp; Linguistics,Biological Sciences,Business &amp; Management,Computer Science,Chemical Engineering,Geography,Mechanical &amp; Aerospace Engineering,Chemistry,Law,Architecture,Physics &amp; Astronomy,Accounting &amp; Finance</t>
  </si>
  <si>
    <t>Swedish University of Agricultural Sciences</t>
  </si>
  <si>
    <t>Communication &amp; Media Studies,Biological Sciences,Economics &amp; Econometrics,Politics &amp; International Studies (incl Development Studies),Chemistry,Agriculture &amp; Forestry,Architecture,Civil Engineering,Geology, Environmental, Earth &amp; Marine Sciences,Veterinary Science,Business &amp; Management</t>
  </si>
  <si>
    <t>Tampere University</t>
  </si>
  <si>
    <t>Languages, Literature &amp; Linguistics,General Engineering,History, Philosophy &amp; Theology,Electrical &amp; Electronic Engineering,Law,Other Health,Communication &amp; Media Studies,Economics &amp; Econometrics,Medicine &amp; Dentistry,Civil Engineering,Politics &amp; International Studies (incl Development Studies),Chemistry,Psychology,Architecture,Mechanical &amp; Aerospace Engineering,Geology, Environmental, Earth &amp; Marine Sciences,Education,Mathematics &amp; Statistics,Accounting &amp; Finance,Art, Performing Arts &amp; Design,Computer Science,Sociology,Chemical Engineering,Business &amp; Management</t>
  </si>
  <si>
    <t>University of Tartu</t>
  </si>
  <si>
    <t>Estonia</t>
  </si>
  <si>
    <t>Computer Science,Geography,Psychology,Other Health,Physics &amp; Astronomy,Economics &amp; Econometrics,Art, Performing Arts &amp; Design,Medicine &amp; Dentistry,Law,Electrical &amp; Electronic Engineering,Geology, Environmental, Earth &amp; Marine Sciences,Biological Sciences,Communication &amp; Media Studies,Archaeology,Chemistry,Languages, Literature &amp; Linguistics,Sport Science,Education,Agriculture &amp; Forestry,Politics &amp; International Studies (incl Development Studies),Accounting &amp; Finance,History, Philosophy &amp; Theology,Mathematics &amp; Statistics,Business &amp; Management,Veterinary Science,Sociology</t>
  </si>
  <si>
    <t>Universiti Teknologi Petronas</t>
  </si>
  <si>
    <t>Universiti Teknologi Petronas UTP Petronas University of Technology University Technology Petronas</t>
  </si>
  <si>
    <t>Electrical &amp; Electronic Engineering,Chemical Engineering,Chemistry,Geology, Environmental, Earth &amp; Marine Sciences,Mechanical &amp; Aerospace Engineering,Computer Science,Civil Engineering,Business &amp; Management,General Engineering</t>
  </si>
  <si>
    <t>The University of Tennessee-Knoxville</t>
  </si>
  <si>
    <t>Computer Science,Veterinary Science,Physics &amp; Astronomy,Sociology,Business &amp; Management,Art, Performing Arts &amp; Design,Psychology,Other Health,Mathematics &amp; Statistics,History, Philosophy &amp; Theology,Law,Biological Sciences,Mechanical &amp; Aerospace Engineering,Politics &amp; International Studies (incl Development Studies),Chemical Engineering,Languages, Literature &amp; Linguistics,Geology, Environmental, Earth &amp; Marine Sciences,Geography,Economics &amp; Econometrics,Architecture,Agriculture &amp; Forestry,Electrical &amp; Electronic Engineering,Education,Communication &amp; Media Studies,Archaeology,Chemistry,Sport Science,Civil Engineering,Accounting &amp; Finance,General Engineering</t>
  </si>
  <si>
    <t>University of Turku</t>
  </si>
  <si>
    <t>Other Health,Geology, Environmental, Earth &amp; Marine Sciences,Psychology,Civil Engineering,Sociology,History, Philosophy &amp; Theology,Biological Sciences,Law,Chemical Engineering,Education,Medicine &amp; Dentistry,Politics &amp; International Studies (incl Development Studies),Mathematics &amp; Statistics,Economics &amp; Econometrics,Physics &amp; Astronomy,Accounting &amp; Finance,Computer Science,Communication &amp; Media Studies,Languages, Literature &amp; Linguistics,Chemistry,Business &amp; Management,Archaeology,Geography</t>
  </si>
  <si>
    <t>United Arab Emirates University</t>
  </si>
  <si>
    <t>Geology, Environmental, Earth &amp; Marine Sciences,Politics &amp; International Studies (incl Development Studies),Chemical Engineering,Biological Sciences,Sociology,Agriculture &amp; Forestry,Other Health,Communication &amp; Media Studies,Archaeology,Veterinary Science,History, Philosophy &amp; Theology,Architecture,Education,Business &amp; Management,Psychology,Law,Mathematics &amp; Statistics,Accounting &amp; Finance,Computer Science,Mechanical &amp; Aerospace Engineering,Art, Performing Arts &amp; Design,Medicine &amp; Dentistry,Civil Engineering,Chemistry,Languages, Literature &amp; Linguistics,General Engineering,Physics &amp; Astronomy,Electrical &amp; Electronic Engineering,Economics &amp; Econometrics,Geography</t>
  </si>
  <si>
    <t>University College Cork</t>
  </si>
  <si>
    <t>University College Cork ucc</t>
  </si>
  <si>
    <t>Other Health,Civil Engineering,Architecture,Sociology,Art, Performing Arts &amp; Design,Mechanical &amp; Aerospace Engineering,Agriculture &amp; Forestry,Biological Sciences,Languages, Literature &amp; Linguistics,Physics &amp; Astronomy,Economics &amp; Econometrics,Business &amp; Management,Psychology,Mathematics &amp; Statistics,General Engineering,Archaeology,Geography,Medicine &amp; Dentistry,Law,Chemical Engineering,Geology, Environmental, Earth &amp; Marine Sciences,Electrical &amp; Electronic Engineering,Sport Science,Accounting &amp; Finance,Computer Science,Education,Chemistry,History, Philosophy &amp; Theology,Politics &amp; International Studies (incl Development Studies)</t>
  </si>
  <si>
    <t>Washington State University</t>
  </si>
  <si>
    <t>Archaeology,Medicine &amp; Dentistry,Chemical Engineering,Politics &amp; International Studies (incl Development Studies),Other Health,Mathematics &amp; Statistics,Education,Mechanical &amp; Aerospace Engineering,Sport Science,Architecture,Civil Engineering,Geography,General Engineering,Chemistry,Economics &amp; Econometrics,History, Philosophy &amp; Theology,Veterinary Science,Psychology,Art, Performing Arts &amp; Design,Electrical &amp; Electronic Engineering,Geology, Environmental, Earth &amp; Marine Sciences,Accounting &amp; Finance,Languages, Literature &amp; Linguistics,Agriculture &amp; Forestry,Communication &amp; Media Studies,Business &amp; Management,Computer Science,Physics &amp; Astronomy,Biological Sciences,Sociology</t>
  </si>
  <si>
    <t>Western Sydney University</t>
  </si>
  <si>
    <t>Western Sydney University University of Western Sydney WSU UWS</t>
  </si>
  <si>
    <t>Civil Engineering,Geology, Environmental, Earth &amp; Marine Sciences,Business &amp; Management,Archaeology,Veterinary Science,Communication &amp; Media Studies,History, Philosophy &amp; Theology,Mechanical &amp; Aerospace Engineering,Geography,Medicine &amp; Dentistry,Biological Sciences,Law,Computer Science,Physics &amp; Astronomy,Education,Other Health,Sport Science,Psychology,Architecture,Agriculture &amp; Forestry,Politics &amp; International Studies (incl Development Studies),General Engineering,Chemistry,Accounting &amp; Finance,Art, Performing Arts &amp; Design,Chemical Engineering,Sociology,Languages, Literature &amp; Linguistics,Electrical &amp; Electronic Engineering,Mathematics &amp; Statistics,Economics &amp; Econometrics</t>
  </si>
  <si>
    <t>University of the Witwatersrand</t>
  </si>
  <si>
    <t>University of the Witwatersrand Wits</t>
  </si>
  <si>
    <t>Communication &amp; Media Studies,Chemistry,Archaeology,Geology, Environmental, Earth &amp; Marine Sciences,Mathematics &amp; Statistics,Psychology,Biological Sciences,History, Philosophy &amp; Theology,Education,Art, Performing Arts &amp; Design,Architecture,Sociology,Accounting &amp; Finance,Economics &amp; Econometrics,Physics &amp; Astronomy,Languages, Literature &amp; Linguistics,Civil Engineering,Business &amp; Management,Medicine &amp; Dentistry,Computer Science,Law,Chemical Engineering,General Engineering,Electrical &amp; Electronic Engineering,Politics &amp; International Studies (incl Development Studies),Other Health,Mechanical &amp; Aerospace Engineering,Geography</t>
  </si>
  <si>
    <t>Xiamen University</t>
  </si>
  <si>
    <t>Medicine &amp; Dentistry,Architecture,Other Health,Geography,Chemical Engineering,Biological Sciences,Art, Performing Arts &amp; Design,Veterinary Science,Sociology,Mathematics &amp; Statistics,Politics &amp; International Studies (incl Development Studies),General Engineering,Communication &amp; Media Studies,Mechanical &amp; Aerospace Engineering,Physics &amp; Astronomy,Archaeology,Economics &amp; Econometrics,Psychology,Accounting &amp; Finance,Electrical &amp; Electronic Engineering,Business &amp; Management,Geology, Environmental, Earth &amp; Marine Sciences,Sport Science,Languages, Literature &amp; Linguistics,Law,Chemistry,Education,History, Philosophy &amp; Theology,Civil Engineering,Computer Science,Agriculture &amp; Forestry</t>
  </si>
  <si>
    <t>351â€“400</t>
  </si>
  <si>
    <t>Aix-Marseille University</t>
  </si>
  <si>
    <t>49.1â€“51.0</t>
  </si>
  <si>
    <t>Geography,Other Health,Medicine &amp; Dentistry,Languages, Literature &amp; Linguistics,Economics &amp; Econometrics,Biological Sciences,General Engineering,Mathematics &amp; Statistics,Civil Engineering,Sport Science,Law,Chemical Engineering,Education,Architecture,History, Philosophy &amp; Theology,Mechanical &amp; Aerospace Engineering,Business &amp; Management,Physics &amp; Astronomy,Politics &amp; International Studies (incl Development Studies),Sociology,Communication &amp; Media Studies,Chemistry,Computer Science,Accounting &amp; Finance,Electrical &amp; Electronic Engineering,Archaeology,Geology, Environmental, Earth &amp; Marine Sciences,Psychology,Art, Performing Arts &amp; Design</t>
  </si>
  <si>
    <t>Amirkabir University of Technology</t>
  </si>
  <si>
    <t>Computer Science,Geology, Environmental, Earth &amp; Marine Sciences,Chemical Engineering,Physics &amp; Astronomy,Business &amp; Management,Electrical &amp; Electronic Engineering,Chemistry,General Engineering,Civil Engineering,Mathematics &amp; Statistics,Mechanical &amp; Aerospace Engineering</t>
  </si>
  <si>
    <t>Autonomous University of Madrid</t>
  </si>
  <si>
    <t>General Engineering,Medicine &amp; Dentistry,Chemical Engineering,Education,Art, Performing Arts &amp; Design,Mathematics &amp; Statistics,Business &amp; Management,Other Health,Politics &amp; International Studies (incl Development Studies),Computer Science,Communication &amp; Media Studies,Economics &amp; Econometrics,Electrical &amp; Electronic Engineering,Geology, Environmental, Earth &amp; Marine Sciences,Languages, Literature &amp; Linguistics,Sport Science,Law,History, Philosophy &amp; Theology,Physics &amp; Astronomy,Accounting &amp; Finance,Archaeology,Biological Sciences,Psychology,Chemistry,Sociology,Geography</t>
  </si>
  <si>
    <t>University of Bayreuth</t>
  </si>
  <si>
    <t>Chemical Engineering,Education,Languages, Literature &amp; Linguistics,Chemistry,Accounting &amp; Finance,Mechanical &amp; Aerospace Engineering,Communication &amp; Media Studies,Computer Science,Geology, Environmental, Earth &amp; Marine Sciences,Economics &amp; Econometrics,Biological Sciences,Business &amp; Management,General Engineering,Sociology,History, Philosophy &amp; Theology,Physics &amp; Astronomy,Sport Science,Law,Art, Performing Arts &amp; Design,Electrical &amp; Electronic Engineering,Politics &amp; International Studies (incl Development Studies),Mathematics &amp; Statistics,Geography</t>
  </si>
  <si>
    <t>University of Bordeaux</t>
  </si>
  <si>
    <t>Business &amp; Management,Mathematics &amp; Statistics,Agriculture &amp; Forestry,Other Health,Medicine &amp; Dentistry,Computer Science,Civil Engineering,Law,Accounting &amp; Finance,Psychology,Education,Sociology,Electrical &amp; Electronic Engineering,Mechanical &amp; Aerospace Engineering,Archaeology,Physics &amp; Astronomy,General Engineering,Chemistry,Sport Science,Economics &amp; Econometrics,Geology, Environmental, Earth &amp; Marine Sciences,Biological Sciences,Chemical Engineering,Politics &amp; International Studies (incl Development Studies)</t>
  </si>
  <si>
    <t>Brunel University London</t>
  </si>
  <si>
    <t>Civil Engineering,Psychology,Biological Sciences,Accounting &amp; Finance,Art, Performing Arts &amp; Design,Sport Science,Business &amp; Management,Computer Science,Law,Other Health,Geology, Environmental, Earth &amp; Marine Sciences,Geography,Languages, Literature &amp; Linguistics,Mechanical &amp; Aerospace Engineering,Education,General Engineering,Communication &amp; Media Studies,History, Philosophy &amp; Theology,Electrical &amp; Electronic Engineering,Politics &amp; International Studies (incl Development Studies),Medicine &amp; Dentistry,Mathematics &amp; Statistics,Economics &amp; Econometrics,Chemical Engineering,Sociology</t>
  </si>
  <si>
    <t>University of Campinas</t>
  </si>
  <si>
    <t>Education,Economics &amp; Econometrics,Other Health,Mathematics &amp; Statistics,Mechanical &amp; Aerospace Engineering,Agriculture &amp; Forestry,Accounting &amp; Finance,Politics &amp; International Studies (incl Development Studies),Languages, Literature &amp; Linguistics,Physics &amp; Astronomy,Medicine &amp; Dentistry,Geography,Biological Sciences,Chemical Engineering,Geology, Environmental, Earth &amp; Marine Sciences,Architecture,Sociology,Sport Science,Communication &amp; Media Studies,Business &amp; Management,Civil Engineering,History, Philosophy &amp; Theology,General Engineering,Art, Performing Arts &amp; Design,Electrical &amp; Electronic Engineering,Chemistry,Computer Science</t>
  </si>
  <si>
    <t>University of Canberra</t>
  </si>
  <si>
    <t>Art, Performing Arts &amp; Design,Sport Science,Accounting &amp; Finance,Medicine &amp; Dentistry,Biological Sciences,Education,Other Health,Psychology,General Engineering,Sociology,Computer Science,Law,Architecture,Mathematics &amp; Statistics,History, Philosophy &amp; Theology,Chemistry,Languages, Literature &amp; Linguistics,Agriculture &amp; Forestry,Geology, Environmental, Earth &amp; Marine Sciences,Business &amp; Management,Civil Engineering,Politics &amp; International Studies (incl Development Studies),Economics &amp; Econometrics,Communication &amp; Media Studies</t>
  </si>
  <si>
    <t>Chongqing University</t>
  </si>
  <si>
    <t>Mechanical &amp; Aerospace Engineering,Politics &amp; International Studies (incl Development Studies),Art, Performing Arts &amp; Design,Mathematics &amp; Statistics,Sociology,Sport Science,Accounting &amp; Finance,Languages, Literature &amp; Linguistics,Chemical Engineering,Business &amp; Management,Civil Engineering,Economics &amp; Econometrics,Electrical &amp; Electronic Engineering,Physics &amp; Astronomy,Architecture,Biological Sciences,Law,History, Philosophy &amp; Theology,Chemistry,General Engineering,Geology, Environmental, Earth &amp; Marine Sciences,Computer Science,Communication &amp; Media Studies</t>
  </si>
  <si>
    <t>City, University of London</t>
  </si>
  <si>
    <t>Mechanical &amp; Aerospace Engineering,Economics &amp; Econometrics,Sociology,Languages, Literature &amp; Linguistics,Other Health,General Engineering,History, Philosophy &amp; Theology,Art, Performing Arts &amp; Design,Computer Science,Communication &amp; Media Studies,Accounting &amp; Finance,Business &amp; Management,Electrical &amp; Electronic Engineering,Politics &amp; International Studies (incl Development Studies),Psychology,Law,Mathematics &amp; Statistics,Civil Engineering</t>
  </si>
  <si>
    <t>University of Colorado Denver/Anschutz Medical Campus</t>
  </si>
  <si>
    <t>Physics &amp; Astronomy,Languages, Literature &amp; Linguistics,Psychology,Art, Performing Arts &amp; Design,Agriculture &amp; Forestry,Education,Sociology,Biological Sciences,Mechanical &amp; Aerospace Engineering,Business &amp; Management,Archaeology,Mathematics &amp; Statistics,Computer Science,Other Health,Geography,Economics &amp; Econometrics,History, Philosophy &amp; Theology,Electrical &amp; Electronic Engineering,Chemistry,Architecture,Civil Engineering,Accounting &amp; Finance,Communication &amp; Media Studies,Politics &amp; International Studies (incl Development Studies),Geology, Environmental, Earth &amp; Marine Sciences,Medicine &amp; Dentistry</t>
  </si>
  <si>
    <t>University of Connecticut</t>
  </si>
  <si>
    <t>Architecture,Biological Sciences,Law,Medicine &amp; Dentistry,Agriculture &amp; Forestry,Sociology,General Engineering,Communication &amp; Media Studies,Accounting &amp; Finance,Art, Performing Arts &amp; Design,Chemical Engineering,Mathematics &amp; Statistics,Business &amp; Management,Languages, Literature &amp; Linguistics,Other Health,Sport Science,Education,Computer Science,Physics &amp; Astronomy,Psychology,Archaeology,Veterinary Science,Mechanical &amp; Aerospace Engineering,Geology, Environmental, Earth &amp; Marine Sciences,Electrical &amp; Electronic Engineering,Chemistry,History, Philosophy &amp; Theology,Civil Engineering,Politics &amp; International Studies (incl Development Studies),Geography,Economics &amp; Econometrics</t>
  </si>
  <si>
    <t>Daegu Gyeongbuk Institute of Science and Technology (DGIST)</t>
  </si>
  <si>
    <t>Biological Sciences,Physics &amp; Astronomy,Computer Science,Chemical Engineering,Chemistry,Electrical &amp; Electronic Engineering,Mechanical &amp; Aerospace Engineering,Other Health,General Engineering,Civil Engineering</t>
  </si>
  <si>
    <t>Edith Cowan University</t>
  </si>
  <si>
    <t>Edith Cowan University ecu edith cowan</t>
  </si>
  <si>
    <t>Psychology,History, Philosophy &amp; Theology,Sport Science,Electrical &amp; Electronic Engineering,Chemistry,Geology, Environmental, Earth &amp; Marine Sciences,Medicine &amp; Dentistry,Accounting &amp; Finance,Sociology,Biological Sciences,Languages, Literature &amp; Linguistics,Law,Communication &amp; Media Studies,Education,Other Health,Civil Engineering,Physics &amp; Astronomy,Chemical Engineering,Mathematics &amp; Statistics,Politics &amp; International Studies (incl Development Studies),Computer Science,General Engineering,Business &amp; Management,Art, Performing Arts &amp; Design,Agriculture &amp; Forestry,Mechanical &amp; Aerospace Engineering</t>
  </si>
  <si>
    <t>University of Electronic Science and Technology of China</t>
  </si>
  <si>
    <t>History, Philosophy &amp; Theology,Chemistry,Computer Science,Electrical &amp; Electronic Engineering,Physics &amp; Astronomy,Psychology,General Engineering,Languages, Literature &amp; Linguistics,Medicine &amp; Dentistry,Geology, Environmental, Earth &amp; Marine Sciences,Chemical Engineering,Economics &amp; Econometrics,Business &amp; Management,Other Health,Mathematics &amp; Statistics,Mechanical &amp; Aerospace Engineering,Biological Sciences</t>
  </si>
  <si>
    <t>University of Florence</t>
  </si>
  <si>
    <t>Archaeology,Chemistry,Business &amp; Management,Medicine &amp; Dentistry,Sport Science,Education,Other Health,Agriculture &amp; Forestry,Law,Civil Engineering,Computer Science,Mathematics &amp; Statistics,Economics &amp; Econometrics,Art, Performing Arts &amp; Design,Electrical &amp; Electronic Engineering,Geography,Architecture,Physics &amp; Astronomy,Psychology,General Engineering,Sociology,Languages, Literature &amp; Linguistics,Mechanical &amp; Aerospace Engineering,Geology, Environmental, Earth &amp; Marine Sciences,Accounting &amp; Finance,History, Philosophy &amp; Theology,Biological Sciences,Communication &amp; Media Studies,Politics &amp; International Studies (incl Development Studies)</t>
  </si>
  <si>
    <t>Free University of Bozen-Bolzano</t>
  </si>
  <si>
    <t>Computer Science,Business &amp; Management,Economics &amp; Econometrics,Communication &amp; Media Studies,Electrical &amp; Electronic Engineering,General Engineering,Agriculture &amp; Forestry,Accounting &amp; Finance,Education,Languages, Literature &amp; Linguistics,Art, Performing Arts &amp; Design</t>
  </si>
  <si>
    <t>University of Georgia</t>
  </si>
  <si>
    <t>Medicine &amp; Dentistry,Chemistry,Accounting &amp; Finance,Languages, Literature &amp; Linguistics,Architecture,Agriculture &amp; Forestry,Politics &amp; International Studies (incl Development Studies),Civil Engineering,Mathematics &amp; Statistics,Art, Performing Arts &amp; Design,Chemical Engineering,Geology, Environmental, Earth &amp; Marine Sciences,Law,History, Philosophy &amp; Theology,Electrical &amp; Electronic Engineering,Geography,Mechanical &amp; Aerospace Engineering,Veterinary Science,Psychology,Other Health,Sport Science,Education,General Engineering,Biological Sciences,Sociology,Business &amp; Management,Archaeology,Communication &amp; Media Studies,Computer Science,Physics &amp; Astronomy,Economics &amp; Econometrics</t>
  </si>
  <si>
    <t>Hasselt University</t>
  </si>
  <si>
    <t>Sport Science,Chemical Engineering,Civil Engineering,Mechanical &amp; Aerospace Engineering,Economics &amp; Econometrics,Education,Art, Performing Arts &amp; Design,Geology, Environmental, Earth &amp; Marine Sciences,Computer Science,Electrical &amp; Electronic Engineering,Mathematics &amp; Statistics,Business &amp; Management,Biological Sciences,Other Health,Law,Communication &amp; Media Studies,Accounting &amp; Finance,General Engineering,Physics &amp; Astronomy,Architecture,Medicine &amp; Dentistry,Sociology,Chemistry,Agriculture &amp; Forestry</t>
  </si>
  <si>
    <t>Heriot-Watt University</t>
  </si>
  <si>
    <t>Art, Performing Arts &amp; Design,Chemical Engineering,Geology, Environmental, Earth &amp; Marine Sciences,Civil Engineering,Accounting &amp; Finance,Languages, Literature &amp; Linguistics,Physics &amp; Astronomy,General Engineering,Geography,Computer Science,Business &amp; Management,Electrical &amp; Electronic Engineering,Economics &amp; Econometrics,Biological Sciences,Mechanical &amp; Aerospace Engineering,Chemistry,Mathematics &amp; Statistics,Psychology,Architecture,Sport Science,Agriculture &amp; Forestry</t>
  </si>
  <si>
    <t>Hokkaido University</t>
  </si>
  <si>
    <t>Business &amp; Management,Electrical &amp; Electronic Engineering,Chemistry,Education,Sport Science,Archaeology,Art, Performing Arts &amp; Design,Psychology,Computer Science,Veterinary Science,Mathematics &amp; Statistics,Politics &amp; International Studies (incl Development Studies),Architecture,General Engineering,Civil Engineering,Communication &amp; Media Studies,Sociology,Accounting &amp; Finance,Languages, Literature &amp; Linguistics,Law,Medicine &amp; Dentistry,Agriculture &amp; Forestry,Other Health,Economics &amp; Econometrics,Chemical Engineering,History, Philosophy &amp; Theology,Geology, Environmental, Earth &amp; Marine Sciences,Mechanical &amp; Aerospace Engineering,Geography,Biological Sciences,Physics &amp; Astronomy</t>
  </si>
  <si>
    <t>Hunan University</t>
  </si>
  <si>
    <t>Electrical &amp; Electronic Engineering,Communication &amp; Media Studies,Computer Science,Geology, Environmental, Earth &amp; Marine Sciences,Chemical Engineering,Economics &amp; Econometrics,Civil Engineering,Politics &amp; International Studies (incl Development Studies),Languages, Literature &amp; Linguistics,Chemistry,Business &amp; Management,Biological Sciences,Accounting &amp; Finance,History, Philosophy &amp; Theology,Physics &amp; Astronomy,Architecture,Mathematics &amp; Statistics,General Engineering,Education,Art, Performing Arts &amp; Design,Mechanical &amp; Aerospace Engineering,Law</t>
  </si>
  <si>
    <t>Illinois Institute of Technology</t>
  </si>
  <si>
    <t>Civil Engineering,Chemical Engineering,History, Philosophy &amp; Theology,Mechanical &amp; Aerospace Engineering,Economics &amp; Econometrics,Law,Biological Sciences,Business &amp; Management,Other Health,Politics &amp; International Studies (incl Development Studies),Communication &amp; Media Studies,Art, Performing Arts &amp; Design,General Engineering,Chemistry,Psychology,Accounting &amp; Finance,Mathematics &amp; Statistics,Physics &amp; Astronomy,Electrical &amp; Electronic Engineering,Architecture,Geology, Environmental, Earth &amp; Marine Sciences,Sociology,Computer Science,Education</t>
  </si>
  <si>
    <t>Iowa State University</t>
  </si>
  <si>
    <t>Sport Science,Mechanical &amp; Aerospace Engineering,Medicine &amp; Dentistry,Communication &amp; Media Studies,Agriculture &amp; Forestry,Electrical &amp; Electronic Engineering,Languages, Literature &amp; Linguistics,Sociology,Psychology,Law,Civil Engineering,Politics &amp; International Studies (incl Development Studies),Veterinary Science,Physics &amp; Astronomy,Architecture,Education,Computer Science,Geology, Environmental, Earth &amp; Marine Sciences,Accounting &amp; Finance,Chemical Engineering,Economics &amp; Econometrics,Other Health,Mathematics &amp; Statistics,General Engineering,Business &amp; Management,History, Philosophy &amp; Theology,Biological Sciences,Art, Performing Arts &amp; Design,Chemistry</t>
  </si>
  <si>
    <t>James Cook University</t>
  </si>
  <si>
    <t>History, Philosophy &amp; Theology,Electrical &amp; Electronic Engineering,Civil Engineering,Chemistry,Economics &amp; Econometrics,Computer Science,Physics &amp; Astronomy,Other Health,Biological Sciences,Law,Chemical Engineering,Politics &amp; International Studies (incl Development Studies),Languages, Literature &amp; Linguistics,Veterinary Science,Psychology,Archaeology,Sport Science,Education,General Engineering,Mathematics &amp; Statistics,Business &amp; Management,Medicine &amp; Dentistry,Agriculture &amp; Forestry,Sociology,Art, Performing Arts &amp; Design,Mechanical &amp; Aerospace Engineering,Geography,Geology, Environmental, Earth &amp; Marine Sciences,Accounting &amp; Finance</t>
  </si>
  <si>
    <t>Justus Liebig University Giessen</t>
  </si>
  <si>
    <t>Agriculture &amp; Forestry,Education,Archaeology,Business &amp; Management,Biological Sciences,Geography,Veterinary Science,Psychology,History, Philosophy &amp; Theology,Law,Computer Science,Sociology,Languages, Literature &amp; Linguistics,Mathematics &amp; Statistics,Accounting &amp; Finance,Sport Science,Chemistry,Medicine &amp; Dentistry,Politics &amp; International Studies (incl Development Studies),Art, Performing Arts &amp; Design,Physics &amp; Astronomy,Economics &amp; Econometrics</t>
  </si>
  <si>
    <t>University of Kansas</t>
  </si>
  <si>
    <t>Computer Science,History, Philosophy &amp; Theology,Other Health,Geology, Environmental, Earth &amp; Marine Sciences,Economics &amp; Econometrics,Civil Engineering,Politics &amp; International Studies (incl Development Studies),Languages, Literature &amp; Linguistics,Chemical Engineering,Law,Art, Performing Arts &amp; Design,Mechanical &amp; Aerospace Engineering,Chemistry,Electrical &amp; Electronic Engineering,Sport Science,Business &amp; Management,General Engineering,Communication &amp; Media Studies,Psychology,Biological Sciences,Sociology,Accounting &amp; Finance,Architecture,Agriculture &amp; Forestry,Geography,Medicine &amp; Dentistry,Mathematics &amp; Statistics,Education,Physics &amp; Astronomy</t>
  </si>
  <si>
    <t>KoÃ§ University</t>
  </si>
  <si>
    <t>Turkey</t>
  </si>
  <si>
    <t>KoÃ§ University koc</t>
  </si>
  <si>
    <t>History, Philosophy &amp; Theology,Medicine &amp; Dentistry,Electrical &amp; Electronic Engineering,Psychology,Politics &amp; International Studies (incl Development Studies),Chemistry,Archaeology,General Engineering,Biological Sciences,Languages, Literature &amp; Linguistics,Communication &amp; Media Studies,Sociology,Accounting &amp; Finance,Other Health,Business &amp; Management,Chemical Engineering,Law,Computer Science,Mathematics &amp; Statistics,Economics &amp; Econometrics,Physics &amp; Astronomy,Art, Performing Arts &amp; Design,Mechanical &amp; Aerospace Engineering</t>
  </si>
  <si>
    <t>Leibniz University Hannover</t>
  </si>
  <si>
    <t>Law,Geology, Environmental, Earth &amp; Marine Sciences,Languages, Literature &amp; Linguistics,Mathematics &amp; Statistics,General Engineering,Civil Engineering,History, Philosophy &amp; Theology,Physics &amp; Astronomy,Mechanical &amp; Aerospace Engineering,Politics &amp; International Studies (incl Development Studies),Business &amp; Management,Agriculture &amp; Forestry,Biological Sciences,Chemistry,Accounting &amp; Finance,Electrical &amp; Electronic Engineering,Education,Geography,Architecture,Economics &amp; Econometrics,Sociology,Computer Science,Sport Science</t>
  </si>
  <si>
    <t>University of Manitoba</t>
  </si>
  <si>
    <t>Mechanical &amp; Aerospace Engineering,Geography,Medicine &amp; Dentistry,Biological Sciences,Psychology,Art, Performing Arts &amp; Design,Computer Science,Physics &amp; Astronomy,Economics &amp; Econometrics,Architecture,Sport Science,Law,History, Philosophy &amp; Theology,Agriculture &amp; Forestry,Sociology,Archaeology,Civil Engineering,Education,General Engineering,Geology, Environmental, Earth &amp; Marine Sciences,Accounting &amp; Finance,Electrical &amp; Electronic Engineering,Chemistry,Languages, Literature &amp; Linguistics,Chemical Engineering,Politics &amp; International Studies (incl Development Studies),Other Health,Mathematics &amp; Statistics,Business &amp; Management</t>
  </si>
  <si>
    <t>Middle East Technical University</t>
  </si>
  <si>
    <t>Architecture,Geology, Environmental, Earth &amp; Marine Sciences,Archaeology,Chemistry,Art, Performing Arts &amp; Design,General Engineering,Sociology,Languages, Literature &amp; Linguistics,Civil Engineering,Education,Chemical Engineering,Economics &amp; Econometrics,Mechanical &amp; Aerospace Engineering,Communication &amp; Media Studies,Biological Sciences,Politics &amp; International Studies (incl Development Studies),History, Philosophy &amp; Theology,Electrical &amp; Electronic Engineering,Psychology,Mathematics &amp; Statistics,Computer Science,Physics &amp; Astronomy,Business &amp; Management</t>
  </si>
  <si>
    <t>University of Milan</t>
  </si>
  <si>
    <t>Agriculture &amp; Forestry,Communication &amp; Media Studies,Other Health,Sport Science,Law,Chemical Engineering,Sociology,Archaeology,Mathematics &amp; Statistics,Economics &amp; Econometrics,Medicine &amp; Dentistry,Geography,Languages, Literature &amp; Linguistics,Politics &amp; International Studies (incl Development Studies),Computer Science,Geology, Environmental, Earth &amp; Marine Sciences,Biological Sciences,Chemistry,Business &amp; Management,History, Philosophy &amp; Theology,Physics &amp; Astronomy,Accounting &amp; Finance,Art, Performing Arts &amp; Design,Veterinary Science,Psychology</t>
  </si>
  <si>
    <t>University of Milan-Bicocca</t>
  </si>
  <si>
    <t>Physics &amp; Astronomy,Sociology,Business &amp; Management,Economics &amp; Econometrics,Law,Accounting &amp; Finance,Computer Science,History, Philosophy &amp; Theology,Other Health,Politics &amp; International Studies (incl Development Studies),Mathematics &amp; Statistics,Education,Geology, Environmental, Earth &amp; Marine Sciences,Psychology,Biological Sciences,Chemistry,Communication &amp; Media Studies,Medicine &amp; Dentistry,Languages, Literature &amp; Linguistics</t>
  </si>
  <si>
    <t>Murdoch University</t>
  </si>
  <si>
    <t>Murdoch University Murdoch</t>
  </si>
  <si>
    <t>Politics &amp; International Studies (incl Development Studies),Art, Performing Arts &amp; Design,Languages, Literature &amp; Linguistics,Sociology,Agriculture &amp; Forestry,Physics &amp; Astronomy,General Engineering,Electrical &amp; Electronic Engineering,Law,Sport Science,Business &amp; Management,Communication &amp; Media Studies,Accounting &amp; Finance,Chemical Engineering,Chemistry,Biological Sciences,Economics &amp; Econometrics,Mathematics &amp; Statistics,Geology, Environmental, Earth &amp; Marine Sciences,Computer Science,Other Health,History, Philosophy &amp; Theology,Psychology,Veterinary Science,Education</t>
  </si>
  <si>
    <t>University of Naples Federico II</t>
  </si>
  <si>
    <t>Veterinary Science,Chemistry,Economics &amp; Econometrics,Agriculture &amp; Forestry,Law,Mechanical &amp; Aerospace Engineering,Accounting &amp; Finance,Sociology,Languages, Literature &amp; Linguistics,Physics &amp; Astronomy,Medicine &amp; Dentistry,Computer Science,Business &amp; Management,Chemical Engineering,Psychology,Geology, Environmental, Earth &amp; Marine Sciences,Archaeology,Politics &amp; International Studies (incl Development Studies),History, Philosophy &amp; Theology,Civil Engineering,Biological Sciences,Architecture,Communication &amp; Media Studies,Art, Performing Arts &amp; Design,Electrical &amp; Electronic Engineering,General Engineering,Mathematics &amp; Statistics,Other Health</t>
  </si>
  <si>
    <t>Peter the Great St Petersburg Polytechnic University</t>
  </si>
  <si>
    <t>Languages, Literature &amp; Linguistics,Chemistry,Mechanical &amp; Aerospace Engineering,Law,Biological Sciences,Education,Art, Performing Arts &amp; Design,Sport Science,Psychology,Civil Engineering,Politics &amp; International Studies (incl Development Studies),Computer Science,Physics &amp; Astronomy,Accounting &amp; Finance,General Engineering,Communication &amp; Media Studies,Electrical &amp; Electronic Engineering,Geology, Environmental, Earth &amp; Marine Sciences,Economics &amp; Econometrics,Chemical Engineering,Sociology,History, Philosophy &amp; Theology,Mathematics &amp; Statistics,Business &amp; Management</t>
  </si>
  <si>
    <t>SabancÄ± University</t>
  </si>
  <si>
    <t>History, Philosophy &amp; Theology,Chemistry,Sociology,Mathematics &amp; Statistics,Business &amp; Management,Biological Sciences,Physics &amp; Astronomy,Electrical &amp; Electronic Engineering,Mechanical &amp; Aerospace Engineering,Art, Performing Arts &amp; Design,Economics &amp; Econometrics,General Engineering,Psychology,Politics &amp; International Studies (incl Development Studies),Computer Science,Accounting &amp; Finance</t>
  </si>
  <si>
    <t>University of St Gallen</t>
  </si>
  <si>
    <t>Computer Science,Business &amp; Management,Law,Accounting &amp; Finance,Economics &amp; Econometrics,Politics &amp; International Studies (incl Development Studies)</t>
  </si>
  <si>
    <t>University of Saskatchewan</t>
  </si>
  <si>
    <t>Geography,Other Health,Politics &amp; International Studies (incl Development Studies),Veterinary Science,Civil Engineering,Languages, Literature &amp; Linguistics,Education,Agriculture &amp; Forestry,Mechanical &amp; Aerospace Engineering,General Engineering,Accounting &amp; Finance,Mathematics &amp; Statistics,Sport Science,Business &amp; Management,Art, Performing Arts &amp; Design,Archaeology,Law,Physics &amp; Astronomy,Medicine &amp; Dentistry,Geology, Environmental, Earth &amp; Marine Sciences,Chemistry,Computer Science,Economics &amp; Econometrics,Psychology,Electrical &amp; Electronic Engineering,Sociology,Biological Sciences,Chemical Engineering,History, Philosophy &amp; Theology</t>
  </si>
  <si>
    <t>University of Sharjah</t>
  </si>
  <si>
    <t>Other Health,Medicine &amp; Dentistry,History, Philosophy &amp; Theology,Sociology,Physics &amp; Astronomy,Computer Science,Mathematics &amp; Statistics,Chemical Engineering,Accounting &amp; Finance,Archaeology,Politics &amp; International Studies (incl Development Studies),Chemistry,Agriculture &amp; Forestry,Biological Sciences,General Engineering,Mechanical &amp; Aerospace Engineering,Art, Performing Arts &amp; Design,Languages, Literature &amp; Linguistics,Electrical &amp; Electronic Engineering,Economics &amp; Econometrics,Business &amp; Management,Architecture,Civil Engineering,Law,Communication &amp; Media Studies,Geology, Environmental, Earth &amp; Marine Sciences</t>
  </si>
  <si>
    <t>Shenzhen University</t>
  </si>
  <si>
    <t>Shenzhen University SZU</t>
  </si>
  <si>
    <t>Law,Economics &amp; Econometrics,Chemical Engineering,History, Philosophy &amp; Theology,Business &amp; Management,Politics &amp; International Studies (incl Development Studies),Sport Science,Sociology,Chemistry,Art, Performing Arts &amp; Design,Medicine &amp; Dentistry,Physics &amp; Astronomy,Accounting &amp; Finance,Communication &amp; Media Studies,General Engineering,Languages, Literature &amp; Linguistics,Mathematics &amp; Statistics,Education,Computer Science,Civil Engineering,Geology, Environmental, Earth &amp; Marine Sciences,Electrical &amp; Electronic Engineering,Architecture,Other Health,Biological Sciences,Psychology,Mechanical &amp; Aerospace Engineering</t>
  </si>
  <si>
    <t>Southern Medical University</t>
  </si>
  <si>
    <t>Business &amp; Management,General Engineering,Other Health,Economics &amp; Econometrics,Medicine &amp; Dentistry,Biological Sciences,Languages, Literature &amp; Linguistics,Mathematics &amp; Statistics,Law,Psychology</t>
  </si>
  <si>
    <t>University of Southern Queensland</t>
  </si>
  <si>
    <t>University of Southern Queensland usq</t>
  </si>
  <si>
    <t>Art, Performing Arts &amp; Design,Agriculture &amp; Forestry,Psychology,Civil Engineering,Law,Other Health,Geology, Environmental, Earth &amp; Marine Sciences,History, Philosophy &amp; Theology,Chemistry,Accounting &amp; Finance,General Engineering,Sport Science,Business &amp; Management,Mechanical &amp; Aerospace Engineering,Mathematics &amp; Statistics,Archaeology,Politics &amp; International Studies (incl Development Studies),Economics &amp; Econometrics,Electrical &amp; Electronic Engineering,Communication &amp; Media Studies,Languages, Literature &amp; Linguistics,Biological Sciences,Sociology,Computer Science,Physics &amp; Astronomy,Education</t>
  </si>
  <si>
    <t>Technion Israel Institute of Technology</t>
  </si>
  <si>
    <t>Architecture,Education,Biological Sciences,Chemical Engineering,Mechanical &amp; Aerospace Engineering,Electrical &amp; Electronic Engineering,Geology, Environmental, Earth &amp; Marine Sciences,Computer Science,Chemistry,Civil Engineering,Business &amp; Management,Physics &amp; Astronomy,General Engineering,Mathematics &amp; Statistics,Other Health,Sociology</t>
  </si>
  <si>
    <t>Temple University</t>
  </si>
  <si>
    <t>Computer Science,Mechanical &amp; Aerospace Engineering,Politics &amp; International Studies (incl Development Studies),Architecture,Communication &amp; Media Studies,Psychology,Mathematics &amp; Statistics,Education,Other Health,Biological Sciences,Business &amp; Management,History, Philosophy &amp; Theology,Chemistry,Sociology,Art, Performing Arts &amp; Design,Sport Science,Law,Medicine &amp; Dentistry,Geology, Environmental, Earth &amp; Marine Sciences,Electrical &amp; Electronic Engineering,Agriculture &amp; Forestry,General Engineering,Civil Engineering,Geography,Economics &amp; Econometrics,Languages, Literature &amp; Linguistics,Physics &amp; Astronomy,Accounting &amp; Finance</t>
  </si>
  <si>
    <t>University of Texas at Dallas</t>
  </si>
  <si>
    <t>University of Texas at Dallas utd</t>
  </si>
  <si>
    <t>Languages, Literature &amp; Linguistics,Chemistry,Economics &amp; Econometrics,Electrical &amp; Electronic Engineering,Psychology,History, Philosophy &amp; Theology,Physics &amp; Astronomy,Art, Performing Arts &amp; Design,Biological Sciences,Business &amp; Management,Mechanical &amp; Aerospace Engineering,Geography,Computer Science,Sociology,Mathematics &amp; Statistics,Other Health,Education,General Engineering,Politics &amp; International Studies (incl Development Studies),Geology, Environmental, Earth &amp; Marine Sciences,Accounting &amp; Finance</t>
  </si>
  <si>
    <t>University of Trento</t>
  </si>
  <si>
    <t>Chemical Engineering,Economics &amp; Econometrics,Politics &amp; International Studies (incl Development Studies),Psychology,Sociology,Civil Engineering,Geology, Environmental, Earth &amp; Marine Sciences,Mechanical &amp; Aerospace Engineering,Law,Architecture,Biological Sciences,Medicine &amp; Dentistry,Physics &amp; Astronomy,Computer Science,Agriculture &amp; Forestry,Sport Science,Archaeology,History, Philosophy &amp; Theology,Mathematics &amp; Statistics,Accounting &amp; Finance,Business &amp; Management,Electrical &amp; Electronic Engineering,Languages, Literature &amp; Linguistics</t>
  </si>
  <si>
    <t>University of Tsukuba</t>
  </si>
  <si>
    <t>Art, Performing Arts &amp; Design,Electrical &amp; Electronic Engineering,Education,Geography,Psychology,Mathematics &amp; Statistics,Communication &amp; Media Studies,Law,Chemistry,Other Health,Mechanical &amp; Aerospace Engineering,Economics &amp; Econometrics,Sport Science,Biological Sciences,Civil Engineering,Business &amp; Management,General Engineering,Chemical Engineering,Geology, Environmental, Earth &amp; Marine Sciences,Languages, Literature &amp; Linguistics,Politics &amp; International Studies (incl Development Studies),Accounting &amp; Finance,Archaeology,History, Philosophy &amp; Theology,Computer Science,Agriculture &amp; Forestry,Physics &amp; Astronomy,Medicine &amp; Dentistry,Sociology,Architecture</t>
  </si>
  <si>
    <t>University of Victoria</t>
  </si>
  <si>
    <t>Art, Performing Arts &amp; Design,Politics &amp; International Studies (incl Development Studies),Economics &amp; Econometrics,Geology, Environmental, Earth &amp; Marine Sciences,Communication &amp; Media Studies,Law,Sport Science,Computer Science,Chemistry,Mechanical &amp; Aerospace Engineering,Civil Engineering,Mathematics &amp; Statistics,Archaeology,Other Health,Psychology,Education,Languages, Literature &amp; Linguistics,Geography,Biological Sciences,Electrical &amp; Electronic Engineering,Business &amp; Management,Physics &amp; Astronomy,History, Philosophy &amp; Theology,Accounting &amp; Finance,Sociology,General Engineering</t>
  </si>
  <si>
    <t>York University</t>
  </si>
  <si>
    <t>Sport Science,Chemistry,Mechanical &amp; Aerospace Engineering,Biological Sciences,Physics &amp; Astronomy,Computer Science,Sociology,Electrical &amp; Electronic Engineering,Law,Mathematics &amp; Statistics,Business &amp; Management,Other Health,History, Philosophy &amp; Theology,Civil Engineering,Geography,Economics &amp; Econometrics,Languages, Literature &amp; Linguistics,Geology, Environmental, Earth &amp; Marine Sciences,Politics &amp; International Studies (incl Development Studies),Agriculture &amp; Forestry,Education,Psychology,Accounting &amp; Finance,Art, Performing Arts &amp; Design,General Engineering,Communication &amp; Media Studies</t>
  </si>
  <si>
    <t>401â€“500</t>
  </si>
  <si>
    <t>Asia University, Taiwan</t>
  </si>
  <si>
    <t>45.4â€“49.0</t>
  </si>
  <si>
    <t>Economics &amp; Econometrics,Accounting &amp; Finance,Agriculture &amp; Forestry,Languages, Literature &amp; Linguistics,Psychology,Computer Science,Education,Art, Performing Arts &amp; Design,Communication &amp; Media Studies,Electrical &amp; Electronic Engineering,Other Health,Law,Business &amp; Management,Biological Sciences,Veterinary Science</t>
  </si>
  <si>
    <t>Aston University</t>
  </si>
  <si>
    <t>Economics &amp; Econometrics,Biological Sciences,Mechanical &amp; Aerospace Engineering,Civil Engineering,History, Philosophy &amp; Theology,Languages, Literature &amp; Linguistics,Mathematics &amp; Statistics,Psychology,Chemistry,Chemical Engineering,Law,Politics &amp; International Studies (incl Development Studies),Other Health,General Engineering,Computer Science,Electrical &amp; Electronic Engineering,Sociology,Accounting &amp; Finance,Medicine &amp; Dentistry,Business &amp; Management</t>
  </si>
  <si>
    <t>Auckland University of Technology</t>
  </si>
  <si>
    <t>Auckland University of Technology AUT</t>
  </si>
  <si>
    <t>Languages, Literature &amp; Linguistics,Mathematics &amp; Statistics,Law,Other Health,Physics &amp; Astronomy,Computer Science,Communication &amp; Media Studies,Accounting &amp; Finance,General Engineering,Geology, Environmental, Earth &amp; Marine Sciences,Economics &amp; Econometrics,Electrical &amp; Electronic Engineering,Sociology,Art, Performing Arts &amp; Design,Civil Engineering,Politics &amp; International Studies (incl Development Studies),History, Philosophy &amp; Theology,Sport Science,Psychology,Mechanical &amp; Aerospace Engineering,Geography,Medicine &amp; Dentistry,Biological Sciences,Education,Architecture,Chemistry,Business &amp; Management</t>
  </si>
  <si>
    <t>Australian Catholic University</t>
  </si>
  <si>
    <t>Australian Catholic University ACU</t>
  </si>
  <si>
    <t>Communication &amp; Media Studies,Other Health,History, Philosophy &amp; Theology,Computer Science,Accounting &amp; Finance,Law,Languages, Literature &amp; Linguistics,Psychology,Mathematics &amp; Statistics,Sport Science,Sociology,Business &amp; Management,Politics &amp; International Studies (incl Development Studies),Art, Performing Arts &amp; Design,Biological Sciences,Education</t>
  </si>
  <si>
    <t>Bangor University</t>
  </si>
  <si>
    <t>Computer Science,Geography,Politics &amp; International Studies (incl Development Studies),History, Philosophy &amp; Theology,Education,Law,Art, Performing Arts &amp; Design,Sport Science,Languages, Literature &amp; Linguistics,Communication &amp; Media Studies,Other Health,Biological Sciences,Business &amp; Management,Agriculture &amp; Forestry,Economics &amp; Econometrics,Archaeology,Electrical &amp; Electronic Engineering,Accounting &amp; Finance,Sociology,Geology, Environmental, Earth &amp; Marine Sciences,Psychology</t>
  </si>
  <si>
    <t>Bauman Moscow State Technical University</t>
  </si>
  <si>
    <t>Other Health,Veterinary Science,History, Philosophy &amp; Theology,Economics &amp; Econometrics,Mathematics &amp; Statistics,Computer Science,Geology, Environmental, Earth &amp; Marine Sciences,Chemical Engineering,Accounting &amp; Finance,Physics &amp; Astronomy,Medicine &amp; Dentistry,Electrical &amp; Electronic Engineering,Chemistry,Agriculture &amp; Forestry,Law,Business &amp; Management,Civil Engineering,Sociology,Mechanical &amp; Aerospace Engineering,Art, Performing Arts &amp; Design,Languages, Literature &amp; Linguistics,Biological Sciences,Sport Science,General Engineering</t>
  </si>
  <si>
    <t>Bond University</t>
  </si>
  <si>
    <t>Sport Science,Psychology,History, Philosophy &amp; Theology,Business &amp; Management,Mathematics &amp; Statistics,Politics &amp; International Studies (incl Development Studies),Architecture,Communication &amp; Media Studies,Medicine &amp; Dentistry,Law,Economics &amp; Econometrics,Art, Performing Arts &amp; Design,Other Health,Sociology,Accounting &amp; Finance,Biological Sciences,Languages, Literature &amp; Linguistics</t>
  </si>
  <si>
    <t>Bournemouth University</t>
  </si>
  <si>
    <t>General Engineering,Archaeology,Politics &amp; International Studies (incl Development Studies),Economics &amp; Econometrics,Art, Performing Arts &amp; Design,Agriculture &amp; Forestry,Education,Computer Science,Law,Mechanical &amp; Aerospace Engineering,Psychology,Languages, Literature &amp; Linguistics,Sociology,Chemistry,Sport Science,Medicine &amp; Dentistry,Biological Sciences,Business &amp; Management,History, Philosophy &amp; Theology,Communication &amp; Media Studies,Accounting &amp; Finance,Other Health,Geology, Environmental, Earth &amp; Marine Sciences,Electrical &amp; Electronic Engineering,Geography</t>
  </si>
  <si>
    <t>University of Brescia</t>
  </si>
  <si>
    <t>Business &amp; Management,Mechanical &amp; Aerospace Engineering,Computer Science,Economics &amp; Econometrics,Civil Engineering,Chemical Engineering,Accounting &amp; Finance,Other Health,Architecture,Medicine &amp; Dentistry,Sport Science,Law,Electrical &amp; Electronic Engineering,Politics &amp; International Studies (incl Development Studies),General Engineering,Agriculture &amp; Forestry,Biological Sciences</t>
  </si>
  <si>
    <t>Universiti Brunei Darussalam</t>
  </si>
  <si>
    <t>Brunei Darussalam</t>
  </si>
  <si>
    <t>Accounting &amp; Finance,Mathematics &amp; Statistics,Other Health,Agriculture &amp; Forestry,History, Philosophy &amp; Theology,Business &amp; Management,Chemistry,Chemical Engineering,Geology, Environmental, Earth &amp; Marine Sciences,Biological Sciences,Politics &amp; International Studies (incl Development Studies),Medicine &amp; Dentistry,Physics &amp; Astronomy,Economics &amp; Econometrics,Art, Performing Arts &amp; Design,Computer Science,Languages, Literature &amp; Linguistics,Sociology,General Engineering,Education,Geography,Communication &amp; Media Studies</t>
  </si>
  <si>
    <t>University of California, Merced</t>
  </si>
  <si>
    <t>Electrical &amp; Electronic Engineering,Business &amp; Management,Psychology,Civil Engineering,Mechanical &amp; Aerospace Engineering,Mathematics &amp; Statistics,Chemistry,General Engineering,Languages, Literature &amp; Linguistics,Geology, Environmental, Earth &amp; Marine Sciences,Art, Performing Arts &amp; Design,Sociology,Politics &amp; International Studies (incl Development Studies),Physics &amp; Astronomy,Economics &amp; Econometrics,Other Health,Biological Sciences,History, Philosophy &amp; Theology</t>
  </si>
  <si>
    <t>Campus Bio-Medico University of Rome</t>
  </si>
  <si>
    <t>Other Health,Medicine &amp; Dentistry,Chemical Engineering,Biological Sciences,General Engineering</t>
  </si>
  <si>
    <t>University of Catania</t>
  </si>
  <si>
    <t>Other Health,Sport Science,Psychology,Electrical &amp; Electronic Engineering,Geology, Environmental, Earth &amp; Marine Sciences,Archaeology,Agriculture &amp; Forestry,Education,Mechanical &amp; Aerospace Engineering,Politics &amp; International Studies (incl Development Studies),Architecture,Biological Sciences,Business &amp; Management,History, Philosophy &amp; Theology,Civil Engineering,Physics &amp; Astronomy,Accounting &amp; Finance,General Engineering,Chemistry,Law,Medicine &amp; Dentistry,Mathematics &amp; Statistics,Art, Performing Arts &amp; Design,Computer Science,Communication &amp; Media Studies,Economics &amp; Econometrics,Languages, Literature &amp; Linguistics,Chemical Engineering,Sociology</t>
  </si>
  <si>
    <t>Centrale Nantes</t>
  </si>
  <si>
    <t>Computer Science,Mathematics &amp; Statistics,Civil Engineering,General Engineering,Mechanical &amp; Aerospace Engineering,Geology, Environmental, Earth &amp; Marine Sciences</t>
  </si>
  <si>
    <t>University of Central Florida</t>
  </si>
  <si>
    <t>Languages, Literature &amp; Linguistics,Medicine &amp; Dentistry,Accounting &amp; Finance,Economics &amp; Econometrics,Sport Science,Chemistry,History, Philosophy &amp; Theology,Physics &amp; Astronomy,Art, Performing Arts &amp; Design,Computer Science,Geology, Environmental, Earth &amp; Marine Sciences,Biological Sciences,Sociology,Communication &amp; Media Studies,Politics &amp; International Studies (incl Development Studies),Electrical &amp; Electronic Engineering,General Engineering,Education,Other Health,Mechanical &amp; Aerospace Engineering,Business &amp; Management,Mathematics &amp; Statistics,Psychology,Civil Engineering</t>
  </si>
  <si>
    <t>Charles Darwin University</t>
  </si>
  <si>
    <t>Law,Agriculture &amp; Forestry,Sport Science,Medicine &amp; Dentistry,Communication &amp; Media Studies,Architecture,Languages, Literature &amp; Linguistics,Biological Sciences,Sociology,Business &amp; Management,Other Health,Electrical &amp; Electronic Engineering,Art, Performing Arts &amp; Design,Education,Civil Engineering,Accounting &amp; Finance,Computer Science,Politics &amp; International Studies (incl Development Studies),History, Philosophy &amp; Theology,Psychology,Mechanical &amp; Aerospace Engineering</t>
  </si>
  <si>
    <t>Charles University</t>
  </si>
  <si>
    <t>Czech Republic</t>
  </si>
  <si>
    <t>Politics &amp; International Studies (incl Development Studies),Archaeology,Physics &amp; Astronomy,Accounting &amp; Finance,Psychology,Geology, Environmental, Earth &amp; Marine Sciences,Computer Science,Geography,Languages, Literature &amp; Linguistics,Education,Art, Performing Arts &amp; Design,Mathematics &amp; Statistics,Biological Sciences,Business &amp; Management,Medicine &amp; Dentistry,Economics &amp; Econometrics,Chemistry,Law,Sociology,Other Health,History, Philosophy &amp; Theology,Communication &amp; Media Studies,Sport Science</t>
  </si>
  <si>
    <t>Chung-Ang University</t>
  </si>
  <si>
    <t>Chung-Ang University CAU Chung Ang Korea</t>
  </si>
  <si>
    <t>Medicine &amp; Dentistry,Sport Science,Politics &amp; International Studies (incl Development Studies),History, Philosophy &amp; Theology,Chemical Engineering,Geography,Art, Performing Arts &amp; Design,Electrical &amp; Electronic Engineering,Physics &amp; Astronomy,Civil Engineering,Sociology,Economics &amp; Econometrics,Other Health,Mathematics &amp; Statistics,Business &amp; Management,Agriculture &amp; Forestry,Education,General Engineering,Communication &amp; Media Studies,Languages, Literature &amp; Linguistics,Mechanical &amp; Aerospace Engineering,Psychology,Computer Science,Chemistry,Accounting &amp; Finance,Architecture,Biological Sciences,Law</t>
  </si>
  <si>
    <t>Claude Bernard University Lyon 1</t>
  </si>
  <si>
    <t>Mathematics &amp; Statistics,Computer Science,Business &amp; Management,Chemical Engineering,Economics &amp; Econometrics,Biological Sciences,Accounting &amp; Finance,Medicine &amp; Dentistry,Chemistry,Geology, Environmental, Earth &amp; Marine Sciences,Other Health,Sport Science,Mechanical &amp; Aerospace Engineering,Education,Electrical &amp; Electronic Engineering,Physics &amp; Astronomy,Civil Engineering,Veterinary Science,General Engineering,Agriculture &amp; Forestry</t>
  </si>
  <si>
    <t>University of Coimbra</t>
  </si>
  <si>
    <t>Portugal</t>
  </si>
  <si>
    <t>Architecture,Art, Performing Arts &amp; Design,Mechanical &amp; Aerospace Engineering,Politics &amp; International Studies (incl Development Studies),Business &amp; Management,Electrical &amp; Electronic Engineering,Sociology,History, Philosophy &amp; Theology,Agriculture &amp; Forestry,Geography,Medicine &amp; Dentistry,Sport Science,Economics &amp; Econometrics,Computer Science,Mathematics &amp; Statistics,Accounting &amp; Finance,Archaeology,Physics &amp; Astronomy,Psychology,Civil Engineering,Communication &amp; Media Studies,Languages, Literature &amp; Linguistics,Other Health,Chemistry,Law,General Engineering,Biological Sciences,Education,Chemical Engineering,Geology, Environmental, Earth &amp; Marine Sciences</t>
  </si>
  <si>
    <t>Colorado State University, Fort Collins</t>
  </si>
  <si>
    <t>Languages, Literature &amp; Linguistics,Agriculture &amp; Forestry,Veterinary Science,Accounting &amp; Finance,Other Health,Mathematics &amp; Statistics,Economics &amp; Econometrics,Biological Sciences,Sport Science,Education,History, Philosophy &amp; Theology,Chemical Engineering,Geography,Computer Science,Physics &amp; Astronomy,Psychology,Electrical &amp; Electronic Engineering,Communication &amp; Media Studies,Business &amp; Management,General Engineering,Chemistry,Archaeology,Geology, Environmental, Earth &amp; Marine Sciences,Art, Performing Arts &amp; Design,Civil Engineering,Sociology,Mechanical &amp; Aerospace Engineering,Politics &amp; International Studies (incl Development Studies)</t>
  </si>
  <si>
    <t>Constructor University</t>
  </si>
  <si>
    <t>Physics &amp; Astronomy,Economics &amp; Econometrics,Psychology,Mathematics &amp; Statistics,Business &amp; Management,Computer Science,Chemical Engineering,Chemistry,Politics &amp; International Studies (incl Development Studies),Geology, Environmental, Earth &amp; Marine Sciences,Sociology,Biological Sciences,Electrical &amp; Electronic Engineering</t>
  </si>
  <si>
    <t>Dalian University of Technology</t>
  </si>
  <si>
    <t>Biological Sciences,General Engineering,Geology, Environmental, Earth &amp; Marine Sciences,Other Health,Mathematics &amp; Statistics,Economics &amp; Econometrics,Art, Performing Arts &amp; Design,Agriculture &amp; Forestry,Chemical Engineering,Business &amp; Management,Computer Science,Sport Science,Architecture,Physics &amp; Astronomy,Languages, Literature &amp; Linguistics,Civil Engineering,Law,History, Philosophy &amp; Theology,Mechanical &amp; Aerospace Engineering,Communication &amp; Media Studies,Electrical &amp; Electronic Engineering,Chemistry</t>
  </si>
  <si>
    <t>University of Delaware</t>
  </si>
  <si>
    <t>Computer Science,Communication &amp; Media Studies,Veterinary Science,Civil Engineering,Mathematics &amp; Statistics,Politics &amp; International Studies (incl Development Studies),Chemistry,Geography,Architecture,Business &amp; Management,Chemical Engineering,History, Philosophy &amp; Theology,Other Health,Geology, Environmental, Earth &amp; Marine Sciences,Accounting &amp; Finance,Sport Science,General Engineering,Psychology,Art, Performing Arts &amp; Design,Mechanical &amp; Aerospace Engineering,Physics &amp; Astronomy,Electrical &amp; Electronic Engineering,Languages, Literature &amp; Linguistics,Education,Agriculture &amp; Forestry,Economics &amp; Econometrics,Sociology,Biological Sciences</t>
  </si>
  <si>
    <t>Dublin City University</t>
  </si>
  <si>
    <t>History, Philosophy &amp; Theology,Geology, Environmental, Earth &amp; Marine Sciences,Economics &amp; Econometrics,Mechanical &amp; Aerospace Engineering,Biological Sciences,Law,Physics &amp; Astronomy,Business &amp; Management,Sport Science,Education,Electrical &amp; Electronic Engineering,Sociology,Other Health,Communication &amp; Media Studies,Computer Science,Politics &amp; International Studies (incl Development Studies),Languages, Literature &amp; Linguistics,Chemistry,Accounting &amp; Finance,Geography,Mathematics &amp; Statistics,Psychology</t>
  </si>
  <si>
    <t>Ã‰cole des Ponts ParisTech</t>
  </si>
  <si>
    <t>Economics &amp; Econometrics,Mechanical &amp; Aerospace Engineering,Mathematics &amp; Statistics,General Engineering,Civil Engineering,Geology, Environmental, Earth &amp; Marine Sciences,Sociology,Computer Science,Accounting &amp; Finance</t>
  </si>
  <si>
    <t>Florida International University</t>
  </si>
  <si>
    <t>Business &amp; Management,Chemistry,Mechanical &amp; Aerospace Engineering,Accounting &amp; Finance,Electrical &amp; Electronic Engineering,General Engineering,Geology, Environmental, Earth &amp; Marine Sciences,Economics &amp; Econometrics,Psychology,Biological Sciences,Civil Engineering,Politics &amp; International Studies (incl Development Studies),Education,Communication &amp; Media Studies,Medicine &amp; Dentistry,Languages, Literature &amp; Linguistics,Physics &amp; Astronomy,Sociology,Other Health,Art, Performing Arts &amp; Design,Computer Science,Architecture,Mathematics &amp; Statistics,Geography,History, Philosophy &amp; Theology,Law</t>
  </si>
  <si>
    <t>University of Fribourg</t>
  </si>
  <si>
    <t>Archaeology,Accounting &amp; Finance,Sociology,Art, Performing Arts &amp; Design,Computer Science,Geology, Environmental, Earth &amp; Marine Sciences,Mathematics &amp; Statistics,Economics &amp; Econometrics,Communication &amp; Media Studies,Languages, Literature &amp; Linguistics,Biological Sciences,Business &amp; Management,Chemistry,Law,Psychology,Other Health,Politics &amp; International Studies (incl Development Studies),Physics &amp; Astronomy,Geography,History, Philosophy &amp; Theology,Sport Science,Education,Medicine &amp; Dentistry</t>
  </si>
  <si>
    <t>University of Genoa</t>
  </si>
  <si>
    <t>Business &amp; Management,Architecture,Archaeology,Physics &amp; Astronomy,Biological Sciences,Mathematics &amp; Statistics,Law,Economics &amp; Econometrics,Other Health,Electrical &amp; Electronic Engineering,Psychology,Geology, Environmental, Earth &amp; Marine Sciences,Languages, Literature &amp; Linguistics,Chemistry,Computer Science,General Engineering,Education,Mechanical &amp; Aerospace Engineering,Sport Science,Politics &amp; International Studies (incl Development Studies),Medicine &amp; Dentistry,Accounting &amp; Finance,Civil Engineering,History, Philosophy &amp; Theology,Communication &amp; Media Studies,Chemical Engineering,Art, Performing Arts &amp; Design</t>
  </si>
  <si>
    <t>George Mason University</t>
  </si>
  <si>
    <t>Languages, Literature &amp; Linguistics,Civil Engineering,Education,Other Health,Chemistry,Business &amp; Management,General Engineering,Geology, Environmental, Earth &amp; Marine Sciences,Computer Science,Communication &amp; Media Studies,Physics &amp; Astronomy,Accounting &amp; Finance,Sport Science,Psychology,Mathematics &amp; Statistics,Law,Economics &amp; Econometrics,Art, Performing Arts &amp; Design,Mechanical &amp; Aerospace Engineering,Politics &amp; International Studies (incl Development Studies),History, Philosophy &amp; Theology,Biological Sciences,Sociology,Electrical &amp; Electronic Engineering,Geography</t>
  </si>
  <si>
    <t>Georgia State University</t>
  </si>
  <si>
    <t>Computer Science,Education,Biological Sciences,Geography,Chemistry,Accounting &amp; Finance,Communication &amp; Media Studies,Art, Performing Arts &amp; Design,Sport Science,Law,Medicine &amp; Dentistry,Sociology,Physics &amp; Astronomy,Business &amp; Management,Other Health,Languages, Literature &amp; Linguistics,Politics &amp; International Studies (incl Development Studies),History, Philosophy &amp; Theology,Geology, Environmental, Earth &amp; Marine Sciences,Economics &amp; Econometrics,Mathematics &amp; Statistics,Psychology</t>
  </si>
  <si>
    <t>Goldsmiths, University of London</t>
  </si>
  <si>
    <t>Law,History, Philosophy &amp; Theology,Education,Art, Performing Arts &amp; Design,Psychology,Computer Science,Economics &amp; Econometrics,Communication &amp; Media Studies,Languages, Literature &amp; Linguistics,Business &amp; Management,Politics &amp; International Studies (incl Development Studies),Other Health,Sociology</t>
  </si>
  <si>
    <t>University of Greifswald</t>
  </si>
  <si>
    <t>History, Philosophy &amp; Theology,Chemistry,Economics &amp; Econometrics,Mathematics &amp; Statistics,Education,Languages, Literature &amp; Linguistics,Business &amp; Management,Medicine &amp; Dentistry,Politics &amp; International Studies (incl Development Studies),Other Health,Law,Communication &amp; Media Studies,Physics &amp; Astronomy,Psychology,Art, Performing Arts &amp; Design,Geology, Environmental, Earth &amp; Marine Sciences,Biological Sciences,Accounting &amp; Finance,Computer Science,Geography</t>
  </si>
  <si>
    <t>University of Guelph</t>
  </si>
  <si>
    <t>General Engineering,Geology, Environmental, Earth &amp; Marine Sciences,Architecture,Physics &amp; Astronomy,Accounting &amp; Finance,Computer Science,Chemistry,Electrical &amp; Electronic Engineering,Other Health,Mathematics &amp; Statistics,Economics &amp; Econometrics,Agriculture &amp; Forestry,Politics &amp; International Studies (incl Development Studies),Chemical Engineering,Mechanical &amp; Aerospace Engineering,Communication &amp; Media Studies,Civil Engineering,Languages, Literature &amp; Linguistics,Sport Science,Business &amp; Management,Biological Sciences,Sociology,History, Philosophy &amp; Theology,Psychology,Art, Performing Arts &amp; Design,Veterinary Science,Geography</t>
  </si>
  <si>
    <t>Gwangju Institute of Science and Technology (GIST)</t>
  </si>
  <si>
    <t>Computer Science,Mechanical &amp; Aerospace Engineering,Chemistry,Chemical Engineering,Physics &amp; Astronomy,General Engineering,Electrical &amp; Electronic Engineering,Biological Sciences</t>
  </si>
  <si>
    <t>HSE University</t>
  </si>
  <si>
    <t>Languages, Literature &amp; Linguistics,Civil Engineering,Psychology,Computer Science,Chemistry,General Engineering,Politics &amp; International Studies (incl Development Studies),Mathematics &amp; Statistics,Economics &amp; Econometrics,Archaeology,Communication &amp; Media Studies,Business &amp; Management,History, Philosophy &amp; Theology,Geology, Environmental, Earth &amp; Marine Sciences,Law,Electrical &amp; Electronic Engineering,Geography,Architecture,Sociology,Art, Performing Arts &amp; Design,Physics &amp; Astronomy,Accounting &amp; Finance,Biological Sciences,Education</t>
  </si>
  <si>
    <t>University of Hull</t>
  </si>
  <si>
    <t>Mechanical &amp; Aerospace Engineering,Politics &amp; International Studies (incl Development Studies),Other Health,Geology, Environmental, Earth &amp; Marine Sciences,Art, Performing Arts &amp; Design,Chemical Engineering,Law,Medicine &amp; Dentistry,Sport Science,Accounting &amp; Finance,General Engineering,Chemistry,Education,Computer Science,Mathematics &amp; Statistics,Psychology,Electrical &amp; Electronic Engineering,Communication &amp; Media Studies,Economics &amp; Econometrics,History, Philosophy &amp; Theology,Physics &amp; Astronomy,Business &amp; Management,Languages, Literature &amp; Linguistics,Biological Sciences,Sociology,Archaeology,Civil Engineering,Geography</t>
  </si>
  <si>
    <t>Imam Mohammad Ibn Saud Islamic University</t>
  </si>
  <si>
    <t>Psychology,Civil Engineering,Other Health,Law,Politics &amp; International Studies (incl Development Studies),Geology, Environmental, Earth &amp; Marine Sciences,Veterinary Science,Mechanical &amp; Aerospace Engineering,Art, Performing Arts &amp; Design,Education,Archaeology,Economics &amp; Econometrics,Chemistry,Agriculture &amp; Forestry,Biological Sciences,Languages, Literature &amp; Linguistics,Architecture,Electrical &amp; Electronic Engineering,Chemical Engineering,Communication &amp; Media Studies,Sociology,Geography,Medicine &amp; Dentistry,Business &amp; Management,History, Philosophy &amp; Theology,Accounting &amp; Finance,Physics &amp; Astronomy,Computer Science,Mathematics &amp; Statistics,General Engineering,Sport Science</t>
  </si>
  <si>
    <t>IMT Atlantique</t>
  </si>
  <si>
    <t>Physics &amp; Astronomy,Computer Science,Psychology,Other Health,Sociology,General Engineering,Geology, Environmental, Earth &amp; Marine Sciences,Business &amp; Management,Chemical Engineering,Mathematics &amp; Statistics,Electrical &amp; Electronic Engineering</t>
  </si>
  <si>
    <t>Institut Agro</t>
  </si>
  <si>
    <t>Physics &amp; Astronomy,Other Health,Mathematics &amp; Statistics,Communication &amp; Media Studies,Biological Sciences,Economics &amp; Econometrics,Electrical &amp; Electronic Engineering,Sociology,Medicine &amp; Dentistry,Veterinary Science,Geography,General Engineering,Geology, Environmental, Earth &amp; Marine Sciences,Mechanical &amp; Aerospace Engineering,Business &amp; Management,Civil Engineering,Accounting &amp; Finance,Computer Science,Agriculture &amp; Forestry,Chemistry,Chemical Engineering,Politics &amp; International Studies (incl Development Studies)</t>
  </si>
  <si>
    <t>Iran University of Science and Technology</t>
  </si>
  <si>
    <t>Computer Science,Geology, Environmental, Earth &amp; Marine Sciences,Civil Engineering,Mechanical &amp; Aerospace Engineering,Economics &amp; Econometrics,Physics &amp; Astronomy,Languages, Literature &amp; Linguistics,Biological Sciences,Architecture,Business &amp; Management,Chemistry,Electrical &amp; Electronic Engineering,Chemical Engineering,Mathematics &amp; Statistics</t>
  </si>
  <si>
    <t>University of Johannesburg</t>
  </si>
  <si>
    <t>University of Johannesburg Johannesburg University UJ UOJ</t>
  </si>
  <si>
    <t>Languages, Literature &amp; Linguistics,Civil Engineering,Law,Architecture,Chemistry,Biological Sciences,Geography,Accounting &amp; Finance,History, Philosophy &amp; Theology,Sport Science,Education,Other Health,Chemical Engineering,Communication &amp; Media Studies,Electrical &amp; Electronic Engineering,Mathematics &amp; Statistics,Psychology,Mechanical &amp; Aerospace Engineering,Politics &amp; International Studies (incl Development Studies),Business &amp; Management,Computer Science,Physics &amp; Astronomy,Economics &amp; Econometrics,General Engineering,Geology, Environmental, Earth &amp; Marine Sciences,Art, Performing Arts &amp; Design,Agriculture &amp; Forestry,Sociology</t>
  </si>
  <si>
    <t>Johannes Kepler University of Linz</t>
  </si>
  <si>
    <t>Computer Science,Biological Sciences,Electrical &amp; Electronic Engineering,Mechanical &amp; Aerospace Engineering,Physics &amp; Astronomy,Psychology,Politics &amp; International Studies (incl Development Studies),Chemical Engineering,General Engineering,Medicine &amp; Dentistry,Education,Sociology,Other Health,Chemistry,Accounting &amp; Finance,Economics &amp; Econometrics,Law,Mathematics &amp; Statistics,Business &amp; Management</t>
  </si>
  <si>
    <t>University of JyvÃ¤skylÃ¤</t>
  </si>
  <si>
    <t>Art, Performing Arts &amp; Design,Education,Sport Science,Economics &amp; Econometrics,Communication &amp; Media Studies,Biological Sciences,Business &amp; Management,Other Health,Chemistry,Physics &amp; Astronomy,Languages, Literature &amp; Linguistics,Sociology,History, Philosophy &amp; Theology,Psychology,Mathematics &amp; Statistics,Accounting &amp; Finance,Computer Science,Politics &amp; International Studies (incl Development Studies)</t>
  </si>
  <si>
    <t>Universiti Kebangsaan Malaysia</t>
  </si>
  <si>
    <t>Archaeology,Chemical Engineering,Geography,Architecture,Physics &amp; Astronomy,Sociology,Mechanical &amp; Aerospace Engineering,Psychology,Computer Science,Geology, Environmental, Earth &amp; Marine Sciences,Agriculture &amp; Forestry,Medicine &amp; Dentistry,Sport Science,Education,Languages, Literature &amp; Linguistics,Electrical &amp; Electronic Engineering,Politics &amp; International Studies (incl Development Studies),Economics &amp; Econometrics,Other Health,Mathematics &amp; Statistics,Business &amp; Management,Civil Engineering,Chemistry,Accounting &amp; Finance,History, Philosophy &amp; Theology,Biological Sciences,Communication &amp; Media Studies,General Engineering,Law</t>
  </si>
  <si>
    <t>University of Kent</t>
  </si>
  <si>
    <t>Languages, Literature &amp; Linguistics,Veterinary Science,Communication &amp; Media Studies,Education,Other Health,Archaeology,Economics &amp; Econometrics,Law,Psychology,Sport Science,Medicine &amp; Dentistry,Computer Science,Geology, Environmental, Earth &amp; Marine Sciences,Business &amp; Management,Mathematics &amp; Statistics,History, Philosophy &amp; Theology,Architecture,Physics &amp; Astronomy,Electrical &amp; Electronic Engineering,Geography,Accounting &amp; Finance,Biological Sciences,Art, Performing Arts &amp; Design,Sociology,Mechanical &amp; Aerospace Engineering,Politics &amp; International Studies (incl Development Studies),Agriculture &amp; Forestry,General Engineering,Chemistry</t>
  </si>
  <si>
    <t>University of Kentucky</t>
  </si>
  <si>
    <t>Geology, Environmental, Earth &amp; Marine Sciences,Sociology,Chemistry,Geography,Art, Performing Arts &amp; Design,Communication &amp; Media Studies,History, Philosophy &amp; Theology,Education,Mechanical &amp; Aerospace Engineering,Sport Science,Architecture,Accounting &amp; Finance,Politics &amp; International Studies (incl Development Studies),Medicine &amp; Dentistry,Veterinary Science,Biological Sciences,Business &amp; Management,Civil Engineering,Law,Chemical Engineering,Computer Science,Physics &amp; Astronomy,Agriculture &amp; Forestry,Electrical &amp; Electronic Engineering,Languages, Literature &amp; Linguistics,Economics &amp; Econometrics,Other Health,General Engineering,Psychology,Mathematics &amp; Statistics</t>
  </si>
  <si>
    <t>King Saud University</t>
  </si>
  <si>
    <t>Psychology,Mechanical &amp; Aerospace Engineering,Economics &amp; Econometrics,Geology, Environmental, Earth &amp; Marine Sciences,Communication &amp; Media Studies,Chemical Engineering,Computer Science,Agriculture &amp; Forestry,Chemistry,Electrical &amp; Electronic Engineering,Sociology,Mathematics &amp; Statistics,General Engineering,Business &amp; Management,Languages, Literature &amp; Linguistics,Geography,Law,Medicine &amp; Dentistry,Physics &amp; Astronomy,Biological Sciences,Veterinary Science,Art, Performing Arts &amp; Design,History, Philosophy &amp; Theology,Architecture,Politics &amp; International Studies (incl Development Studies),Other Health,Sport Science,Education,Accounting &amp; Finance,Civil Engineering,Archaeology</t>
  </si>
  <si>
    <t>University of Limerick</t>
  </si>
  <si>
    <t>Chemistry,Architecture,Politics &amp; International Studies (incl Development Studies),Physics &amp; Astronomy,History, Philosophy &amp; Theology,Electrical &amp; Electronic Engineering,Other Health,Business &amp; Management,Sociology,Communication &amp; Media Studies,Economics &amp; Econometrics,Geology, Environmental, Earth &amp; Marine Sciences,General Engineering,Law,Medicine &amp; Dentistry,Mathematics &amp; Statistics,Accounting &amp; Finance,Biological Sciences,Civil Engineering,Art, Performing Arts &amp; Design,Sport Science,Psychology,Chemical Engineering,Languages, Literature &amp; Linguistics,Computer Science,Education,Mechanical &amp; Aerospace Engineering</t>
  </si>
  <si>
    <t>Lincoln University</t>
  </si>
  <si>
    <t>Sociology,Architecture,Sport Science,Geology, Environmental, Earth &amp; Marine Sciences,Business &amp; Management,Accounting &amp; Finance,Computer Science,Agriculture &amp; Forestry,Economics &amp; Econometrics,Biological Sciences</t>
  </si>
  <si>
    <t>University of Lisbon</t>
  </si>
  <si>
    <t>History, Philosophy &amp; Theology,Electrical &amp; Electronic Engineering,Agriculture &amp; Forestry,Psychology,Architecture,Mathematics &amp; Statistics,Business &amp; Management,Art, Performing Arts &amp; Design,Medicine &amp; Dentistry,Veterinary Science,Education,Archaeology,Chemistry,Geography,Mechanical &amp; Aerospace Engineering,Geology, Environmental, Earth &amp; Marine Sciences,Economics &amp; Econometrics,Biological Sciences,Law,Other Health,Languages, Literature &amp; Linguistics,Chemical Engineering,Communication &amp; Media Studies,Computer Science,Sport Science,Politics &amp; International Studies (incl Development Studies),Civil Engineering,Sociology,General Engineering,Physics &amp; Astronomy,Accounting &amp; Finance</t>
  </si>
  <si>
    <t>University of Marburg</t>
  </si>
  <si>
    <t>Physics &amp; Astronomy,Economics &amp; Econometrics,History, Philosophy &amp; Theology,Computer Science,Psychology,Sociology,Accounting &amp; Finance,Law,Chemistry,Languages, Literature &amp; Linguistics,Mathematics &amp; Statistics,Biological Sciences,Business &amp; Management,Sport Science,Art, Performing Arts &amp; Design,Communication &amp; Media Studies,Archaeology,Medicine &amp; Dentistry,Politics &amp; International Studies (incl Development Studies),Other Health,Education,Geography</t>
  </si>
  <si>
    <t>Maynooth University</t>
  </si>
  <si>
    <t>General Engineering,Politics &amp; International Studies (incl Development Studies),Chemistry,Geography,Physics &amp; Astronomy,Law,History, Philosophy &amp; Theology,Sociology,Languages, Literature &amp; Linguistics,Communication &amp; Media Studies,Mathematics &amp; Statistics,Psychology,Electrical &amp; Electronic Engineering,Economics &amp; Econometrics,Computer Science,Accounting &amp; Finance,Biological Sciences,Business &amp; Management,Geology, Environmental, Earth &amp; Marine Sciences,Education</t>
  </si>
  <si>
    <t>Missouri University of Science and Technology</t>
  </si>
  <si>
    <t>24 : 76</t>
  </si>
  <si>
    <t>Archaeology,Medicine &amp; Dentistry,Geology, Environmental, Earth &amp; Marine Sciences,Education,Veterinary Science,Psychology,Geography,Mathematics &amp; Statistics,Economics &amp; Econometrics,General Engineering,Other Health,Electrical &amp; Electronic Engineering,Business &amp; Management,Mechanical &amp; Aerospace Engineering,Chemistry,Communication &amp; Media Studies,Law,Chemical Engineering,Art, Performing Arts &amp; Design,Architecture,Sport Science,Politics &amp; International Studies (incl Development Studies),History, Philosophy &amp; Theology,Agriculture &amp; Forestry,Accounting &amp; Finance,Sociology,Physics &amp; Astronomy,Languages, Literature &amp; Linguistics,Computer Science,Civil Engineering,Biological Sciences</t>
  </si>
  <si>
    <t>Mizzou - University of Missouri</t>
  </si>
  <si>
    <t>Art, Performing Arts &amp; Design,Mechanical &amp; Aerospace Engineering,Languages, Literature &amp; Linguistics,Electrical &amp; Electronic Engineering,Sociology,Other Health,Veterinary Science,Psychology,Medicine &amp; Dentistry,Biological Sciences,Law,History, Philosophy &amp; Theology,General Engineering,Physics &amp; Astronomy,Business &amp; Management,Civil Engineering,Communication &amp; Media Studies,Agriculture &amp; Forestry,Politics &amp; International Studies (incl Development Studies),Chemical Engineering,Chemistry,Archaeology,Sport Science,Geography,Accounting &amp; Finance,Computer Science,Mathematics &amp; Statistics,Education,Economics &amp; Econometrics,Geology, Environmental, Earth &amp; Marine Sciences</t>
  </si>
  <si>
    <t>University of Modena and Reggio Emilia</t>
  </si>
  <si>
    <t>Languages, Literature &amp; Linguistics,Economics &amp; Econometrics,Civil Engineering,Chemical Engineering,Chemistry,Mathematics &amp; Statistics,History, Philosophy &amp; Theology,Geography,Other Health,Education,Biological Sciences,Psychology,Communication &amp; Media Studies,Medicine &amp; Dentistry,Accounting &amp; Finance,Mechanical &amp; Aerospace Engineering,Physics &amp; Astronomy,Electrical &amp; Electronic Engineering,Sport Science,Computer Science,Geology, Environmental, Earth &amp; Marine Sciences,Agriculture &amp; Forestry,Law,Sociology,General Engineering,Business &amp; Management</t>
  </si>
  <si>
    <t>National Research Nuclear University MEPhI</t>
  </si>
  <si>
    <t>Mechanical &amp; Aerospace Engineering,Computer Science,Politics &amp; International Studies (incl Development Studies),Mathematics &amp; Statistics,Other Health,Chemistry,Chemical Engineering,Sociology,Biological Sciences,Business &amp; Management,Medicine &amp; Dentistry,Physics &amp; Astronomy,Accounting &amp; Finance,Languages, Literature &amp; Linguistics,General Engineering,Economics &amp; Econometrics,Electrical &amp; Electronic Engineering,Geology, Environmental, Earth &amp; Marine Sciences,History, Philosophy &amp; Theology,Civil Engineering,Education</t>
  </si>
  <si>
    <t>National Taiwan University of Science and Technology (Taiwan Tech)</t>
  </si>
  <si>
    <t>Electrical &amp; Electronic Engineering,Mechanical &amp; Aerospace Engineering,Languages, Literature &amp; Linguistics,Computer Science,Art, Performing Arts &amp; Design,Civil Engineering,General Engineering,Architecture,Chemical Engineering,Accounting &amp; Finance,Business &amp; Management,Education</t>
  </si>
  <si>
    <t>National Tsing Hua University</t>
  </si>
  <si>
    <t>General Engineering,Politics &amp; International Studies (incl Development Studies),Art, Performing Arts &amp; Design,Accounting &amp; Finance,Chemistry,Psychology,Education,History, Philosophy &amp; Theology,Computer Science,Electrical &amp; Electronic Engineering,Biological Sciences,Communication &amp; Media Studies,Languages, Literature &amp; Linguistics,Agriculture &amp; Forestry,Mechanical &amp; Aerospace Engineering,Physics &amp; Astronomy,Law,Medicine &amp; Dentistry,Sociology,Civil Engineering,Business &amp; Management,Economics &amp; Econometrics,Other Health,Archaeology,Chemical Engineering,Mathematics &amp; Statistics,Geography,Sport Science,Geology, Environmental, Earth &amp; Marine Sciences</t>
  </si>
  <si>
    <t>National Yang Ming Chiao Tung University</t>
  </si>
  <si>
    <t>Languages, Literature &amp; Linguistics,Biological Sciences,Art, Performing Arts &amp; Design,Education,Economics &amp; Econometrics,Communication &amp; Media Studies,Mathematics &amp; Statistics,Architecture,History, Philosophy &amp; Theology,Law,Other Health,General Engineering,Geology, Environmental, Earth &amp; Marine Sciences,Chemical Engineering,Psychology,Medicine &amp; Dentistry,Chemistry,Business &amp; Management,Electrical &amp; Electronic Engineering,Civil Engineering,Mechanical &amp; Aerospace Engineering,Accounting &amp; Finance,Computer Science,Politics &amp; International Studies (incl Development Studies),Physics &amp; Astronomy,Sociology</t>
  </si>
  <si>
    <t>University of Nebraska-Lincoln</t>
  </si>
  <si>
    <t>Physics &amp; Astronomy,Mechanical &amp; Aerospace Engineering,Art, Performing Arts &amp; Design,History, Philosophy &amp; Theology,Agriculture &amp; Forestry,Sport Science,Sociology,Law,Geography,Education,General Engineering,Veterinary Science,Architecture,Civil Engineering,Communication &amp; Media Studies,Electrical &amp; Electronic Engineering,Psychology,Accounting &amp; Finance,Mathematics &amp; Statistics,Other Health,Economics &amp; Econometrics,Computer Science,Chemical Engineering,Languages, Literature &amp; Linguistics,Geology, Environmental, Earth &amp; Marine Sciences,Politics &amp; International Studies (incl Development Studies),Archaeology,Biological Sciences,Business &amp; Management,Medicine &amp; Dentistry,Chemistry</t>
  </si>
  <si>
    <t>University of NeuchÃ¢tel</t>
  </si>
  <si>
    <t>History, Philosophy &amp; Theology,Computer Science,Law,Mathematics &amp; Statistics,Business &amp; Management,Geology, Environmental, Earth &amp; Marine Sciences,Archaeology,Sport Science,Psychology,Languages, Literature &amp; Linguistics,Geography,Biological Sciences,Sociology,Politics &amp; International Studies (incl Development Studies),Communication &amp; Media Studies,Physics &amp; Astronomy,Accounting &amp; Finance,Chemistry,Economics &amp; Econometrics</t>
  </si>
  <si>
    <t>New Jersey Institute of Technology</t>
  </si>
  <si>
    <t>Education,Chemical Engineering,Agriculture &amp; Forestry,Mathematics &amp; Statistics,Politics &amp; International Studies (incl Development Studies),Business &amp; Management,Biological Sciences,Art, Performing Arts &amp; Design,Mechanical &amp; Aerospace Engineering,General Engineering,Civil Engineering,Sociology,Languages, Literature &amp; Linguistics,Computer Science,Physics &amp; Astronomy,Electrical &amp; Electronic Engineering,Other Health,History, Philosophy &amp; Theology,Architecture,Chemistry,Law</t>
  </si>
  <si>
    <t>University of Oregon</t>
  </si>
  <si>
    <t>Chemical Engineering,Biological Sciences,Communication &amp; Media Studies,Education,Politics &amp; International Studies (incl Development Studies),Geology, Environmental, Earth &amp; Marine Sciences,Archaeology,Art, Performing Arts &amp; Design,Mathematics &amp; Statistics,Business &amp; Management,Computer Science,Geography,Chemistry,Languages, Literature &amp; Linguistics,Sociology,History, Philosophy &amp; Theology,Architecture,Physics &amp; Astronomy,Psychology,Sport Science,Economics &amp; Econometrics,Accounting &amp; Finance,Law</t>
  </si>
  <si>
    <t>University of Passau</t>
  </si>
  <si>
    <t>Business &amp; Management,Law,Education,Politics &amp; International Studies (incl Development Studies),History, Philosophy &amp; Theology,Accounting &amp; Finance,Mathematics &amp; Statistics,Sociology,Economics &amp; Econometrics,Psychology,Sport Science,Languages, Literature &amp; Linguistics,Communication &amp; Media Studies,Computer Science,Geography</t>
  </si>
  <si>
    <t>University of Pisa</t>
  </si>
  <si>
    <t>Sport Science,Mechanical &amp; Aerospace Engineering,Communication &amp; Media Studies,Politics &amp; International Studies (incl Development Studies),Languages, Literature &amp; Linguistics,Accounting &amp; Finance,Law,Chemical Engineering,Art, Performing Arts &amp; Design,History, Philosophy &amp; Theology,Economics &amp; Econometrics,Agriculture &amp; Forestry,Sociology,Mathematics &amp; Statistics,Business &amp; Management,Medicine &amp; Dentistry,General Engineering,Physics &amp; Astronomy,Education,Veterinary Science,Electrical &amp; Electronic Engineering,Biological Sciences,Computer Science,Chemistry,Archaeology,Civil Engineering,Other Health,Geology, Environmental, Earth &amp; Marine Sciences,Psychology</t>
  </si>
  <si>
    <t>University of Plymouth</t>
  </si>
  <si>
    <t>Electrical &amp; Electronic Engineering,Law,Other Health,Communication &amp; Media Studies,Languages, Literature &amp; Linguistics,Computer Science,Geography,Mechanical &amp; Aerospace Engineering,Psychology,Geology, Environmental, Earth &amp; Marine Sciences,Economics &amp; Econometrics,Civil Engineering,Accounting &amp; Finance,Art, Performing Arts &amp; Design,Mathematics &amp; Statistics,Sociology,Medicine &amp; Dentistry,Politics &amp; International Studies (incl Development Studies),Architecture,Biological Sciences,Business &amp; Management,History, Philosophy &amp; Theology,Chemistry,Education</t>
  </si>
  <si>
    <t>Polytechnic University of Turin</t>
  </si>
  <si>
    <t>Art, Performing Arts &amp; Design,Electrical &amp; Electronic Engineering,Mathematics &amp; Statistics,Civil Engineering,General Engineering,Biological Sciences,Chemical Engineering,Chemistry,Mechanical &amp; Aerospace Engineering,Business &amp; Management,Architecture,Physics &amp; Astronomy,Computer Science,Geology, Environmental, Earth &amp; Marine Sciences</t>
  </si>
  <si>
    <t>Pontificia Universidad CatÃ³lica de Chile</t>
  </si>
  <si>
    <t>Chile</t>
  </si>
  <si>
    <t>Sociology,Chemistry,Psychology,General Engineering,Business &amp; Management,Mathematics &amp; Statistics,Architecture,History, Philosophy &amp; Theology,Sport Science,Politics &amp; International Studies (incl Development Studies),Communication &amp; Media Studies,Agriculture &amp; Forestry,Medicine &amp; Dentistry,Civil Engineering,Computer Science,Mechanical &amp; Aerospace Engineering,Languages, Literature &amp; Linguistics,Law,Education,Physics &amp; Astronomy,Biological Sciences,Electrical &amp; Electronic Engineering,Geography,Economics &amp; Econometrics,Chemical Engineering,Geology, Environmental, Earth &amp; Marine Sciences,Other Health,Accounting &amp; Finance,Archaeology,Veterinary Science,Art, Performing Arts &amp; Design</t>
  </si>
  <si>
    <t>University of Porto</t>
  </si>
  <si>
    <t>General Engineering,Medicine &amp; Dentistry,Languages, Literature &amp; Linguistics,Archaeology,Chemical Engineering,History, Philosophy &amp; Theology,Agriculture &amp; Forestry,Law,Physics &amp; Astronomy,Other Health,Business &amp; Management,Geology, Environmental, Earth &amp; Marine Sciences,Geography,Accounting &amp; Finance,Education,Economics &amp; Econometrics,Mechanical &amp; Aerospace Engineering,Psychology,Sport Science,Chemistry,Civil Engineering,Computer Science,Mathematics &amp; Statistics,Art, Performing Arts &amp; Design,Architecture,Politics &amp; International Studies (incl Development Studies),Electrical &amp; Electronic Engineering,Veterinary Science,Communication &amp; Media Studies,Biological Sciences,Sociology</t>
  </si>
  <si>
    <t>University of Portsmouth</t>
  </si>
  <si>
    <t>Medicine &amp; Dentistry,Sport Science,Computer Science,Physics &amp; Astronomy,Psychology,Art, Performing Arts &amp; Design,Biological Sciences,Education,Mechanical &amp; Aerospace Engineering,Politics &amp; International Studies (incl Development Studies),Languages, Literature &amp; Linguistics,Chemical Engineering,Law,Other Health,Geology, Environmental, Earth &amp; Marine Sciences,Accounting &amp; Finance,Architecture,Mathematics &amp; Statistics,Economics &amp; Econometrics,General Engineering,Communication &amp; Media Studies,Business &amp; Management,Electrical &amp; Electronic Engineering,Sociology,History, Philosophy &amp; Theology,Civil Engineering,Geography</t>
  </si>
  <si>
    <t>Prince Sultan University (PSU)</t>
  </si>
  <si>
    <t>Computer Science,General Engineering,Accounting &amp; Finance,Architecture,Law</t>
  </si>
  <si>
    <t>Quaid-i-Azam University</t>
  </si>
  <si>
    <t>Pakistan</t>
  </si>
  <si>
    <t>Computer Science,Politics &amp; International Studies (incl Development Studies),History, Philosophy &amp; Theology,Mathematics &amp; Statistics,Chemistry,Psychology,Biological Sciences,Accounting &amp; Finance,Other Health,Geology, Environmental, Earth &amp; Marine Sciences,Physics &amp; Astronomy,Economics &amp; Econometrics,Agriculture &amp; Forestry,Sociology,Law,Archaeology,Business &amp; Management</t>
  </si>
  <si>
    <t>UniversitÃ© du QuÃ©bec</t>
  </si>
  <si>
    <t>Sociology,Politics &amp; International Studies (incl Development Studies),Civil Engineering,Biological Sciences,Geology, Environmental, Earth &amp; Marine Sciences,Computer Science,Communication &amp; Media Studies,Mathematics &amp; Statistics,Architecture,History, Philosophy &amp; Theology,Agriculture &amp; Forestry,Education,Geography,Physics &amp; Astronomy,Archaeology,Electrical &amp; Electronic Engineering,Accounting &amp; Finance,Economics &amp; Econometrics,Psychology,Chemical Engineering,Sport Science,General Engineering,Law,Art, Performing Arts &amp; Design,Veterinary Science,Other Health,Mechanical &amp; Aerospace Engineering,Languages, Literature &amp; Linguistics,Business &amp; Management,Medicine &amp; Dentistry,Chemistry</t>
  </si>
  <si>
    <t>Rensselaer Polytechnic Institute</t>
  </si>
  <si>
    <t>Art, Performing Arts &amp; Design,General Engineering,History, Philosophy &amp; Theology,Electrical &amp; Electronic Engineering,Law,Economics &amp; Econometrics,Psychology,Physics &amp; Astronomy,Other Health,Architecture,Agriculture &amp; Forestry,Chemical Engineering,Mathematics &amp; Statistics,Mechanical &amp; Aerospace Engineering,Biological Sciences,Civil Engineering,Communication &amp; Media Studies,Geology, Environmental, Earth &amp; Marine Sciences,Computer Science,Chemistry,Business &amp; Management</t>
  </si>
  <si>
    <t>Royal Veterinary College</t>
  </si>
  <si>
    <t>Veterinary Science,Biological Sciences</t>
  </si>
  <si>
    <t>Universiti Sains Malaysia</t>
  </si>
  <si>
    <t>Medicine &amp; Dentistry,Mathematics &amp; Statistics,Chemical Engineering,Sociology,Biological Sciences,Education,Civil Engineering,Sport Science,Business &amp; Management,Archaeology,Chemistry,Mechanical &amp; Aerospace Engineering,Communication &amp; Media Studies,Other Health,Politics &amp; International Studies (incl Development Studies),General Engineering,Languages, Literature &amp; Linguistics,Electrical &amp; Electronic Engineering,Physics &amp; Astronomy,Accounting &amp; Finance,Art, Performing Arts &amp; Design,Computer Science,Geography,Architecture,Geology, Environmental, Earth &amp; Marine Sciences,History, Philosophy &amp; Theology,Economics &amp; Econometrics</t>
  </si>
  <si>
    <t>Saint Louis University</t>
  </si>
  <si>
    <t>Law,Psychology,Sociology,History, Philosophy &amp; Theology,Electrical &amp; Electronic Engineering,Computer Science,Languages, Literature &amp; Linguistics,Geology, Environmental, Earth &amp; Marine Sciences,Geography,Politics &amp; International Studies (incl Development Studies),Agriculture &amp; Forestry,Mechanical &amp; Aerospace Engineering,Business &amp; Management,Accounting &amp; Finance,Education,Economics &amp; Econometrics,Communication &amp; Media Studies,Sport Science,Medicine &amp; Dentistry,General Engineering,Art, Performing Arts &amp; Design,Civil Engineering,Biological Sciences,Other Health</t>
  </si>
  <si>
    <t>SOAS University of London</t>
  </si>
  <si>
    <t>Law,Geography,History, Philosophy &amp; Theology,Business &amp; Management,Sociology,Art, Performing Arts &amp; Design,Economics &amp; Econometrics,Communication &amp; Media Studies,Accounting &amp; Finance,Education,Politics &amp; International Studies (incl Development Studies),Languages, Literature &amp; Linguistics,Archaeology,Mathematics &amp; Statistics</t>
  </si>
  <si>
    <t>University of South Carolina-Columbia</t>
  </si>
  <si>
    <t>Civil Engineering,Psychology,Medicine &amp; Dentistry,Biological Sciences,Geography,Computer Science,Geology, Environmental, Earth &amp; Marine Sciences,Other Health,Chemistry,Accounting &amp; Finance,Languages, Literature &amp; Linguistics,Chemical Engineering,Education,Electrical &amp; Electronic Engineering,Politics &amp; International Studies (incl Development Studies),Business &amp; Management,History, Philosophy &amp; Theology,Mathematics &amp; Statistics,Law,Art, Performing Arts &amp; Design,Sport Science,Sociology,Mechanical &amp; Aerospace Engineering,Communication &amp; Media Studies,General Engineering,Physics &amp; Astronomy,Economics &amp; Econometrics</t>
  </si>
  <si>
    <t>Stevens Institute of Technology</t>
  </si>
  <si>
    <t>Chemistry,Civil Engineering,Electrical &amp; Electronic Engineering,History, Philosophy &amp; Theology,Biological Sciences,Languages, Literature &amp; Linguistics,Mathematics &amp; Statistics,Mechanical &amp; Aerospace Engineering,Art, Performing Arts &amp; Design,Physics &amp; Astronomy,Other Health,Chemical Engineering,Business &amp; Management,General Engineering,Geology, Environmental, Earth &amp; Marine Sciences,Computer Science,Sociology</t>
  </si>
  <si>
    <t>University of Stirling</t>
  </si>
  <si>
    <t>Biological Sciences,History, Philosophy &amp; Theology,Politics &amp; International Studies (incl Development Studies),Languages, Literature &amp; Linguistics,Economics &amp; Econometrics,General Engineering,Other Health,Business &amp; Management,Psychology,Sociology,Education,Law,Communication &amp; Media Studies,Computer Science,Sport Science,Mathematics &amp; Statistics,Accounting &amp; Finance,Geology, Environmental, Earth &amp; Marine Sciences</t>
  </si>
  <si>
    <t>Sumy State University</t>
  </si>
  <si>
    <t>Ukraine</t>
  </si>
  <si>
    <t>Electrical &amp; Electronic Engineering,Mathematics &amp; Statistics,Chemical Engineering,Education,Civil Engineering,Sociology,Economics &amp; Econometrics,Other Health,Communication &amp; Media Studies,Accounting &amp; Finance,Mechanical &amp; Aerospace Engineering,Chemistry,General Engineering,Politics &amp; International Studies (incl Development Studies),Psychology,Medicine &amp; Dentistry,Geology, Environmental, Earth &amp; Marine Sciences,Languages, Literature &amp; Linguistics,Sport Science,Law,Computer Science,Biological Sciences,Business &amp; Management,History, Philosophy &amp; Theology,Physics &amp; Astronomy</t>
  </si>
  <si>
    <t>Syracuse University</t>
  </si>
  <si>
    <t>Languages, Literature &amp; Linguistics,Mechanical &amp; Aerospace Engineering,Sport Science,Civil Engineering,Physics &amp; Astronomy,Business &amp; Management,Other Health,Mathematics &amp; Statistics,Psychology,Computer Science,Biological Sciences,Education,Architecture,Chemistry,Geography,Economics &amp; Econometrics,History, Philosophy &amp; Theology,Law,Electrical &amp; Electronic Engineering,Geology, Environmental, Earth &amp; Marine Sciences,Chemical Engineering,Sociology,General Engineering,Communication &amp; Media Studies,Accounting &amp; Finance,Art, Performing Arts &amp; Design,Agriculture &amp; Forestry,Politics &amp; International Studies (incl Development Studies)</t>
  </si>
  <si>
    <t>Taipei Medical University</t>
  </si>
  <si>
    <t>Taipei Medical University TMU Taiwan medicine</t>
  </si>
  <si>
    <t>Business &amp; Management,Biological Sciences,Politics &amp; International Studies (incl Development Studies),History, Philosophy &amp; Theology,Sociology,General Engineering,Law,Other Health,Electrical &amp; Electronic Engineering,Medicine &amp; Dentistry</t>
  </si>
  <si>
    <t>University of Tehran</t>
  </si>
  <si>
    <t>Business &amp; Management,Veterinary Science,Architecture,Mathematics &amp; Statistics,Computer Science,Geography,Archaeology,Languages, Literature &amp; Linguistics,Agriculture &amp; Forestry,Law,Civil Engineering,Communication &amp; Media Studies,Mechanical &amp; Aerospace Engineering,Geology, Environmental, Earth &amp; Marine Sciences,Chemistry,General Engineering,Accounting &amp; Finance,Education,Sociology,Art, Performing Arts &amp; Design,Psychology,Biological Sciences,History, Philosophy &amp; Theology,Physics &amp; Astronomy,Sport Science,Chemical Engineering,Economics &amp; Econometrics,Politics &amp; International Studies (incl Development Studies),Electrical &amp; Electronic Engineering</t>
  </si>
  <si>
    <t>Universiti Teknologi Malaysia</t>
  </si>
  <si>
    <t>Civil Engineering,Architecture,Art, Performing Arts &amp; Design,Other Health,Politics &amp; International Studies (incl Development Studies),Chemistry,General Engineering,Physics &amp; Astronomy,Mathematics &amp; Statistics,Economics &amp; Econometrics,Communication &amp; Media Studies,Geology, Environmental, Earth &amp; Marine Sciences,Chemical Engineering,Mechanical &amp; Aerospace Engineering,Computer Science,Languages, Literature &amp; Linguistics,Education,Psychology,Accounting &amp; Finance,Sport Science,Electrical &amp; Electronic Engineering,History, Philosophy &amp; Theology,Business &amp; Management,Biological Sciences</t>
  </si>
  <si>
    <t>Tokyo Medical and Dental University (TMDU)</t>
  </si>
  <si>
    <t>History, Philosophy &amp; Theology,Sport Science,Archaeology,Architecture,Biological Sciences,Sociology,Other Health,Geology, Environmental, Earth &amp; Marine Sciences,Chemistry,Mechanical &amp; Aerospace Engineering,Computer Science,Veterinary Science,Business &amp; Management,Communication &amp; Media Studies,Education,Art, Performing Arts &amp; Design,Languages, Literature &amp; Linguistics,Civil Engineering,Law,Accounting &amp; Finance,Agriculture &amp; Forestry,Politics &amp; International Studies (incl Development Studies),Electrical &amp; Electronic Engineering,General Engineering,Psychology,Mathematics &amp; Statistics,Geography,Medicine &amp; Dentistry,Chemical Engineering,Economics &amp; Econometrics,Physics &amp; Astronomy</t>
  </si>
  <si>
    <t>University of Toulouse</t>
  </si>
  <si>
    <t>Medicine &amp; Dentistry,Accounting &amp; Finance,Mechanical &amp; Aerospace Engineering,Archaeology,Other Health,Chemical Engineering,Education,Physics &amp; Astronomy,Biological Sciences,Languages, Literature &amp; Linguistics,General Engineering,Veterinary Science,Economics &amp; Econometrics,Art, Performing Arts &amp; Design,Sport Science,Law,Geology, Environmental, Earth &amp; Marine Sciences,Business &amp; Management,Politics &amp; International Studies (incl Development Studies),Geography,Civil Engineering,Chemistry,Agriculture &amp; Forestry,Architecture,Sociology,Computer Science,History, Philosophy &amp; Theology,Mathematics &amp; Statistics,Psychology,Communication &amp; Media Studies,Electrical &amp; Electronic Engineering</t>
  </si>
  <si>
    <t>TU Dortmund University</t>
  </si>
  <si>
    <t>Computer Science,Mechanical &amp; Aerospace Engineering,Architecture,Education,Civil Engineering,Business &amp; Management,Chemical Engineering,Electrical &amp; Electronic Engineering,Communication &amp; Media Studies,Mathematics &amp; Statistics,Physics &amp; Astronomy,Sociology</t>
  </si>
  <si>
    <t>Tulane University</t>
  </si>
  <si>
    <t>Architecture,Chemical Engineering,Education,Computer Science,Communication &amp; Media Studies,Accounting &amp; Finance,Physics &amp; Astronomy,Economics &amp; Econometrics,Other Health,Chemistry,Psychology,General Engineering,Geology, Environmental, Earth &amp; Marine Sciences,Art, Performing Arts &amp; Design,Agriculture &amp; Forestry,Law,History, Philosophy &amp; Theology,Sport Science,Medicine &amp; Dentistry,Mathematics &amp; Statistics,Sociology,Languages, Literature &amp; Linguistics,Biological Sciences,Business &amp; Management,Mechanical &amp; Aerospace Engineering,Politics &amp; International Studies (incl Development Studies)</t>
  </si>
  <si>
    <t>University of Turin</t>
  </si>
  <si>
    <t>Law,Accounting &amp; Finance,Communication &amp; Media Studies,Biological Sciences,History, Philosophy &amp; Theology,Psychology,Geography,Chemistry,Geology, Environmental, Earth &amp; Marine Sciences,Sociology,Agriculture &amp; Forestry,Art, Performing Arts &amp; Design,Economics &amp; Econometrics,Archaeology,Politics &amp; International Studies (incl Development Studies),Computer Science,Veterinary Science,Other Health,Business &amp; Management,Education,Mathematics &amp; Statistics,Languages, Literature &amp; Linguistics,Medicine &amp; Dentistry,Physics &amp; Astronomy,Sport Science</t>
  </si>
  <si>
    <t>UmeÃ¥ University</t>
  </si>
  <si>
    <t>Architecture,Agriculture &amp; Forestry,Geography,General Engineering,Physics &amp; Astronomy,Computer Science,Chemistry,Psychology,Languages, Literature &amp; Linguistics,Civil Engineering,Politics &amp; International Studies (incl Development Studies),Economics &amp; Econometrics,Art, Performing Arts &amp; Design,Mechanical &amp; Aerospace Engineering,Geology, Environmental, Earth &amp; Marine Sciences,Business &amp; Management,Electrical &amp; Electronic Engineering,Communication &amp; Media Studies,Education,History, Philosophy &amp; Theology,Chemical Engineering,Sociology,Other Health,Mathematics &amp; Statistics,Archaeology,Biological Sciences,Accounting &amp; Finance,Medicine &amp; Dentistry,Sport Science,Law</t>
  </si>
  <si>
    <t>Universiti Utara Malaysia</t>
  </si>
  <si>
    <t>Business &amp; Management,Computer Science,Psychology,Sociology,History, Philosophy &amp; Theology,Law,Politics &amp; International Studies (incl Development Studies),Accounting &amp; Finance,Communication &amp; Media Studies,Economics &amp; Econometrics,Mathematics &amp; Statistics,Languages, Literature &amp; Linguistics,Education,Art, Performing Arts &amp; Design,Geography</t>
  </si>
  <si>
    <t>University of Vaasa</t>
  </si>
  <si>
    <t>Communication &amp; Media Studies,Electrical &amp; Electronic Engineering,Business &amp; Management,Accounting &amp; Finance,Economics &amp; Econometrics,Computer Science</t>
  </si>
  <si>
    <t>Verona University</t>
  </si>
  <si>
    <t>Sociology,Communication &amp; Media Studies,History, Philosophy &amp; Theology,Archaeology,Other Health,Sport Science,Law,Business &amp; Management,Computer Science,Accounting &amp; Finance,Biological Sciences,Agriculture &amp; Forestry,Medicine &amp; Dentistry,Economics &amp; Econometrics,General Engineering,Geography,Art, Performing Arts &amp; Design,Education,Languages, Literature &amp; Linguistics,Mathematics &amp; Statistics,Psychology</t>
  </si>
  <si>
    <t>Victoria University</t>
  </si>
  <si>
    <t>Sport Science,Psychology,Computer Science,Law,Geology, Environmental, Earth &amp; Marine Sciences,Education,Electrical &amp; Electronic Engineering,Biological Sciences,Communication &amp; Media Studies,Other Health,Civil Engineering,Mathematics &amp; Statistics,Business &amp; Management,Accounting &amp; Finance,Economics &amp; Econometrics,History, Philosophy &amp; Theology,Politics &amp; International Studies (incl Development Studies),General Engineering,Sociology,Chemistry,Mechanical &amp; Aerospace Engineering</t>
  </si>
  <si>
    <t>Victoria University of Wellington</t>
  </si>
  <si>
    <t>Architecture,Politics &amp; International Studies (incl Development Studies),History, Philosophy &amp; Theology,Psychology,Biological Sciences,Law,Art, Performing Arts &amp; Design,Chemistry,Accounting &amp; Finance,Physics &amp; Astronomy,Education,Electrical &amp; Electronic Engineering,Geography,Other Health,Communication &amp; Media Studies,Geology, Environmental, Earth &amp; Marine Sciences,Economics &amp; Econometrics,Languages, Literature &amp; Linguistics,Mathematics &amp; Statistics,Business &amp; Management,Computer Science,Sociology</t>
  </si>
  <si>
    <t>Virginia Commonwealth University</t>
  </si>
  <si>
    <t>Chemistry,Other Health,General Engineering,Medicine &amp; Dentistry,Chemical Engineering,Business &amp; Management,Electrical &amp; Electronic Engineering,Art, Performing Arts &amp; Design,Accounting &amp; Finance,Civil Engineering,Sport Science,Physics &amp; Astronomy,Mechanical &amp; Aerospace Engineering,Computer Science,Sociology,Agriculture &amp; Forestry,Education,Psychology,Communication &amp; Media Studies,Politics &amp; International Studies (incl Development Studies),Languages, Literature &amp; Linguistics,Economics &amp; Econometrics,Mathematics &amp; Statistics,History, Philosophy &amp; Theology,Biological Sciences</t>
  </si>
  <si>
    <t>University of Waikato</t>
  </si>
  <si>
    <t>University of Waikato UoW</t>
  </si>
  <si>
    <t>Languages, Literature &amp; Linguistics,Physics &amp; Astronomy,Psychology,History, Philosophy &amp; Theology,Sport Science,Economics &amp; Econometrics,Agriculture &amp; Forestry,Geography,Other Health,Biological Sciences,Education,Mechanical &amp; Aerospace Engineering,Politics &amp; International Studies (incl Development Studies),General Engineering,Geology, Environmental, Earth &amp; Marine Sciences,Business &amp; Management,Electrical &amp; Electronic Engineering,Communication &amp; Media Studies,Civil Engineering,Chemistry,Accounting &amp; Finance,Computer Science,Mathematics &amp; Statistics,Law,Art, Performing Arts &amp; Design,Chemical Engineering,Sociology</t>
  </si>
  <si>
    <t>Wake Forest University</t>
  </si>
  <si>
    <t>Medicine &amp; Dentistry,Communication &amp; Media Studies,Physics &amp; Astronomy,Accounting &amp; Finance,History, Philosophy &amp; Theology,Business &amp; Management,Art, Performing Arts &amp; Design,Mathematics &amp; Statistics,Languages, Literature &amp; Linguistics,Sport Science,Sociology,Biological Sciences,Psychology,Chemistry,Economics &amp; Econometrics,General Engineering,Geology, Environmental, Earth &amp; Marine Sciences,Education,Computer Science,Politics &amp; International Studies (incl Development Studies),Other Health,Law</t>
  </si>
  <si>
    <t>Zayed University</t>
  </si>
  <si>
    <t>Education,Communication &amp; Media Studies,Politics &amp; International Studies (incl Development Studies),Other Health,Law,Psychology,Geology, Environmental, Earth &amp; Marine Sciences,Computer Science,Sociology,Accounting &amp; Finance,Art, Performing Arts &amp; Design,Business &amp; Management</t>
  </si>
  <si>
    <t>501â€“600</t>
  </si>
  <si>
    <t>Aberystwyth University</t>
  </si>
  <si>
    <t>41.9â€“45.3</t>
  </si>
  <si>
    <t>Economics &amp; Econometrics,Communication &amp; Media Studies,Electrical &amp; Electronic Engineering,Sport Science,Education,History, Philosophy &amp; Theology,Law,Business &amp; Management,Mathematics &amp; Statistics,Veterinary Science,Biological Sciences,Accounting &amp; Finance,Physics &amp; Astronomy,Sociology,Agriculture &amp; Forestry,Politics &amp; International Studies (incl Development Studies),Geography,Other Health,Geology, Environmental, Earth &amp; Marine Sciences,Computer Science,Art, Performing Arts &amp; Design,Languages, Literature &amp; Linguistics,Psychology</t>
  </si>
  <si>
    <t>Ã…bo Akademi University</t>
  </si>
  <si>
    <t>Law,Languages, Literature &amp; Linguistics,Physics &amp; Astronomy,Accounting &amp; Finance,Computer Science,Communication &amp; Media Studies,Education,Chemical Engineering,Economics &amp; Econometrics,Mathematics &amp; Statistics,History, Philosophy &amp; Theology,Politics &amp; International Studies (incl Development Studies),Other Health,Geology, Environmental, Earth &amp; Marine Sciences,Sociology,Psychology,Biological Sciences,Business &amp; Management,Chemistry</t>
  </si>
  <si>
    <t>Ajou University</t>
  </si>
  <si>
    <t>Sport Science,Economics &amp; Econometrics,General Engineering,Psychology,Languages, Literature &amp; Linguistics,Civil Engineering,Communication &amp; Media Studies,Business &amp; Management,Computer Science,Mathematics &amp; Statistics,Archaeology,Agriculture &amp; Forestry,Politics &amp; International Studies (incl Development Studies),Other Health,Biological Sciences,Law,Architecture,Veterinary Science,Geography,Medicine &amp; Dentistry,Chemical Engineering,Sociology,History, Philosophy &amp; Theology,Physics &amp; Astronomy,Education,Chemistry,Mechanical &amp; Aerospace Engineering,Accounting &amp; Finance,Art, Performing Arts &amp; Design,Electrical &amp; Electronic Engineering,Geology, Environmental, Earth &amp; Marine Sciences</t>
  </si>
  <si>
    <t>University of Alaska Fairbanks</t>
  </si>
  <si>
    <t>Other Health,Physics &amp; Astronomy,Psychology,Computer Science,Communication &amp; Media Studies,Electrical &amp; Electronic Engineering,Veterinary Science,Economics &amp; Econometrics,Mechanical &amp; Aerospace Engineering,Mathematics &amp; Statistics,Business &amp; Management,Languages, Literature &amp; Linguistics,Geology, Environmental, Earth &amp; Marine Sciences,Accounting &amp; Finance,General Engineering,Biological Sciences,Education,History, Philosophy &amp; Theology,Civil Engineering,Sociology,Architecture,Politics &amp; International Studies (incl Development Studies),Art, Performing Arts &amp; Design,Agriculture &amp; Forestry,Chemistry,Chemical Engineering,Geography</t>
  </si>
  <si>
    <t>Alfaisal University</t>
  </si>
  <si>
    <t>Mechanical &amp; Aerospace Engineering,Business &amp; Management,Other Health,Law,Biological Sciences,Medicine &amp; Dentistry,Accounting &amp; Finance,Electrical &amp; Electronic Engineering,General Engineering</t>
  </si>
  <si>
    <t>American University of Beirut</t>
  </si>
  <si>
    <t>Lebanon</t>
  </si>
  <si>
    <t>Biological Sciences,Chemistry,Geology, Environmental, Earth &amp; Marine Sciences,Chemical Engineering,Medicine &amp; Dentistry,Architecture,Archaeology,Electrical &amp; Electronic Engineering,Education,Mathematics &amp; Statistics,Politics &amp; International Studies (incl Development Studies),Economics &amp; Econometrics,Business &amp; Management,Physics &amp; Astronomy,Accounting &amp; Finance,Agriculture &amp; Forestry,Communication &amp; Media Studies,History, Philosophy &amp; Theology,General Engineering,Civil Engineering,Sociology,Mechanical &amp; Aerospace Engineering,Art, Performing Arts &amp; Design,Languages, Literature &amp; Linguistics,Other Health,Psychology,Computer Science</t>
  </si>
  <si>
    <t>Anglia Ruskin University (ARU)</t>
  </si>
  <si>
    <t>Business &amp; Management,Languages, Literature &amp; Linguistics,Politics &amp; International Studies (incl Development Studies),Civil Engineering,Other Health,Computer Science,Electrical &amp; Electronic Engineering,Medicine &amp; Dentistry,Education,Veterinary Science,History, Philosophy &amp; Theology,Communication &amp; Media Studies,Sport Science,Accounting &amp; Finance,Biological Sciences,Sociology,Architecture,Art, Performing Arts &amp; Design,Geography,Psychology,Mechanical &amp; Aerospace Engineering,Law,General Engineering,Chemistry</t>
  </si>
  <si>
    <t>Anna University</t>
  </si>
  <si>
    <t>Mechanical &amp; Aerospace Engineering,Biological Sciences,Chemical Engineering,Geology, Environmental, Earth &amp; Marine Sciences,Civil Engineering,Computer Science,Chemistry,Physics &amp; Astronomy,Mathematics &amp; Statistics,Electrical &amp; Electronic Engineering,General Engineering,Communication &amp; Media Studies,Business &amp; Management</t>
  </si>
  <si>
    <t>University of Lâ€™Aquila</t>
  </si>
  <si>
    <t>Geology, Environmental, Earth &amp; Marine Sciences,Communication &amp; Media Studies,Computer Science,Education,Psychology,Business &amp; Management,General Engineering,Medicine &amp; Dentistry,History, Philosophy &amp; Theology,Other Health,Mechanical &amp; Aerospace Engineering,Geography,Languages, Literature &amp; Linguistics,Physics &amp; Astronomy,Chemistry,Economics &amp; Econometrics,Biological Sciences,Chemical Engineering,Sport Science,Archaeology,Mathematics &amp; Statistics,Agriculture &amp; Forestry,Art, Performing Arts &amp; Design,Electrical &amp; Electronic Engineering,Sociology,Accounting &amp; Finance,Civil Engineering,Architecture,Politics &amp; International Studies (incl Development Studies)</t>
  </si>
  <si>
    <t>Auburn University</t>
  </si>
  <si>
    <t>General Engineering,Languages, Literature &amp; Linguistics,Veterinary Science,Architecture,Sport Science,Geography,Computer Science,Chemistry,Business &amp; Management,Other Health,Civil Engineering,Psychology,Electrical &amp; Electronic Engineering,Mathematics &amp; Statistics,Education,Art, Performing Arts &amp; Design,Biological Sciences,Politics &amp; International Studies (incl Development Studies),Medicine &amp; Dentistry,Agriculture &amp; Forestry,Law,Mechanical &amp; Aerospace Engineering,Geology, Environmental, Earth &amp; Marine Sciences,Economics &amp; Econometrics,History, Philosophy &amp; Theology,Chemical Engineering,Communication &amp; Media Studies,Physics &amp; Astronomy,Accounting &amp; Finance,Sociology</t>
  </si>
  <si>
    <t>Babol Noshirvani University of Technology</t>
  </si>
  <si>
    <t>Physics &amp; Astronomy,Mechanical &amp; Aerospace Engineering,Electrical &amp; Electronic Engineering,Chemical Engineering,Chemistry,Computer Science,Mathematics &amp; Statistics,Civil Engineering</t>
  </si>
  <si>
    <t>Bar-Ilan University</t>
  </si>
  <si>
    <t>Medicine &amp; Dentistry,Communication &amp; Media Studies,Electrical &amp; Electronic Engineering,Mechanical &amp; Aerospace Engineering,Sport Science,General Engineering,Computer Science,Economics &amp; Econometrics,Law,Civil Engineering,Chemistry,History, Philosophy &amp; Theology,Art, Performing Arts &amp; Design,Languages, Literature &amp; Linguistics,Geology, Environmental, Earth &amp; Marine Sciences,Other Health,Politics &amp; International Studies (incl Development Studies),Biological Sciences,Agriculture &amp; Forestry,Geography,Accounting &amp; Finance,Education,Sociology,Physics &amp; Astronomy,Architecture,Mathematics &amp; Statistics,Veterinary Science,Archaeology,Business &amp; Management,Psychology,Chemical Engineering</t>
  </si>
  <si>
    <t>Beirut Arab University</t>
  </si>
  <si>
    <t>Computer Science,Mathematics &amp; Statistics,Law,Languages, Literature &amp; Linguistics,Other Health,Chemistry,Geography,Architecture,Agriculture &amp; Forestry,Physics &amp; Astronomy,Civil Engineering,Veterinary Science,General Engineering,Communication &amp; Media Studies,Business &amp; Management,Electrical &amp; Electronic Engineering,Geology, Environmental, Earth &amp; Marine Sciences,Chemical Engineering,Politics &amp; International Studies (incl Development Studies),Accounting &amp; Finance,History, Philosophy &amp; Theology,Medicine &amp; Dentistry,Sociology,Psychology,Mechanical &amp; Aerospace Engineering,Biological Sciences,Economics &amp; Econometrics,Art, Performing Arts &amp; Design,Archaeology,Sport Science,Education</t>
  </si>
  <si>
    <t>Ben-Gurion University of the Negev</t>
  </si>
  <si>
    <t>Physics &amp; Astronomy,Communication &amp; Media Studies,Civil Engineering,General Engineering,Medicine &amp; Dentistry,Chemical Engineering,Archaeology,Electrical &amp; Electronic Engineering,Geology, Environmental, Earth &amp; Marine Sciences,Art, Performing Arts &amp; Design,Agriculture &amp; Forestry,Business &amp; Management,Mathematics &amp; Statistics,History, Philosophy &amp; Theology,Biological Sciences,Psychology,Geography,Computer Science,Economics &amp; Econometrics,Chemistry,Education,Other Health,Mechanical &amp; Aerospace Engineering,Sociology,Languages, Literature &amp; Linguistics,Politics &amp; International Studies (incl Development Studies)</t>
  </si>
  <si>
    <t>University of Bradford</t>
  </si>
  <si>
    <t>Psychology,Chemical Engineering,Electrical &amp; Electronic Engineering,Biological Sciences,Mathematics &amp; Statistics,Archaeology,Law,Architecture,Communication &amp; Media Studies,Civil Engineering,Chemistry,Computer Science,Other Health,Education,Politics &amp; International Studies (incl Development Studies),Sociology,Sport Science,General Engineering,Mechanical &amp; Aerospace Engineering,Accounting &amp; Finance,Medicine &amp; Dentistry,Business &amp; Management</t>
  </si>
  <si>
    <t>Brighton and Sussex Medical School</t>
  </si>
  <si>
    <t>Other Health,Medicine &amp; Dentistry</t>
  </si>
  <si>
    <t>Caâ€™ Foscari University of Venice</t>
  </si>
  <si>
    <t>Archaeology,Geology, Environmental, Earth &amp; Marine Sciences,Business &amp; Management,General Engineering,Economics &amp; Econometrics,Politics &amp; International Studies (incl Development Studies),Languages, Literature &amp; Linguistics,Geography,Accounting &amp; Finance,Sport Science,Communication &amp; Media Studies,Civil Engineering,Art, Performing Arts &amp; Design,Sociology,History, Philosophy &amp; Theology,Computer Science,Chemistry,Agriculture &amp; Forestry,Education,Law,Biological Sciences</t>
  </si>
  <si>
    <t>University of Calabria</t>
  </si>
  <si>
    <t>Sociology,Law,Chemical Engineering,Economics &amp; Econometrics,Biological Sciences,Geography,Physics &amp; Astronomy,Politics &amp; International Studies (incl Development Studies),Languages, Literature &amp; Linguistics,Computer Science,Education,Communication &amp; Media Studies,Mechanical &amp; Aerospace Engineering,Accounting &amp; Finance,Civil Engineering,Business &amp; Management,History, Philosophy &amp; Theology,Geology, Environmental, Earth &amp; Marine Sciences,Electrical &amp; Electronic Engineering,Mathematics &amp; Statistics,Other Health,Archaeology,Chemistry,General Engineering,Agriculture &amp; Forestry,Art, Performing Arts &amp; Design</t>
  </si>
  <si>
    <t>University of Canterbury</t>
  </si>
  <si>
    <t>Computer Science,Physics &amp; Astronomy,Business &amp; Management,Electrical &amp; Electronic Engineering,Mathematics &amp; Statistics,Accounting &amp; Finance,Archaeology,Veterinary Science,Psychology,Medicine &amp; Dentistry,Chemical Engineering,Sociology,Other Health,Sport Science,Politics &amp; International Studies (incl Development Studies),Languages, Literature &amp; Linguistics,Biological Sciences,Law,Economics &amp; Econometrics,History, Philosophy &amp; Theology,Civil Engineering,Communication &amp; Media Studies,Art, Performing Arts &amp; Design,General Engineering,Chemistry,Education,Architecture,Agriculture &amp; Forestry,Geography,Mechanical &amp; Aerospace Engineering,Geology, Environmental, Earth &amp; Marine Sciences</t>
  </si>
  <si>
    <t>Carleton University</t>
  </si>
  <si>
    <t>Electrical &amp; Electronic Engineering,Computer Science,History, Philosophy &amp; Theology,Agriculture &amp; Forestry,Civil Engineering,Communication &amp; Media Studies,Languages, Literature &amp; Linguistics,Chemical Engineering,Politics &amp; International Studies (incl Development Studies),Chemistry,Business &amp; Management,Law,Geology, Environmental, Earth &amp; Marine Sciences,Geography,Veterinary Science,Economics &amp; Econometrics,Biological Sciences,Sport Science,Art, Performing Arts &amp; Design,General Engineering,Psychology,Accounting &amp; Finance,Physics &amp; Astronomy,Archaeology,Sociology,Architecture,Mathematics &amp; Statistics,Mechanical &amp; Aerospace Engineering</t>
  </si>
  <si>
    <t>Central Queensland University</t>
  </si>
  <si>
    <t>Central Queensland University CQUni CQUniversity  Australia CQU</t>
  </si>
  <si>
    <t>Computer Science,Accounting &amp; Finance,Education,Physics &amp; Astronomy,Biological Sciences,Art, Performing Arts &amp; Design,Psychology,Medicine &amp; Dentistry,Chemical Engineering,Electrical &amp; Electronic Engineering,Communication &amp; Media Studies,Agriculture &amp; Forestry,Languages, Literature &amp; Linguistics,Sociology,Mathematics &amp; Statistics,Civil Engineering,Business &amp; Management,Economics &amp; Econometrics,General Engineering,Sport Science,Law,Chemistry,Other Health,Mechanical &amp; Aerospace Engineering,Geology, Environmental, Earth &amp; Marine Sciences</t>
  </si>
  <si>
    <t>China University of Petroleum, Beijing</t>
  </si>
  <si>
    <t>Economics &amp; Econometrics,Chemical Engineering,Geology, Environmental, Earth &amp; Marine Sciences,Politics &amp; International Studies (incl Development Studies),Accounting &amp; Finance,Mechanical &amp; Aerospace Engineering,Mathematics &amp; Statistics,Chemistry,Computer Science,Electrical &amp; Electronic Engineering,Business &amp; Management,Physics &amp; Astronomy,Languages, Literature &amp; Linguistics,General Engineering</t>
  </si>
  <si>
    <t>Complutense University of Madrid</t>
  </si>
  <si>
    <t>Veterinary Science,Education,Medicine &amp; Dentistry,Geology, Environmental, Earth &amp; Marine Sciences,Accounting &amp; Finance,Other Health,Communication &amp; Media Studies,Computer Science,Physics &amp; Astronomy,Archaeology,Politics &amp; International Studies (incl Development Studies),Psychology,Art, Performing Arts &amp; Design,Mathematics &amp; Statistics,Business &amp; Management,Chemical Engineering,Law,History, Philosophy &amp; Theology,Biological Sciences,Sociology,Electrical &amp; Electronic Engineering,Geography,Languages, Literature &amp; Linguistics,Chemistry,Economics &amp; Econometrics</t>
  </si>
  <si>
    <t>Concordia University</t>
  </si>
  <si>
    <t>History, Philosophy &amp; Theology,Art, Performing Arts &amp; Design,Chemical Engineering,Psychology,Chemistry,Economics &amp; Econometrics,Civil Engineering,Accounting &amp; Finance,Computer Science,Mathematics &amp; Statistics,Politics &amp; International Studies (incl Development Studies),Electrical &amp; Electronic Engineering,Sociology,Languages, Literature &amp; Linguistics,Sport Science,Education,Other Health,Biological Sciences,Geography,Mechanical &amp; Aerospace Engineering,Geology, Environmental, Earth &amp; Marine Sciences,Business &amp; Management,General Engineering,Communication &amp; Media Studies,Physics &amp; Astronomy</t>
  </si>
  <si>
    <t>University of CÃ´te dâ€™Azur</t>
  </si>
  <si>
    <t>Sociology,Chemistry,Electrical &amp; Electronic Engineering,Computer Science,Biological Sciences,Art, Performing Arts &amp; Design,Accounting &amp; Finance,Geology, Environmental, Earth &amp; Marine Sciences,Civil Engineering,Psychology,Archaeology,Education,Physics &amp; Astronomy,Sport Science,Economics &amp; Econometrics,General Engineering,Politics &amp; International Studies (incl Development Studies),Languages, Literature &amp; Linguistics,Mathematics &amp; Statistics,History, Philosophy &amp; Theology,Law,Communication &amp; Media Studies,Agriculture &amp; Forestry,Mechanical &amp; Aerospace Engineering,Medicine &amp; Dentistry,Other Health,Veterinary Science,Geography,Business &amp; Management,Chemical Engineering,Architecture</t>
  </si>
  <si>
    <t>University of Crete</t>
  </si>
  <si>
    <t>Greece</t>
  </si>
  <si>
    <t>Languages, Literature &amp; Linguistics,Politics &amp; International Studies (incl Development Studies),General Engineering,Economics &amp; Econometrics,Physics &amp; Astronomy,Other Health,Business &amp; Management,Medicine &amp; Dentistry,Geology, Environmental, Earth &amp; Marine Sciences,History, Philosophy &amp; Theology,Sociology,Computer Science,Mathematics &amp; Statistics,Psychology,Biological Sciences,Education,Archaeology,Chemistry</t>
  </si>
  <si>
    <t>University of Cyprus</t>
  </si>
  <si>
    <t>Cyprus</t>
  </si>
  <si>
    <t>Civil Engineering,Economics &amp; Econometrics,Architecture,Chemistry,Law,History, Philosophy &amp; Theology,Mathematics &amp; Statistics,Archaeology,Physics &amp; Astronomy,Education,Languages, Literature &amp; Linguistics,Computer Science,Politics &amp; International Studies (incl Development Studies),Medicine &amp; Dentistry,Communication &amp; Media Studies,General Engineering,Sociology,Mechanical &amp; Aerospace Engineering,Geology, Environmental, Earth &amp; Marine Sciences,Accounting &amp; Finance,Electrical &amp; Electronic Engineering,Business &amp; Management,Biological Sciences,Psychology</t>
  </si>
  <si>
    <t>University of Denver</t>
  </si>
  <si>
    <t>Education,Art, Performing Arts &amp; Design,Electrical &amp; Electronic Engineering,General Engineering,Geography,Biological Sciences,Other Health,Sociology,History, Philosophy &amp; Theology,Physics &amp; Astronomy,Law,Mechanical &amp; Aerospace Engineering,Languages, Literature &amp; Linguistics,Politics &amp; International Studies (incl Development Studies),Computer Science,Psychology,Mathematics &amp; Statistics,Economics &amp; Econometrics,Chemistry,Business &amp; Management,Sport Science,Accounting &amp; Finance,Communication &amp; Media Studies</t>
  </si>
  <si>
    <t>Donghua University</t>
  </si>
  <si>
    <t>Mechanical &amp; Aerospace Engineering,Architecture,Art, Performing Arts &amp; Design,Communication &amp; Media Studies,Languages, Literature &amp; Linguistics,Accounting &amp; Finance,Business &amp; Management,Computer Science,Geology, Environmental, Earth &amp; Marine Sciences,General Engineering,Chemical Engineering,Civil Engineering,Physics &amp; Astronomy,Chemistry,Mathematics &amp; Statistics</t>
  </si>
  <si>
    <t>University of Eastern Finland</t>
  </si>
  <si>
    <t>Geology, Environmental, Earth &amp; Marine Sciences,Accounting &amp; Finance,History, Philosophy &amp; Theology,Chemistry,Medicine &amp; Dentistry,Geography,Languages, Literature &amp; Linguistics,Physics &amp; Astronomy,Economics &amp; Econometrics,General Engineering,Sociology,Biological Sciences,Psychology,Computer Science,Education,Agriculture &amp; Forestry,Politics &amp; International Studies (incl Development Studies),Other Health,Law,Mathematics &amp; Statistics,Business &amp; Management</t>
  </si>
  <si>
    <t>Edinburgh Napier University</t>
  </si>
  <si>
    <t>Electrical &amp; Electronic Engineering,Psychology,Business &amp; Management,Accounting &amp; Finance,Sociology,Communication &amp; Media Studies,Other Health,Mechanical &amp; Aerospace Engineering,Art, Performing Arts &amp; Design,Law,Languages, Literature &amp; Linguistics,Sport Science,Civil Engineering,Biological Sciences</t>
  </si>
  <si>
    <t>ENSTA Bretagne</t>
  </si>
  <si>
    <t>Mechanical &amp; Aerospace Engineering,Electrical &amp; Electronic Engineering</t>
  </si>
  <si>
    <t>University of Ferrara</t>
  </si>
  <si>
    <t>Computer Science,Communication &amp; Media Studies,Civil Engineering,Education,Medicine &amp; Dentistry,Physics &amp; Astronomy,Sport Science,Economics &amp; Econometrics,Languages, Literature &amp; Linguistics,Mechanical &amp; Aerospace Engineering,Law,Biological Sciences,Business &amp; Management,Electrical &amp; Electronic Engineering,Geology, Environmental, Earth &amp; Marine Sciences,Other Health,Chemistry,Architecture,Archaeology,Mathematics &amp; Statistics</t>
  </si>
  <si>
    <t>University of Granada</t>
  </si>
  <si>
    <t>History, Philosophy &amp; Theology,Civil Engineering,Sociology,Chemistry,Accounting &amp; Finance,Languages, Literature &amp; Linguistics,Computer Science,Mathematics &amp; Statistics,Psychology,Architecture,Sport Science,Communication &amp; Media Studies,Economics &amp; Econometrics,Medicine &amp; Dentistry,Politics &amp; International Studies (incl Development Studies),Biological Sciences,Law,Other Health,Geography,Electrical &amp; Electronic Engineering,Education,Archaeology,Geology, Environmental, Earth &amp; Marine Sciences,Business &amp; Management,Chemical Engineering,Physics &amp; Astronomy</t>
  </si>
  <si>
    <t>University of Graz</t>
  </si>
  <si>
    <t>Architecture,Communication &amp; Media Studies,Business &amp; Management,History, Philosophy &amp; Theology,Mathematics &amp; Statistics,Archaeology,Geology, Environmental, Earth &amp; Marine Sciences,Chemical Engineering,Physics &amp; Astronomy,Art, Performing Arts &amp; Design,Sport Science,Education,Languages, Literature &amp; Linguistics,Other Health,Law,Biological Sciences,Sociology,Psychology,Computer Science,Economics &amp; Econometrics,Chemistry</t>
  </si>
  <si>
    <t>Graz University of Technology</t>
  </si>
  <si>
    <t>General Engineering,Physics &amp; Astronomy,Chemistry,Business &amp; Management,Architecture,Mathematics &amp; Statistics,Education,Civil Engineering,Geology, Environmental, Earth &amp; Marine Sciences,Electrical &amp; Electronic Engineering,Biological Sciences,Computer Science,Mechanical &amp; Aerospace Engineering,Chemical Engineering</t>
  </si>
  <si>
    <t>University of Greenwich</t>
  </si>
  <si>
    <t>Computer Science,Education,Accounting &amp; Finance,Mathematics &amp; Statistics,General Engineering,Languages, Literature &amp; Linguistics,Architecture,Law,Chemistry,Chemical Engineering,Civil Engineering,Biological Sciences,Sociology,Politics &amp; International Studies (incl Development Studies),Agriculture &amp; Forestry,Other Health,Psychology,Communication &amp; Media Studies,Economics &amp; Econometrics,Veterinary Science,Business &amp; Management,Mechanical &amp; Aerospace Engineering,Electrical &amp; Electronic Engineering,Geology, Environmental, Earth &amp; Marine Sciences,History, Philosophy &amp; Theology,Sport Science,Art, Performing Arts &amp; Design</t>
  </si>
  <si>
    <t>Hamburg University of Technology</t>
  </si>
  <si>
    <t>Mechanical &amp; Aerospace Engineering,Education,Electrical &amp; Electronic Engineering,Mathematics &amp; Statistics,Computer Science,Civil Engineering,Chemical Engineering,General Engineering</t>
  </si>
  <si>
    <t>University of Houston</t>
  </si>
  <si>
    <t>Languages, Literature &amp; Linguistics,Mechanical &amp; Aerospace Engineering,Geology, Environmental, Earth &amp; Marine Sciences,Art, Performing Arts &amp; Design,Chemical Engineering,Geography,History, Philosophy &amp; Theology,Biological Sciences,Education,Computer Science,Mathematics &amp; Statistics,Business &amp; Management,Electrical &amp; Electronic Engineering,Politics &amp; International Studies (incl Development Studies),Architecture,Sport Science,Sociology,Civil Engineering,Law,Other Health,Physics &amp; Astronomy,Economics &amp; Econometrics,Medicine &amp; Dentistry,Chemistry,Accounting &amp; Finance,General Engineering,Communication &amp; Media Studies,Psychology</t>
  </si>
  <si>
    <t>University of Huddersfield</t>
  </si>
  <si>
    <t>Sociology,Chemistry,Communication &amp; Media Studies,Languages, Literature &amp; Linguistics,General Engineering,Civil Engineering,Education,Sport Science,Geography,Economics &amp; Econometrics,Mathematics &amp; Statistics,Art, Performing Arts &amp; Design,Mechanical &amp; Aerospace Engineering,Computer Science,History, Philosophy &amp; Theology,Psychology,Business &amp; Management,Physics &amp; Astronomy,Chemical Engineering,Politics &amp; International Studies (incl Development Studies),Biological Sciences,Accounting &amp; Finance,Geology, Environmental, Earth &amp; Marine Sciences,Architecture,Electrical &amp; Electronic Engineering,Law,Other Health</t>
  </si>
  <si>
    <t>University of Iceland</t>
  </si>
  <si>
    <t>Iceland</t>
  </si>
  <si>
    <t>Archaeology,Mathematics &amp; Statistics,Languages, Literature &amp; Linguistics,Chemical Engineering,Geography,Medicine &amp; Dentistry,Physics &amp; Astronomy,Business &amp; Management,Electrical &amp; Electronic Engineering,Sociology,History, Philosophy &amp; Theology,Mechanical &amp; Aerospace Engineering,Communication &amp; Media Studies,Biological Sciences,Law,Other Health,Sport Science,Education,Civil Engineering,Politics &amp; International Studies (incl Development Studies),Computer Science,Geology, Environmental, Earth &amp; Marine Sciences,General Engineering,Chemistry,Accounting &amp; Finance,Psychology,Economics &amp; Econometrics</t>
  </si>
  <si>
    <t>Istanbul Technical University</t>
  </si>
  <si>
    <t>Other Health,Economics &amp; Econometrics,Electrical &amp; Electronic Engineering,Accounting &amp; Finance,Computer Science,Civil Engineering,Business &amp; Management,Chemical Engineering,Politics &amp; International Studies (incl Development Studies),Art, Performing Arts &amp; Design,Physics &amp; Astronomy,Architecture,Mathematics &amp; Statistics,General Engineering,Chemistry,Biological Sciences,Mechanical &amp; Aerospace Engineering,Geology, Environmental, Earth &amp; Marine Sciences</t>
  </si>
  <si>
    <t>Jamia Millia Islamia</t>
  </si>
  <si>
    <t>Architecture,Mathematics &amp; Statistics,Education,Electrical &amp; Electronic Engineering,Communication &amp; Media Studies,Archaeology,Geology, Environmental, Earth &amp; Marine Sciences,Business &amp; Management,Art, Performing Arts &amp; Design,Chemical Engineering,Politics &amp; International Studies (incl Development Studies),Other Health,Chemistry,Economics &amp; Econometrics,General Engineering,Civil Engineering,Sociology,History, Philosophy &amp; Theology,Biological Sciences,Psychology,Medicine &amp; Dentistry,Sport Science,Accounting &amp; Finance,Computer Science,Physics &amp; Astronomy,Law,Languages, Literature &amp; Linguistics,Mechanical &amp; Aerospace Engineering,Geography</t>
  </si>
  <si>
    <t>Jinan University</t>
  </si>
  <si>
    <t>Other Health,Communication &amp; Media Studies,Accounting &amp; Finance,Physics &amp; Astronomy,Computer Science,Art, Performing Arts &amp; Design,Sociology,Electrical &amp; Electronic Engineering,Mechanical &amp; Aerospace Engineering,Education,Biological Sciences,Architecture,Psychology,Geology, Environmental, Earth &amp; Marine Sciences,Civil Engineering,Law,Mathematics &amp; Statistics,General Engineering,Chemical Engineering,Medicine &amp; Dentistry,Politics &amp; International Studies (incl Development Studies),Chemistry,History, Philosophy &amp; Theology,Economics &amp; Econometrics,Business &amp; Management,Sport Science,Agriculture &amp; Forestry,Languages, Literature &amp; Linguistics</t>
  </si>
  <si>
    <t>Keele University</t>
  </si>
  <si>
    <t>Geography,Accounting &amp; Finance,Chemistry,Medicine &amp; Dentistry,Education,Physics &amp; Astronomy,Languages, Literature &amp; Linguistics,Economics &amp; Econometrics,Biological Sciences,Law,Sociology,Veterinary Science,Business &amp; Management,Art, Performing Arts &amp; Design,Sport Science,Mathematics &amp; Statistics,History, Philosophy &amp; Theology,Psychology,Geology, Environmental, Earth &amp; Marine Sciences,General Engineering,Politics &amp; International Studies (incl Development Studies),Computer Science,Communication &amp; Media Studies,Other Health</t>
  </si>
  <si>
    <t>King Khalid University</t>
  </si>
  <si>
    <t>Archaeology,Mechanical &amp; Aerospace Engineering,Psychology,Education,Other Health,Architecture,Business &amp; Management,Sociology,Physics &amp; Astronomy,Languages, Literature &amp; Linguistics,Electrical &amp; Electronic Engineering,Medicine &amp; Dentistry,Geology, Environmental, Earth &amp; Marine Sciences,Chemistry,Economics &amp; Econometrics,Mathematics &amp; Statistics,Chemical Engineering,Law,Computer Science,History, Philosophy &amp; Theology,Geography,Accounting &amp; Finance,Civil Engineering,General Engineering,Agriculture &amp; Forestry,Biological Sciences,Communication &amp; Media Studies,Art, Performing Arts &amp; Design</t>
  </si>
  <si>
    <t>University of Klagenfurt</t>
  </si>
  <si>
    <t>Mathematics &amp; Statistics,Business &amp; Management,Communication &amp; Media Studies,Languages, Literature &amp; Linguistics,Geography,Psychology,History, Philosophy &amp; Theology,Law,Economics &amp; Econometrics,Computer Science,Education,Electrical &amp; Electronic Engineering,Mechanical &amp; Aerospace Engineering</t>
  </si>
  <si>
    <t>University of KwaZulu-Natal</t>
  </si>
  <si>
    <t>University of KwaZulu-Natal UKZN Kwazulu Natal Kwa zulu</t>
  </si>
  <si>
    <t>Art, Performing Arts &amp; Design,Chemical Engineering,Law,Computer Science,Biological Sciences,Geography,Mechanical &amp; Aerospace Engineering,Geology, Environmental, Earth &amp; Marine Sciences,History, Philosophy &amp; Theology,Sport Science,Education,Civil Engineering,Communication &amp; Media Studies,Medicine &amp; Dentistry,Physics &amp; Astronomy,Electrical &amp; Electronic Engineering,Sociology,Accounting &amp; Finance,Architecture,Mathematics &amp; Statistics,Business &amp; Management,Languages, Literature &amp; Linguistics,Agriculture &amp; Forestry,Politics &amp; International Studies (incl Development Studies),Psychology,Other Health,Chemistry,Economics &amp; Econometrics</t>
  </si>
  <si>
    <t>Kyungpook National University</t>
  </si>
  <si>
    <t>Architecture,Computer Science,Physics &amp; Astronomy,General Engineering,Medicine &amp; Dentistry,Art, Performing Arts &amp; Design,Geography,Mechanical &amp; Aerospace Engineering,Chemistry,Communication &amp; Media Studies,History, Philosophy &amp; Theology,Electrical &amp; Electronic Engineering,Economics &amp; Econometrics,Veterinary Science,Sociology,Biological Sciences,Geology, Environmental, Earth &amp; Marine Sciences,Law,Archaeology,Chemical Engineering,Languages, Literature &amp; Linguistics,Sport Science,Accounting &amp; Finance,Business &amp; Management,Politics &amp; International Studies (incl Development Studies),Civil Engineering,Agriculture &amp; Forestry,Psychology,Mathematics &amp; Statistics,Other Health,Education</t>
  </si>
  <si>
    <t>Lebanese American University</t>
  </si>
  <si>
    <t>Communication &amp; Media Studies,Politics &amp; International Studies (incl Development Studies),Mathematics &amp; Statistics,Psychology,Medicine &amp; Dentistry,Chemical Engineering,General Engineering,Biological Sciences,Civil Engineering,Chemistry,Economics &amp; Econometrics,Physics &amp; Astronomy,History, Philosophy &amp; Theology,Education,Mechanical &amp; Aerospace Engineering,Sociology,Business &amp; Management,Accounting &amp; Finance,Architecture,Languages, Literature &amp; Linguistics,Other Health,Art, Performing Arts &amp; Design,Electrical &amp; Electronic Engineering,Computer Science</t>
  </si>
  <si>
    <t>Leuphana University of LÃ¼neburg</t>
  </si>
  <si>
    <t>Politics &amp; International Studies (incl Development Studies),General Engineering,Business &amp; Management,Geology, Environmental, Earth &amp; Marine Sciences,Psychology,Economics &amp; Econometrics,Communication &amp; Media Studies,Education,Accounting &amp; Finance,Law</t>
  </si>
  <si>
    <t>University of Lincoln</t>
  </si>
  <si>
    <t>General Engineering,Business &amp; Management,Mathematics &amp; Statistics,Civil Engineering,Other Health,Agriculture &amp; Forestry,Mechanical &amp; Aerospace Engineering,Communication &amp; Media Studies,Languages, Literature &amp; Linguistics,Accounting &amp; Finance,Veterinary Science,Art, Performing Arts &amp; Design,Geography,Chemistry,Physics &amp; Astronomy,Psychology,Geology, Environmental, Earth &amp; Marine Sciences,Law,Computer Science,Sport Science,Electrical &amp; Electronic Engineering,Politics &amp; International Studies (incl Development Studies),Architecture,History, Philosophy &amp; Theology,Education,Economics &amp; Econometrics,Sociology,Biological Sciences</t>
  </si>
  <si>
    <t>Liverpool John Moores University</t>
  </si>
  <si>
    <t>History, Philosophy &amp; Theology,Mechanical &amp; Aerospace Engineering,Art, Performing Arts &amp; Design,Languages, Literature &amp; Linguistics,Geology, Environmental, Earth &amp; Marine Sciences,Communication &amp; Media Studies,Psychology,Geography,Other Health,Mathematics &amp; Statistics,Electrical &amp; Electronic Engineering,Architecture,Veterinary Science,Politics &amp; International Studies (incl Development Studies),Business &amp; Management,General Engineering,Chemistry,Sport Science,Biological Sciences,Physics &amp; Astronomy,Sociology,Civil Engineering,Education,Law,Accounting &amp; Finance,Computer Science</t>
  </si>
  <si>
    <t>Mahatma Gandhi University</t>
  </si>
  <si>
    <t>Education,Other Health,Biological Sciences,Computer Science,Chemistry,Geology, Environmental, Earth &amp; Marine Sciences,Economics &amp; Econometrics,Languages, Literature &amp; Linguistics,Law,Physics &amp; Astronomy,Business &amp; Management,Politics &amp; International Studies (incl Development Studies),Mathematics &amp; Statistics,Psychology,History, Philosophy &amp; Theology</t>
  </si>
  <si>
    <t>Manchester Metropolitan University</t>
  </si>
  <si>
    <t>History, Philosophy &amp; Theology,Geology, Environmental, Earth &amp; Marine Sciences,Sociology,Mechanical &amp; Aerospace Engineering,Economics &amp; Econometrics,Electrical &amp; Electronic Engineering,Sport Science,Chemistry,Law,Other Health,Mathematics &amp; Statistics,Geography,Art, Performing Arts &amp; Design,Architecture,Business &amp; Management,Biological Sciences,Communication &amp; Media Studies,Accounting &amp; Finance,Languages, Literature &amp; Linguistics,Politics &amp; International Studies (incl Development Studies),Education,Computer Science,Psychology</t>
  </si>
  <si>
    <t>Massey University</t>
  </si>
  <si>
    <t>Sport Science,Other Health,Architecture,Chemistry,Mechanical &amp; Aerospace Engineering,Veterinary Science,Mathematics &amp; Statistics,Economics &amp; Econometrics,Languages, Literature &amp; Linguistics,Electrical &amp; Electronic Engineering,Art, Performing Arts &amp; Design,Biological Sciences,Business &amp; Management,History, Philosophy &amp; Theology,Civil Engineering,Chemical Engineering,Agriculture &amp; Forestry,Computer Science,General Engineering,Politics &amp; International Studies (incl Development Studies),Geography,Archaeology,Sociology,Accounting &amp; Finance,Physics &amp; Astronomy,Geology, Environmental, Earth &amp; Marine Sciences,Education,Psychology,Communication &amp; Media Studies</t>
  </si>
  <si>
    <t>Memorial University of Newfoundland</t>
  </si>
  <si>
    <t>Computer Science,Politics &amp; International Studies (incl Development Studies),Accounting &amp; Finance,General Engineering,Mathematics &amp; Statistics,Psychology,Art, Performing Arts &amp; Design,History, Philosophy &amp; Theology,Sport Science,Mechanical &amp; Aerospace Engineering,Communication &amp; Media Studies,Economics &amp; Econometrics,Chemical Engineering,Geography,Medicine &amp; Dentistry,Biological Sciences,Education,Electrical &amp; Electronic Engineering,Chemistry,Archaeology,Geology, Environmental, Earth &amp; Marine Sciences,Languages, Literature &amp; Linguistics,Civil Engineering,Sociology,Business &amp; Management,Other Health,Physics &amp; Astronomy</t>
  </si>
  <si>
    <t>University of Messina</t>
  </si>
  <si>
    <t>Electrical &amp; Electronic Engineering,Chemistry,Business &amp; Management,Languages, Literature &amp; Linguistics,Civil Engineering,Geology, Environmental, Earth &amp; Marine Sciences,Computer Science,Politics &amp; International Studies (incl Development Studies),General Engineering,Veterinary Science,Communication &amp; Media Studies,Mechanical &amp; Aerospace Engineering,Sociology,Other Health,Mathematics &amp; Statistics,Education,Medicine &amp; Dentistry,Sport Science,Biological Sciences,Psychology,History, Philosophy &amp; Theology,Physics &amp; Astronomy,Economics &amp; Econometrics,Art, Performing Arts &amp; Design,Agriculture &amp; Forestry,Law</t>
  </si>
  <si>
    <t>Middlesex University</t>
  </si>
  <si>
    <t>General Engineering,Law,Education,Computer Science,Politics &amp; International Studies (incl Development Studies),Electrical &amp; Electronic Engineering,Sociology,Economics &amp; Econometrics,Art, Performing Arts &amp; Design,Biological Sciences,Other Health,Chemistry,Architecture,Communication &amp; Media Studies,Mathematics &amp; Statistics,Psychology,Sport Science,Accounting &amp; Finance,Veterinary Science,Business &amp; Management</t>
  </si>
  <si>
    <t>University of Mons</t>
  </si>
  <si>
    <t>n/a</t>
  </si>
  <si>
    <t>Architecture,Chemistry,Computer Science,Mathematics &amp; Statistics,Medicine &amp; Dentistry,Politics &amp; International Studies (incl Development Studies),Other Health,Physics &amp; Astronomy,Languages, Literature &amp; Linguistics,Civil Engineering,Education,Mechanical &amp; Aerospace Engineering,Psychology,Chemical Engineering,Business &amp; Management,Biological Sciences,Accounting &amp; Finance,Electrical &amp; Electronic Engineering,Sociology,General Engineering,Law</t>
  </si>
  <si>
    <t>Nantes UniversitÃ©</t>
  </si>
  <si>
    <t>General Engineering,Sport Science,Politics &amp; International Studies (incl Development Studies),Other Health,Chemistry,Business &amp; Management,Mathematics &amp; Statistics,Economics &amp; Econometrics,Languages, Literature &amp; Linguistics,Mechanical &amp; Aerospace Engineering,Education,History, Philosophy &amp; Theology,Chemical Engineering,Geography,Computer Science,Communication &amp; Media Studies,Electrical &amp; Electronic Engineering,Geology, Environmental, Earth &amp; Marine Sciences,Accounting &amp; Finance,Archaeology,Physics &amp; Astronomy,Psychology,Medicine &amp; Dentistry,Civil Engineering,Law,Art, Performing Arts &amp; Design,Biological Sciences,Sociology</t>
  </si>
  <si>
    <t>National Cheng Kung University (NCKU)</t>
  </si>
  <si>
    <t>Computer Science,Mechanical &amp; Aerospace Engineering,Architecture,Other Health,Sport Science,Economics &amp; Econometrics,Electrical &amp; Electronic Engineering,Geology, Environmental, Earth &amp; Marine Sciences,General Engineering,Physics &amp; Astronomy,Education,History, Philosophy &amp; Theology,Biological Sciences,Psychology,Art, Performing Arts &amp; Design,Chemistry,Business &amp; Management,Medicine &amp; Dentistry,Agriculture &amp; Forestry,Politics &amp; International Studies (incl Development Studies),Archaeology,Mathematics &amp; Statistics,Law,Languages, Literature &amp; Linguistics,Civil Engineering,Chemical Engineering,Accounting &amp; Finance</t>
  </si>
  <si>
    <t>National and Kapodistrian University of Athens</t>
  </si>
  <si>
    <t>Biological Sciences,Business &amp; Management,Education,Agriculture &amp; Forestry,Languages, Literature &amp; Linguistics,Architecture,Psychology,Physics &amp; Astronomy,Geography,Medicine &amp; Dentistry,Law,History, Philosophy &amp; Theology,Communication &amp; Media Studies,Sport Science,Archaeology,Veterinary Science,Chemistry,Electrical &amp; Electronic Engineering,Art, Performing Arts &amp; Design,Other Health,Accounting &amp; Finance,Computer Science,Politics &amp; International Studies (incl Development Studies),Economics &amp; Econometrics,Geology, Environmental, Earth &amp; Marine Sciences,Mechanical &amp; Aerospace Engineering,Sociology,Mathematics &amp; Statistics</t>
  </si>
  <si>
    <t>National Taiwan Normal University</t>
  </si>
  <si>
    <t>National Taiwan Normal University ntnu</t>
  </si>
  <si>
    <t>Computer Science,Geography,Biological Sciences,Business &amp; Management,Education,Mechanical &amp; Aerospace Engineering,Psychology,Art, Performing Arts &amp; Design,Sport Science,Chemistry,Communication &amp; Media Studies,Electrical &amp; Electronic Engineering,General Engineering,Physics &amp; Astronomy,Other Health,History, Philosophy &amp; Theology,Sociology,Politics &amp; International Studies (incl Development Studies),Languages, Literature &amp; Linguistics,Mathematics &amp; Statistics,Geology, Environmental, Earth &amp; Marine Sciences</t>
  </si>
  <si>
    <t>National Yunlin University of Science and Technology</t>
  </si>
  <si>
    <t>Art, Performing Arts &amp; Design,Law,Sport Science,Computer Science,Business &amp; Management,Architecture,Accounting &amp; Finance,Languages, Literature &amp; Linguistics,Geology, Environmental, Earth &amp; Marine Sciences,General Engineering,Education,Mechanical &amp; Aerospace Engineering,Electrical &amp; Electronic Engineering,Civil Engineering,Chemical Engineering</t>
  </si>
  <si>
    <t>Nazarbayev University</t>
  </si>
  <si>
    <t>Kazakhstan</t>
  </si>
  <si>
    <t>Electrical &amp; Electronic Engineering,History, Philosophy &amp; Theology,Biological Sciences,Education,Politics &amp; International Studies (incl Development Studies),Chemical Engineering,Sociology,Geology, Environmental, Earth &amp; Marine Sciences,Medicine &amp; Dentistry,Computer Science,Mechanical &amp; Aerospace Engineering,Mathematics &amp; Statistics,Other Health,Business &amp; Management,Economics &amp; Econometrics,Chemistry,Communication &amp; Media Studies,General Engineering,Languages, Literature &amp; Linguistics,Physics &amp; Astronomy,Accounting &amp; Finance,Civil Engineering</t>
  </si>
  <si>
    <t>University of Nebraska Medical Center</t>
  </si>
  <si>
    <t>Psychology,Other Health,Medicine &amp; Dentistry,Education,Biological Sciences</t>
  </si>
  <si>
    <t>University of Nicosia</t>
  </si>
  <si>
    <t>Architecture,Psychology,Art, Performing Arts &amp; Design,Law,Veterinary Science,Mechanical &amp; Aerospace Engineering,Languages, Literature &amp; Linguistics,Sport Science,Economics &amp; Econometrics,Communication &amp; Media Studies,Civil Engineering,Computer Science,Sociology,Medicine &amp; Dentistry,Education,Other Health,Business &amp; Management,Biological Sciences,Politics &amp; International Studies (incl Development Studies),Electrical &amp; Electronic Engineering,History, Philosophy &amp; Theology,Accounting &amp; Finance</t>
  </si>
  <si>
    <t>Northumbria University</t>
  </si>
  <si>
    <t>History, Philosophy &amp; Theology,Other Health,Languages, Literature &amp; Linguistics,Law,Art, Performing Arts &amp; Design,Sport Science,Mathematics &amp; Statistics,Psychology,Politics &amp; International Studies (incl Development Studies),Business &amp; Management,Chemistry,Electrical &amp; Electronic Engineering,Mechanical &amp; Aerospace Engineering,Accounting &amp; Finance,Communication &amp; Media Studies,Computer Science,Sociology,Chemical Engineering,Economics &amp; Econometrics,Geography,Civil Engineering,Architecture,Biological Sciences,Medicine &amp; Dentistry,General Engineering,Education,Geology, Environmental, Earth &amp; Marine Sciences,Physics &amp; Astronomy</t>
  </si>
  <si>
    <t>Nottingham Trent University</t>
  </si>
  <si>
    <t>Electrical &amp; Electronic Engineering,Chemistry,Architecture,Mathematics &amp; Statistics,Psychology,Other Health,Physics &amp; Astronomy,Education,History, Philosophy &amp; Theology,Biological Sciences,Geography,Accounting &amp; Finance,Computer Science,Sport Science,Business &amp; Management,Art, Performing Arts &amp; Design,Civil Engineering,Sociology,Mechanical &amp; Aerospace Engineering,Communication &amp; Media Studies,General Engineering,Geology, Environmental, Earth &amp; Marine Sciences,Agriculture &amp; Forestry,Law,Economics &amp; Econometrics,Languages, Literature &amp; Linguistics,Veterinary Science,Politics &amp; International Studies (incl Development Studies)</t>
  </si>
  <si>
    <t>NOVA University of Lisbon</t>
  </si>
  <si>
    <t>Computer Science,Other Health,Economics &amp; Econometrics,Accounting &amp; Finance,General Engineering,Geology, Environmental, Earth &amp; Marine Sciences,Sociology,Biological Sciences,Physics &amp; Astronomy,Archaeology,Business &amp; Management,Law,Art, Performing Arts &amp; Design,Chemical Engineering,Politics &amp; International Studies (incl Development Studies),Agriculture &amp; Forestry,Civil Engineering,Geography,Chemistry,Mathematics &amp; Statistics,Communication &amp; Media Studies,Education,Languages, Literature &amp; Linguistics,Mechanical &amp; Aerospace Engineering,History, Philosophy &amp; Theology,Electrical &amp; Electronic Engineering,Medicine &amp; Dentistry</t>
  </si>
  <si>
    <t>Polytechnic University of Bari</t>
  </si>
  <si>
    <t>General Engineering,Electrical &amp; Electronic Engineering,Architecture,Computer Science,Art, Performing Arts &amp; Design,Civil Engineering,Mechanical &amp; Aerospace Engineering</t>
  </si>
  <si>
    <t>University of Pretoria</t>
  </si>
  <si>
    <t>University of Pretoria UP</t>
  </si>
  <si>
    <t>Business &amp; Management,Other Health,Accounting &amp; Finance,Agriculture &amp; Forestry,Education,Medicine &amp; Dentistry,History, Philosophy &amp; Theology,Art, Performing Arts &amp; Design,Law,Veterinary Science,Economics &amp; Econometrics,Mathematics &amp; Statistics,Electrical &amp; Electronic Engineering,Geology, Environmental, Earth &amp; Marine Sciences,Archaeology,Chemistry,Mechanical &amp; Aerospace Engineering,General Engineering,Psychology,Chemical Engineering,Computer Science,Geography,Sociology,Physics &amp; Astronomy,Biological Sciences,Communication &amp; Media Studies,Civil Engineering,Politics &amp; International Studies (incl Development Studies),Sport Science,Architecture,Languages, Literature &amp; Linguistics</t>
  </si>
  <si>
    <t>Pusan National University</t>
  </si>
  <si>
    <t>Pusan National University Busan</t>
  </si>
  <si>
    <t>General Engineering,Chemistry,Psychology,Medicine &amp; Dentistry,Sport Science,Geography,Art, Performing Arts &amp; Design,Other Health,Communication &amp; Media Studies,Business &amp; Management,Electrical &amp; Electronic Engineering,Biological Sciences,Accounting &amp; Finance,Computer Science,Agriculture &amp; Forestry,Economics &amp; Econometrics,History, Philosophy &amp; Theology,Mechanical &amp; Aerospace Engineering,Sociology,Languages, Literature &amp; Linguistics,Chemical Engineering,Politics &amp; International Studies (incl Development Studies),Civil Engineering,Geology, Environmental, Earth &amp; Marine Sciences,Archaeology,Physics &amp; Astronomy,Education,Architecture,Mathematics &amp; Statistics,Law</t>
  </si>
  <si>
    <t>Universiti Putra Malaysia</t>
  </si>
  <si>
    <t>Chemistry,Geography,Languages, Literature &amp; Linguistics,Chemical Engineering,Architecture,Accounting &amp; Finance,Mechanical &amp; Aerospace Engineering,Other Health,Sociology,Art, Performing Arts &amp; Design,Archaeology,Veterinary Science,Electrical &amp; Electronic Engineering,Business &amp; Management,Biological Sciences,Economics &amp; Econometrics,Civil Engineering,History, Philosophy &amp; Theology,Politics &amp; International Studies (incl Development Studies),Agriculture &amp; Forestry,Medicine &amp; Dentistry,Psychology,General Engineering,Communication &amp; Media Studies,Geology, Environmental, Earth &amp; Marine Sciences,Sport Science,Education,Mathematics &amp; Statistics,Computer Science,Physics &amp; Astronomy</t>
  </si>
  <si>
    <t>Rovira i Virgili University</t>
  </si>
  <si>
    <t>Biological Sciences,Psychology,Business &amp; Management,Agriculture &amp; Forestry,Education,History, Philosophy &amp; Theology,General Engineering,Electrical &amp; Electronic Engineering,Communication &amp; Media Studies,Other Health,Physics &amp; Astronomy,Architecture,Accounting &amp; Finance,Medicine &amp; Dentistry,Geography,Mechanical &amp; Aerospace Engineering,Sport Science,Chemical Engineering,Languages, Literature &amp; Linguistics,Law,Chemistry,Economics &amp; Econometrics,Archaeology,Mathematics &amp; Statistics,Computer Science</t>
  </si>
  <si>
    <t>Rush University</t>
  </si>
  <si>
    <t>University of Salerno</t>
  </si>
  <si>
    <t>Computer Science,Physics &amp; Astronomy,Archaeology,Mechanical &amp; Aerospace Engineering,Psychology,Other Health,Communication &amp; Media Studies,Sociology,Architecture,Biological Sciences,Education,Art, Performing Arts &amp; Design,Chemical Engineering,Geology, Environmental, Earth &amp; Marine Sciences,General Engineering,Mathematics &amp; Statistics,Business &amp; Management,Languages, Literature &amp; Linguistics,Civil Engineering,Law,Medicine &amp; Dentistry,Sport Science,Accounting &amp; Finance,History, Philosophy &amp; Theology,Agriculture &amp; Forestry,Politics &amp; International Studies (incl Development Studies),Electrical &amp; Electronic Engineering,Chemistry,Economics &amp; Econometrics</t>
  </si>
  <si>
    <t>Sciences Po</t>
  </si>
  <si>
    <t>Economics &amp; Econometrics,Politics &amp; International Studies (incl Development Studies),Sociology,Law,History, Philosophy &amp; Theology</t>
  </si>
  <si>
    <t>Shanghai University</t>
  </si>
  <si>
    <t>Biological Sciences,History, Philosophy &amp; Theology,Mathematics &amp; Statistics,Computer Science,Art, Performing Arts &amp; Design,Chemical Engineering,Mechanical &amp; Aerospace Engineering,Economics &amp; Econometrics,Electrical &amp; Electronic Engineering,Architecture,Accounting &amp; Finance,Law,Civil Engineering,Sociology,General Engineering,Chemistry,Physics &amp; Astronomy,Communication &amp; Media Studies,Archaeology,Sport Science,Languages, Literature &amp; Linguistics,Geology, Environmental, Earth &amp; Marine Sciences,Politics &amp; International Studies (incl Development Studies),Business &amp; Management</t>
  </si>
  <si>
    <t>Shiraz University of Technology</t>
  </si>
  <si>
    <t>Mechanical &amp; Aerospace Engineering,Chemistry,Chemical Engineering,Physics &amp; Astronomy,Civil Engineering,Mathematics &amp; Statistics,General Engineering,Computer Science,Electrical &amp; Electronic Engineering</t>
  </si>
  <si>
    <t>Shoolini University of Biotechnology and Management Sciences</t>
  </si>
  <si>
    <t>Shoolini University of Biotechnology and Management Sciences Shoolini</t>
  </si>
  <si>
    <t>Biological Sciences,Computer Science,Agriculture &amp; Forestry,Education,Economics &amp; Econometrics,Business &amp; Management,Sociology,Languages, Literature &amp; Linguistics,Politics &amp; International Studies (incl Development Studies),General Engineering,Communication &amp; Media Studies,Chemistry,History, Philosophy &amp; Theology,Accounting &amp; Finance,Physics &amp; Astronomy,Mechanical &amp; Aerospace Engineering,Art, Performing Arts &amp; Design,Mathematics &amp; Statistics,Geology, Environmental, Earth &amp; Marine Sciences,Law,Civil Engineering,Other Health,Electrical &amp; Electronic Engineering,Psychology</t>
  </si>
  <si>
    <t>University of Siena</t>
  </si>
  <si>
    <t>Electrical &amp; Electronic Engineering,Geography,Archaeology,Biological Sciences,Business &amp; Management,Other Health,Physics &amp; Astronomy,Economics &amp; Econometrics,Computer Science,Politics &amp; International Studies (incl Development Studies),Mathematics &amp; Statistics,Education,Medicine &amp; Dentistry,Communication &amp; Media Studies,General Engineering,Sociology,Languages, Literature &amp; Linguistics,Chemistry,Art, Performing Arts &amp; Design,Geology, Environmental, Earth &amp; Marine Sciences,Accounting &amp; Finance,History, Philosophy &amp; Theology,Agriculture &amp; Forestry,Law</t>
  </si>
  <si>
    <t>Soochow University, China</t>
  </si>
  <si>
    <t>Computer Science,Physics &amp; Astronomy,Architecture,Sport Science,Law,General Engineering,Politics &amp; International Studies (incl Development Studies),History, Philosophy &amp; Theology,Biological Sciences,Business &amp; Management,Art, Performing Arts &amp; Design,Mechanical &amp; Aerospace Engineering,Sociology,Chemical Engineering,Psychology,Languages, Literature &amp; Linguistics,Agriculture &amp; Forestry,Education,Electrical &amp; Electronic Engineering,Chemistry,Economics &amp; Econometrics,Medicine &amp; Dentistry,Communication &amp; Media Studies,Other Health,Mathematics &amp; Statistics,Accounting &amp; Finance</t>
  </si>
  <si>
    <t>Southern Cross University</t>
  </si>
  <si>
    <t>Accounting &amp; Finance,Biological Sciences,Law,Mechanical &amp; Aerospace Engineering,Computer Science,Other Health,Sport Science,Communication &amp; Media Studies,Education,Civil Engineering,Agriculture &amp; Forestry,Geology, Environmental, Earth &amp; Marine Sciences,Sociology,Art, Performing Arts &amp; Design,Psychology,Business &amp; Management</t>
  </si>
  <si>
    <t>University of the Sunshine Coast</t>
  </si>
  <si>
    <t>University of the Sunshine Coast USC</t>
  </si>
  <si>
    <t>Art, Performing Arts &amp; Design,Other Health,Mathematics &amp; Statistics,Business &amp; Management,General Engineering,Geography,Medicine &amp; Dentistry,Veterinary Science,Law,Languages, Literature &amp; Linguistics,Mechanical &amp; Aerospace Engineering,Psychology,Computer Science,Sociology,Biological Sciences,Geology, Environmental, Earth &amp; Marine Sciences,Civil Engineering,Communication &amp; Media Studies,Agriculture &amp; Forestry,Politics &amp; International Studies (incl Development Studies),Economics &amp; Econometrics,History, Philosophy &amp; Theology,Sport Science,Accounting &amp; Finance,Electrical &amp; Electronic Engineering,Education</t>
  </si>
  <si>
    <t>University of Tabriz</t>
  </si>
  <si>
    <t>Medicine &amp; Dentistry,Veterinary Science,Business &amp; Management,Languages, Literature &amp; Linguistics,Civil Engineering,Sociology,General Engineering,Physics &amp; Astronomy,Communication &amp; Media Studies,Art, Performing Arts &amp; Design,Mechanical &amp; Aerospace Engineering,Geology, Environmental, Earth &amp; Marine Sciences,Accounting &amp; Finance,Archaeology,Biological Sciences,Economics &amp; Econometrics,History, Philosophy &amp; Theology,Chemical Engineering,Geography,Electrical &amp; Electronic Engineering,Chemistry,Law,Architecture,Agriculture &amp; Forestry,Politics &amp; International Studies (incl Development Studies),Other Health,Sport Science,Psychology,Computer Science,Mathematics &amp; Statistics,Education</t>
  </si>
  <si>
    <t>Tabriz University of Medical Sciences</t>
  </si>
  <si>
    <t>Taif University</t>
  </si>
  <si>
    <t>Civil Engineering,Geology, Environmental, Earth &amp; Marine Sciences,Computer Science,Physics &amp; Astronomy,Accounting &amp; Finance,Languages, Literature &amp; Linguistics,Other Health,Chemistry,Business &amp; Management,Electrical &amp; Electronic Engineering,Education,History, Philosophy &amp; Theology,General Engineering,Sport Science,Economics &amp; Econometrics,Agriculture &amp; Forestry,Communication &amp; Media Studies,Mechanical &amp; Aerospace Engineering,Mathematics &amp; Statistics,Art, Performing Arts &amp; Design,Archaeology,Biological Sciences,Sociology,Chemical Engineering,Law,Medicine &amp; Dentistry,Veterinary Science,Psychology</t>
  </si>
  <si>
    <t>The University of Texas at San Antonio</t>
  </si>
  <si>
    <t>Chemical Engineering,Sociology,Other Health,Physics &amp; Astronomy,Education,Computer Science,Communication &amp; Media Studies,Architecture,Civil Engineering,Chemistry,Languages, Literature &amp; Linguistics,Agriculture &amp; Forestry,Law,Medicine &amp; Dentistry,Mathematics &amp; Statistics,Economics &amp; Econometrics,History, Philosophy &amp; Theology,Mechanical &amp; Aerospace Engineering,Geography,General Engineering,Sport Science,Psychology,Biological Sciences,Politics &amp; International Studies (incl Development Studies),Accounting &amp; Finance,Art, Performing Arts &amp; Design,Electrical &amp; Electronic Engineering,Geology, Environmental, Earth &amp; Marine Sciences,Business &amp; Management</t>
  </si>
  <si>
    <t>Tomsk State University</t>
  </si>
  <si>
    <t>Sociology,Education,Sport Science,Business &amp; Management,Medicine &amp; Dentistry,Civil Engineering,Communication &amp; Media Studies,Mathematics &amp; Statistics,Politics &amp; International Studies (incl Development Studies),Accounting &amp; Finance,Mechanical &amp; Aerospace Engineering,Computer Science,Physics &amp; Astronomy,General Engineering,Geology, Environmental, Earth &amp; Marine Sciences,Psychology,Chemistry,Law,Biological Sciences,History, Philosophy &amp; Theology,Archaeology,Art, Performing Arts &amp; Design,Economics &amp; Econometrics,Electrical &amp; Electronic Engineering,Other Health,Languages, Literature &amp; Linguistics,Chemical Engineering,Geography,Agriculture &amp; Forestry</t>
  </si>
  <si>
    <t>University of Trieste</t>
  </si>
  <si>
    <t>General Engineering,Geography,History, Philosophy &amp; Theology,Chemical Engineering,Law,Languages, Literature &amp; Linguistics,Computer Science,Mathematics &amp; Statistics,Architecture,Geology, Environmental, Earth &amp; Marine Sciences,Business &amp; Management,Medicine &amp; Dentistry,Biological Sciences,Education,Electrical &amp; Electronic Engineering,Politics &amp; International Studies (incl Development Studies),Accounting &amp; Finance,Mechanical &amp; Aerospace Engineering,Communication &amp; Media Studies,Archaeology,Chemistry,Economics &amp; Econometrics,Civil Engineering,Sociology,Other Health,Physics &amp; Astronomy,Psychology</t>
  </si>
  <si>
    <t>TU Braunschweig</t>
  </si>
  <si>
    <t>Agriculture &amp; Forestry,Psychology,History, Philosophy &amp; Theology,Chemistry,Languages, Literature &amp; Linguistics,Electrical &amp; Electronic Engineering,Sport Science,Accounting &amp; Finance,Art, Performing Arts &amp; Design,Politics &amp; International Studies (incl Development Studies),Computer Science,Sociology,Economics &amp; Econometrics,Mathematics &amp; Statistics,Civil Engineering,Business &amp; Management,Architecture,Other Health,Education,Chemical Engineering,Biological Sciences,Geology, Environmental, Earth &amp; Marine Sciences,Physics &amp; Astronomy,General Engineering,Communication &amp; Media Studies,Mechanical &amp; Aerospace Engineering</t>
  </si>
  <si>
    <t>The University of Tulsa</t>
  </si>
  <si>
    <t>Communication &amp; Media Studies,Accounting &amp; Finance,Chemical Engineering,Politics &amp; International Studies (incl Development Studies),Art, Performing Arts &amp; Design,Geology, Environmental, Earth &amp; Marine Sciences,Civil Engineering,Sociology,Other Health,Sport Science,Economics &amp; Econometrics,Mechanical &amp; Aerospace Engineering,Law,Psychology,Computer Science,Mathematics &amp; Statistics,General Engineering,Biological Sciences,Education,Electrical &amp; Electronic Engineering,Chemistry,History, Philosophy &amp; Theology,Physics &amp; Astronomy,Business &amp; Management</t>
  </si>
  <si>
    <t>UiT The Arctic University of Norway</t>
  </si>
  <si>
    <t>Electrical &amp; Electronic Engineering,Geology, Environmental, Earth &amp; Marine Sciences,Economics &amp; Econometrics,Architecture,Agriculture &amp; Forestry,Politics &amp; International Studies (incl Development Studies),History, Philosophy &amp; Theology,Physics &amp; Astronomy,Business &amp; Management,Medicine &amp; Dentistry,Sport Science,Psychology,Other Health,Biological Sciences,Geography,Computer Science,Mathematics &amp; Statistics,Education,General Engineering,Veterinary Science,Law,Languages, Literature &amp; Linguistics,Chemical Engineering,Communication &amp; Media Studies,Accounting &amp; Finance,Art, Performing Arts &amp; Design,Mechanical &amp; Aerospace Engineering,Chemistry,Archaeology,Civil Engineering,Sociology</t>
  </si>
  <si>
    <t>University of Ulsan</t>
  </si>
  <si>
    <t>Languages, Literature &amp; Linguistics,Sociology,History, Philosophy &amp; Theology,Politics &amp; International Studies (incl Development Studies),Education,Electrical &amp; Electronic Engineering,Economics &amp; Econometrics,Chemistry,Geology, Environmental, Earth &amp; Marine Sciences,Other Health,Accounting &amp; Finance,Architecture,Mathematics &amp; Statistics,Art, Performing Arts &amp; Design,General Engineering,Mechanical &amp; Aerospace Engineering,Chemical Engineering,Biological Sciences,Physics &amp; Astronomy,Medicine &amp; Dentistry,Business &amp; Management,Sport Science,Computer Science,Civil Engineering,Law</t>
  </si>
  <si>
    <t>University of Valencia</t>
  </si>
  <si>
    <t>Agriculture &amp; Forestry,Geography,Other Health,Sport Science,Economics &amp; Econometrics,History, Philosophy &amp; Theology,Chemistry,Psychology,Languages, Literature &amp; Linguistics,Physics &amp; Astronomy,Chemical Engineering,Education,Computer Science,Politics &amp; International Studies (incl Development Studies),Electrical &amp; Electronic Engineering,Geology, Environmental, Earth &amp; Marine Sciences,Business &amp; Management,Medicine &amp; Dentistry,Mathematics &amp; Statistics,Law,Art, Performing Arts &amp; Design,Biological Sciences,Sociology,Architecture,Communication &amp; Media Studies,Accounting &amp; Finance</t>
  </si>
  <si>
    <t>Wayne State University</t>
  </si>
  <si>
    <t>Electrical &amp; Electronic Engineering,Communication &amp; Media Studies,History, Philosophy &amp; Theology,Agriculture &amp; Forestry,Law,Languages, Literature &amp; Linguistics,Biological Sciences,Education,Medicine &amp; Dentistry,Physics &amp; Astronomy,Business &amp; Management,Computer Science,Sociology,Mechanical &amp; Aerospace Engineering,Chemistry,Other Health,Sport Science,Psychology,Civil Engineering,Geology, Environmental, Earth &amp; Marine Sciences,Accounting &amp; Finance,Art, Performing Arts &amp; Design,Chemical Engineering,Mathematics &amp; Statistics,Architecture,General Engineering,Politics &amp; International Studies (incl Development Studies),Economics &amp; Econometrics</t>
  </si>
  <si>
    <t>University of the West of England</t>
  </si>
  <si>
    <t>History, Philosophy &amp; Theology,Politics &amp; International Studies (incl Development Studies),Accounting &amp; Finance,Art, Performing Arts &amp; Design,Mathematics &amp; Statistics,Psychology,Mechanical &amp; Aerospace Engineering,Law,Biological Sciences,Education,Other Health,Geology, Environmental, Earth &amp; Marine Sciences,Business &amp; Management,Architecture,Communication &amp; Media Studies,Computer Science,Geography,Languages, Literature &amp; Linguistics,Electrical &amp; Electronic Engineering,Civil Engineering,Economics &amp; Econometrics,General Engineering,Sociology</t>
  </si>
  <si>
    <t>University of Windsor</t>
  </si>
  <si>
    <t>Civil Engineering,Art, Performing Arts &amp; Design,History, Philosophy &amp; Theology,Computer Science,Biological Sciences,Geology, Environmental, Earth &amp; Marine Sciences,Mechanical &amp; Aerospace Engineering,Sociology,Languages, Literature &amp; Linguistics,Sport Science,Business &amp; Management,Other Health,Economics &amp; Econometrics,Chemistry,Architecture,General Engineering,Agriculture &amp; Forestry,Law,Politics &amp; International Studies (incl Development Studies),Mathematics &amp; Statistics,Communication &amp; Media Studies,Education,Electrical &amp; Electronic Engineering,Accounting &amp; Finance,Psychology,Physics &amp; Astronomy</t>
  </si>
  <si>
    <t>University of Wuppertal</t>
  </si>
  <si>
    <t>Business &amp; Management,Civil Engineering,Education,History, Philosophy &amp; Theology,Computer Science,Physics &amp; Astronomy,General Engineering,Mechanical &amp; Aerospace Engineering,Art, Performing Arts &amp; Design,Psychology,Electrical &amp; Electronic Engineering,Sociology,Architecture,Biological Sciences,Politics &amp; International Studies (incl Development Studies),Accounting &amp; Finance,Geography,Chemistry,Mathematics &amp; Statistics,Sport Science,Economics &amp; Econometrics,Languages, Literature &amp; Linguistics</t>
  </si>
  <si>
    <t>Yangzhou University</t>
  </si>
  <si>
    <t>Agriculture &amp; Forestry,Education,Art, Performing Arts &amp; Design,Biological Sciences,Mathematics &amp; Statistics,Business &amp; Management,History, Philosophy &amp; Theology,General Engineering,Law,Architecture,Veterinary Science,Accounting &amp; Finance,Electrical &amp; Electronic Engineering,Chemistry,Medicine &amp; Dentistry,Physics &amp; Astronomy,Languages, Literature &amp; Linguistics,Computer Science,Sport Science,Psychology,Other Health,Sociology,Chemical Engineering,Communication &amp; Media Studies,Economics &amp; Econometrics,Civil Engineering,Politics &amp; International Studies (incl Development Studies)</t>
  </si>
  <si>
    <t>601â€“800</t>
  </si>
  <si>
    <t>Abdul Wali Khan University Mardan</t>
  </si>
  <si>
    <t>37.0â€“41.8</t>
  </si>
  <si>
    <t>Sport Science,Geology, Environmental, Earth &amp; Marine Sciences,Education,Psychology,Agriculture &amp; Forestry,Biological Sciences,Business &amp; Management,Mathematics &amp; Statistics,Other Health,Veterinary Science,History, Philosophy &amp; Theology,Computer Science,Languages, Literature &amp; Linguistics,Chemistry,Archaeology,Politics &amp; International Studies (incl Development Studies),Art, Performing Arts &amp; Design,Physics &amp; Astronomy,Law,Economics &amp; Econometrics,Accounting &amp; Finance,Communication &amp; Media Studies,Architecture,Sociology</t>
  </si>
  <si>
    <t>Air University</t>
  </si>
  <si>
    <t>Education,Languages, Literature &amp; Linguistics,Mathematics &amp; Statistics,Economics &amp; Econometrics,Psychology,Accounting &amp; Finance,Other Health,Mechanical &amp; Aerospace Engineering,Politics &amp; International Studies (incl Development Studies),Medicine &amp; Dentistry,Business &amp; Management,Electrical &amp; Electronic Engineering,Physics &amp; Astronomy,General Engineering,Computer Science</t>
  </si>
  <si>
    <t>The University of Aizu</t>
  </si>
  <si>
    <t>The University of Aizu Aizu University UoAizu computer science</t>
  </si>
  <si>
    <t>Computer Science</t>
  </si>
  <si>
    <t>The University of Alabama</t>
  </si>
  <si>
    <t>Civil Engineering,Chemistry,Economics &amp; Econometrics,Accounting &amp; Finance,Biological Sciences,Sport Science,Languages, Literature &amp; Linguistics,Computer Science,Psychology,History, Philosophy &amp; Theology,Chemical Engineering,Business &amp; Management,Electrical &amp; Electronic Engineering,Agriculture &amp; Forestry,Politics &amp; International Studies (incl Development Studies),Geology, Environmental, Earth &amp; Marine Sciences,General Engineering,Art, Performing Arts &amp; Design,Sociology,Other Health,Geography,Physics &amp; Astronomy,Education,Communication &amp; Media Studies,Mechanical &amp; Aerospace Engineering,Law,Mathematics &amp; Statistics</t>
  </si>
  <si>
    <t>Alagappa University</t>
  </si>
  <si>
    <t>Art, Performing Arts &amp; Design,Economics &amp; Econometrics,Languages, Literature &amp; Linguistics,Sociology,Communication &amp; Media Studies,Geology, Environmental, Earth &amp; Marine Sciences,Business &amp; Management,Biological Sciences,Physics &amp; Astronomy,Computer Science,History, Philosophy &amp; Theology,Mathematics &amp; Statistics,Chemistry,Psychology,Education,Sport Science</t>
  </si>
  <si>
    <t>Aligarh Muslim University</t>
  </si>
  <si>
    <t>Geography,Accounting &amp; Finance,Sport Science,Psychology,History, Philosophy &amp; Theology,Chemistry,Biological Sciences,Electrical &amp; Electronic Engineering,Architecture,Politics &amp; International Studies (incl Development Studies),Law,Mechanical &amp; Aerospace Engineering,Chemical Engineering,Languages, Literature &amp; Linguistics,General Engineering,Geology, Environmental, Earth &amp; Marine Sciences,Agriculture &amp; Forestry,Education,Medicine &amp; Dentistry,Art, Performing Arts &amp; Design,Civil Engineering,Economics &amp; Econometrics,Sociology,Communication &amp; Media Studies,Physics &amp; Astronomy,Business &amp; Management,Mathematics &amp; Statistics,Computer Science,Other Health</t>
  </si>
  <si>
    <t>Amedeo Avogadro University of Eastern Piedmont</t>
  </si>
  <si>
    <t>Politics &amp; International Studies (incl Development Studies),History, Philosophy &amp; Theology,Business &amp; Management,Chemistry,Medicine &amp; Dentistry,Economics &amp; Econometrics,Biological Sciences,Geography,Computer Science,Sociology,Law,Other Health,Accounting &amp; Finance,Languages, Literature &amp; Linguistics,Education</t>
  </si>
  <si>
    <t>American University</t>
  </si>
  <si>
    <t>Law,Other Health,Economics &amp; Econometrics,Computer Science,Accounting &amp; Finance,Medicine &amp; Dentistry,Sociology,Politics &amp; International Studies (incl Development Studies),Art, Performing Arts &amp; Design,Chemistry,Physics &amp; Astronomy,Business &amp; Management,Geology, Environmental, Earth &amp; Marine Sciences,Languages, Literature &amp; Linguistics,Communication &amp; Media Studies,Mathematics &amp; Statistics,History, Philosophy &amp; Theology,Education,Sport Science,Psychology,Biological Sciences</t>
  </si>
  <si>
    <t>American University of Sharjah</t>
  </si>
  <si>
    <t>Biological Sciences,Art, Performing Arts &amp; Design,Mechanical &amp; Aerospace Engineering,Economics &amp; Econometrics,Chemical Engineering,Psychology,General Engineering,Geology, Environmental, Earth &amp; Marine Sciences,Civil Engineering,Sociology,Electrical &amp; Electronic Engineering,Chemistry,Mathematics &amp; Statistics,Business &amp; Management,Languages, Literature &amp; Linguistics,Physics &amp; Astronomy,Accounting &amp; Finance,Architecture,Politics &amp; International Studies (incl Development Studies),Computer Science,Communication &amp; Media Studies</t>
  </si>
  <si>
    <t>University of Arkansas</t>
  </si>
  <si>
    <t>Politics &amp; International Studies (incl Development Studies),History, Philosophy &amp; Theology,Chemistry,Veterinary Science,Physics &amp; Astronomy,Civil Engineering,Business &amp; Management,General Engineering,Medicine &amp; Dentistry,Other Health,Education,Agriculture &amp; Forestry,Economics &amp; Econometrics,Art, Performing Arts &amp; Design,Computer Science,Accounting &amp; Finance,Psychology,Mechanical &amp; Aerospace Engineering,Languages, Literature &amp; Linguistics,Sport Science,Geography,Sociology,Architecture,Archaeology,Communication &amp; Media Studies,Chemical Engineering,Electrical &amp; Electronic Engineering,Geology, Environmental, Earth &amp; Marine Sciences,Mathematics &amp; Statistics,Law,Biological Sciences</t>
  </si>
  <si>
    <t>University of Aveiro</t>
  </si>
  <si>
    <t>Electrical &amp; Electronic Engineering,Sociology,General Engineering,Business &amp; Management,Mathematics &amp; Statistics,Physics &amp; Astronomy,Psychology,Chemical Engineering,Architecture,Biological Sciences,Politics &amp; International Studies (incl Development Studies),Mechanical &amp; Aerospace Engineering,Civil Engineering,Education,Other Health,Economics &amp; Econometrics,Chemistry,Geology, Environmental, Earth &amp; Marine Sciences,Accounting &amp; Finance,Computer Science,Art, Performing Arts &amp; Design,Languages, Literature &amp; Linguistics</t>
  </si>
  <si>
    <t>Babol University of Medical Sciences</t>
  </si>
  <si>
    <t>Biological Sciences,Other Health,Medicine &amp; Dentistry</t>
  </si>
  <si>
    <t>Banaras Hindu University</t>
  </si>
  <si>
    <t>Other Health,Politics &amp; International Studies (incl Development Studies),Economics &amp; Econometrics,Art, Performing Arts &amp; Design,Chemistry,Medicine &amp; Dentistry,Law,Biological Sciences,Sociology,Archaeology,Communication &amp; Media Studies,Business &amp; Management,Languages, Literature &amp; Linguistics,Physics &amp; Astronomy,Accounting &amp; Finance,Veterinary Science,Education,Agriculture &amp; Forestry,Geology, Environmental, Earth &amp; Marine Sciences,Computer Science,Geography,History, Philosophy &amp; Theology,Mathematics &amp; Statistics,Psychology</t>
  </si>
  <si>
    <t>University of Bari Aldo Moro</t>
  </si>
  <si>
    <t>Medicine &amp; Dentistry,Geology, Environmental, Earth &amp; Marine Sciences,Other Health,Mathematics &amp; Statistics,Psychology,Politics &amp; International Studies (incl Development Studies),History, Philosophy &amp; Theology,Physics &amp; Astronomy,Business &amp; Management,Languages, Literature &amp; Linguistics,Sport Science,Accounting &amp; Finance,Archaeology,Chemistry,Economics &amp; Econometrics,Agriculture &amp; Forestry,Law,Computer Science,Communication &amp; Media Studies,Biological Sciences,Sociology,Veterinary Science,Education</t>
  </si>
  <si>
    <t>University of the Basque Country</t>
  </si>
  <si>
    <t>Business &amp; Management,Other Health,Computer Science,Archaeology,Accounting &amp; Finance,Languages, Literature &amp; Linguistics,Civil Engineering,Geography,Mechanical &amp; Aerospace Engineering,Politics &amp; International Studies (incl Development Studies),Electrical &amp; Electronic Engineering,Physics &amp; Astronomy,Art, Performing Arts &amp; Design,Economics &amp; Econometrics,History, Philosophy &amp; Theology,Mathematics &amp; Statistics,Biological Sciences,Education,Communication &amp; Media Studies,Chemical Engineering,Law,Sociology,General Engineering,Architecture,Sport Science,Medicine &amp; Dentistry,Psychology,Geology, Environmental, Earth &amp; Marine Sciences,Chemistry</t>
  </si>
  <si>
    <t>Baylor University</t>
  </si>
  <si>
    <t>Baylor University United States US USA</t>
  </si>
  <si>
    <t>History, Philosophy &amp; Theology,Physics &amp; Astronomy,Accounting &amp; Finance,Art, Performing Arts &amp; Design,Electrical &amp; Electronic Engineering,Sociology,Biological Sciences,Business &amp; Management,General Engineering,Communication &amp; Media Studies,Mechanical &amp; Aerospace Engineering,Politics &amp; International Studies (incl Development Studies),Languages, Literature &amp; Linguistics,Chemistry,Education,Agriculture &amp; Forestry,Sport Science,Law,Computer Science,Mathematics &amp; Statistics,Economics &amp; Econometrics,Other Health,Geology, Environmental, Earth &amp; Marine Sciences,Psychology</t>
  </si>
  <si>
    <t>University of Beira Interior</t>
  </si>
  <si>
    <t>Art, Performing Arts &amp; Design,Mathematics &amp; Statistics,Physics &amp; Astronomy,Computer Science,Sport Science,Civil Engineering,Other Health,Politics &amp; International Studies (incl Development Studies),Education,Medicine &amp; Dentistry,History, Philosophy &amp; Theology,Architecture,Economics &amp; Econometrics,General Engineering,Chemistry,Communication &amp; Media Studies,Mechanical &amp; Aerospace Engineering,Sociology,Biological Sciences,Languages, Literature &amp; Linguistics,Electrical &amp; Electronic Engineering,Business &amp; Management,Accounting &amp; Finance,Psychology</t>
  </si>
  <si>
    <t>Bharathiar University</t>
  </si>
  <si>
    <t>Languages, Literature &amp; Linguistics,Sociology,Veterinary Science,Accounting &amp; Finance,Mathematics &amp; Statistics,Computer Science,Psychology,History, Philosophy &amp; Theology,Physics &amp; Astronomy,Education,Biological Sciences,Business &amp; Management,Sport Science,Economics &amp; Econometrics,Communication &amp; Media Studies,Geology, Environmental, Earth &amp; Marine Sciences,Chemistry</t>
  </si>
  <si>
    <t>Bilkent University</t>
  </si>
  <si>
    <t>Communication &amp; Media Studies,Art, Performing Arts &amp; Design,Physics &amp; Astronomy,Education,History, Philosophy &amp; Theology,Electrical &amp; Electronic Engineering,Computer Science,Politics &amp; International Studies (incl Development Studies),Architecture,Chemistry,Mechanical &amp; Aerospace Engineering,Archaeology,Psychology,Mathematics &amp; Statistics,Business &amp; Management,Languages, Literature &amp; Linguistics,Biological Sciences,Economics &amp; Econometrics,Law</t>
  </si>
  <si>
    <t>Birmingham City University</t>
  </si>
  <si>
    <t>Civil Engineering,Accounting &amp; Finance,Languages, Literature &amp; Linguistics,Sport Science,Other Health,Psychology,Economics &amp; Econometrics,Education,Biological Sciences,Communication &amp; Media Studies,Sociology,Art, Performing Arts &amp; Design,Computer Science,Electrical &amp; Electronic Engineering,Mechanical &amp; Aerospace Engineering,Business &amp; Management,Architecture,Law</t>
  </si>
  <si>
    <t>BoÄŸaziÃ§i University</t>
  </si>
  <si>
    <t>Computer Science,Geology, Environmental, Earth &amp; Marine Sciences,Mechanical &amp; Aerospace Engineering,Business &amp; Management,Chemical Engineering,Sociology,Languages, Literature &amp; Linguistics,Mathematics &amp; Statistics,Economics &amp; Econometrics,Electrical &amp; Electronic Engineering,Psychology,Biological Sciences,Law,History, Philosophy &amp; Theology,Civil Engineering,Politics &amp; International Studies (incl Development Studies),General Engineering,Communication &amp; Media Studies,Chemistry,Accounting &amp; Finance,Physics &amp; Astronomy,Education</t>
  </si>
  <si>
    <t>University of Campania Luigi Vanvitelli</t>
  </si>
  <si>
    <t>Biological Sciences,Sociology,Politics &amp; International Studies (incl Development Studies),General Engineering,Art, Performing Arts &amp; Design,Medicine &amp; Dentistry,Physics &amp; Astronomy,Architecture,Psychology,Law,Mathematics &amp; Statistics,History, Philosophy &amp; Theology,Mechanical &amp; Aerospace Engineering,Other Health</t>
  </si>
  <si>
    <t>Cankaya University</t>
  </si>
  <si>
    <t>Electrical &amp; Electronic Engineering,Languages, Literature &amp; Linguistics,Politics &amp; International Studies (incl Development Studies),Computer Science,Law,Architecture,Mathematics &amp; Statistics,Civil Engineering,Accounting &amp; Finance,Communication &amp; Media Studies,Mechanical &amp; Aerospace Engineering,Psychology,Business &amp; Management,General Engineering</t>
  </si>
  <si>
    <t>University of Cape Coast</t>
  </si>
  <si>
    <t>Ghana</t>
  </si>
  <si>
    <t>University of Cape Coast ucc</t>
  </si>
  <si>
    <t>History, Philosophy &amp; Theology,Geology, Environmental, Earth &amp; Marine Sciences,Accounting &amp; Finance,Computer Science,Education,Art, Performing Arts &amp; Design,Sport Science,Sociology,Agriculture &amp; Forestry,Psychology,General Engineering,Politics &amp; International Studies (incl Development Studies),Physics &amp; Astronomy,Law,Other Health,Chemistry,Business &amp; Management,Languages, Literature &amp; Linguistics,Biological Sciences,Economics &amp; Econometrics,Medicine &amp; Dentistry,Communication &amp; Media Studies,Mathematics &amp; Statistics,Geography</t>
  </si>
  <si>
    <t>Capital Medical University</t>
  </si>
  <si>
    <t>Other Health,Biological Sciences,Medicine &amp; Dentistry,Psychology</t>
  </si>
  <si>
    <t>Capital University of Science and Technology</t>
  </si>
  <si>
    <t>Accounting &amp; Finance,Psychology,Biological Sciences,Languages, Literature &amp; Linguistics,Electrical &amp; Electronic Engineering,Mechanical &amp; Aerospace Engineering,Mathematics &amp; Statistics,Business &amp; Management,Computer Science,Other Health,Civil Engineering</t>
  </si>
  <si>
    <t>The Catholic University of America</t>
  </si>
  <si>
    <t>History, Philosophy &amp; Theology,Electrical &amp; Electronic Engineering,Sociology,General Engineering,Politics &amp; International Studies (incl Development Studies),Other Health,Civil Engineering,Education,Physics &amp; Astronomy,Business &amp; Management,Architecture,Mechanical &amp; Aerospace Engineering,Law,Art, Performing Arts &amp; Design,Geology, Environmental, Earth &amp; Marine Sciences,Biological Sciences,Economics &amp; Econometrics,Computer Science,Mathematics &amp; Statistics,Archaeology,Languages, Literature &amp; Linguistics,Communication &amp; Media Studies,Psychology,Chemistry,Accounting &amp; Finance</t>
  </si>
  <si>
    <t>The Catholic University of Korea</t>
  </si>
  <si>
    <t>Chemical Engineering,Sociology,Medicine &amp; Dentistry,Geology, Environmental, Earth &amp; Marine Sciences,Accounting &amp; Finance,Computer Science,Communication &amp; Media Studies,Art, Performing Arts &amp; Design,Mathematics &amp; Statistics,Politics &amp; International Studies (incl Development Studies),Biological Sciences,Education,Electrical &amp; Electronic Engineering,Chemistry,Economics &amp; Econometrics,General Engineering,Physics &amp; Astronomy,History, Philosophy &amp; Theology,Sport Science,Psychology,Languages, Literature &amp; Linguistics,Business &amp; Management,Other Health,Law</t>
  </si>
  <si>
    <t>Chang Gung University</t>
  </si>
  <si>
    <t>Chang Gung University chang gung</t>
  </si>
  <si>
    <t>Physics &amp; Astronomy,Art, Performing Arts &amp; Design,Business &amp; Management,Chemistry,General Engineering,Economics &amp; Econometrics,Mechanical &amp; Aerospace Engineering,Computer Science,Electrical &amp; Electronic Engineering,Accounting &amp; Finance,Biological Sciences,Mathematics &amp; Statistics,Medicine &amp; Dentistry,Chemical Engineering,Other Health</t>
  </si>
  <si>
    <t>Chulalongkorn University</t>
  </si>
  <si>
    <t>Thailand</t>
  </si>
  <si>
    <t>Chulalongkorn University Chula Chulalongkorn</t>
  </si>
  <si>
    <t>History, Philosophy &amp; Theology,Politics &amp; International Studies (incl Development Studies),Communication &amp; Media Studies,Archaeology,Physics &amp; Astronomy,Biological Sciences,Electrical &amp; Electronic Engineering,Sociology,Computer Science,Veterinary Science,Psychology,Languages, Literature &amp; Linguistics,Chemical Engineering,General Engineering,Chemistry,Law,Accounting &amp; Finance,Mechanical &amp; Aerospace Engineering,Civil Engineering,Art, Performing Arts &amp; Design,Education,Agriculture &amp; Forestry,Business &amp; Management,Architecture,Geology, Environmental, Earth &amp; Marine Sciences,Mathematics &amp; Statistics,Economics &amp; Econometrics,Medicine &amp; Dentistry,Sport Science,Other Health,Geography</t>
  </si>
  <si>
    <t>Clark University</t>
  </si>
  <si>
    <t>Physics &amp; Astronomy,Education,History, Philosophy &amp; Theology,Psychology,Biological Sciences,Economics &amp; Econometrics,Mathematics &amp; Statistics,Accounting &amp; Finance,Geology, Environmental, Earth &amp; Marine Sciences,Politics &amp; International Studies (incl Development Studies),Computer Science,Sociology,Languages, Literature &amp; Linguistics,Geography,Art, Performing Arts &amp; Design,Chemistry,Business &amp; Management,Communication &amp; Media Studies</t>
  </si>
  <si>
    <t>COMSATS University Islamabad</t>
  </si>
  <si>
    <t>Physics &amp; Astronomy,Chemistry,Mechanical &amp; Aerospace Engineering,Accounting &amp; Finance,Computer Science,Electrical &amp; Electronic Engineering,Politics &amp; International Studies (incl Development Studies),Languages, Literature &amp; Linguistics,Mathematics &amp; Statistics,Economics &amp; Econometrics,Architecture,Geology, Environmental, Earth &amp; Marine Sciences,Civil Engineering,Psychology,General Engineering,Chemical Engineering,Biological Sciences,Business &amp; Management,Other Health,Communication &amp; Media Studies,Geography</t>
  </si>
  <si>
    <t>University of CÃ³rdoba</t>
  </si>
  <si>
    <t>Other Health,Physics &amp; Astronomy,Geology, Environmental, Earth &amp; Marine Sciences,Architecture,Chemical Engineering,Sociology,Psychology,Medicine &amp; Dentistry,Agriculture &amp; Forestry,Geography,Chemistry,Civil Engineering,Sport Science,History, Philosophy &amp; Theology,Business &amp; Management,General Engineering,Mechanical &amp; Aerospace Engineering,Computer Science,Accounting &amp; Finance,Archaeology,Education,Politics &amp; International Studies (incl Development Studies),Communication &amp; Media Studies,Mathematics &amp; Statistics,Electrical &amp; Electronic Engineering,Biological Sciences,Languages, Literature &amp; Linguistics,Veterinary Science,Law,Art, Performing Arts &amp; Design,Economics &amp; Econometrics</t>
  </si>
  <si>
    <t>Coventry University</t>
  </si>
  <si>
    <t>Education,Psychology,History, Philosophy &amp; Theology,Art, Performing Arts &amp; Design,Computer Science,Architecture,Business &amp; Management,Biological Sciences,Sport Science,Geology, Environmental, Earth &amp; Marine Sciences,Physics &amp; Astronomy,Agriculture &amp; Forestry,Chemistry,Sociology,Economics &amp; Econometrics,Communication &amp; Media Studies,Languages, Literature &amp; Linguistics,Other Health,Mechanical &amp; Aerospace Engineering,Mathematics &amp; Statistics,Accounting &amp; Finance,Civil Engineering,Law,Electrical &amp; Electronic Engineering,General Engineering,Geography,Politics &amp; International Studies (incl Development Studies)</t>
  </si>
  <si>
    <t>Cyprus University of Technology</t>
  </si>
  <si>
    <t>Art, Performing Arts &amp; Design,Communication &amp; Media Studies,Economics &amp; Econometrics,Chemical Engineering,Electrical &amp; Electronic Engineering,Computer Science,Civil Engineering,General Engineering,Agriculture &amp; Forestry,Mechanical &amp; Aerospace Engineering,Business &amp; Management,Accounting &amp; Finance,Other Health,History, Philosophy &amp; Theology</t>
  </si>
  <si>
    <t>University of Debrecen</t>
  </si>
  <si>
    <t>History, Philosophy &amp; Theology,Biological Sciences,Other Health,Mathematics &amp; Statistics,Law,Electrical &amp; Electronic Engineering,Geography,Architecture,Sport Science,Psychology,Mechanical &amp; Aerospace Engineering,Physics &amp; Astronomy,Economics &amp; Econometrics,Languages, Literature &amp; Linguistics,Chemical Engineering,Sociology,Art, Performing Arts &amp; Design,Civil Engineering,Politics &amp; International Studies (incl Development Studies),Business &amp; Management,Computer Science,Geology, Environmental, Earth &amp; Marine Sciences,General Engineering,Communication &amp; Media Studies,Medicine &amp; Dentistry,Agriculture &amp; Forestry,Chemistry,Accounting &amp; Finance,Education</t>
  </si>
  <si>
    <t>De Montfort University</t>
  </si>
  <si>
    <t>Biological Sciences,Electrical &amp; Electronic Engineering,Architecture,Computer Science,Sociology,Chemical Engineering,Politics &amp; International Studies (incl Development Studies),Languages, Literature &amp; Linguistics,Education,Accounting &amp; Finance,Sport Science,Psychology,Mathematics &amp; Statistics,Business &amp; Management,General Engineering,Art, Performing Arts &amp; Design,Mechanical &amp; Aerospace Engineering,Chemistry,Communication &amp; Media Studies,Law,History, Philosophy &amp; Theology,Economics &amp; Econometrics,Geography,Other Health,Civil Engineering</t>
  </si>
  <si>
    <t>University of Derby</t>
  </si>
  <si>
    <t>Psychology,Other Health,Civil Engineering,Accounting &amp; Finance,Biological Sciences,General Engineering,Economics &amp; Econometrics,Computer Science,Sociology,Communication &amp; Media Studies,Law,Mechanical &amp; Aerospace Engineering,History, Philosophy &amp; Theology,Education,Mathematics &amp; Statistics,Electrical &amp; Electronic Engineering,Architecture,Languages, Literature &amp; Linguistics,Business &amp; Management,Politics &amp; International Studies (incl Development Studies),Art, Performing Arts &amp; Design,Sport Science</t>
  </si>
  <si>
    <t>Duy Tan University</t>
  </si>
  <si>
    <t>Vietnam</t>
  </si>
  <si>
    <t>General Engineering,Computer Science,Biological Sciences,Accounting &amp; Finance,Art, Performing Arts &amp; Design,Electrical &amp; Electronic Engineering,Communication &amp; Media Studies,Physics &amp; Astronomy,Politics &amp; International Studies (incl Development Studies),Other Health,Geology, Environmental, Earth &amp; Marine Sciences,Languages, Literature &amp; Linguistics,Civil Engineering,Architecture,Law,Medicine &amp; Dentistry,Chemistry,Business &amp; Management,Economics &amp; Econometrics</t>
  </si>
  <si>
    <t>East China University of Science and Technology</t>
  </si>
  <si>
    <t>Physics &amp; Astronomy,Geology, Environmental, Earth &amp; Marine Sciences,General Engineering,Business &amp; Management,Sport Science,Accounting &amp; Finance,History, Philosophy &amp; Theology,Mathematics &amp; Statistics,Law,Languages, Literature &amp; Linguistics,Education,Art, Performing Arts &amp; Design,Agriculture &amp; Forestry,Medicine &amp; Dentistry,Chemistry,Economics &amp; Econometrics,Chemical Engineering,Politics &amp; International Studies (incl Development Studies),Electrical &amp; Electronic Engineering,Computer Science,Mechanical &amp; Aerospace Engineering,Biological Sciences,Sociology</t>
  </si>
  <si>
    <t>Eastern Mediterranean University</t>
  </si>
  <si>
    <t>Northern Cyprus</t>
  </si>
  <si>
    <t>Eastern Mediterranean University emu</t>
  </si>
  <si>
    <t>Economics &amp; Econometrics,Mechanical &amp; Aerospace Engineering,Chemistry,Biological Sciences,Communication &amp; Media Studies,Education,Art, Performing Arts &amp; Design,Business &amp; Management,Other Health,Sport Science,Languages, Literature &amp; Linguistics,Law,Physics &amp; Astronomy,Accounting &amp; Finance,Civil Engineering,Mathematics &amp; Statistics,Archaeology,Psychology,Electrical &amp; Electronic Engineering,Computer Science,Architecture,Medicine &amp; Dentistry,Politics &amp; International Studies (incl Development Studies)</t>
  </si>
  <si>
    <t>Ã‰cole Centrale de Lyon</t>
  </si>
  <si>
    <t>Electrical &amp; Electronic Engineering,Mechanical &amp; Aerospace Engineering,Computer Science,Chemical Engineering,Mathematics &amp; Statistics,General Engineering,Civil Engineering</t>
  </si>
  <si>
    <t>Ã‰cole des Mines de Saint-Ã‰tienne</t>
  </si>
  <si>
    <t>Other Health,Business &amp; Management,General Engineering,Mathematics &amp; Statistics,Accounting &amp; Finance,Computer Science,Geography,Chemical Engineering,Civil Engineering,Geology, Environmental, Earth &amp; Marine Sciences,Art, Performing Arts &amp; Design,Electrical &amp; Electronic Engineering,Mechanical &amp; Aerospace Engineering</t>
  </si>
  <si>
    <t>Ã‰cole Nationale des Travaux Publics de l'Ã‰tat (ENTPE)</t>
  </si>
  <si>
    <t>Geology, Environmental, Earth &amp; Marine Sciences,Mechanical &amp; Aerospace Engineering,Politics &amp; International Studies (incl Development Studies),Sociology,Civil Engineering,Geography,General Engineering,Mathematics &amp; Statistics</t>
  </si>
  <si>
    <t>Egypt-Japan University of Science and Technology (E-JUST)</t>
  </si>
  <si>
    <t>Egypt</t>
  </si>
  <si>
    <t>Computer Science,Chemistry,Business &amp; Management,Biological Sciences,Chemical Engineering,General Engineering,Other Health,Geology, Environmental, Earth &amp; Marine Sciences,Mathematics &amp; Statistics,Communication &amp; Media Studies,Electrical &amp; Electronic Engineering,Art, Performing Arts &amp; Design,Physics &amp; Astronomy,Architecture,Mechanical &amp; Aerospace Engineering,Accounting &amp; Finance</t>
  </si>
  <si>
    <t>University of Engineering and Technology, Taxila</t>
  </si>
  <si>
    <t>Electrical &amp; Electronic Engineering,Mechanical &amp; Aerospace Engineering,Physics &amp; Astronomy,Civil Engineering,General Engineering,Computer Science,Mathematics &amp; Statistics</t>
  </si>
  <si>
    <t>Universidade Estadual Paulista (Unesp)</t>
  </si>
  <si>
    <t>General Engineering,Sociology,Chemical Engineering,Mathematics &amp; Statistics,Architecture,Civil Engineering,Physics &amp; Astronomy,Business &amp; Management,Medicine &amp; Dentistry,Politics &amp; International Studies (incl Development Studies),Psychology,Art, Performing Arts &amp; Design,Mechanical &amp; Aerospace Engineering,Sport Science,Other Health,History, Philosophy &amp; Theology,Biological Sciences,Geology, Environmental, Earth &amp; Marine Sciences,Accounting &amp; Finance,Archaeology,Veterinary Science,Law,Languages, Literature &amp; Linguistics,Agriculture &amp; Forestry,Chemistry,Education,Computer Science,Communication &amp; Media Studies,Electrical &amp; Electronic Engineering,Geography,Economics &amp; Econometrics</t>
  </si>
  <si>
    <t>Ewha Womans University</t>
  </si>
  <si>
    <t>Other Health,Architecture,Mechanical &amp; Aerospace Engineering,Education,Sport Science,Law,Veterinary Science,Politics &amp; International Studies (incl Development Studies),Medicine &amp; Dentistry,General Engineering,Geology, Environmental, Earth &amp; Marine Sciences,Art, Performing Arts &amp; Design,Biological Sciences,Psychology,Archaeology,Civil Engineering,Communication &amp; Media Studies,Accounting &amp; Finance,History, Philosophy &amp; Theology,Mathematics &amp; Statistics,Sociology,Computer Science,Chemical Engineering,Chemistry,Economics &amp; Econometrics,Languages, Literature &amp; Linguistics,Agriculture &amp; Forestry,Geography,Electrical &amp; Electronic Engineering,Physics &amp; Astronomy,Business &amp; Management</t>
  </si>
  <si>
    <t>Federal University of Rio de Janeiro</t>
  </si>
  <si>
    <t>Computer Science,History, Philosophy &amp; Theology,Geography,Mathematics &amp; Statistics,Mechanical &amp; Aerospace Engineering,Architecture,Biological Sciences,Agriculture &amp; Forestry,Economics &amp; Econometrics,Chemical Engineering,Psychology,Medicine &amp; Dentistry,Education,Sport Science,Civil Engineering,Politics &amp; International Studies (incl Development Studies),Business &amp; Management,Other Health,Communication &amp; Media Studies,Accounting &amp; Finance,Languages, Literature &amp; Linguistics,Chemistry,Electrical &amp; Electronic Engineering,Sociology,General Engineering,Art, Performing Arts &amp; Design,Geology, Environmental, Earth &amp; Marine Sciences,Physics &amp; Astronomy,Archaeology,Law</t>
  </si>
  <si>
    <t>Universidade Federal do Rio Grande do Sul</t>
  </si>
  <si>
    <t>Medicine &amp; Dentistry,Veterinary Science,Geology, Environmental, Earth &amp; Marine Sciences,Civil Engineering,Sociology,Other Health,Biological Sciences,Law,Art, Performing Arts &amp; Design,Computer Science,Mathematics &amp; Statistics,Education,General Engineering,Politics &amp; International Studies (incl Development Studies),Electrical &amp; Electronic Engineering,Physics &amp; Astronomy,Psychology,Languages, Literature &amp; Linguistics,Chemical Engineering,Chemistry,Accounting &amp; Finance,Architecture,Sport Science,Business &amp; Management,History, Philosophy &amp; Theology,Agriculture &amp; Forestry,Communication &amp; Media Studies,Mechanical &amp; Aerospace Engineering,Geography,Economics &amp; Econometrics</t>
  </si>
  <si>
    <t>Federation University Australia</t>
  </si>
  <si>
    <t>Federation University Australia federation university federation australia</t>
  </si>
  <si>
    <t>Medicine &amp; Dentistry,Biological Sciences,Business &amp; Management,General Engineering,Mathematics &amp; Statistics,Accounting &amp; Finance,Languages, Literature &amp; Linguistics,Agriculture &amp; Forestry,Law,Other Health,Veterinary Science,Psychology,Computer Science,Sport Science,Art, Performing Arts &amp; Design,Mechanical &amp; Aerospace Engineering,Politics &amp; International Studies (incl Development Studies),Electrical &amp; Electronic Engineering,Education,Communication &amp; Media Studies,Economics &amp; Econometrics,History, Philosophy &amp; Theology,Civil Engineering,Sociology,Geology, Environmental, Earth &amp; Marine Sciences</t>
  </si>
  <si>
    <t>University of Foggia</t>
  </si>
  <si>
    <t>Sport Science,Education,Other Health,Mathematics &amp; Statistics,Psychology,Law,Archaeology,Geology, Environmental, Earth &amp; Marine Sciences,Medicine &amp; Dentistry,Geography,Agriculture &amp; Forestry,Business &amp; Management,Biological Sciences,Accounting &amp; Finance,History, Philosophy &amp; Theology,Physics &amp; Astronomy,General Engineering,Communication &amp; Media Studies,Languages, Literature &amp; Linguistics,Sociology,Economics &amp; Econometrics</t>
  </si>
  <si>
    <t>Gabriele dâ€˜Annunzio University</t>
  </si>
  <si>
    <t>Civil Engineering,Medicine &amp; Dentistry,Architecture,Geology, Environmental, Earth &amp; Marine Sciences,Psychology,Sport Science,History, Philosophy &amp; Theology,Accounting &amp; Finance,Languages, Literature &amp; Linguistics,Education,Business &amp; Management,Art, Performing Arts &amp; Design,Other Health,Sociology</t>
  </si>
  <si>
    <t>Glasgow Caledonian University</t>
  </si>
  <si>
    <t>Other Health,Economics &amp; Econometrics,Civil Engineering,Electrical &amp; Electronic Engineering,Psychology,Computer Science,Accounting &amp; Finance,Mechanical &amp; Aerospace Engineering,Sociology,Biological Sciences,General Engineering,Business &amp; Management,Law,Politics &amp; International Studies (incl Development Studies),Communication &amp; Media Studies</t>
  </si>
  <si>
    <t>Government College University Faisalabad</t>
  </si>
  <si>
    <t>Electrical &amp; Electronic Engineering,Other Health,General Engineering,History, Philosophy &amp; Theology,Mechanical &amp; Aerospace Engineering,Mathematics &amp; Statistics,Education,Politics &amp; International Studies (incl Development Studies),Physics &amp; Astronomy,Business &amp; Management,Accounting &amp; Finance,Geography,Law,Architecture,Medicine &amp; Dentistry,Psychology,Art, Performing Arts &amp; Design,Geology, Environmental, Earth &amp; Marine Sciences,Biological Sciences,Computer Science,Chemical Engineering,Civil Engineering,Economics &amp; Econometrics,Communication &amp; Media Studies,Sociology,Agriculture &amp; Forestry,Chemistry,Languages, Literature &amp; Linguistics,Sport Science</t>
  </si>
  <si>
    <t>Guangdong University of Technology</t>
  </si>
  <si>
    <t>Chemistry,Mathematics &amp; Statistics,Law,Chemical Engineering,Civil Engineering,Languages, Literature &amp; Linguistics,Electrical &amp; Electronic Engineering,Sociology,Business &amp; Management,Computer Science,Economics &amp; Econometrics,General Engineering,Geology, Environmental, Earth &amp; Marine Sciences,Biological Sciences,Art, Performing Arts &amp; Design,Physics &amp; Astronomy,Mechanical &amp; Aerospace Engineering,Architecture,Accounting &amp; Finance</t>
  </si>
  <si>
    <t>Hacettepe University</t>
  </si>
  <si>
    <t>Archaeology,Geology, Environmental, Earth &amp; Marine Sciences,Business &amp; Management,General Engineering,Electrical &amp; Electronic Engineering,Mathematics &amp; Statistics,Law,Computer Science,Art, Performing Arts &amp; Design,Biological Sciences,Chemistry,Education,Other Health,Languages, Literature &amp; Linguistics,Civil Engineering,Communication &amp; Media Studies,Psychology,Medicine &amp; Dentistry,Physics &amp; Astronomy,Sociology,History, Philosophy &amp; Theology,Mechanical &amp; Aerospace Engineering,Sport Science,Economics &amp; Econometrics,Architecture,Chemical Engineering,Politics &amp; International Studies (incl Development Studies),Accounting &amp; Finance</t>
  </si>
  <si>
    <t>University of Haifa</t>
  </si>
  <si>
    <t>Accounting &amp; Finance,Languages, Literature &amp; Linguistics,History, Philosophy &amp; Theology,Sociology,Art, Performing Arts &amp; Design,Law,Economics &amp; Econometrics,Other Health,Geology, Environmental, Earth &amp; Marine Sciences,Mathematics &amp; Statistics,Business &amp; Management,Biological Sciences,Psychology,Archaeology,Communication &amp; Media Studies,Politics &amp; International Studies (incl Development Studies),Geography,Physics &amp; Astronomy,Education,Computer Science</t>
  </si>
  <si>
    <t>University of Hail</t>
  </si>
  <si>
    <t>Architecture,Chemical Engineering,Business &amp; Management,History, Philosophy &amp; Theology,Mathematics &amp; Statistics,Sport Science,Other Health,Geology, Environmental, Earth &amp; Marine Sciences,Geography,Mechanical &amp; Aerospace Engineering,Psychology,Languages, Literature &amp; Linguistics,Civil Engineering,General Engineering,Art, Performing Arts &amp; Design,Biological Sciences,Communication &amp; Media Studies,Medicine &amp; Dentistry,Physics &amp; Astronomy,Economics &amp; Econometrics,Electrical &amp; Electronic Engineering,Education,Sociology,Computer Science,Law,Archaeology,Chemistry,Accounting &amp; Finance</t>
  </si>
  <si>
    <t>Harokopio University of Athens</t>
  </si>
  <si>
    <t>Geography,Geology, Environmental, Earth &amp; Marine Sciences,Biological Sciences,Business &amp; Management,Computer Science,Mathematics &amp; Statistics,Agriculture &amp; Forestry,Economics &amp; Econometrics,Other Health,Sport Science</t>
  </si>
  <si>
    <t>University of Hertfordshire</t>
  </si>
  <si>
    <t>General Engineering,Geography,Architecture,Mathematics &amp; Statistics,Sociology,Art, Performing Arts &amp; Design,Mechanical &amp; Aerospace Engineering,Politics &amp; International Studies (incl Development Studies),Physics &amp; Astronomy,Business &amp; Management,Other Health,Sport Science,Accounting &amp; Finance,Civil Engineering,Psychology,Electrical &amp; Electronic Engineering,Communication &amp; Media Studies,Veterinary Science,Economics &amp; Econometrics,Biological Sciences,Education,Computer Science,Geology, Environmental, Earth &amp; Marine Sciences,Law</t>
  </si>
  <si>
    <t>Hiroshima University</t>
  </si>
  <si>
    <t>Business &amp; Management,Other Health,Mathematics &amp; Statistics,Sociology,Chemistry,Languages, Literature &amp; Linguistics,Law,Biological Sciences,Geography,Chemical Engineering,General Engineering,Geology, Environmental, Earth &amp; Marine Sciences,Communication &amp; Media Studies,Veterinary Science,Architecture,Agriculture &amp; Forestry,Archaeology,Psychology,Education,Sport Science,Civil Engineering,Computer Science,Politics &amp; International Studies (incl Development Studies),Electrical &amp; Electronic Engineering,Art, Performing Arts &amp; Design,Accounting &amp; Finance,Economics &amp; Econometrics,Physics &amp; Astronomy,Mechanical &amp; Aerospace Engineering,History, Philosophy &amp; Theology,Medicine &amp; Dentistry</t>
  </si>
  <si>
    <t>Imam Abdulrahman Bin Faisal University</t>
  </si>
  <si>
    <t>Civil Engineering,Medicine &amp; Dentistry,Sociology,Education,Architecture,History, Philosophy &amp; Theology,Mathematics &amp; Statistics,Psychology,Mechanical &amp; Aerospace Engineering,Computer Science,Languages, Literature &amp; Linguistics,Business &amp; Management,General Engineering,Law,Geology, Environmental, Earth &amp; Marine Sciences,Chemistry,Biological Sciences,Physics &amp; Astronomy,Geography,Communication &amp; Media Studies,Other Health,Art, Performing Arts &amp; Design,Accounting &amp; Finance</t>
  </si>
  <si>
    <t>Imam Khomeini International University</t>
  </si>
  <si>
    <t>Communication &amp; Media Studies,Electrical &amp; Electronic Engineering,Architecture,Education,Accounting &amp; Finance,Biological Sciences,Physics &amp; Astronomy,Sociology,Computer Science,Veterinary Science,Mechanical &amp; Aerospace Engineering,Business &amp; Management,Sport Science,Politics &amp; International Studies (incl Development Studies),General Engineering,Economics &amp; Econometrics,History, Philosophy &amp; Theology,Chemical Engineering,Geography,Geology, Environmental, Earth &amp; Marine Sciences,Agriculture &amp; Forestry,Civil Engineering,Languages, Literature &amp; Linguistics,Art, Performing Arts &amp; Design,Chemistry,Psychology,Law,Mathematics &amp; Statistics,Archaeology</t>
  </si>
  <si>
    <t>Indian Institute of Technology Guwahati</t>
  </si>
  <si>
    <t>Mechanical &amp; Aerospace Engineering,Sociology,Architecture,Mathematics &amp; Statistics,History, Philosophy &amp; Theology,Physics &amp; Astronomy,Economics &amp; Econometrics,Computer Science,Chemical Engineering,Psychology,Civil Engineering,Geology, Environmental, Earth &amp; Marine Sciences,Electrical &amp; Electronic Engineering,Politics &amp; International Studies (incl Development Studies),Languages, Literature &amp; Linguistics,Agriculture &amp; Forestry,Business &amp; Management,General Engineering,Biological Sciences,Art, Performing Arts &amp; Design,Veterinary Science,Chemistry</t>
  </si>
  <si>
    <t>Indian Institute of Technology (Indian School of Mines) Dhanbad</t>
  </si>
  <si>
    <t>General Engineering,Psychology,Electrical &amp; Electronic Engineering,Mathematics &amp; Statistics,Chemistry,Business &amp; Management,Mechanical &amp; Aerospace Engineering,Languages, Literature &amp; Linguistics,Geology, Environmental, Earth &amp; Marine Sciences,Sociology,History, Philosophy &amp; Theology,Physics &amp; Astronomy,Chemical Engineering,Civil Engineering,Computer Science</t>
  </si>
  <si>
    <t>Indian Institute of Technology Patna</t>
  </si>
  <si>
    <t>Computer Science,Electrical &amp; Electronic Engineering,Languages, Literature &amp; Linguistics,Mathematics &amp; Statistics,Chemistry,Physics &amp; Astronomy,Chemical Engineering,Geology, Environmental, Earth &amp; Marine Sciences,General Engineering,Mechanical &amp; Aerospace Engineering,Civil Engineering</t>
  </si>
  <si>
    <t>University of Insubria</t>
  </si>
  <si>
    <t>Communication &amp; Media Studies,Languages, Literature &amp; Linguistics,History, Philosophy &amp; Theology,Chemistry,Medicine &amp; Dentistry,Biological Sciences,Business &amp; Management,Computer Science,Politics &amp; International Studies (incl Development Studies),Civil Engineering,Law,Geology, Environmental, Earth &amp; Marine Sciences,General Engineering,Sport Science,Physics &amp; Astronomy,Other Health,Accounting &amp; Finance,Mathematics &amp; Statistics,Economics &amp; Econometrics</t>
  </si>
  <si>
    <t>International Institute of Information Technology, Hyderabad</t>
  </si>
  <si>
    <t>Civil Engineering,Languages, Literature &amp; Linguistics,Electrical &amp; Electronic Engineering,Computer Science,Biological Sciences,Art, Performing Arts &amp; Design</t>
  </si>
  <si>
    <t>Iran University of Medical Sciences</t>
  </si>
  <si>
    <t>Business &amp; Management,Chemistry,Biological Sciences,Education,Computer Science,Other Health,Psychology,Medicine &amp; Dentistry</t>
  </si>
  <si>
    <t>ISCTE-University Institute of Lisbon</t>
  </si>
  <si>
    <t>History, Philosophy &amp; Theology,Accounting &amp; Finance,Communication &amp; Media Studies,Economics &amp; Econometrics,Business &amp; Management,Psychology,Computer Science,Sociology,Architecture,Electrical &amp; Electronic Engineering,Politics &amp; International Studies (incl Development Studies)</t>
  </si>
  <si>
    <t>Isfahan University of Technology</t>
  </si>
  <si>
    <t>Electrical &amp; Electronic Engineering,Chemistry,General Engineering,Mechanical &amp; Aerospace Engineering,Computer Science,Mathematics &amp; Statistics,Biological Sciences,Agriculture &amp; Forestry,Chemical Engineering,Physics &amp; Astronomy,Civil Engineering</t>
  </si>
  <si>
    <t>ITMO University</t>
  </si>
  <si>
    <t>Computer Science,Chemistry,Politics &amp; International Studies (incl Development Studies),Communication &amp; Media Studies,Education,Chemical Engineering,General Engineering,Sociology,Economics &amp; Econometrics,Civil Engineering,Art, Performing Arts &amp; Design,Sport Science,History, Philosophy &amp; Theology,Physics &amp; Astronomy,Business &amp; Management,Medicine &amp; Dentistry,Biological Sciences,Law,Mathematics &amp; Statistics,Electrical &amp; Electronic Engineering,Agriculture &amp; Forestry,Mechanical &amp; Aerospace Engineering,Accounting &amp; Finance,Geology, Environmental, Earth &amp; Marine Sciences,Other Health,Languages, Literature &amp; Linguistics</t>
  </si>
  <si>
    <t>Jagiellonian University</t>
  </si>
  <si>
    <t>Poland</t>
  </si>
  <si>
    <t>Other Health,Chemistry,Economics &amp; Econometrics,Geology, Environmental, Earth &amp; Marine Sciences,History, Philosophy &amp; Theology,Psychology,Politics &amp; International Studies (incl Development Studies),Law,Languages, Literature &amp; Linguistics,Physics &amp; Astronomy,Medicine &amp; Dentistry,Communication &amp; Media Studies,Sociology,Accounting &amp; Finance,Mathematics &amp; Statistics,Art, Performing Arts &amp; Design,Business &amp; Management,Geography,Computer Science,Archaeology,Biological Sciences,Education</t>
  </si>
  <si>
    <t>Jamia Hamdard University</t>
  </si>
  <si>
    <t>Medicine &amp; Dentistry,Other Health,Business &amp; Management,Politics &amp; International Studies (incl Development Studies),Chemistry,Computer Science,Biological Sciences</t>
  </si>
  <si>
    <t>Jawaharlal Nehru University</t>
  </si>
  <si>
    <t>Art, Performing Arts &amp; Design,Geology, Environmental, Earth &amp; Marine Sciences,Mathematics &amp; Statistics,Psychology,Languages, Literature &amp; Linguistics,Communication &amp; Media Studies,History, Philosophy &amp; Theology,Politics &amp; International Studies (incl Development Studies),Electrical &amp; Electronic Engineering,Accounting &amp; Finance,Computer Science,Sociology,Chemistry,Geography,Biological Sciences,Economics &amp; Econometrics,Agriculture &amp; Forestry,Education,Physics &amp; Astronomy,Business &amp; Management</t>
  </si>
  <si>
    <t>Jiangsu University</t>
  </si>
  <si>
    <t>Economics &amp; Econometrics,Computer Science,Communication &amp; Media Studies,Law,Electrical &amp; Electronic Engineering,Biological Sciences,Languages, Literature &amp; Linguistics,Medicine &amp; Dentistry,General Engineering,Agriculture &amp; Forestry,Accounting &amp; Finance,Civil Engineering,Education,History, Philosophy &amp; Theology,Sociology,Chemistry,Other Health,Chemical Engineering,Mathematics &amp; Statistics,Mechanical &amp; Aerospace Engineering,Physics &amp; Astronomy,Art, Performing Arts &amp; Design,Geology, Environmental, Earth &amp; Marine Sciences,Business &amp; Management</t>
  </si>
  <si>
    <t>JÃ¶nkÃ¶ping University</t>
  </si>
  <si>
    <t>Sociology,Economics &amp; Econometrics,Politics &amp; International Studies (incl Development Studies),Medicine &amp; Dentistry,History, Philosophy &amp; Theology,Psychology,Mechanical &amp; Aerospace Engineering,Languages, Literature &amp; Linguistics,Civil Engineering,Mathematics &amp; Statistics,Communication &amp; Media Studies,Computer Science,General Engineering,Business &amp; Management,Education,Accounting &amp; Finance,Other Health</t>
  </si>
  <si>
    <t>The University of Jordan</t>
  </si>
  <si>
    <t>Jordan</t>
  </si>
  <si>
    <t>Other Health,Mathematics &amp; Statistics,Mechanical &amp; Aerospace Engineering,Geography,Archaeology,Physics &amp; Astronomy,Medicine &amp; Dentistry,Biological Sciences,Psychology,Computer Science,Sociology,Languages, Literature &amp; Linguistics,Chemical Engineering,Law,Business &amp; Management,Architecture,Agriculture &amp; Forestry,Chemistry,Accounting &amp; Finance,Electrical &amp; Electronic Engineering,Geology, Environmental, Earth &amp; Marine Sciences,History, Philosophy &amp; Theology,Sport Science,Education,Art, Performing Arts &amp; Design,Civil Engineering,Politics &amp; International Studies (incl Development Studies),Economics &amp; Econometrics</t>
  </si>
  <si>
    <t>Jouf University</t>
  </si>
  <si>
    <t>Computer Science,Accounting &amp; Finance,Mathematics &amp; Statistics,Medicine &amp; Dentistry,Business &amp; Management,General Engineering,Education,Biological Sciences,Electrical &amp; Electronic Engineering,Physics &amp; Astronomy,Other Health,Chemistry,Civil Engineering,Economics &amp; Econometrics,Mechanical &amp; Aerospace Engineering</t>
  </si>
  <si>
    <t>Juntendo University</t>
  </si>
  <si>
    <t>Communication &amp; Media Studies,Medicine &amp; Dentistry,Computer Science,Other Health,Sport Science</t>
  </si>
  <si>
    <t>University of Kaiserslautern</t>
  </si>
  <si>
    <t>Civil Engineering,Chemical Engineering,Biological Sciences,Mechanical &amp; Aerospace Engineering,General Engineering,Business &amp; Management,Computer Science,Physics &amp; Astronomy,Electrical &amp; Electronic Engineering,Chemistry,Mathematics &amp; Statistics</t>
  </si>
  <si>
    <t>Kansas State University</t>
  </si>
  <si>
    <t>Sport Science,Mechanical &amp; Aerospace Engineering,Communication &amp; Media Studies,Economics &amp; Econometrics,Other Health,Psychology,Electrical &amp; Electronic Engineering,Politics &amp; International Studies (incl Development Studies),History, Philosophy &amp; Theology,Veterinary Science,Business &amp; Management,General Engineering,Geology, Environmental, Earth &amp; Marine Sciences,Accounting &amp; Finance,Agriculture &amp; Forestry,Physics &amp; Astronomy,Law,Languages, Literature &amp; Linguistics,Chemical Engineering,Sociology,Art, Performing Arts &amp; Design,Civil Engineering,Chemistry,Computer Science,Mathematics &amp; Statistics,Education,Architecture,Biological Sciences,Geography</t>
  </si>
  <si>
    <t>University of Kashan</t>
  </si>
  <si>
    <t>Physics &amp; Astronomy,Architecture,Economics &amp; Econometrics,Languages, Literature &amp; Linguistics,General Engineering,Mechanical &amp; Aerospace Engineering,Communication &amp; Media Studies,Geography,Politics &amp; International Studies (incl Development Studies),Education,Art, Performing Arts &amp; Design,Chemical Engineering,Business &amp; Management,Archaeology,Law,Sport Science,Mathematics &amp; Statistics,Chemistry,Electrical &amp; Electronic Engineering,Sociology,Accounting &amp; Finance,Geology, Environmental, Earth &amp; Marine Sciences,History, Philosophy &amp; Theology,Biological Sciences,Civil Engineering,Agriculture &amp; Forestry,Computer Science,Psychology</t>
  </si>
  <si>
    <t>Kashan University of Medical Sciences and Health Services</t>
  </si>
  <si>
    <t>Other Health,Psychology,Medicine &amp; Dentistry</t>
  </si>
  <si>
    <t>Keio University</t>
  </si>
  <si>
    <t>Archaeology,Mechanical &amp; Aerospace Engineering,Chemistry,Economics &amp; Econometrics,Computer Science,Sociology,Art, Performing Arts &amp; Design,Sport Science,Politics &amp; International Studies (incl Development Studies),Medicine &amp; Dentistry,Biological Sciences,Law,Other Health,Physics &amp; Astronomy,Education,Chemical Engineering,Psychology,Civil Engineering,Geography,History, Philosophy &amp; Theology,Electrical &amp; Electronic Engineering,Geology, Environmental, Earth &amp; Marine Sciences,Accounting &amp; Finance,Architecture,Mathematics &amp; Statistics,Business &amp; Management,Languages, Literature &amp; Linguistics,General Engineering,Communication &amp; Media Studies</t>
  </si>
  <si>
    <t>KIIT University</t>
  </si>
  <si>
    <t>Electrical &amp; Electronic Engineering,Communication &amp; Media Studies,Architecture,Physics &amp; Astronomy,Accounting &amp; Finance,Other Health,Chemistry,Psychology,Medicine &amp; Dentistry,Geology, Environmental, Earth &amp; Marine Sciences,Economics &amp; Econometrics,History, Philosophy &amp; Theology,Biological Sciences,Business &amp; Management,Chemical Engineering,Politics &amp; International Studies (incl Development Studies),Mechanical &amp; Aerospace Engineering,Sociology,Civil Engineering,Geography,Languages, Literature &amp; Linguistics,Computer Science,Law,Art, Performing Arts &amp; Design,General Engineering,Mathematics &amp; Statistics,Education</t>
  </si>
  <si>
    <t>King Saud bin Abdulaziz University for Health Sciences</t>
  </si>
  <si>
    <t>Kobe University</t>
  </si>
  <si>
    <t>Civil Engineering,Art, Performing Arts &amp; Design,Law,Accounting &amp; Finance,Mathematics &amp; Statistics,Geography,Business &amp; Management,Geology, Environmental, Earth &amp; Marine Sciences,Agriculture &amp; Forestry,Sport Science,General Engineering,Chemistry,Other Health,Architecture,Veterinary Science,Computer Science,Medicine &amp; Dentistry,Chemical Engineering,Biological Sciences,Archaeology,Politics &amp; International Studies (incl Development Studies),Economics &amp; Econometrics,Psychology,Mechanical &amp; Aerospace Engineering,Sociology,Communication &amp; Media Studies,Languages, Literature &amp; Linguistics,History, Philosophy &amp; Theology,Electrical &amp; Electronic Engineering,Education,Physics &amp; Astronomy</t>
  </si>
  <si>
    <t>Konkuk University</t>
  </si>
  <si>
    <t>Chemistry,Politics &amp; International Studies (incl Development Studies),Education,Economics &amp; Econometrics,Veterinary Science,Psychology,Law,Mathematics &amp; Statistics,Chemical Engineering,Architecture,Other Health,Art, Performing Arts &amp; Design,Civil Engineering,History, Philosophy &amp; Theology,Sport Science,Electrical &amp; Electronic Engineering,Geology, Environmental, Earth &amp; Marine Sciences,Geography,Biological Sciences,Communication &amp; Media Studies,Sociology,Business &amp; Management,General Engineering,Agriculture &amp; Forestry,Accounting &amp; Finance,Medicine &amp; Dentistry,Computer Science,Physics &amp; Astronomy,Languages, Literature &amp; Linguistics,Mechanical &amp; Aerospace Engineering</t>
  </si>
  <si>
    <t>Kurdistan University of Medical Sciences</t>
  </si>
  <si>
    <t>Geology, Environmental, Earth &amp; Marine Sciences,Other Health,Biological Sciences,Psychology,Medicine &amp; Dentistry,Education</t>
  </si>
  <si>
    <t>Lehigh University</t>
  </si>
  <si>
    <t>Chemical Engineering,Physics &amp; Astronomy,Languages, Literature &amp; Linguistics,Agriculture &amp; Forestry,Business &amp; Management,Accounting &amp; Finance,History, Philosophy &amp; Theology,Sociology,Economics &amp; Econometrics,Civil Engineering,Biological Sciences,Psychology,Mechanical &amp; Aerospace Engineering,Education,Art, Performing Arts &amp; Design,Computer Science,Politics &amp; International Studies (incl Development Studies),General Engineering,Communication &amp; Media Studies,Architecture,Mathematics &amp; Statistics,Other Health,Chemistry,Electrical &amp; Electronic Engineering,Geology, Environmental, Earth &amp; Marine Sciences</t>
  </si>
  <si>
    <t>University of Lille</t>
  </si>
  <si>
    <t>General Engineering,Mathematics &amp; Statistics,Business &amp; Management,Other Health,Physics &amp; Astronomy,Accounting &amp; Finance,Languages, Literature &amp; Linguistics,Geology, Environmental, Earth &amp; Marine Sciences,History, Philosophy &amp; Theology,Chemistry,Law,Archaeology,Communication &amp; Media Studies,Computer Science,Chemical Engineering,Geography,Architecture,Mechanical &amp; Aerospace Engineering,Biological Sciences,Psychology,Electrical &amp; Electronic Engineering,Sociology,Economics &amp; Econometrics,Art, Performing Arts &amp; Design,Civil Engineering,Sport Science,Medicine &amp; Dentistry,Politics &amp; International Studies (incl Development Studies),Education</t>
  </si>
  <si>
    <t>London South Bank University</t>
  </si>
  <si>
    <t>Civil Engineering,Psychology,Sociology,Economics &amp; Econometrics,Politics &amp; International Studies (incl Development Studies),Accounting &amp; Finance,Communication &amp; Media Studies,General Engineering,Business &amp; Management,Electrical &amp; Electronic Engineering,Sport Science,Law,Agriculture &amp; Forestry,Chemical Engineering,Mechanical &amp; Aerospace Engineering,Art, Performing Arts &amp; Design,Biological Sciences,Education,Computer Science,Architecture,Other Health</t>
  </si>
  <si>
    <t>University of Lorraine</t>
  </si>
  <si>
    <t>Mechanical &amp; Aerospace Engineering,Geography,History, Philosophy &amp; Theology,Veterinary Science,Geology, Environmental, Earth &amp; Marine Sciences,Business &amp; Management,Languages, Literature &amp; Linguistics,Agriculture &amp; Forestry,Law,Art, Performing Arts &amp; Design,Electrical &amp; Electronic Engineering,Communication &amp; Media Studies,Computer Science,Physics &amp; Astronomy,Economics &amp; Econometrics,Civil Engineering,Mathematics &amp; Statistics,Psychology,Other Health,Sport Science,Education,Archaeology,Biological Sciences,Politics &amp; International Studies (incl Development Studies),Medicine &amp; Dentistry,General Engineering,Chemistry,Accounting &amp; Finance,Architecture,Chemical Engineering,Sociology</t>
  </si>
  <si>
    <t>Louisiana State University</t>
  </si>
  <si>
    <t>Education,Sociology,Economics &amp; Econometrics,Other Health,Physics &amp; Astronomy,Accounting &amp; Finance,Chemistry,Medicine &amp; Dentistry,Law,Communication &amp; Media Studies,Biological Sciences,History, Philosophy &amp; Theology,Agriculture &amp; Forestry,Architecture,Mechanical &amp; Aerospace Engineering,Business &amp; Management,Sport Science,General Engineering,Civil Engineering,Politics &amp; International Studies (incl Development Studies),Geology, Environmental, Earth &amp; Marine Sciences,Electrical &amp; Electronic Engineering,Geography,Languages, Literature &amp; Linguistics,Art, Performing Arts &amp; Design,Chemical Engineering,Computer Science,Psychology,Mathematics &amp; Statistics</t>
  </si>
  <si>
    <t>Lviv Polytechnic National University</t>
  </si>
  <si>
    <t>Architecture,Geology, Environmental, Earth &amp; Marine Sciences,Electrical &amp; Electronic Engineering,General Engineering,Law,Education,Communication &amp; Media Studies,Mathematics &amp; Statistics,Economics &amp; Econometrics,Physics &amp; Astronomy,Languages, Literature &amp; Linguistics,Sociology,Computer Science,Accounting &amp; Finance,Politics &amp; International Studies (incl Development Studies),Art, Performing Arts &amp; Design,Chemical Engineering,Civil Engineering,Psychology,History, Philosophy &amp; Theology,Mechanical &amp; Aerospace Engineering,Business &amp; Management</t>
  </si>
  <si>
    <t>Mahidol University</t>
  </si>
  <si>
    <t>Art, Performing Arts &amp; Design,Civil Engineering,Chemistry,Business &amp; Management,History, Philosophy &amp; Theology,Sport Science,Accounting &amp; Finance,Medicine &amp; Dentistry,Veterinary Science,Mechanical &amp; Aerospace Engineering,Communication &amp; Media Studies,Economics &amp; Econometrics,Electrical &amp; Electronic Engineering,Geology, Environmental, Earth &amp; Marine Sciences,Other Health,Physics &amp; Astronomy,Languages, Literature &amp; Linguistics,Chemical Engineering,Education,Archaeology,Mathematics &amp; Statistics,Psychology,General Engineering,Politics &amp; International Studies (incl Development Studies),Computer Science,Biological Sciences,Sociology</t>
  </si>
  <si>
    <t>Malaviya National Institute of Technology</t>
  </si>
  <si>
    <t>Mathematics &amp; Statistics,Languages, Literature &amp; Linguistics,Chemistry,Chemical Engineering,Computer Science,Accounting &amp; Finance,Civil Engineering,Economics &amp; Econometrics,Geology, Environmental, Earth &amp; Marine Sciences,Physics &amp; Astronomy,Electrical &amp; Electronic Engineering,Architecture,Mechanical &amp; Aerospace Engineering,Business &amp; Management</t>
  </si>
  <si>
    <t>Universiti Malaysia Pahang Al-Sultan Abdullah (UMPSA)</t>
  </si>
  <si>
    <t>Chemical Engineering,Mathematics &amp; Statistics,Chemistry,Computer Science,Electrical &amp; Electronic Engineering,Business &amp; Management,Civil Engineering,Mechanical &amp; Aerospace Engineering,Accounting &amp; Finance,Languages, Literature &amp; Linguistics,General Engineering</t>
  </si>
  <si>
    <t>Manipal Academy of Higher Education</t>
  </si>
  <si>
    <t>Languages, Literature &amp; Linguistics,Chemical Engineering,Architecture,Geography,Other Health,Mathematics &amp; Statistics,Communication &amp; Media Studies,Medicine &amp; Dentistry,Art, Performing Arts &amp; Design,Biological Sciences,Computer Science,Physics &amp; Astronomy,Electrical &amp; Electronic Engineering,General Engineering,Mechanical &amp; Aerospace Engineering,Civil Engineering,Economics &amp; Econometrics,Business &amp; Management,Accounting &amp; Finance,Chemistry</t>
  </si>
  <si>
    <t>Marche Polytechnic University</t>
  </si>
  <si>
    <t>Medicine &amp; Dentistry,Geology, Environmental, Earth &amp; Marine Sciences,Civil Engineering,Electrical &amp; Electronic Engineering,General Engineering,Biological Sciences,Computer Science,Agriculture &amp; Forestry,Business &amp; Management,Architecture,Accounting &amp; Finance,Mechanical &amp; Aerospace Engineering,Other Health,Economics &amp; Econometrics</t>
  </si>
  <si>
    <t>University of Maryland, Baltimore County</t>
  </si>
  <si>
    <t>General Engineering,Biological Sciences,Economics &amp; Econometrics,Civil Engineering,Other Health,Business &amp; Management,Mathematics &amp; Statistics,Education,Agriculture &amp; Forestry,Accounting &amp; Finance,History, Philosophy &amp; Theology,Chemistry,Sociology,Physics &amp; Astronomy,Art, Performing Arts &amp; Design,Mechanical &amp; Aerospace Engineering,Geography,Computer Science,Psychology,Languages, Literature &amp; Linguistics,Chemical Engineering,Politics &amp; International Studies (incl Development Studies),Electrical &amp; Electronic Engineering,Communication &amp; Media Studies</t>
  </si>
  <si>
    <t>Masaryk University</t>
  </si>
  <si>
    <t>Archaeology,Physics &amp; Astronomy,Sociology,Accounting &amp; Finance,Computer Science,Art, Performing Arts &amp; Design,Sport Science,Law,Biological Sciences,Chemical Engineering,Psychology,Politics &amp; International Studies (incl Development Studies),Chemistry,Mathematics &amp; Statistics,Languages, Literature &amp; Linguistics,Geography,History, Philosophy &amp; Theology,Agriculture &amp; Forestry,Communication &amp; Media Studies,Other Health,Business &amp; Management,Education,Medicine &amp; Dentistry,Economics &amp; Econometrics,Geology, Environmental, Earth &amp; Marine Sciences</t>
  </si>
  <si>
    <t>Mashhad University of Medical Sciences</t>
  </si>
  <si>
    <t>Mazandaran University of Medical Sciences</t>
  </si>
  <si>
    <t>Biological Sciences,Medicine &amp; Dentistry,Other Health</t>
  </si>
  <si>
    <t>University of Minho</t>
  </si>
  <si>
    <t>Mechanical &amp; Aerospace Engineering,Medicine &amp; Dentistry,General Engineering,Chemistry,Accounting &amp; Finance,Civil Engineering,Architecture,History, Philosophy &amp; Theology,Chemical Engineering,Communication &amp; Media Studies,Education,Languages, Literature &amp; Linguistics,Electrical &amp; Electronic Engineering,Politics &amp; International Studies (incl Development Studies),Economics &amp; Econometrics,Mathematics &amp; Statistics,Law,Biological Sciences,Archaeology,Sociology,Other Health,Psychology,Art, Performing Arts &amp; Design,Computer Science,Physics &amp; Astronomy,Agriculture &amp; Forestry,Geography,Business &amp; Management,Geology, Environmental, Earth &amp; Marine Sciences</t>
  </si>
  <si>
    <t>Mississippi State University</t>
  </si>
  <si>
    <t>Education,Mechanical &amp; Aerospace Engineering,Sport Science,Business &amp; Management,Geology, Environmental, Earth &amp; Marine Sciences,Chemical Engineering,Accounting &amp; Finance,Veterinary Science,Electrical &amp; Electronic Engineering,Architecture,Art, Performing Arts &amp; Design,Chemistry,Sociology,Agriculture &amp; Forestry,Other Health,Mathematics &amp; Statistics,Civil Engineering,Biological Sciences,Languages, Literature &amp; Linguistics,Psychology,General Engineering,Computer Science,Physics &amp; Astronomy,History, Philosophy &amp; Theology,Politics &amp; International Studies (incl Development Studies),Communication &amp; Media Studies,Economics &amp; Econometrics</t>
  </si>
  <si>
    <t>Monterrey Institute of Technology</t>
  </si>
  <si>
    <t>Mexico</t>
  </si>
  <si>
    <t>Monterrey Institute of Technology TecnolÃ³gico de Monterrey Instituto TecnolÃ³gico y de Estudios Superiores de Monterrey ITESM</t>
  </si>
  <si>
    <t>Geology, Environmental, Earth &amp; Marine Sciences,Computer Science,Law,History, Philosophy &amp; Theology,Economics &amp; Econometrics,Politics &amp; International Studies (incl Development Studies),Physics &amp; Astronomy,Civil Engineering,Architecture,Electrical &amp; Electronic Engineering,Mechanical &amp; Aerospace Engineering,Psychology,Sociology,General Engineering,Chemical Engineering,Other Health,Agriculture &amp; Forestry,Education,Biological Sciences,Languages, Literature &amp; Linguistics,Business &amp; Management,Medicine &amp; Dentistry,Mathematics &amp; Statistics,Chemistry,Accounting &amp; Finance,Communication &amp; Media Studies,Art, Performing Arts &amp; Design</t>
  </si>
  <si>
    <t>University of Namur</t>
  </si>
  <si>
    <t>Accounting &amp; Finance,Archaeology,Biological Sciences,Chemistry,Business &amp; Management,Languages, Literature &amp; Linguistics,Computer Science,Veterinary Science,Law,Communication &amp; Media Studies,Mathematics &amp; Statistics,Physics &amp; Astronomy,Medicine &amp; Dentistry,Politics &amp; International Studies (incl Development Studies),History, Philosophy &amp; Theology,Geography,Other Health,Economics &amp; Econometrics,Geology, Environmental, Earth &amp; Marine Sciences</t>
  </si>
  <si>
    <t>Nanjing University of Aeronautics and Astronautics</t>
  </si>
  <si>
    <t>General Engineering,Biological Sciences,Accounting &amp; Finance,Computer Science,Politics &amp; International Studies (incl Development Studies),Mechanical &amp; Aerospace Engineering,Business &amp; Management,Civil Engineering,Law,Mathematics &amp; Statistics,Economics &amp; Econometrics,Languages, Literature &amp; Linguistics,Chemistry,Art, Performing Arts &amp; Design,Communication &amp; Media Studies,Electrical &amp; Electronic Engineering,Sociology,Physics &amp; Astronomy,Chemical Engineering,Education</t>
  </si>
  <si>
    <t>Nanjing Forestry University</t>
  </si>
  <si>
    <t>General Engineering,Business &amp; Management,Economics &amp; Econometrics,Languages, Literature &amp; Linguistics,Electrical &amp; Electronic Engineering,Agriculture &amp; Forestry,Civil Engineering,Biological Sciences,Politics &amp; International Studies (incl Development Studies),Chemical Engineering</t>
  </si>
  <si>
    <t>Nanjing Tech University</t>
  </si>
  <si>
    <t>General Engineering,Geology, Environmental, Earth &amp; Marine Sciences,Mechanical &amp; Aerospace Engineering,Business &amp; Management,Mathematics &amp; Statistics,Civil Engineering,Chemistry,Sport Science,Law,Architecture,Electrical &amp; Electronic Engineering,Accounting &amp; Finance,Languages, Literature &amp; Linguistics,Chemical Engineering,Biological Sciences,Computer Science,Physics &amp; Astronomy</t>
  </si>
  <si>
    <t>National Institute of Applied Sciences of Lyon (INSA Lyon)</t>
  </si>
  <si>
    <t>Computer Science,General Engineering,Biological Sciences,Civil Engineering,Mechanical &amp; Aerospace Engineering,Chemical Engineering,Electrical &amp; Electronic Engineering</t>
  </si>
  <si>
    <t>National University of Sciences and Technology</t>
  </si>
  <si>
    <t>Mechanical &amp; Aerospace Engineering,Sociology,Civil Engineering,Accounting &amp; Finance,Psychology,Other Health,Architecture,Chemistry,Physics &amp; Astronomy,Computer Science,Law,Politics &amp; International Studies (incl Development Studies),Mathematics &amp; Statistics,Business &amp; Management,Electrical &amp; Electronic Engineering,Communication &amp; Media Studies,Art, Performing Arts &amp; Design,Agriculture &amp; Forestry,Economics &amp; Econometrics,Geography,Chemical Engineering,Biological Sciences,Geology, Environmental, Earth &amp; Marine Sciences,General Engineering,Sport Science,Education</t>
  </si>
  <si>
    <t>National University of Science and Technology (MISiS)</t>
  </si>
  <si>
    <t>National University of Science and Technology (MISiS) Russia Moscow</t>
  </si>
  <si>
    <t>Electrical &amp; Electronic Engineering,Economics &amp; Econometrics,Chemical Engineering,Physics &amp; Astronomy,General Engineering,Accounting &amp; Finance,Biological Sciences,Computer Science,Business &amp; Management,Mathematics &amp; Statistics,Mechanical &amp; Aerospace Engineering,Chemistry,Languages, Literature &amp; Linguistics,Geology, Environmental, Earth &amp; Marine Sciences</t>
  </si>
  <si>
    <t>National Sun Yat-Sen University</t>
  </si>
  <si>
    <t>Accounting &amp; Finance,Biological Sciences,Computer Science,General Engineering,Physics &amp; Astronomy,Business &amp; Management,Languages, Literature &amp; Linguistics,Agriculture &amp; Forestry,Mechanical &amp; Aerospace Engineering,Chemical Engineering,Law,Art, Performing Arts &amp; Design,Politics &amp; International Studies (incl Development Studies),Geography,Other Health,Medicine &amp; Dentistry,Electrical &amp; Electronic Engineering,Geology, Environmental, Earth &amp; Marine Sciences,Economics &amp; Econometrics,Civil Engineering,Communication &amp; Media Studies,Chemistry,History, Philosophy &amp; Theology,Education,Psychology,Sociology,Architecture,Mathematics &amp; Statistics</t>
  </si>
  <si>
    <t>National Technical University of Athens</t>
  </si>
  <si>
    <t>Architecture,Electrical &amp; Electronic Engineering,Chemistry,Civil Engineering,General Engineering,Biological Sciences,Mechanical &amp; Aerospace Engineering,Geology, Environmental, Earth &amp; Marine Sciences,Physics &amp; Astronomy,Computer Science,Mathematics &amp; Statistics,Geography,Chemical Engineering</t>
  </si>
  <si>
    <t>National Institute of Technology Rourkela</t>
  </si>
  <si>
    <t>Architecture,Geology, Environmental, Earth &amp; Marine Sciences,Languages, Literature &amp; Linguistics,Chemical Engineering,Physics &amp; Astronomy,Computer Science,Business &amp; Management,Biological Sciences,Civil Engineering,General Engineering,Mathematics &amp; Statistics,Chemistry,Electrical &amp; Electronic Engineering</t>
  </si>
  <si>
    <t>National Institute of Technology Silchar</t>
  </si>
  <si>
    <t>Business &amp; Management,Mechanical &amp; Aerospace Engineering,Civil Engineering,Chemistry,Physics &amp; Astronomy,Electrical &amp; Electronic Engineering,Computer Science,Mathematics &amp; Statistics</t>
  </si>
  <si>
    <t>Near East University</t>
  </si>
  <si>
    <t>Chemistry,Agriculture &amp; Forestry,Physics &amp; Astronomy,Computer Science,Geography,Languages, Literature &amp; Linguistics,History, Philosophy &amp; Theology,Psychology,Biological Sciences,Mathematics &amp; Statistics,Accounting &amp; Finance,Sport Science,Other Health,Medicine &amp; Dentistry,Veterinary Science,Business &amp; Management,Education,Architecture,Mechanical &amp; Aerospace Engineering,Civil Engineering,Art, Performing Arts &amp; Design,Electrical &amp; Electronic Engineering,Politics &amp; International Studies (incl Development Studies),General Engineering,Law,Economics &amp; Econometrics,Communication &amp; Media Studies</t>
  </si>
  <si>
    <t>University of Nevada, Las Vegas</t>
  </si>
  <si>
    <t>Veterinary Science,Geology, Environmental, Earth &amp; Marine Sciences,Art, Performing Arts &amp; Design,Other Health,Communication &amp; Media Studies,Sport Science,Education,Agriculture &amp; Forestry,Mechanical &amp; Aerospace Engineering,Computer Science,Economics &amp; Econometrics,Accounting &amp; Finance,Electrical &amp; Electronic Engineering,Architecture,Politics &amp; International Studies (incl Development Studies),Mathematics &amp; Statistics,Psychology,Business &amp; Management,Law,Chemistry,Physics &amp; Astronomy,General Engineering,Medicine &amp; Dentistry,Civil Engineering,Languages, Literature &amp; Linguistics,Geography,Biological Sciences,History, Philosophy &amp; Theology,Sociology,Archaeology</t>
  </si>
  <si>
    <t>University of New Brunswick UNB</t>
  </si>
  <si>
    <t>Medicine &amp; Dentistry,Geology, Environmental, Earth &amp; Marine Sciences,Business &amp; Management,Civil Engineering,Physics &amp; Astronomy,Biological Sciences,Mathematics &amp; Statistics,Psychology,History, Philosophy &amp; Theology,Other Health,Veterinary Science,Law,General Engineering,Chemistry,Education,Languages, Literature &amp; Linguistics,Electrical &amp; Electronic Engineering,Politics &amp; International Studies (incl Development Studies),Economics &amp; Econometrics,Agriculture &amp; Forestry,Geography,Accounting &amp; Finance,Chemical Engineering,Sociology,Archaeology,Mechanical &amp; Aerospace Engineering,Sport Science,Art, Performing Arts &amp; Design,Computer Science,Communication &amp; Media Studies</t>
  </si>
  <si>
    <t>University of North Carolina at Charlotte</t>
  </si>
  <si>
    <t>Sociology,History, Philosophy &amp; Theology,Electrical &amp; Electronic Engineering,Geology, Environmental, Earth &amp; Marine Sciences,Politics &amp; International Studies (incl Development Studies),Mathematics &amp; Statistics,Other Health,General Engineering,Business &amp; Management,Art, Performing Arts &amp; Design,Education,Communication &amp; Media Studies,Civil Engineering,Psychology,Geography,Chemistry,Architecture,Biological Sciences,Languages, Literature &amp; Linguistics,Mechanical &amp; Aerospace Engineering,Computer Science,Accounting &amp; Finance,Physics &amp; Astronomy,Economics &amp; Econometrics,Sport Science</t>
  </si>
  <si>
    <t>Northeastern University, China</t>
  </si>
  <si>
    <t>Biological Sciences,Architecture,Other Health,Law,Mechanical &amp; Aerospace Engineering,Communication &amp; Media Studies,Business &amp; Management,Medicine &amp; Dentistry,Mathematics &amp; Statistics,Civil Engineering,Education,General Engineering,Geology, Environmental, Earth &amp; Marine Sciences,Art, Performing Arts &amp; Design,Sport Science,Sociology,Languages, Literature &amp; Linguistics,Chemistry,Computer Science,Physics &amp; Astronomy</t>
  </si>
  <si>
    <t>Northern Illinois University</t>
  </si>
  <si>
    <t>Electrical &amp; Electronic Engineering,Law,Chemistry,Economics &amp; Econometrics,Politics &amp; International Studies (incl Development Studies),Languages, Literature &amp; Linguistics,Art, Performing Arts &amp; Design,Mathematics &amp; Statistics,Geology, Environmental, Earth &amp; Marine Sciences,Psychology,Business &amp; Management,Other Health,Mechanical &amp; Aerospace Engineering,Communication &amp; Media Studies,Biological Sciences,Sociology,History, Philosophy &amp; Theology,Geography,Computer Science,Education,Agriculture &amp; Forestry,Accounting &amp; Finance,Physics &amp; Astronomy,Sport Science,General Engineering</t>
  </si>
  <si>
    <t>North-West University</t>
  </si>
  <si>
    <t>Other Health,Psychology,Agriculture &amp; Forestry,Politics &amp; International Studies (incl Development Studies),Chemistry,Electrical &amp; Electronic Engineering,Sport Science,History, Philosophy &amp; Theology,Languages, Literature &amp; Linguistics,Geology, Environmental, Earth &amp; Marine Sciences,Economics &amp; Econometrics,Law,Biological Sciences,General Engineering,Education,Medicine &amp; Dentistry,Communication &amp; Media Studies,Accounting &amp; Finance,Mechanical &amp; Aerospace Engineering,Art, Performing Arts &amp; Design,Physics &amp; Astronomy,Sociology,Mathematics &amp; Statistics,Business &amp; Management,Geography,Computer Science,Chemical Engineering</t>
  </si>
  <si>
    <t>Norwegian University of Life Sciences</t>
  </si>
  <si>
    <t>Physics &amp; Astronomy,Mechanical &amp; Aerospace Engineering,Business &amp; Management,Mathematics &amp; Statistics,Agriculture &amp; Forestry,Accounting &amp; Finance,Veterinary Science,Architecture,Education,General Engineering,Politics &amp; International Studies (incl Development Studies),Biological Sciences,Geology, Environmental, Earth &amp; Marine Sciences,Chemistry,Civil Engineering,Economics &amp; Econometrics</t>
  </si>
  <si>
    <t>Novosibirsk State University</t>
  </si>
  <si>
    <t>Agriculture &amp; Forestry,History, Philosophy &amp; Theology,Mechanical &amp; Aerospace Engineering,Business &amp; Management,General Engineering,Chemistry,Psychology,Archaeology,Physics &amp; Astronomy,Law,Languages, Literature &amp; Linguistics,Chemical Engineering,Accounting &amp; Finance,Computer Science,Geology, Environmental, Earth &amp; Marine Sciences,Civil Engineering,Politics &amp; International Studies (incl Development Studies),Electrical &amp; Electronic Engineering,Communication &amp; Media Studies,Medicine &amp; Dentistry,Mathematics &amp; Statistics,Economics &amp; Econometrics,Art, Performing Arts &amp; Design,Biological Sciences,Sociology,Education</t>
  </si>
  <si>
    <t>Ohio University (Main campus)</t>
  </si>
  <si>
    <t>Education,History, Philosophy &amp; Theology,Biological Sciences,Business &amp; Management,Languages, Literature &amp; Linguistics,Sport Science,Other Health,Physics &amp; Astronomy,General Engineering,Communication &amp; Media Studies,Medicine &amp; Dentistry,Mathematics &amp; Statistics,Art, Performing Arts &amp; Design,Chemical Engineering,Sociology,Mechanical &amp; Aerospace Engineering,Politics &amp; International Studies (incl Development Studies),Economics &amp; Econometrics,Civil Engineering,Geography,Computer Science,Chemistry,Psychology,Electrical &amp; Electronic Engineering,Geology, Environmental, Earth &amp; Marine Sciences,Accounting &amp; Finance</t>
  </si>
  <si>
    <t>Oklahoma State University</t>
  </si>
  <si>
    <t>General Engineering,Archaeology,Chemical Engineering,Chemistry,Civil Engineering,Politics &amp; International Studies (incl Development Studies),Accounting &amp; Finance,Electrical &amp; Electronic Engineering,Art, Performing Arts &amp; Design,Geology, Environmental, Earth &amp; Marine Sciences,Business &amp; Management,Other Health,Physics &amp; Astronomy,Mathematics &amp; Statistics,Computer Science,Veterinary Science,Education,Medicine &amp; Dentistry,Biological Sciences,Geography,Languages, Literature &amp; Linguistics,Mechanical &amp; Aerospace Engineering,Communication &amp; Media Studies,History, Philosophy &amp; Theology,Agriculture &amp; Forestry,Sociology,Psychology,Architecture,Sport Science,Economics &amp; Econometrics</t>
  </si>
  <si>
    <t>Old Dominion University</t>
  </si>
  <si>
    <t>Other Health,Politics &amp; International Studies (incl Development Studies),Accounting &amp; Finance,Medicine &amp; Dentistry,Physics &amp; Astronomy,Economics &amp; Econometrics,Languages, Literature &amp; Linguistics,Mechanical &amp; Aerospace Engineering,Communication &amp; Media Studies,Art, Performing Arts &amp; Design,Mathematics &amp; Statistics,Business &amp; Management,History, Philosophy &amp; Theology,Chemistry,Psychology,Computer Science,Geology, Environmental, Earth &amp; Marine Sciences,Civil Engineering,Geography,General Engineering,Electrical &amp; Electronic Engineering,Sociology,Biological Sciences,Education,Sport Science</t>
  </si>
  <si>
    <t>Ontario Tech University</t>
  </si>
  <si>
    <t>Communication &amp; Media Studies,Psychology,Mathematics &amp; Statistics,Electrical &amp; Electronic Engineering,Biological Sciences,Sport Science,Mechanical &amp; Aerospace Engineering,Physics &amp; Astronomy,Law,General Engineering,Other Health,Sociology,Business &amp; Management,Civil Engineering,Chemistry,Politics &amp; International Studies (incl Development Studies),Education,Computer Science</t>
  </si>
  <si>
    <t>The Open University</t>
  </si>
  <si>
    <t>Education,Business &amp; Management,Sport Science,Politics &amp; International Studies (incl Development Studies),Agriculture &amp; Forestry,Chemistry,Mathematics &amp; Statistics,Accounting &amp; Finance,Languages, Literature &amp; Linguistics,Law,Physics &amp; Astronomy,Sociology,Economics &amp; Econometrics,Other Health,Computer Science,Geology, Environmental, Earth &amp; Marine Sciences,Biological Sciences,Art, Performing Arts &amp; Design,Psychology,History, Philosophy &amp; Theology,General Engineering</t>
  </si>
  <si>
    <t>Open University of Catalonia</t>
  </si>
  <si>
    <t>Politics &amp; International Studies (incl Development Studies),Communication &amp; Media Studies,Languages, Literature &amp; Linguistics,Business &amp; Management,Other Health,Sociology,Economics &amp; Econometrics,Education,Law,Art, Performing Arts &amp; Design,Accounting &amp; Finance,Computer Science,History, Philosophy &amp; Theology,Psychology</t>
  </si>
  <si>
    <t>Ã–rebro University</t>
  </si>
  <si>
    <t>Medicine &amp; Dentistry,Biological Sciences,Business &amp; Management,Electrical &amp; Electronic Engineering,Sociology,Other Health,Politics &amp; International Studies (incl Development Studies),General Engineering,History, Philosophy &amp; Theology,Geology, Environmental, Earth &amp; Marine Sciences,Psychology,Languages, Literature &amp; Linguistics,Chemistry,Education,Mechanical &amp; Aerospace Engineering,Communication &amp; Media Studies,Art, Performing Arts &amp; Design,Law,Mathematics &amp; Statistics,Economics &amp; Econometrics,Sport Science,Civil Engineering,Computer Science,Accounting &amp; Finance</t>
  </si>
  <si>
    <t>Otto von Guericke University of Magdeburg</t>
  </si>
  <si>
    <t>Physics &amp; Astronomy,History, Philosophy &amp; Theology,Mechanical &amp; Aerospace Engineering,Business &amp; Management,Communication &amp; Media Studies,Chemistry,Other Health,Politics &amp; International Studies (incl Development Studies),Medicine &amp; Dentistry,Psychology,Economics &amp; Econometrics,Education,Mathematics &amp; Statistics,Civil Engineering,Electrical &amp; Electronic Engineering,Computer Science,Languages, Literature &amp; Linguistics,Biological Sciences,Accounting &amp; Finance,Chemical Engineering,General Engineering,Sport Science,Sociology</t>
  </si>
  <si>
    <t>Oxford Brookes University</t>
  </si>
  <si>
    <t>Economics &amp; Econometrics,Languages, Literature &amp; Linguistics,Biological Sciences,Sport Science,Electrical &amp; Electronic Engineering,Architecture,Politics &amp; International Studies (incl Development Studies),Sociology,Education,Psychology,Law,Art, Performing Arts &amp; Design,Mathematics &amp; Statistics,Computer Science,Accounting &amp; Finance,Mechanical &amp; Aerospace Engineering,History, Philosophy &amp; Theology,Business &amp; Management,Other Health,Communication &amp; Media Studies,Geography</t>
  </si>
  <si>
    <t>University of Palermo</t>
  </si>
  <si>
    <t>Mechanical &amp; Aerospace Engineering,Electrical &amp; Electronic Engineering,Accounting &amp; Finance,Business &amp; Management,Archaeology,Medicine &amp; Dentistry,Psychology,Mathematics &amp; Statistics,Geology, Environmental, Earth &amp; Marine Sciences,Sport Science,Other Health,Economics &amp; Econometrics,Civil Engineering,Computer Science,Languages, Literature &amp; Linguistics,Agriculture &amp; Forestry,Chemistry,Architecture,Politics &amp; International Studies (incl Development Studies),Art, Performing Arts &amp; Design,Education,Biological Sciences,Chemical Engineering,History, Philosophy &amp; Theology,Law,General Engineering,Physics &amp; Astronomy,Communication &amp; Media Studies</t>
  </si>
  <si>
    <t>Panjab University</t>
  </si>
  <si>
    <t>Other Health,Sport Science,Psychology,Languages, Literature &amp; Linguistics,Physics &amp; Astronomy,Art, Performing Arts &amp; Design,Biological Sciences,Sociology,Accounting &amp; Finance,Electrical &amp; Electronic Engineering,Politics &amp; International Studies (incl Development Studies),Business &amp; Management,Mechanical &amp; Aerospace Engineering,Geology, Environmental, Earth &amp; Marine Sciences,Economics &amp; Econometrics,General Engineering,Communication &amp; Media Studies,Medicine &amp; Dentistry,Mathematics &amp; Statistics,Education,History, Philosophy &amp; Theology,Chemical Engineering,Geography,Computer Science,Law,Archaeology,Chemistry</t>
  </si>
  <si>
    <t>University of Parma</t>
  </si>
  <si>
    <t>Geology, Environmental, Earth &amp; Marine Sciences,Economics &amp; Econometrics,Chemical Engineering,Politics &amp; International Studies (incl Development Studies),Languages, Literature &amp; Linguistics,Civil Engineering,Education,Electrical &amp; Electronic Engineering,Mathematics &amp; Statistics,Agriculture &amp; Forestry,Psychology,Medicine &amp; Dentistry,Business &amp; Management,Art, Performing Arts &amp; Design,Biological Sciences,Sport Science,History, Philosophy &amp; Theology,Veterinary Science,Mechanical &amp; Aerospace Engineering,Physics &amp; Astronomy,Communication &amp; Media Studies,Chemistry,Architecture,Accounting &amp; Finance,Computer Science,Other Health,General Engineering,Law</t>
  </si>
  <si>
    <t>Parthenope University of Naples</t>
  </si>
  <si>
    <t>Accounting &amp; Finance,Business &amp; Management,Law,Biological Sciences,Sport Science,Economics &amp; Econometrics,Computer Science,Civil Engineering,Geology, Environmental, Earth &amp; Marine Sciences,Mathematics &amp; Statistics</t>
  </si>
  <si>
    <t>Universiti Pendidikan Sultan Idris</t>
  </si>
  <si>
    <t>Sociology,Business &amp; Management,Education,Accounting &amp; Finance,Chemistry,Economics &amp; Econometrics,Languages, Literature &amp; Linguistics,Geography,Computer Science,Sport Science,History, Philosophy &amp; Theology,Art, Performing Arts &amp; Design,Mathematics &amp; Statistics,Physics &amp; Astronomy,Psychology,Biological Sciences</t>
  </si>
  <si>
    <t>Universitat PolitÃ¨cnica de Catalunya</t>
  </si>
  <si>
    <t>Other Health,Architecture,Geology, Environmental, Earth &amp; Marine Sciences,Business &amp; Management,Mathematics &amp; Statistics,Chemical Engineering,General Engineering,Electrical &amp; Electronic Engineering,Computer Science,Civil Engineering,Art, Performing Arts &amp; Design,Agriculture &amp; Forestry,Physics &amp; Astronomy,Mechanical &amp; Aerospace Engineering</t>
  </si>
  <si>
    <t>Polytechnic University of Valencia</t>
  </si>
  <si>
    <t>Agriculture &amp; Forestry,Accounting &amp; Finance,Computer Science,Art, Performing Arts &amp; Design,History, Philosophy &amp; Theology,Biological Sciences,Civil Engineering,Languages, Literature &amp; Linguistics,Sociology,Mathematics &amp; Statistics,Business &amp; Management,General Engineering,Geology, Environmental, Earth &amp; Marine Sciences,Mechanical &amp; Aerospace Engineering,Electrical &amp; Electronic Engineering,Politics &amp; International Studies (incl Development Studies),Other Health,Chemical Engineering,Communication &amp; Media Studies,Architecture,Chemistry,Physics &amp; Astronomy,Economics &amp; Econometrics</t>
  </si>
  <si>
    <t>Prince Sattam Bin Abdulaziz University</t>
  </si>
  <si>
    <t>Civil Engineering,Medicine &amp; Dentistry,Chemistry,Biological Sciences,General Engineering,Business &amp; Management,Computer Science,Mathematics &amp; Statistics,Other Health,Education,Languages, Literature &amp; Linguistics,Physics &amp; Astronomy,Accounting &amp; Finance,Electrical &amp; Electronic Engineering,Law,Mechanical &amp; Aerospace Engineering</t>
  </si>
  <si>
    <t>Princess Nourah bint Abdulrahman University</t>
  </si>
  <si>
    <t>Archaeology,Economics &amp; Econometrics,Education,Electrical &amp; Electronic Engineering,Biological Sciences,Geology, Environmental, Earth &amp; Marine Sciences,Mathematics &amp; Statistics,Other Health,Politics &amp; International Studies (incl Development Studies),Communication &amp; Media Studies,Sociology,Accounting &amp; Finance,Law,Chemical Engineering,Art, Performing Arts &amp; Design,Civil Engineering,Veterinary Science,Geography,General Engineering,Languages, Literature &amp; Linguistics,Business &amp; Management,Mechanical &amp; Aerospace Engineering,Computer Science,History, Philosophy &amp; Theology,Agriculture &amp; Forestry,Physics &amp; Astronomy,Medicine &amp; Dentistry,Chemistry,Psychology,Sport Science</t>
  </si>
  <si>
    <t>Qazvin University of Medical Sciences</t>
  </si>
  <si>
    <t>Qingdao University</t>
  </si>
  <si>
    <t>Art, Performing Arts &amp; Design,Languages, Literature &amp; Linguistics,Mathematics &amp; Statistics,General Engineering,Politics &amp; International Studies (incl Development Studies),Business &amp; Management,Electrical &amp; Electronic Engineering,Law,History, Philosophy &amp; Theology,Chemistry,Chemical Engineering,Psychology,Computer Science,Geology, Environmental, Earth &amp; Marine Sciences,Other Health,Sociology,Medicine &amp; Dentistry,Physics &amp; Astronomy,Biological Sciences,Economics &amp; Econometrics,Mechanical &amp; Aerospace Engineering,Education</t>
  </si>
  <si>
    <t>Universitat Ramon Llull</t>
  </si>
  <si>
    <t>Education,Chemistry,General Engineering,Sociology,Business &amp; Management,Other Health,Biological Sciences,Communication &amp; Media Studies,Chemical Engineering,Politics &amp; International Studies (incl Development Studies),Law,Architecture,Electrical &amp; Electronic Engineering,Computer Science,Psychology,Geology, Environmental, Earth &amp; Marine Sciences,History, Philosophy &amp; Theology,Accounting &amp; Finance,Sport Science</t>
  </si>
  <si>
    <t>ReykjavÃ­k University</t>
  </si>
  <si>
    <t>General Engineering,Business &amp; Management,Other Health,Electrical &amp; Electronic Engineering,Physics &amp; Astronomy,Education,Accounting &amp; Finance,Civil Engineering,Law,Computer Science,Mechanical &amp; Aerospace Engineering,Psychology,Sport Science,Economics &amp; Econometrics</t>
  </si>
  <si>
    <t>University of Rhode Island</t>
  </si>
  <si>
    <t>Art, Performing Arts &amp; Design,Mechanical &amp; Aerospace Engineering,Education,Archaeology,General Engineering,Chemical Engineering,Medicine &amp; Dentistry,Other Health,Chemistry,Sport Science,Electrical &amp; Electronic Engineering,Geology, Environmental, Earth &amp; Marine Sciences,Veterinary Science,Civil Engineering,Business &amp; Management,Geography,Languages, Literature &amp; Linguistics,Agriculture &amp; Forestry,Psychology,History, Philosophy &amp; Theology,Sociology,Architecture,Communication &amp; Media Studies,Computer Science,Economics &amp; Econometrics,Biological Sciences,Politics &amp; International Studies (incl Development Studies),Physics &amp; Astronomy,Mathematics &amp; Statistics,Accounting &amp; Finance</t>
  </si>
  <si>
    <t>University of Rome III</t>
  </si>
  <si>
    <t>Languages, Literature &amp; Linguistics,Computer Science,Politics &amp; International Studies (incl Development Studies),Art, Performing Arts &amp; Design,Archaeology,Communication &amp; Media Studies,Physics &amp; Astronomy,Architecture,Civil Engineering,Education,Agriculture &amp; Forestry,Business &amp; Management,Mechanical &amp; Aerospace Engineering,Law,Biological Sciences,Accounting &amp; Finance,Geology, Environmental, Earth &amp; Marine Sciences,History, Philosophy &amp; Theology,Electrical &amp; Electronic Engineering,Sociology,Mathematics &amp; Statistics,Economics &amp; Econometrics</t>
  </si>
  <si>
    <t>Roskilde University</t>
  </si>
  <si>
    <t>Computer Science,Politics &amp; International Studies (incl Development Studies),History, Philosophy &amp; Theology,Chemistry,Geology, Environmental, Earth &amp; Marine Sciences,Psychology,Sociology,Mathematics &amp; Statistics,Languages, Literature &amp; Linguistics,Education,Physics &amp; Astronomy,Communication &amp; Media Studies,Art, Performing Arts &amp; Design,Business &amp; Management,Other Health,Geography,Biological Sciences</t>
  </si>
  <si>
    <t>RUDN University</t>
  </si>
  <si>
    <t>Civil Engineering,Mathematics &amp; Statistics,Business &amp; Management,Mechanical &amp; Aerospace Engineering,Chemistry,Accounting &amp; Finance,Architecture,Veterinary Science,Economics &amp; Econometrics,Medicine &amp; Dentistry,Physics &amp; Astronomy,History, Philosophy &amp; Theology,Chemical Engineering,Communication &amp; Media Studies,Art, Performing Arts &amp; Design,General Engineering,Geology, Environmental, Earth &amp; Marine Sciences,Psychology,Electrical &amp; Electronic Engineering,Sport Science,Geography,Other Health,Politics &amp; International Studies (incl Development Studies),Sociology,Archaeology,Biological Sciences,Law,Languages, Literature &amp; Linguistics,Computer Science,Agriculture &amp; Forestry,Education</t>
  </si>
  <si>
    <t>Saint-Petersburg Mining University</t>
  </si>
  <si>
    <t>Business &amp; Management,Electrical &amp; Electronic Engineering,Civil Engineering,Geology, Environmental, Earth &amp; Marine Sciences,Accounting &amp; Finance,Mechanical &amp; Aerospace Engineering,Computer Science,Chemistry,Architecture,Economics &amp; Econometrics,Agriculture &amp; Forestry,Chemical Engineering,General Engineering</t>
  </si>
  <si>
    <t>University of Salento</t>
  </si>
  <si>
    <t>Geology, Environmental, Earth &amp; Marine Sciences,Mechanical &amp; Aerospace Engineering,Computer Science,Psychology,Business &amp; Management,Art, Performing Arts &amp; Design,Archaeology,Geography,Civil Engineering,Sport Science,Physics &amp; Astronomy,Communication &amp; Media Studies,Politics &amp; International Studies (incl Development Studies),Education,General Engineering,Medicine &amp; Dentistry,Accounting &amp; Finance,Languages, Literature &amp; Linguistics,Agriculture &amp; Forestry,Mathematics &amp; Statistics,Law,Sociology,Biological Sciences,History, Philosophy &amp; Theology</t>
  </si>
  <si>
    <t>University of Sannio</t>
  </si>
  <si>
    <t>Business &amp; Management,Civil Engineering,Computer Science,General Engineering,Mathematics &amp; Statistics,Economics &amp; Econometrics,Geology, Environmental, Earth &amp; Marine Sciences,Biological Sciences,Law,Electrical &amp; Electronic Engineering</t>
  </si>
  <si>
    <t>University of Santiago de Compostela</t>
  </si>
  <si>
    <t>Other Health,Biological Sciences,Communication &amp; Media Studies,Law,Geography,Education,Psychology,Sociology,Veterinary Science,Agriculture &amp; Forestry,General Engineering,Economics &amp; Econometrics,Civil Engineering,Business &amp; Management,Chemical Engineering,Geology, Environmental, Earth &amp; Marine Sciences,Mathematics &amp; Statistics,Politics &amp; International Studies (incl Development Studies),Chemistry,Languages, Literature &amp; Linguistics,Physics &amp; Astronomy,History, Philosophy &amp; Theology,Electrical &amp; Electronic Engineering,Computer Science,Medicine &amp; Dentistry,Art, Performing Arts &amp; Design,Accounting &amp; Finance</t>
  </si>
  <si>
    <t>University of Sassari</t>
  </si>
  <si>
    <t>Biological Sciences,Sociology,Economics &amp; Econometrics,Agriculture &amp; Forestry,Psychology,History, Philosophy &amp; Theology,Politics &amp; International Studies (incl Development Studies),Architecture,Communication &amp; Media Studies,Education,Languages, Literature &amp; Linguistics,Geology, Environmental, Earth &amp; Marine Sciences,Computer Science,Accounting &amp; Finance,Other Health,Chemistry,Art, Performing Arts &amp; Design,Sport Science,Law,Medicine &amp; Dentistry,Geography,Archaeology,Veterinary Science,Business &amp; Management</t>
  </si>
  <si>
    <t>Saveetha Institute of Medical and Technical Sciences</t>
  </si>
  <si>
    <t>General Engineering,Computer Science,Law,Medicine &amp; Dentistry</t>
  </si>
  <si>
    <t>Shahid Beheshti University of Medical Sciences</t>
  </si>
  <si>
    <t>Other Health,Education,Biological Sciences,Psychology,Medicine &amp; Dentistry</t>
  </si>
  <si>
    <t>University of Siegen</t>
  </si>
  <si>
    <t>Electrical &amp; Electronic Engineering,Politics &amp; International Studies (incl Development Studies),Architecture,Economics &amp; Econometrics,Computer Science,Accounting &amp; Finance,Biological Sciences,Communication &amp; Media Studies,Chemistry,Psychology,Art, Performing Arts &amp; Design,Mathematics &amp; Statistics,Civil Engineering,Education,Business &amp; Management,General Engineering,Other Health,Languages, Literature &amp; Linguistics,Sociology,History, Philosophy &amp; Theology,Physics &amp; Astronomy</t>
  </si>
  <si>
    <t>South China Normal University</t>
  </si>
  <si>
    <t>Mathematics &amp; Statistics,Sociology,History, Philosophy &amp; Theology,Politics &amp; International Studies (incl Development Studies),Biological Sciences,Business &amp; Management,Chemistry,Economics &amp; Econometrics,Art, Performing Arts &amp; Design,Geology, Environmental, Earth &amp; Marine Sciences,Accounting &amp; Finance,Sport Science,Education,Languages, Literature &amp; Linguistics,Law,Agriculture &amp; Forestry,Psychology,Computer Science,Geography,Physics &amp; Astronomy,Communication &amp; Media Studies</t>
  </si>
  <si>
    <t>South Ural State University</t>
  </si>
  <si>
    <t>Accounting &amp; Finance,Sport Science,Law,Computer Science,Geology, Environmental, Earth &amp; Marine Sciences,Business &amp; Management,General Engineering,Communication &amp; Media Studies,Economics &amp; Econometrics,Mechanical &amp; Aerospace Engineering,Sociology,Architecture,Mathematics &amp; Statistics,Civil Engineering,Politics &amp; International Studies (incl Development Studies),Languages, Literature &amp; Linguistics,Biological Sciences,Education,Art, Performing Arts &amp; Design,Chemical Engineering,Psychology,Electrical &amp; Electronic Engineering,Chemistry,History, Philosophy &amp; Theology,Physics &amp; Astronomy</t>
  </si>
  <si>
    <t>SRUC (Scotlandâ€™s Rural College)</t>
  </si>
  <si>
    <t>Biological Sciences,Geology, Environmental, Earth &amp; Marine Sciences,Veterinary Science,Business &amp; Management,Agriculture &amp; Forestry</t>
  </si>
  <si>
    <t>University of Stavanger</t>
  </si>
  <si>
    <t>Biological Sciences,Mechanical &amp; Aerospace Engineering,Physics &amp; Astronomy,Art, Performing Arts &amp; Design,Politics &amp; International Studies (incl Development Studies),Business &amp; Management,Computer Science,Psychology,Education,Chemical Engineering,Languages, Literature &amp; Linguistics,Civil Engineering,Chemistry,Accounting &amp; Finance,Mathematics &amp; Statistics,Economics &amp; Econometrics,General Engineering,Geology, Environmental, Earth &amp; Marine Sciences,Law,Sport Science,History, Philosophy &amp; Theology,Other Health,Communication &amp; Media Studies,Electrical &amp; Electronic Engineering,Sociology</t>
  </si>
  <si>
    <t>Sultan Qaboos University</t>
  </si>
  <si>
    <t>Oman</t>
  </si>
  <si>
    <t>Languages, Literature &amp; Linguistics,Mathematics &amp; Statistics,History, Philosophy &amp; Theology,General Engineering,Psychology,Mechanical &amp; Aerospace Engineering,Archaeology,Art, Performing Arts &amp; Design,Chemical Engineering,Civil Engineering,Physics &amp; Astronomy,Sociology,Agriculture &amp; Forestry,Geology, Environmental, Earth &amp; Marine Sciences,Accounting &amp; Finance,Computer Science,Architecture,Geography,Veterinary Science,Business &amp; Management,Other Health,Economics &amp; Econometrics,Biological Sciences,Law,Politics &amp; International Studies (incl Development Studies),Education,Communication &amp; Media Studies,Electrical &amp; Electronic Engineering,Chemistry</t>
  </si>
  <si>
    <t>Sunway University</t>
  </si>
  <si>
    <t>Electrical &amp; Electronic Engineering,Economics &amp; Econometrics,Mathematics &amp; Statistics,Geology, Environmental, Earth &amp; Marine Sciences,Sociology,Communication &amp; Media Studies,Computer Science,Business &amp; Management,Other Health,Architecture,Education,Chemical Engineering,Accounting &amp; Finance,Art, Performing Arts &amp; Design,Psychology,Biological Sciences</t>
  </si>
  <si>
    <t>SUNY Binghamton University</t>
  </si>
  <si>
    <t>Architecture,Archaeology,Business &amp; Management,Geography,Medicine &amp; Dentistry,History, Philosophy &amp; Theology,Politics &amp; International Studies (incl Development Studies),Agriculture &amp; Forestry,Chemistry,Chemical Engineering,Geology, Environmental, Earth &amp; Marine Sciences,Electrical &amp; Electronic Engineering,Biological Sciences,Mathematics &amp; Statistics,Sociology,Other Health,Economics &amp; Econometrics,Art, Performing Arts &amp; Design,Computer Science,Psychology,Sport Science,Physics &amp; Astronomy,Civil Engineering,Veterinary Science,Languages, Literature &amp; Linguistics,Mechanical &amp; Aerospace Engineering,Communication &amp; Media Studies,Education,General Engineering,Accounting &amp; Finance</t>
  </si>
  <si>
    <t>Tallinn University of Technology</t>
  </si>
  <si>
    <t>Geology, Environmental, Earth &amp; Marine Sciences,Economics &amp; Econometrics,Politics &amp; International Studies (incl Development Studies),Civil Engineering,Computer Science,Electrical &amp; Electronic Engineering,Mechanical &amp; Aerospace Engineering,Law,Physics &amp; Astronomy,Chemistry,General Engineering,Mathematics &amp; Statistics,Chemical Engineering,Business &amp; Management,Biological Sciences</t>
  </si>
  <si>
    <t>Tehran University of Medical Sciences</t>
  </si>
  <si>
    <t>Medicine &amp; Dentistry,Biological Sciences</t>
  </si>
  <si>
    <t>Universiti Tenaga Nasional (UNITEN)</t>
  </si>
  <si>
    <t>General Engineering,Accounting &amp; Finance,Civil Engineering,Business &amp; Management,Electrical &amp; Electronic Engineering,Computer Science,Mechanical &amp; Aerospace Engineering,Economics &amp; Econometrics</t>
  </si>
  <si>
    <t>University of Texas at Arlington</t>
  </si>
  <si>
    <t>Art, Performing Arts &amp; Design,Chemistry,Economics &amp; Econometrics,Agriculture &amp; Forestry,Sociology,Other Health,Sport Science,Accounting &amp; Finance,Electrical &amp; Electronic Engineering,Geology, Environmental, Earth &amp; Marine Sciences,Computer Science,Biological Sciences,Psychology,Civil Engineering,Politics &amp; International Studies (incl Development Studies),Mechanical &amp; Aerospace Engineering,Business &amp; Management,History, Philosophy &amp; Theology,Physics &amp; Astronomy,Languages, Literature &amp; Linguistics,General Engineering,Communication &amp; Media Studies,Architecture,Mathematics &amp; Statistics,Education</t>
  </si>
  <si>
    <t>Texas Tech University</t>
  </si>
  <si>
    <t>Electrical &amp; Electronic Engineering,Physics &amp; Astronomy,Art, Performing Arts &amp; Design,Biological Sciences,Sport Science,Education,Archaeology,Agriculture &amp; Forestry,Geography,Mechanical &amp; Aerospace Engineering,Chemistry,Languages, Literature &amp; Linguistics,Chemical Engineering,Sociology,General Engineering,Mathematics &amp; Statistics,Psychology,Law,Civil Engineering,Geology, Environmental, Earth &amp; Marine Sciences,Economics &amp; Econometrics,Architecture,Communication &amp; Media Studies,Business &amp; Management,History, Philosophy &amp; Theology,Politics &amp; International Studies (incl Development Studies),Accounting &amp; Finance</t>
  </si>
  <si>
    <t>Thapar Institute of Engineering and Technology</t>
  </si>
  <si>
    <t>Electrical &amp; Electronic Engineering,Mathematics &amp; Statistics,Mechanical &amp; Aerospace Engineering,Physics &amp; Astronomy,Chemical Engineering,Business &amp; Management,Computer Science,Civil Engineering,General Engineering</t>
  </si>
  <si>
    <t>University of Toledo</t>
  </si>
  <si>
    <t>Electrical &amp; Electronic Engineering,Politics &amp; International Studies (incl Development Studies),Medicine &amp; Dentistry,Civil Engineering,Geography,Languages, Literature &amp; Linguistics,Chemical Engineering,Business &amp; Management,History, Philosophy &amp; Theology,Biological Sciences,Education,General Engineering,Communication &amp; Media Studies,Computer Science,Geology, Environmental, Earth &amp; Marine Sciences,Economics &amp; Econometrics,Mechanical &amp; Aerospace Engineering,Sociology,Chemistry,Law,Other Health,Mathematics &amp; Statistics,Accounting &amp; Finance,Art, Performing Arts &amp; Design,Physics &amp; Astronomy,Psychology</t>
  </si>
  <si>
    <t>Ton Duc Thang University</t>
  </si>
  <si>
    <t>Ton Duc Thang University TDTU</t>
  </si>
  <si>
    <t>Sport Science,Accounting &amp; Finance,Languages, Literature &amp; Linguistics,Geology, Environmental, Earth &amp; Marine Sciences,Art, Performing Arts &amp; Design,Chemical Engineering,Electrical &amp; Electronic Engineering,Law,Civil Engineering,Other Health,Mathematics &amp; Statistics,General Engineering,Education,Computer Science,Business &amp; Management,Biological Sciences,Architecture,Sociology</t>
  </si>
  <si>
    <t>Toronto Metropolitan University</t>
  </si>
  <si>
    <t>Geology, Environmental, Earth &amp; Marine Sciences,Physics &amp; Astronomy,Mathematics &amp; Statistics,Architecture,Business &amp; Management,Psychology,Chemistry,Economics &amp; Econometrics,History, Philosophy &amp; Theology,Languages, Literature &amp; Linguistics,General Engineering,Politics &amp; International Studies (incl Development Studies),Other Health,Art, Performing Arts &amp; Design,Civil Engineering,Law,Electrical &amp; Electronic Engineering,Sociology,Mechanical &amp; Aerospace Engineering,Geography,Accounting &amp; Finance,Chemical Engineering,Biological Sciences,Computer Science,Communication &amp; Media Studies</t>
  </si>
  <si>
    <t>University of Tuscia</t>
  </si>
  <si>
    <t>Mechanical &amp; Aerospace Engineering,Geology, Environmental, Earth &amp; Marine Sciences,Languages, Literature &amp; Linguistics,Sociology,Geography,History, Philosophy &amp; Theology,Agriculture &amp; Forestry,Psychology,Business &amp; Management,Accounting &amp; Finance,Archaeology,Electrical &amp; Electronic Engineering,Politics &amp; International Studies (incl Development Studies),Communication &amp; Media Studies,Sport Science,General Engineering,Education,Architecture,Biological Sciences,Art, Performing Arts &amp; Design,Law,Economics &amp; Econometrics</t>
  </si>
  <si>
    <t>University of Udine</t>
  </si>
  <si>
    <t>Languages, Literature &amp; Linguistics,Medicine &amp; Dentistry,Sport Science,Archaeology,Agriculture &amp; Forestry,Business &amp; Management,Computer Science,Mathematics &amp; Statistics,History, Philosophy &amp; Theology,General Engineering,Accounting &amp; Finance,Civil Engineering,Communication &amp; Media Studies,Architecture,Biological Sciences,Other Health,Geology, Environmental, Earth &amp; Marine Sciences,Mechanical &amp; Aerospace Engineering,Economics &amp; Econometrics,Art, Performing Arts &amp; Design,Electrical &amp; Electronic Engineering,Law,Veterinary Science,Education</t>
  </si>
  <si>
    <t>Ulster University</t>
  </si>
  <si>
    <t>Architecture,Sport Science,Computer Science,Communication &amp; Media Studies,History, Philosophy &amp; Theology,Civil Engineering,Business &amp; Management,General Engineering,Geology, Environmental, Earth &amp; Marine Sciences,Accounting &amp; Finance,Chemical Engineering,Psychology,Art, Performing Arts &amp; Design,Mechanical &amp; Aerospace Engineering,Education,Languages, Literature &amp; Linguistics,Other Health,Sociology,Medicine &amp; Dentistry,Politics &amp; International Studies (incl Development Studies),Electrical &amp; Electronic Engineering,Law,Economics &amp; Econometrics,Biological Sciences</t>
  </si>
  <si>
    <t>Umm Al-Qura University</t>
  </si>
  <si>
    <t>Civil Engineering,Communication &amp; Media Studies,Mathematics &amp; Statistics,Geography,Medicine &amp; Dentistry,Chemistry,Education,Biological Sciences,Sociology,Other Health,Geology, Environmental, Earth &amp; Marine Sciences,Psychology,Physics &amp; Astronomy,Law,Computer Science,Languages, Literature &amp; Linguistics,Economics &amp; Econometrics,General Engineering,Art, Performing Arts &amp; Design,Business &amp; Management,Mechanical &amp; Aerospace Engineering,Architecture,Electrical &amp; Electronic Engineering,History, Philosophy &amp; Theology,Accounting &amp; Finance</t>
  </si>
  <si>
    <t>Paris Lodron UniversitÃ¤t Salzburg</t>
  </si>
  <si>
    <t>Computer Science,History, Philosophy &amp; Theology,Geology, Environmental, Earth &amp; Marine Sciences,Geography,Education,Sport Science,Communication &amp; Media Studies,Politics &amp; International Studies (incl Development Studies),Art, Performing Arts &amp; Design,Biological Sciences,Economics &amp; Econometrics,Archaeology,Mathematics &amp; Statistics,Law,Sociology,Languages, Literature &amp; Linguistics,Psychology</t>
  </si>
  <si>
    <t>Urmia University of Medical Sciences</t>
  </si>
  <si>
    <t>Medicine &amp; Dentistry</t>
  </si>
  <si>
    <t>VIT University</t>
  </si>
  <si>
    <t>General Engineering,Business &amp; Management,Civil Engineering,Accounting &amp; Finance,Electrical &amp; Electronic Engineering,Chemistry,Chemical Engineering,Economics &amp; Econometrics,Physics &amp; Astronomy,Architecture,Agriculture &amp; Forestry,Computer Science,Mathematics &amp; Statistics,Languages, Literature &amp; Linguistics,Biological Sciences,Law,Mechanical &amp; Aerospace Engineering,Communication &amp; Media Studies,Art, Performing Arts &amp; Design,Geology, Environmental, Earth &amp; Marine Sciences</t>
  </si>
  <si>
    <t>University of Warsaw</t>
  </si>
  <si>
    <t>Accounting &amp; Finance,Chemistry,Law,Biological Sciences,Communication &amp; Media Studies,Sociology,Physics &amp; Astronomy,Education,Politics &amp; International Studies (incl Development Studies),Economics &amp; Econometrics,Archaeology,Geology, Environmental, Earth &amp; Marine Sciences,Business &amp; Management,Geography,History, Philosophy &amp; Theology,Psychology,Art, Performing Arts &amp; Design,Computer Science,Medicine &amp; Dentistry,Mathematics &amp; Statistics,Languages, Literature &amp; Linguistics</t>
  </si>
  <si>
    <t>University of the Western Cape</t>
  </si>
  <si>
    <t>Computer Science,Geography,Sport Science,Economics &amp; Econometrics,Languages, Literature &amp; Linguistics,Politics &amp; International Studies (incl Development Studies),Geology, Environmental, Earth &amp; Marine Sciences,Business &amp; Management,Sociology,Psychology,Mathematics &amp; Statistics,Medicine &amp; Dentistry,Biological Sciences,Other Health,Law,Physics &amp; Astronomy,Education,History, Philosophy &amp; Theology,Chemistry,Accounting &amp; Finance</t>
  </si>
  <si>
    <t>University of the West of Scotland</t>
  </si>
  <si>
    <t>Chemical Engineering,Mechanical &amp; Aerospace Engineering,Politics &amp; International Studies (incl Development Studies),Accounting &amp; Finance,Physics &amp; Astronomy,Civil Engineering,Languages, Literature &amp; Linguistics,Mathematics &amp; Statistics,Biological Sciences,Sociology,Art, Performing Arts &amp; Design,Sport Science,Education,General Engineering,Geology, Environmental, Earth &amp; Marine Sciences,Psychology,Other Health,Chemistry,Law,Computer Science,Communication &amp; Media Studies,Business &amp; Management</t>
  </si>
  <si>
    <t>William &amp; Mary</t>
  </si>
  <si>
    <t>History, Philosophy &amp; Theology,Psychology,Biological Sciences,Geography,Politics &amp; International Studies (incl Development Studies),Sport Science,Economics &amp; Econometrics,Business &amp; Management,Art, Performing Arts &amp; Design,Geology, Environmental, Earth &amp; Marine Sciences,Computer Science,Education,Accounting &amp; Finance,Physics &amp; Astronomy,Chemistry,Mathematics &amp; Statistics,Law,Sociology,Languages, Literature &amp; Linguistics</t>
  </si>
  <si>
    <t>University of Wolverhampton</t>
  </si>
  <si>
    <t>Biological Sciences,Law,Computer Science,Sport Science,Business &amp; Management,Civil Engineering,Politics &amp; International Studies (incl Development Studies),General Engineering,Physics &amp; Astronomy,Psychology,Languages, Literature &amp; Linguistics,Mechanical &amp; Aerospace Engineering,Chemistry,Economics &amp; Econometrics,History, Philosophy &amp; Theology,Veterinary Science,Education,Electrical &amp; Electronic Engineering,Sociology,Architecture,Mathematics &amp; Statistics,Accounting &amp; Finance,Art, Performing Arts &amp; Design,Chemical Engineering,Geography,Other Health,Communication &amp; Media Studies</t>
  </si>
  <si>
    <t>Worcester Polytechnic Institute</t>
  </si>
  <si>
    <t>Communication &amp; Media Studies,Education,Mechanical &amp; Aerospace Engineering,Art, Performing Arts &amp; Design,Computer Science,Geology, Environmental, Earth &amp; Marine Sciences,Business &amp; Management,Chemistry,Psychology,General Engineering,Chemical Engineering,Politics &amp; International Studies (incl Development Studies),Architecture,Physics &amp; Astronomy,Economics &amp; Econometrics,Biological Sciences,Mathematics &amp; Statistics,Electrical &amp; Electronic Engineering,History, Philosophy &amp; Theology,Civil Engineering</t>
  </si>
  <si>
    <t>Wroclaw Medical University</t>
  </si>
  <si>
    <t>Business &amp; Management,Medicine &amp; Dentistry,Psychology,Chemistry,Biological Sciences,Other Health</t>
  </si>
  <si>
    <t>University of Wyoming</t>
  </si>
  <si>
    <t>Electrical &amp; Electronic Engineering,Geology, Environmental, Earth &amp; Marine Sciences,Other Health,Sociology,History, Philosophy &amp; Theology,Mathematics &amp; Statistics,Psychology,Civil Engineering,Chemistry,Mechanical &amp; Aerospace Engineering,Communication &amp; Media Studies,Computer Science,Physics &amp; Astronomy,Education,Art, Performing Arts &amp; Design,Biological Sciences,Law,Accounting &amp; Finance,Medicine &amp; Dentistry,Sport Science,Business &amp; Management,Languages, Literature &amp; Linguistics,Chemical Engineering,Politics &amp; International Studies (incl Development Studies),Economics &amp; Econometrics,Agriculture &amp; Forestry,Geography</t>
  </si>
  <si>
    <t>Xiâ€™an Jiaotong-Liverpool University</t>
  </si>
  <si>
    <t>Xiâ€™an Jiaotong-Liverpool University Xian Jiaotong Liverpool XJTLU</t>
  </si>
  <si>
    <t>Architecture,Politics &amp; International Studies (incl Development Studies),Art, Performing Arts &amp; Design,Business &amp; Management,Computer Science,Chemistry,Civil Engineering,Accounting &amp; Finance,Electrical &amp; Electronic Engineering,Communication &amp; Media Studies,Agriculture &amp; Forestry,Sociology,Economics &amp; Econometrics,Biological Sciences,Education,General Engineering,Languages, Literature &amp; Linguistics,Mathematics &amp; Statistics</t>
  </si>
  <si>
    <t>Xidian University</t>
  </si>
  <si>
    <t>Law,History, Philosophy &amp; Theology,Mechanical &amp; Aerospace Engineering,Politics &amp; International Studies (incl Development Studies),Economics &amp; Econometrics,Languages, Literature &amp; Linguistics,General Engineering,Chemistry,Electrical &amp; Electronic Engineering,Sport Science,Education,Computer Science,Biological Sciences,Accounting &amp; Finance,Chemical Engineering,Art, Performing Arts &amp; Design,Business &amp; Management,Mathematics &amp; Statistics,Physics &amp; Astronomy</t>
  </si>
  <si>
    <t>Yeungnam University</t>
  </si>
  <si>
    <t>Accounting &amp; Finance,Computer Science,Geology, Environmental, Earth &amp; Marine Sciences,Agriculture &amp; Forestry,Biological Sciences,Economics &amp; Econometrics,General Engineering,Chemistry,Law,History, Philosophy &amp; Theology,Architecture,Languages, Literature &amp; Linguistics,Psychology,Communication &amp; Media Studies,Medicine &amp; Dentistry,Civil Engineering,Sociology,Chemical Engineering,Physics &amp; Astronomy,Education,Other Health,Art, Performing Arts &amp; Design,Mechanical &amp; Aerospace Engineering,Electrical &amp; Electronic Engineering,Mathematics &amp; Statistics,Archaeology,Politics &amp; International Studies (incl Development Studies),Business &amp; Management,Sport Science</t>
  </si>
  <si>
    <t>Zhejiang Normal University</t>
  </si>
  <si>
    <t>Art, Performing Arts &amp; Design,Politics &amp; International Studies (incl Development Studies),History, Philosophy &amp; Theology,Sport Science,Business &amp; Management,Mechanical &amp; Aerospace Engineering,Geography,Chemical Engineering,Education,Sociology,Computer Science,Geology, Environmental, Earth &amp; Marine Sciences,Biological Sciences,Law,General Engineering,Mathematics &amp; Statistics,Accounting &amp; Finance,Electrical &amp; Electronic Engineering,Physics &amp; Astronomy,Psychology,Languages, Literature &amp; Linguistics,Chemistry,Economics &amp; Econometrics</t>
  </si>
  <si>
    <t>Zhengzhou University</t>
  </si>
  <si>
    <t>Biological Sciences,Sociology,Art, Performing Arts &amp; Design,Civil Engineering,Geology, Environmental, Earth &amp; Marine Sciences,Chemical Engineering,Politics &amp; International Studies (incl Development Studies),Computer Science,Chemistry,Accounting &amp; Finance,Languages, Literature &amp; Linguistics,Sport Science,Geography,Architecture,Electrical &amp; Electronic Engineering,Communication &amp; Media Studies,Economics &amp; Econometrics,Medicine &amp; Dentistry,Mechanical &amp; Aerospace Engineering,Physics &amp; Astronomy,Business &amp; Management,Archaeology,Agriculture &amp; Forestry,Law,History, Philosophy &amp; Theology,Other Health,Mathematics &amp; Statistics,Psychology,General Engineering,Education</t>
  </si>
  <si>
    <t>801â€“1000</t>
  </si>
  <si>
    <t>University of the Aegean</t>
  </si>
  <si>
    <t>32.7â€“36.9</t>
  </si>
  <si>
    <t>Computer Science,Education,General Engineering,Agriculture &amp; Forestry,Business &amp; Management,Art, Performing Arts &amp; Design,Politics &amp; International Studies (incl Development Studies),Communication &amp; Media Studies,Sociology,Economics &amp; Econometrics,Accounting &amp; Finance,History, Philosophy &amp; Theology,Geography,Languages, Literature &amp; Linguistics,Mathematics &amp; Statistics,Geology, Environmental, Earth &amp; Marine Sciences,Archaeology</t>
  </si>
  <si>
    <t>Ahvaz Jundishapur University of Medical Sciences (AJUMS)</t>
  </si>
  <si>
    <t>Al-Azhar University</t>
  </si>
  <si>
    <t>Chemistry,Geology, Environmental, Earth &amp; Marine Sciences,Electrical &amp; Electronic Engineering,Mathematics &amp; Statistics,Psychology,Languages, Literature &amp; Linguistics,Sport Science,Accounting &amp; Finance,General Engineering,Civil Engineering,Other Health,Physics &amp; Astronomy,Business &amp; Management,Computer Science,Veterinary Science,Agriculture &amp; Forestry,Economics &amp; Econometrics,Biological Sciences,Chemical Engineering,Medicine &amp; Dentistry,Mechanical &amp; Aerospace Engineering</t>
  </si>
  <si>
    <t>University of AlcalÃ¡</t>
  </si>
  <si>
    <t>University of AlcalÃ¡ alcala</t>
  </si>
  <si>
    <t>Computer Science,Geology, Environmental, Earth &amp; Marine Sciences,Languages, Literature &amp; Linguistics,Civil Engineering,Archaeology,Physics &amp; Astronomy,Sociology,Veterinary Science,Accounting &amp; Finance,Chemistry,Geography,Chemical Engineering,Mathematics &amp; Statistics,Biological Sciences,Psychology,Medicine &amp; Dentistry,Politics &amp; International Studies (incl Development Studies),Mechanical &amp; Aerospace Engineering,Law,History, Philosophy &amp; Theology,Sport Science,Electrical &amp; Electronic Engineering,Business &amp; Management,Communication &amp; Media Studies,Economics &amp; Econometrics,Other Health,Art, Performing Arts &amp; Design,Architecture,Agriculture &amp; Forestry,General Engineering,Education</t>
  </si>
  <si>
    <t>Alexandria University</t>
  </si>
  <si>
    <t>Biological Sciences,Chemistry,Accounting &amp; Finance,Agriculture &amp; Forestry,Communication &amp; Media Studies,Mechanical &amp; Aerospace Engineering,Geology, Environmental, Earth &amp; Marine Sciences,Art, Performing Arts &amp; Design,Civil Engineering,Sociology,Medicine &amp; Dentistry,Sport Science,Education,Other Health,Veterinary Science,Business &amp; Management,Languages, Literature &amp; Linguistics,Electrical &amp; Electronic Engineering,Geography,Economics &amp; Econometrics,Architecture,General Engineering,Mathematics &amp; Statistics,Psychology,Archaeology,Chemical Engineering,Politics &amp; International Studies (incl Development Studies),History, Philosophy &amp; Theology,Computer Science,Physics &amp; Astronomy,Law</t>
  </si>
  <si>
    <t>University of Algarve</t>
  </si>
  <si>
    <t>History, Philosophy &amp; Theology,Mathematics &amp; Statistics,Business &amp; Management,Civil Engineering,Geology, Environmental, Earth &amp; Marine Sciences,Education,Art, Performing Arts &amp; Design,Medicine &amp; Dentistry,Chemical Engineering,Politics &amp; International Studies (incl Development Studies),Psychology,Computer Science,Chemistry,Economics &amp; Econometrics,Architecture,Agriculture &amp; Forestry,Sociology,Archaeology,Physics &amp; Astronomy,Languages, Literature &amp; Linguistics,Mechanical &amp; Aerospace Engineering,Communication &amp; Media Studies,General Engineering,Biological Sciences,Accounting &amp; Finance,Electrical &amp; Electronic Engineering,Geography,Other Health,Sport Science</t>
  </si>
  <si>
    <t>American University in Cairo</t>
  </si>
  <si>
    <t>Computer Science,Politics &amp; International Studies (incl Development Studies),Art, Performing Arts &amp; Design,Physics &amp; Astronomy,Geology, Environmental, Earth &amp; Marine Sciences,Mathematics &amp; Statistics,Education,Languages, Literature &amp; Linguistics,Archaeology,Sociology,Biological Sciences,Accounting &amp; Finance,Civil Engineering,Economics &amp; Econometrics,Architecture,Chemistry,Business &amp; Management,History, Philosophy &amp; Theology,Mechanical &amp; Aerospace Engineering,Psychology,General Engineering,Law,Electrical &amp; Electronic Engineering,Communication &amp; Media Studies</t>
  </si>
  <si>
    <t>Amity University</t>
  </si>
  <si>
    <t>Communication &amp; Media Studies,Mechanical &amp; Aerospace Engineering,Civil Engineering,Art, Performing Arts &amp; Design,Biological Sciences,Other Health,Mathematics &amp; Statistics,Law,Politics &amp; International Studies (incl Development Studies),Geology, Environmental, Earth &amp; Marine Sciences,Economics &amp; Econometrics,Chemical Engineering,Architecture,Geography,General Engineering,Sociology,Accounting &amp; Finance,Business &amp; Management,Sport Science,Chemistry,History, Philosophy &amp; Theology,Psychology,Electrical &amp; Electronic Engineering,Computer Science,Physics &amp; Astronomy,Agriculture &amp; Forestry,Education,Languages, Literature &amp; Linguistics</t>
  </si>
  <si>
    <t>Amrita Vishwa Vidyapeetham</t>
  </si>
  <si>
    <t>Mechanical &amp; Aerospace Engineering,Chemical Engineering,Electrical &amp; Electronic Engineering,Accounting &amp; Finance,Business &amp; Management,Economics &amp; Econometrics,Medicine &amp; Dentistry,Mathematics &amp; Statistics,History, Philosophy &amp; Theology,Biological Sciences,Geology, Environmental, Earth &amp; Marine Sciences,Languages, Literature &amp; Linguistics,Civil Engineering,General Engineering,Physics &amp; Astronomy,Computer Science,Agriculture &amp; Forestry,Chemistry,Other Health</t>
  </si>
  <si>
    <t>University of the Andes, Colombia</t>
  </si>
  <si>
    <t>Colombia</t>
  </si>
  <si>
    <t>Geology, Environmental, Earth &amp; Marine Sciences,History, Philosophy &amp; Theology,Electrical &amp; Electronic Engineering,Accounting &amp; Finance,Mathematics &amp; Statistics,Psychology,Politics &amp; International Studies (incl Development Studies),Architecture,Mechanical &amp; Aerospace Engineering,Sociology,Art, Performing Arts &amp; Design,Medicine &amp; Dentistry,Civil Engineering,Geography,Chemistry,Economics &amp; Econometrics,Communication &amp; Media Studies,Computer Science,Chemical Engineering,Law,Physics &amp; Astronomy,Business &amp; Management,Languages, Literature &amp; Linguistics,General Engineering,Biological Sciences,Education</t>
  </si>
  <si>
    <t>Arak University of Medical Sciences</t>
  </si>
  <si>
    <t>Medicine &amp; Dentistry,Other Health,Biological Sciences</t>
  </si>
  <si>
    <t>Aristotle University of Thessaloniki</t>
  </si>
  <si>
    <t>Law,Electrical &amp; Electronic Engineering,Economics &amp; Econometrics,History, Philosophy &amp; Theology,General Engineering,Medicine &amp; Dentistry,Politics &amp; International Studies (incl Development Studies),Archaeology,Biological Sciences,Veterinary Science,Psychology,Sport Science,Chemical Engineering,Art, Performing Arts &amp; Design,Chemistry,Business &amp; Management,Mathematics &amp; Statistics,Languages, Literature &amp; Linguistics,Architecture,Geology, Environmental, Earth &amp; Marine Sciences,Mechanical &amp; Aerospace Engineering,Computer Science,Agriculture &amp; Forestry,Communication &amp; Media Studies,Education,Other Health,Accounting &amp; Finance,Physics &amp; Astronomy,Civil Engineering</t>
  </si>
  <si>
    <t>Arts et MÃ©tiers</t>
  </si>
  <si>
    <t>General Engineering</t>
  </si>
  <si>
    <t>Aswan University</t>
  </si>
  <si>
    <t>Art, Performing Arts &amp; Design,Civil Engineering,Communication &amp; Media Studies,Economics &amp; Econometrics,Electrical &amp; Electronic Engineering,Physics &amp; Astronomy,Psychology,Other Health,Chemical Engineering,Accounting &amp; Finance,Computer Science,Chemistry,Business &amp; Management,Architecture,Sport Science,Geography,Languages, Literature &amp; Linguistics,Mechanical &amp; Aerospace Engineering,Geology, Environmental, Earth &amp; Marine Sciences,History, Philosophy &amp; Theology,Biological Sciences,Politics &amp; International Studies (incl Development Studies),Archaeology,Mathematics &amp; Statistics,Sociology,Medicine &amp; Dentistry,Veterinary Science,Education,General Engineering,Agriculture &amp; Forestry,Law</t>
  </si>
  <si>
    <t>Athens University of Economics and Business</t>
  </si>
  <si>
    <t>Accounting &amp; Finance,Business &amp; Management,Economics &amp; Econometrics,Communication &amp; Media Studies,Mathematics &amp; Statistics,Politics &amp; International Studies (incl Development Studies),Computer Science</t>
  </si>
  <si>
    <t>BahÃ§eÅŸehir University</t>
  </si>
  <si>
    <t>Computer Science,Communication &amp; Media Studies,Law,Mathematics &amp; Statistics,Architecture,Other Health,Psychology,Business &amp; Management,General Engineering,Civil Engineering,History, Philosophy &amp; Theology,Mechanical &amp; Aerospace Engineering,Biological Sciences,Economics &amp; Econometrics,Sociology,Languages, Literature &amp; Linguistics,Physics &amp; Astronomy,Medicine &amp; Dentistry,Art, Performing Arts &amp; Design,Politics &amp; International Studies (incl Development Studies),Accounting &amp; Finance,Electrical &amp; Electronic Engineering,Education</t>
  </si>
  <si>
    <t>Bahria University</t>
  </si>
  <si>
    <t>Politics &amp; International Studies (incl Development Studies),Other Health,Geology, Environmental, Earth &amp; Marine Sciences,Mathematics &amp; Statistics,Law,Psychology,Business &amp; Management,Languages, Literature &amp; Linguistics,Communication &amp; Media Studies,Computer Science,General Engineering,Economics &amp; Econometrics,Electrical &amp; Electronic Engineering,Medicine &amp; Dentistry,Accounting &amp; Finance</t>
  </si>
  <si>
    <t>University of the Balearic Islands</t>
  </si>
  <si>
    <t>Chemistry,Medicine &amp; Dentistry,Mathematics &amp; Statistics,Languages, Literature &amp; Linguistics,Biological Sciences,Business &amp; Management,History, Philosophy &amp; Theology,Civil Engineering,Economics &amp; Econometrics,Computer Science,Education,Sociology,General Engineering,Psychology,Electrical &amp; Electronic Engineering,Law,Geography,Other Health,Physics &amp; Astronomy</t>
  </si>
  <si>
    <t>University of Belgrade</t>
  </si>
  <si>
    <t>Serbia</t>
  </si>
  <si>
    <t>Civil Engineering,Physics &amp; Astronomy,Accounting &amp; Finance,General Engineering,Geology, Environmental, Earth &amp; Marine Sciences,Mechanical &amp; Aerospace Engineering,Chemistry,Business &amp; Management,Computer Science,Mathematics &amp; Statistics,Politics &amp; International Studies (incl Development Studies),Other Health,Sport Science,Education,Languages, Literature &amp; Linguistics,Electrical &amp; Electronic Engineering,Architecture,Agriculture &amp; Forestry,Psychology,History, Philosophy &amp; Theology,Chemical Engineering,Law,Archaeology,Biological Sciences,Sociology,Economics &amp; Econometrics,Medicine &amp; Dentistry,Veterinary Science,Geography,Communication &amp; Media Studies</t>
  </si>
  <si>
    <t>University of Bergamo</t>
  </si>
  <si>
    <t>Psychology,Mechanical &amp; Aerospace Engineering,Communication &amp; Media Studies,Business &amp; Management,Languages, Literature &amp; Linguistics,Accounting &amp; Finance,Law,Civil Engineering,Art, Performing Arts &amp; Design,Economics &amp; Econometrics,History, Philosophy &amp; Theology,Computer Science,Sport Science,General Engineering,Geography,Politics &amp; International Studies (incl Development Studies),Education,Other Health</t>
  </si>
  <si>
    <t>Birla Institute of Technology and Science, Pilani</t>
  </si>
  <si>
    <t>Law,Mathematics &amp; Statistics,Mechanical &amp; Aerospace Engineering,Civil Engineering,Politics &amp; International Studies (incl Development Studies),Physics &amp; Astronomy,Psychology,Biological Sciences,Chemical Engineering,Sociology,Languages, Literature &amp; Linguistics,Geology, Environmental, Earth &amp; Marine Sciences,Chemistry,Electrical &amp; Electronic Engineering,Other Health,Communication &amp; Media Studies,Business &amp; Management,Economics &amp; Econometrics,History, Philosophy &amp; Theology,Accounting &amp; Finance,Computer Science,Art, Performing Arts &amp; Design,Agriculture &amp; Forestry</t>
  </si>
  <si>
    <t>BRAC University</t>
  </si>
  <si>
    <t>Bangladesh</t>
  </si>
  <si>
    <t>Biological Sciences,Electrical &amp; Electronic Engineering,Computer Science,Politics &amp; International Studies (incl Development Studies),Physics &amp; Astronomy,Mathematics &amp; Statistics,Economics &amp; Econometrics,Education,Other Health,Business &amp; Management,Architecture,Languages, Literature &amp; Linguistics,Law,Sociology</t>
  </si>
  <si>
    <t>UniversitÃ© de Bretagne Occidentale</t>
  </si>
  <si>
    <t>Other Health,Mathematics &amp; Statistics,Business &amp; Management,Agriculture &amp; Forestry,Economics &amp; Econometrics,General Engineering,Chemistry,Chemical Engineering,Law,Art, Performing Arts &amp; Design,Mechanical &amp; Aerospace Engineering,Sociology,History, Philosophy &amp; Theology,Biological Sciences,Education,Civil Engineering,Geography,Electrical &amp; Electronic Engineering,Geology, Environmental, Earth &amp; Marine Sciences,Languages, Literature &amp; Linguistics,Sport Science,Psychology,Computer Science,Physics &amp; Astronomy,Accounting &amp; Finance</t>
  </si>
  <si>
    <t>University of Brighton</t>
  </si>
  <si>
    <t>Art, Performing Arts &amp; Design,Electrical &amp; Electronic Engineering,Education,Medicine &amp; Dentistry,Mechanical &amp; Aerospace Engineering,Economics &amp; Econometrics,Architecture,Sport Science,Business &amp; Management,Computer Science,Chemical Engineering,Politics &amp; International Studies (incl Development Studies),Archaeology,Geology, Environmental, Earth &amp; Marine Sciences,Psychology,Languages, Literature &amp; Linguistics,Mathematics &amp; Statistics,Law,General Engineering,Communication &amp; Media Studies,Chemistry,Geography,History, Philosophy &amp; Theology,Biological Sciences,Accounting &amp; Finance,Other Health,Civil Engineering,Sociology</t>
  </si>
  <si>
    <t>Bucharest University of Economic Studies</t>
  </si>
  <si>
    <t>Romania</t>
  </si>
  <si>
    <t>Business &amp; Management,Law,Languages, Literature &amp; Linguistics,Computer Science,Accounting &amp; Finance,Sociology,Economics &amp; Econometrics,Politics &amp; International Studies (incl Development Studies)</t>
  </si>
  <si>
    <t>Cairo University</t>
  </si>
  <si>
    <t>Art, Performing Arts &amp; Design,History, Philosophy &amp; Theology,Civil Engineering,Archaeology,Agriculture &amp; Forestry,Communication &amp; Media Studies,Medicine &amp; Dentistry,Biological Sciences,Sociology,Chemical Engineering,Law,Other Health,Mathematics &amp; Statistics,Education,Architecture,Veterinary Science,Politics &amp; International Studies (incl Development Studies),Mechanical &amp; Aerospace Engineering,Geography,Languages, Literature &amp; Linguistics,General Engineering,Sport Science,Psychology,Computer Science,Physics &amp; Astronomy,Business &amp; Management,Electrical &amp; Electronic Engineering,Geology, Environmental, Earth &amp; Marine Sciences,Accounting &amp; Finance,Chemistry,Economics &amp; Econometrics</t>
  </si>
  <si>
    <t>University of Camerino (Unicam)</t>
  </si>
  <si>
    <t>Mathematics &amp; Statistics,Geology, Environmental, Earth &amp; Marine Sciences,Physics &amp; Astronomy,Sociology,Veterinary Science,Chemistry,Biological Sciences,Law,Computer Science,Architecture</t>
  </si>
  <si>
    <t>Carlos III University of Madrid</t>
  </si>
  <si>
    <t>General Engineering,Law,Languages, Literature &amp; Linguistics,Business &amp; Management,Electrical &amp; Electronic Engineering,Politics &amp; International Studies (incl Development Studies),Mechanical &amp; Aerospace Engineering,Civil Engineering,Communication &amp; Media Studies,Chemical Engineering,Geology, Environmental, Earth &amp; Marine Sciences,Mathematics &amp; Statistics,Sociology,History, Philosophy &amp; Theology,Accounting &amp; Finance,Computer Science,Economics &amp; Econometrics,Physics &amp; Astronomy</t>
  </si>
  <si>
    <t>University of Castilla-La Mancha</t>
  </si>
  <si>
    <t>Politics &amp; International Studies (incl Development Studies),Economics &amp; Econometrics,Education,Biological Sciences,Medicine &amp; Dentistry,Sport Science,General Engineering,Law,Agriculture &amp; Forestry,Architecture,Other Health,Chemical Engineering,Communication &amp; Media Studies,Geography,Civil Engineering,Art, Performing Arts &amp; Design,Chemistry,Languages, Literature &amp; Linguistics,Sociology,Computer Science,Psychology,Electrical &amp; Electronic Engineering,Mathematics &amp; Statistics,History, Philosophy &amp; Theology,Business &amp; Management,Geology, Environmental, Earth &amp; Marine Sciences,Mechanical &amp; Aerospace Engineering</t>
  </si>
  <si>
    <t>Catholic University of Portugal</t>
  </si>
  <si>
    <t>Business &amp; Management,Education,Politics &amp; International Studies (incl Development Studies),Accounting &amp; Finance,Chemical Engineering,General Engineering,Medicine &amp; Dentistry,Economics &amp; Econometrics,Law,Psychology,Other Health,Communication &amp; Media Studies,Sociology,History, Philosophy &amp; Theology,Computer Science,Languages, Literature &amp; Linguistics,Biological Sciences,Art, Performing Arts &amp; Design</t>
  </si>
  <si>
    <t>Changsha University of Science and Technology</t>
  </si>
  <si>
    <t>Chemical Engineering,Languages, Literature &amp; Linguistics,Geology, Environmental, Earth &amp; Marine Sciences,Civil Engineering,Art, Performing Arts &amp; Design,Physics &amp; Astronomy,General Engineering,Electrical &amp; Electronic Engineering,Mechanical &amp; Aerospace Engineering,Mathematics &amp; Statistics,Communication &amp; Media Studies,Law,Architecture,Business &amp; Management,Geography,Accounting &amp; Finance,Computer Science</t>
  </si>
  <si>
    <t>Chapman University</t>
  </si>
  <si>
    <t>Languages, Literature &amp; Linguistics,Education,Biological Sciences,Physics &amp; Astronomy,Communication &amp; Media Studies,Computer Science,Geology, Environmental, Earth &amp; Marine Sciences,Economics &amp; Econometrics,Business &amp; Management,History, Philosophy &amp; Theology,Agriculture &amp; Forestry,General Engineering,Sociology,Accounting &amp; Finance,Mathematics &amp; Statistics,Other Health,Art, Performing Arts &amp; Design,Psychology,Electrical &amp; Electronic Engineering,Law,Chemistry,Politics &amp; International Studies (incl Development Studies)</t>
  </si>
  <si>
    <t>Charles Sturt University</t>
  </si>
  <si>
    <t>Other Health,Geology, Environmental, Earth &amp; Marine Sciences,Economics &amp; Econometrics,Veterinary Science,Law,Sport Science,Computer Science,Communication &amp; Media Studies,Education,Civil Engineering,Politics &amp; International Studies (incl Development Studies),Agriculture &amp; Forestry,Sociology,Medicine &amp; Dentistry,Chemistry,Accounting &amp; Finance,Biological Sciences,Geography,History, Philosophy &amp; Theology,Physics &amp; Astronomy,Business &amp; Management,Languages, Literature &amp; Linguistics,Mathematics &amp; Statistics,Psychology</t>
  </si>
  <si>
    <t>Institute of Chemical Technology</t>
  </si>
  <si>
    <t>Chemical Engineering,Biological Sciences,Chemistry,Other Health,General Engineering,Mathematics &amp; Statistics,Physics &amp; Astronomy</t>
  </si>
  <si>
    <t>Chengdu University</t>
  </si>
  <si>
    <t>Medicine &amp; Dentistry,Computer Science,Business &amp; Management,Civil Engineering,Accounting &amp; Finance,Art, Performing Arts &amp; Design,Communication &amp; Media Studies,Sport Science,Chemical Engineering,Economics &amp; Econometrics,General Engineering,Education,Architecture,Mathematics &amp; Statistics,Electrical &amp; Electronic Engineering,Psychology,Languages, Literature &amp; Linguistics,Law,Biological Sciences</t>
  </si>
  <si>
    <t>Chiang Mai University</t>
  </si>
  <si>
    <t>Education,History, Philosophy &amp; Theology,Art, Performing Arts &amp; Design,Sport Science,Politics &amp; International Studies (incl Development Studies),Mathematics &amp; Statistics,Geology, Environmental, Earth &amp; Marine Sciences,Communication &amp; Media Studies,Other Health,Architecture,Psychology,Medicine &amp; Dentistry,Agriculture &amp; Forestry,Electrical &amp; Electronic Engineering,General Engineering,Archaeology,Civil Engineering,Veterinary Science,Economics &amp; Econometrics,Languages, Literature &amp; Linguistics,Geography,Business &amp; Management,Accounting &amp; Finance,Sociology,Computer Science,Physics &amp; Astronomy,Biological Sciences,Law,Mechanical &amp; Aerospace Engineering,Chemistry</t>
  </si>
  <si>
    <t>Chiba University</t>
  </si>
  <si>
    <t>Accounting &amp; Finance,Physics &amp; Astronomy,Chemistry,Sport Science,Other Health,Law,Sociology,Art, Performing Arts &amp; Design,General Engineering,Geology, Environmental, Earth &amp; Marine Sciences,Medicine &amp; Dentistry,Mechanical &amp; Aerospace Engineering,Communication &amp; Media Studies,History, Philosophy &amp; Theology,Electrical &amp; Electronic Engineering,Psychology,Economics &amp; Econometrics,Education,Archaeology,Architecture,Chemical Engineering,Mathematics &amp; Statistics,Biological Sciences,Agriculture &amp; Forestry,Business &amp; Management,Computer Science,Languages, Literature &amp; Linguistics,Civil Engineering,Geography,Politics &amp; International Studies (incl Development Studies)</t>
  </si>
  <si>
    <t>University of Chile</t>
  </si>
  <si>
    <t>Architecture,Agriculture &amp; Forestry,Communication &amp; Media Studies,Other Health,Chemistry,Law,Archaeology,Sociology,History, Philosophy &amp; Theology,Veterinary Science,General Engineering,Mathematics &amp; Statistics,Geography,Mechanical &amp; Aerospace Engineering,Physics &amp; Astronomy,Education,Languages, Literature &amp; Linguistics,Medicine &amp; Dentistry,Politics &amp; International Studies (incl Development Studies),Business &amp; Management,Electrical &amp; Electronic Engineering,Chemical Engineering,Economics &amp; Econometrics,Art, Performing Arts &amp; Design,Computer Science,Biological Sciences,Accounting &amp; Finance,Civil Engineering,Geology, Environmental, Earth &amp; Marine Sciences,Psychology</t>
  </si>
  <si>
    <t>China University of Petroleum (East China)</t>
  </si>
  <si>
    <t>Accounting &amp; Finance,Chemistry,Electrical &amp; Electronic Engineering,Mechanical &amp; Aerospace Engineering,Sociology,Mathematics &amp; Statistics,Physics &amp; Astronomy,General Engineering,Business &amp; Management,Geology, Environmental, Earth &amp; Marine Sciences,Law,Languages, Literature &amp; Linguistics,Art, Performing Arts &amp; Design,Civil Engineering,Computer Science,Economics &amp; Econometrics</t>
  </si>
  <si>
    <t>Chonnam National University</t>
  </si>
  <si>
    <t>Other Health,Business &amp; Management,Architecture,Biological Sciences,Communication &amp; Media Studies,Economics &amp; Econometrics,Sociology,Sport Science,Computer Science,Geology, Environmental, Earth &amp; Marine Sciences,Civil Engineering,Electrical &amp; Electronic Engineering,Art, Performing Arts &amp; Design,Languages, Literature &amp; Linguistics,Mechanical &amp; Aerospace Engineering,General Engineering,Accounting &amp; Finance,Psychology,Chemistry,Medicine &amp; Dentistry,Geography,Archaeology,Mathematics &amp; Statistics,Physics &amp; Astronomy,Chemical Engineering,History, Philosophy &amp; Theology,Education,Politics &amp; International Studies (incl Development Studies),Veterinary Science,Law,Agriculture &amp; Forestry</t>
  </si>
  <si>
    <t>Chungnam National University</t>
  </si>
  <si>
    <t>Chungnam National University CNU Chung Nam National University Chung-Nam</t>
  </si>
  <si>
    <t>Medicine &amp; Dentistry,Chemistry,Law,Architecture,Biological Sciences,Geography,Art, Performing Arts &amp; Design,Mechanical &amp; Aerospace Engineering,Mathematics &amp; Statistics,Business &amp; Management,Archaeology,Agriculture &amp; Forestry,Sociology,Other Health,Geology, Environmental, Earth &amp; Marine Sciences,Economics &amp; Econometrics,Civil Engineering,Communication &amp; Media Studies,General Engineering,Sport Science,Accounting &amp; Finance,Computer Science,Physics &amp; Astronomy,Education,History, Philosophy &amp; Theology,Chemical Engineering,Politics &amp; International Studies (incl Development Studies),Languages, Literature &amp; Linguistics,Electrical &amp; Electronic Engineering,Veterinary Science,Psychology</t>
  </si>
  <si>
    <t>Clarkson University</t>
  </si>
  <si>
    <t>Languages, Literature &amp; Linguistics,Psychology,Chemical Engineering,Communication &amp; Media Studies,Mathematics &amp; Statistics,Business &amp; Management,General Engineering,Computer Science,Geology, Environmental, Earth &amp; Marine Sciences,Biological Sciences,Civil Engineering,Chemistry,Mechanical &amp; Aerospace Engineering,Economics &amp; Econometrics,Education,Politics &amp; International Studies (incl Development Studies),Physics &amp; Astronomy,Sociology,History, Philosophy &amp; Theology,Other Health,Accounting &amp; Finance,Electrical &amp; Electronic Engineering</t>
  </si>
  <si>
    <t>University of Clermont Auvergne</t>
  </si>
  <si>
    <t>Veterinary Science,Politics &amp; International Studies (incl Development Studies),Sport Science,Languages, Literature &amp; Linguistics,Agriculture &amp; Forestry,Psychology,Other Health,Communication &amp; Media Studies,Law,Civil Engineering,Archaeology,Business &amp; Management,Geography,Accounting &amp; Finance,Sociology,Geology, Environmental, Earth &amp; Marine Sciences,Computer Science,Chemical Engineering,History, Philosophy &amp; Theology,Education,Architecture,Mathematics &amp; Statistics,Chemistry,Medicine &amp; Dentistry,Physics &amp; Astronomy,General Engineering,Economics &amp; Econometrics,Biological Sciences,Electrical &amp; Electronic Engineering,Mechanical &amp; Aerospace Engineering,Art, Performing Arts &amp; Design</t>
  </si>
  <si>
    <t>University of la Costa</t>
  </si>
  <si>
    <t>Law,Mechanical &amp; Aerospace Engineering,General Engineering,Computer Science,Psychology,Communication &amp; Media Studies,Education,Electrical &amp; Electronic Engineering,Civil Engineering,Accounting &amp; Finance,Architecture,Business &amp; Management,Other Health</t>
  </si>
  <si>
    <t>Covenant University</t>
  </si>
  <si>
    <t>Nigeria</t>
  </si>
  <si>
    <t>Covenant University CU</t>
  </si>
  <si>
    <t>Electrical &amp; Electronic Engineering,Business &amp; Management,Civil Engineering,Geology, Environmental, Earth &amp; Marine Sciences,Politics &amp; International Studies (incl Development Studies),Computer Science,Economics &amp; Econometrics,General Engineering,Communication &amp; Media Studies,Chemistry,Accounting &amp; Finance,Chemical Engineering,Physics &amp; Astronomy,Other Health,Sociology,Biological Sciences,Languages, Literature &amp; Linguistics,Mechanical &amp; Aerospace Engineering,Architecture,Psychology,Mathematics &amp; Statistics</t>
  </si>
  <si>
    <t>CY Cergy Paris University</t>
  </si>
  <si>
    <t>Law,Accounting &amp; Finance,Chemical Engineering,Electrical &amp; Electronic Engineering,Sociology,Biological Sciences,Geography,Physics &amp; Astronomy,Business &amp; Management,Economics &amp; Econometrics,History, Philosophy &amp; Theology,Sport Science,Architecture,Computer Science,Geology, Environmental, Earth &amp; Marine Sciences,Education,Psychology,Mechanical &amp; Aerospace Engineering,Mathematics &amp; Statistics,General Engineering,Languages, Literature &amp; Linguistics,Politics &amp; International Studies (incl Development Studies),Communication &amp; Media Studies,Civil Engineering,Chemistry,Art, Performing Arts &amp; Design</t>
  </si>
  <si>
    <t>Czech University of Life Sciences Prague (CZU)</t>
  </si>
  <si>
    <t>Electrical &amp; Electronic Engineering,Business &amp; Management,Sociology,Other Health,Agriculture &amp; Forestry,Geography,Veterinary Science,Computer Science,Politics &amp; International Studies (incl Development Studies),Architecture,General Engineering,Accounting &amp; Finance,Education,Biological Sciences,Economics &amp; Econometrics,Geology, Environmental, Earth &amp; Marine Sciences,Civil Engineering</t>
  </si>
  <si>
    <t>Damietta University</t>
  </si>
  <si>
    <t>Architecture,Communication &amp; Media Studies,Psychology,Agriculture &amp; Forestry,Electrical &amp; Electronic Engineering,Medicine &amp; Dentistry,Physics &amp; Astronomy,Business &amp; Management,Biological Sciences,Sociology,General Engineering,Politics &amp; International Studies (incl Development Studies),Sport Science,Languages, Literature &amp; Linguistics,Law,Civil Engineering,Chemistry,Accounting &amp; Finance,Computer Science,History, Philosophy &amp; Theology,Mechanical &amp; Aerospace Engineering,Geology, Environmental, Earth &amp; Marine Sciences,Economics &amp; Econometrics,Education,Art, Performing Arts &amp; Design,Veterinary Science,Mathematics &amp; Statistics,Chemical Engineering,Archaeology,Other Health,Geography</t>
  </si>
  <si>
    <t>University of Delhi</t>
  </si>
  <si>
    <t>Art, Performing Arts &amp; Design,Geography,Physics &amp; Astronomy,Law,Mathematics &amp; Statistics,Economics &amp; Econometrics,Communication &amp; Media Studies,Languages, Literature &amp; Linguistics,Sociology,Chemistry,Accounting &amp; Finance,Biological Sciences,Psychology,Computer Science,Education,Geology, Environmental, Earth &amp; Marine Sciences,Business &amp; Management,History, Philosophy &amp; Theology,Politics &amp; International Studies (incl Development Studies)</t>
  </si>
  <si>
    <t>Delhi Technological University</t>
  </si>
  <si>
    <t>Physics &amp; Astronomy,Electrical &amp; Electronic Engineering,Biological Sciences,Economics &amp; Econometrics,Mathematics &amp; Statistics,Chemistry,Civil Engineering,Mechanical &amp; Aerospace Engineering,Computer Science,Business &amp; Management,General Engineering</t>
  </si>
  <si>
    <t>University of Deusto</t>
  </si>
  <si>
    <t>History, Philosophy &amp; Theology,Languages, Literature &amp; Linguistics,Electrical &amp; Electronic Engineering,Psychology,Mechanical &amp; Aerospace Engineering,Computer Science,Politics &amp; International Studies (incl Development Studies),Economics &amp; Econometrics,Communication &amp; Media Studies,Accounting &amp; Finance,Medicine &amp; Dentistry,Law,Other Health,Education,Sport Science,Business &amp; Management,General Engineering</t>
  </si>
  <si>
    <t>University of Dhaka</t>
  </si>
  <si>
    <t>Geography,Biological Sciences,Communication &amp; Media Studies,History, Philosophy &amp; Theology,Computer Science,Business &amp; Management,Geology, Environmental, Earth &amp; Marine Sciences,Accounting &amp; Finance,Sociology,Chemical Engineering,Psychology,Politics &amp; International Studies (incl Development Studies),Law,Languages, Literature &amp; Linguistics,Chemistry,Electrical &amp; Electronic Engineering,Economics &amp; Econometrics,General Engineering,Art, Performing Arts &amp; Design,Education,Mathematics &amp; Statistics,Physics &amp; Astronomy</t>
  </si>
  <si>
    <t>EÃ¶tvÃ¶s LorÃ¡nd University</t>
  </si>
  <si>
    <t>Physics &amp; Astronomy,Education,Languages, Literature &amp; Linguistics,Sociology,Art, Performing Arts &amp; Design,Communication &amp; Media Studies,History, Philosophy &amp; Theology,Sport Science,Law,Politics &amp; International Studies (incl Development Studies),Accounting &amp; Finance,Computer Science,Geography,Business &amp; Management,Mechanical &amp; Aerospace Engineering,Geology, Environmental, Earth &amp; Marine Sciences,Archaeology,Chemistry,Psychology,Mathematics &amp; Statistics,Economics &amp; Econometrics,Biological Sciences</t>
  </si>
  <si>
    <t>Federal University of Minas Gerais</t>
  </si>
  <si>
    <t>Politics &amp; International Studies (incl Development Studies),Business &amp; Management,Geology, Environmental, Earth &amp; Marine Sciences,Computer Science,Sociology,Sport Science,Electrical &amp; Electronic Engineering,Architecture,Veterinary Science,Accounting &amp; Finance,Chemical Engineering,General Engineering,Languages, Literature &amp; Linguistics,Communication &amp; Media Studies,Psychology,Education,Mechanical &amp; Aerospace Engineering,Mathematics &amp; Statistics,History, Philosophy &amp; Theology,Agriculture &amp; Forestry,Geography,Civil Engineering,Medicine &amp; Dentistry,Chemistry,Economics &amp; Econometrics,Biological Sciences,Art, Performing Arts &amp; Design,Other Health,Physics &amp; Astronomy,Archaeology,Law</t>
  </si>
  <si>
    <t>Universidade Federal de Santa Catarina</t>
  </si>
  <si>
    <t>Medicine &amp; Dentistry,Physics &amp; Astronomy,Accounting &amp; Finance,Architecture,Biological Sciences,Sociology,Languages, Literature &amp; Linguistics,Chemical Engineering,Chemistry,Economics &amp; Econometrics,Art, Performing Arts &amp; Design,Civil Engineering,Politics &amp; International Studies (incl Development Studies),Mechanical &amp; Aerospace Engineering,Geology, Environmental, Earth &amp; Marine Sciences,Education,General Engineering,Veterinary Science,Law,Other Health,Sport Science,Psychology,Electrical &amp; Electronic Engineering,Communication &amp; Media Studies,History, Philosophy &amp; Theology,Agriculture &amp; Forestry,Geography,Computer Science,Mathematics &amp; Statistics,Business &amp; Management</t>
  </si>
  <si>
    <t>Universidade Federal de SÃ£o Paulo (UNIFESP)</t>
  </si>
  <si>
    <t>Computer Science,Geography,Sport Science,Economics &amp; Econometrics,Art, Performing Arts &amp; Design,Chemistry,Languages, Literature &amp; Linguistics,Education,Other Health,Geology, Environmental, Earth &amp; Marine Sciences,Accounting &amp; Finance,Medicine &amp; Dentistry,Sociology,General Engineering,Mathematics &amp; Statistics,Chemical Engineering,Politics &amp; International Studies (incl Development Studies),Biological Sciences,Business &amp; Management,History, Philosophy &amp; Theology,Law,Psychology</t>
  </si>
  <si>
    <t>Ferdowsi University of Mashhad</t>
  </si>
  <si>
    <t>Sport Science,Law,Architecture,Archaeology,Communication &amp; Media Studies,Chemistry,Politics &amp; International Studies (incl Development Studies),Psychology,Civil Engineering,Physics &amp; Astronomy,Economics &amp; Econometrics,Computer Science,Geology, Environmental, Earth &amp; Marine Sciences,Business &amp; Management,Electrical &amp; Electronic Engineering,Mathematics &amp; Statistics,Accounting &amp; Finance,Languages, Literature &amp; Linguistics,Biological Sciences,Sociology,Chemical Engineering,Veterinary Science,History, Philosophy &amp; Theology,Agriculture &amp; Forestry,Geography,Education,Art, Performing Arts &amp; Design,General Engineering,Mechanical &amp; Aerospace Engineering</t>
  </si>
  <si>
    <t>Florida Atlantic University</t>
  </si>
  <si>
    <t>Civil Engineering,Politics &amp; International Studies (incl Development Studies),Art, Performing Arts &amp; Design,Communication &amp; Media Studies,History, Philosophy &amp; Theology,Medicine &amp; Dentistry,Languages, Literature &amp; Linguistics,Business &amp; Management,Biological Sciences,Accounting &amp; Finance,Physics &amp; Astronomy,Mechanical &amp; Aerospace Engineering,Architecture,Electrical &amp; Electronic Engineering,Chemistry,Geography,Computer Science,Psychology,Education,Mathematics &amp; Statistics,Sport Science,General Engineering,Other Health,Geology, Environmental, Earth &amp; Marine Sciences,Economics &amp; Econometrics,Sociology</t>
  </si>
  <si>
    <t>Florida Institute of Technology</t>
  </si>
  <si>
    <t>Psychology,Mechanical &amp; Aerospace Engineering,Chemical Engineering,Languages, Literature &amp; Linguistics,Computer Science,Physics &amp; Astronomy,Geology, Environmental, Earth &amp; Marine Sciences,Education,General Engineering,Mathematics &amp; Statistics,Accounting &amp; Finance,Electrical &amp; Electronic Engineering,Business &amp; Management,Civil Engineering,History, Philosophy &amp; Theology,Communication &amp; Media Studies,Chemistry,Biological Sciences</t>
  </si>
  <si>
    <t>University of the Free State</t>
  </si>
  <si>
    <t>History, Philosophy &amp; Theology,Languages, Literature &amp; Linguistics,Medicine &amp; Dentistry,Law,Sociology,Psychology,Computer Science,Biological Sciences,Chemical Engineering,Business &amp; Management,Physics &amp; Astronomy,Education,Mathematics &amp; Statistics,Architecture,Accounting &amp; Finance,Civil Engineering,Politics &amp; International Studies (incl Development Studies),General Engineering,Mechanical &amp; Aerospace Engineering,Communication &amp; Media Studies,Agriculture &amp; Forestry,Chemistry,Electrical &amp; Electronic Engineering,Other Health,Economics &amp; Econometrics,Art, Performing Arts &amp; Design,Geography,Geology, Environmental, Earth &amp; Marine Sciences,Sport Science</t>
  </si>
  <si>
    <t>Fuzhou University</t>
  </si>
  <si>
    <t>Computer Science,Sociology,General Engineering,Physics &amp; Astronomy,Mechanical &amp; Aerospace Engineering,Law,Mathematics &amp; Statistics,Civil Engineering,Accounting &amp; Finance,Art, Performing Arts &amp; Design,Politics &amp; International Studies (incl Development Studies),Chemical Engineering,Economics &amp; Econometrics,Electrical &amp; Electronic Engineering,Psychology,Biological Sciences,Business &amp; Management,Languages, Literature &amp; Linguistics,Chemistry</t>
  </si>
  <si>
    <t>University of Girona</t>
  </si>
  <si>
    <t>Art, Performing Arts &amp; Design,Civil Engineering,Communication &amp; Media Studies,Accounting &amp; Finance,Languages, Literature &amp; Linguistics,Other Health,Politics &amp; International Studies (incl Development Studies),Geology, Environmental, Earth &amp; Marine Sciences,Electrical &amp; Electronic Engineering,General Engineering,Mechanical &amp; Aerospace Engineering,Medicine &amp; Dentistry,Chemistry,Geography,Architecture,Computer Science,Business &amp; Management,Economics &amp; Econometrics,Psychology,Agriculture &amp; Forestry,Sport Science,Biological Sciences,History, Philosophy &amp; Theology,Chemical Engineering,Education,Law</t>
  </si>
  <si>
    <t>University of Gloucestershire</t>
  </si>
  <si>
    <t>Accounting &amp; Finance,Other Health,Electrical &amp; Electronic Engineering,Sport Science,Mechanical &amp; Aerospace Engineering,Languages, Literature &amp; Linguistics,Geology, Environmental, Earth &amp; Marine Sciences,Communication &amp; Media Studies,Biological Sciences,Sociology,General Engineering,Architecture,Psychology,Art, Performing Arts &amp; Design,Business &amp; Management,Geography,History, Philosophy &amp; Theology,Computer Science,Education,Law</t>
  </si>
  <si>
    <t>Gorgan University of Agricultural Sciences and Natural Resources</t>
  </si>
  <si>
    <t>Agriculture &amp; Forestry</t>
  </si>
  <si>
    <t>Guangzhou University</t>
  </si>
  <si>
    <t>Geography,Sociology,Communication &amp; Media Studies,Sport Science,Accounting &amp; Finance,Psychology,Mathematics &amp; Statistics,History, Philosophy &amp; Theology,Languages, Literature &amp; Linguistics,Mechanical &amp; Aerospace Engineering,Chemistry,Biological Sciences,Civil Engineering,Economics &amp; Econometrics,Politics &amp; International Studies (incl Development Studies),Business &amp; Management,Architecture,Physics &amp; Astronomy,Education,Law,Art, Performing Arts &amp; Design,Chemical Engineering,Electrical &amp; Electronic Engineering,Geology, Environmental, Earth &amp; Marine Sciences,Computer Science</t>
  </si>
  <si>
    <t>Guangzhou Medical University</t>
  </si>
  <si>
    <t>Guilan University of Medical Sciences</t>
  </si>
  <si>
    <t>Biological Sciences,Chemistry,Medicine &amp; Dentistry,Other Health,Sociology</t>
  </si>
  <si>
    <t>Harbin Engineering University</t>
  </si>
  <si>
    <t>Computer Science,Politics &amp; International Studies (incl Development Studies),Business &amp; Management,Electrical &amp; Electronic Engineering,Mathematics &amp; Statistics,Economics &amp; Econometrics,Chemical Engineering,Architecture,Psychology,Law,Chemistry,Civil Engineering,Mechanical &amp; Aerospace Engineering,Sociology,Languages, Literature &amp; Linguistics,Physics &amp; Astronomy</t>
  </si>
  <si>
    <t>Hazara University Mansehra</t>
  </si>
  <si>
    <t>Communication &amp; Media Studies,Sociology,Agriculture &amp; Forestry,Law,Computer Science,Politics &amp; International Studies (incl Development Studies),Accounting &amp; Finance,Archaeology,Languages, Literature &amp; Linguistics,Biological Sciences,Other Health,Physics &amp; Astronomy,Architecture,Education,Psychology,Mathematics &amp; Statistics,Art, Performing Arts &amp; Design,Geology, Environmental, Earth &amp; Marine Sciences,Business &amp; Management,Chemistry,History, Philosophy &amp; Theology,Economics &amp; Econometrics</t>
  </si>
  <si>
    <t>Howard University</t>
  </si>
  <si>
    <t>Geology, Environmental, Earth &amp; Marine Sciences,Other Health,General Engineering,Chemistry,Accounting &amp; Finance,Archaeology,Mechanical &amp; Aerospace Engineering,Physics &amp; Astronomy,Education,History, Philosophy &amp; Theology,Electrical &amp; Electronic Engineering,Sport Science,Chemical Engineering,Biological Sciences,Computer Science,Communication &amp; Media Studies,Psychology,Languages, Literature &amp; Linguistics,Economics &amp; Econometrics,Law,Politics &amp; International Studies (incl Development Studies),Architecture,Civil Engineering,Sociology,Business &amp; Management,Art, Performing Arts &amp; Design,Mathematics &amp; Statistics,Medicine &amp; Dentistry</t>
  </si>
  <si>
    <t>University of Ibadan</t>
  </si>
  <si>
    <t>History, Philosophy &amp; Theology,Agriculture &amp; Forestry,Other Health,Biological Sciences,Law,Architecture,Civil Engineering,Chemistry,Electrical &amp; Electronic Engineering,Politics &amp; International Studies (incl Development Studies),Business &amp; Management,Mechanical &amp; Aerospace Engineering,Sociology,Economics &amp; Econometrics,Computer Science,Physics &amp; Astronomy,Accounting &amp; Finance,Art, Performing Arts &amp; Design,General Engineering,Communication &amp; Media Studies,Archaeology,Sport Science,Geography,Languages, Literature &amp; Linguistics,Chemical Engineering,Mathematics &amp; Statistics,Medicine &amp; Dentistry,Veterinary Science,Education,Geology, Environmental, Earth &amp; Marine Sciences,Psychology</t>
  </si>
  <si>
    <t>Ilam University of Medical Sciences</t>
  </si>
  <si>
    <t>Indian Institute of Science Education and Research, Pune</t>
  </si>
  <si>
    <t>Agriculture &amp; Forestry,Archaeology,Computer Science,Chemistry,Physics &amp; Astronomy,Languages, Literature &amp; Linguistics,Biological Sciences,Geology, Environmental, Earth &amp; Marine Sciences,Architecture,Mathematics &amp; Statistics,History, Philosophy &amp; Theology</t>
  </si>
  <si>
    <t>Indian Institute of Technology Gandhinagar</t>
  </si>
  <si>
    <t>Biological Sciences,Chemical Engineering,History, Philosophy &amp; Theology,Mathematics &amp; Statistics,Chemistry,Languages, Literature &amp; Linguistics,Physics &amp; Astronomy,Geology, Environmental, Earth &amp; Marine Sciences,Mechanical &amp; Aerospace Engineering,Communication &amp; Media Studies,Psychology,Computer Science,Electrical &amp; Electronic Engineering,Civil Engineering,General Engineering,Archaeology,Economics &amp; Econometrics,Sociology</t>
  </si>
  <si>
    <t>University of Indonesia</t>
  </si>
  <si>
    <t>Indonesia</t>
  </si>
  <si>
    <t>University of Indonesia Universitas Indonesia UI</t>
  </si>
  <si>
    <t>Psychology,Geography,General Engineering,Chemistry,Languages, Literature &amp; Linguistics,Architecture,Physics &amp; Astronomy,Art, Performing Arts &amp; Design,History, Philosophy &amp; Theology,Mathematics &amp; Statistics,Other Health,Chemical Engineering,Geology, Environmental, Earth &amp; Marine Sciences,Law,Politics &amp; International Studies (incl Development Studies),Biological Sciences,Mechanical &amp; Aerospace Engineering,Archaeology,Agriculture &amp; Forestry,Medicine &amp; Dentistry,Computer Science,Sociology,Business &amp; Management,Electrical &amp; Electronic Engineering,Civil Engineering,Accounting &amp; Finance,Communication &amp; Media Studies,Economics &amp; Econometrics</t>
  </si>
  <si>
    <t>Indraprastha Institute of Information Technology Delhi</t>
  </si>
  <si>
    <t>Electrical &amp; Electronic Engineering,Computer Science</t>
  </si>
  <si>
    <t>Inha University</t>
  </si>
  <si>
    <t>General Engineering,Sport Science,Architecture,Biological Sciences,Accounting &amp; Finance,Electrical &amp; Electronic Engineering,Communication &amp; Media Studies,History, Philosophy &amp; Theology,Physics &amp; Astronomy,Economics &amp; Econometrics,Art, Performing Arts &amp; Design,Mechanical &amp; Aerospace Engineering,Politics &amp; International Studies (incl Development Studies),Languages, Literature &amp; Linguistics,Chemical Engineering,Business &amp; Management,Archaeology,Mathematics &amp; Statistics,Education,Other Health,Chemistry,Computer Science,Geology, Environmental, Earth &amp; Marine Sciences,Psychology,Medicine &amp; Dentistry,Civil Engineering,Law</t>
  </si>
  <si>
    <t>Universitat Internacional de Catalunya</t>
  </si>
  <si>
    <t>Languages, Literature &amp; Linguistics,Biological Sciences,Psychology,Education,Economics &amp; Econometrics,Chemical Engineering,Medicine &amp; Dentistry,Business &amp; Management,History, Philosophy &amp; Theology,Communication &amp; Media Studies,Sociology,Other Health,Law,Architecture,Accounting &amp; Finance</t>
  </si>
  <si>
    <t>International Islamic University, Islamabad</t>
  </si>
  <si>
    <t>Mathematics &amp; Statistics,Business &amp; Management,Computer Science,Communication &amp; Media Studies,Biological Sciences,Education,Mechanical &amp; Aerospace Engineering,Law,Languages, Literature &amp; Linguistics,Physics &amp; Astronomy,Accounting &amp; Finance,General Engineering,Politics &amp; International Studies (incl Development Studies),Civil Engineering,Psychology,History, Philosophy &amp; Theology,Chemistry,Economics &amp; Econometrics,Architecture,Electrical &amp; Electronic Engineering,Sociology,Geology, Environmental, Earth &amp; Marine Sciences</t>
  </si>
  <si>
    <t>Isfahan University of Medical Sciences</t>
  </si>
  <si>
    <t>Islamia College Peshawar</t>
  </si>
  <si>
    <t>Geography,Politics &amp; International Studies (incl Development Studies),Languages, Literature &amp; Linguistics,Sociology,Education,Archaeology,Mathematics &amp; Statistics,Physics &amp; Astronomy,Law,Accounting &amp; Finance,History, Philosophy &amp; Theology,Chemistry,Psychology,Economics &amp; Econometrics,Computer Science,Electrical &amp; Electronic Engineering,Biological Sciences,Business &amp; Management</t>
  </si>
  <si>
    <t>University of JaÃ©n</t>
  </si>
  <si>
    <t>Chemistry,Law,History, Philosophy &amp; Theology,Business &amp; Management,Archaeology,General Engineering,Psychology,Medicine &amp; Dentistry,Education,Biological Sciences,Sociology,Accounting &amp; Finance,Civil Engineering,Languages, Literature &amp; Linguistics,Electrical &amp; Electronic Engineering,Chemical Engineering,Computer Science,Geography,Geology, Environmental, Earth &amp; Marine Sciences,Economics &amp; Econometrics,Mechanical &amp; Aerospace Engineering</t>
  </si>
  <si>
    <t>Jahangirnagar University</t>
  </si>
  <si>
    <t>Physics &amp; Astronomy,Politics &amp; International Studies (incl Development Studies),Law,Communication &amp; Media Studies,Languages, Literature &amp; Linguistics,Chemistry,Computer Science,Geography,Other Health,Economics &amp; Econometrics,Geology, Environmental, Earth &amp; Marine Sciences,Archaeology,History, Philosophy &amp; Theology,Business &amp; Management,Sociology,Biological Sciences,Mathematics &amp; Statistics,Art, Performing Arts &amp; Design,Accounting &amp; Finance</t>
  </si>
  <si>
    <t>Jaume I University</t>
  </si>
  <si>
    <t>Mathematics &amp; Statistics,Electrical &amp; Electronic Engineering,Business &amp; Management,Mechanical &amp; Aerospace Engineering,Communication &amp; Media Studies,Law,Architecture,General Engineering,Languages, Literature &amp; Linguistics,History, Philosophy &amp; Theology,Other Health,Computer Science,Medicine &amp; Dentistry,Education,Accounting &amp; Finance,Agriculture &amp; Forestry,Sociology,Sport Science,Biological Sciences,Economics &amp; Econometrics,Psychology,Chemistry,Chemical Engineering</t>
  </si>
  <si>
    <t>Jawaharlal Nehru Technological University Anantapur (JNTUA)</t>
  </si>
  <si>
    <t>Civil Engineering,Mechanical &amp; Aerospace Engineering,Other Health,Business &amp; Management,Electrical &amp; Electronic Engineering,Accounting &amp; Finance,Computer Science,Physics &amp; Astronomy,Chemical Engineering,General Engineering,Mathematics &amp; Statistics,Chemistry,Agriculture &amp; Forestry</t>
  </si>
  <si>
    <t>Jaypee University of Information Technology</t>
  </si>
  <si>
    <t>Biological Sciences,Electrical &amp; Electronic Engineering,Civil Engineering,Computer Science</t>
  </si>
  <si>
    <t>Jazan University</t>
  </si>
  <si>
    <t>Biological Sciences,Business &amp; Management,Architecture,Sport Science,Art, Performing Arts &amp; Design,Electrical &amp; Electronic Engineering,Chemistry,Chemical Engineering,Accounting &amp; Finance,History, Philosophy &amp; Theology,Mechanical &amp; Aerospace Engineering,Psychology,Languages, Literature &amp; Linguistics,Civil Engineering,Communication &amp; Media Studies,Computer Science,Law,Other Health,Physics &amp; Astronomy,General Engineering,Education,Medicine &amp; Dentistry,Mathematics &amp; Statistics</t>
  </si>
  <si>
    <t>Jeonbuk National University</t>
  </si>
  <si>
    <t>Jeonbuk National University Chonbuk CBNU</t>
  </si>
  <si>
    <t>Languages, Literature &amp; Linguistics,Agriculture &amp; Forestry,Physics &amp; Astronomy,Business &amp; Management,Veterinary Science,Geography,Other Health,Electrical &amp; Electronic Engineering,Geology, Environmental, Earth &amp; Marine Sciences,Accounting &amp; Finance,General Engineering,Chemistry,Psychology,Art, Performing Arts &amp; Design,Biological Sciences,Education,Architecture,Mechanical &amp; Aerospace Engineering,Sociology,History, Philosophy &amp; Theology,Sport Science,Law,Archaeology,Civil Engineering,Politics &amp; International Studies (incl Development Studies),Computer Science,Mathematics &amp; Statistics,Medicine &amp; Dentistry,Chemical Engineering,Communication &amp; Media Studies,Economics &amp; Econometrics</t>
  </si>
  <si>
    <t>Jiangnan University</t>
  </si>
  <si>
    <t>Jiangnan University Jiangnan Jiangnan University  Wuxi China</t>
  </si>
  <si>
    <t>Mechanical &amp; Aerospace Engineering,Languages, Literature &amp; Linguistics,Chemistry,Art, Performing Arts &amp; Design,Sociology,Chemical Engineering,Other Health,Law,Business &amp; Management,Civil Engineering,Education,Electrical &amp; Electronic Engineering,Biological Sciences,Agriculture &amp; Forestry,General Engineering,Communication &amp; Media Studies,Medicine &amp; Dentistry,Accounting &amp; Finance,Politics &amp; International Studies (incl Development Studies),Economics &amp; Econometrics,Mathematics &amp; Statistics,History, Philosophy &amp; Theology,Computer Science,Geology, Environmental, Earth &amp; Marine Sciences</t>
  </si>
  <si>
    <t>Jordan University of Science and Technology</t>
  </si>
  <si>
    <t>Languages, Literature &amp; Linguistics,Civil Engineering,Veterinary Science,Computer Science,Biological Sciences,Electrical &amp; Electronic Engineering,Other Health,Physics &amp; Astronomy,Agriculture &amp; Forestry,General Engineering,Medicine &amp; Dentistry,Chemistry,Chemical Engineering,Architecture,Mathematics &amp; Statistics,Mechanical &amp; Aerospace Engineering</t>
  </si>
  <si>
    <t>JSS Academy of Higher Education and Research</t>
  </si>
  <si>
    <t>Other Health,Biological Sciences,Medicine &amp; Dentistry,Sport Science,Business &amp; Management</t>
  </si>
  <si>
    <t>Kafrelsheikh University</t>
  </si>
  <si>
    <t>Veterinary Science,Education,Chemical Engineering,Languages, Literature &amp; Linguistics,History, Philosophy &amp; Theology,Sport Science,Geology, Environmental, Earth &amp; Marine Sciences,Economics &amp; Econometrics,Law,Geography,Biological Sciences,Medicine &amp; Dentistry,Sociology,Communication &amp; Media Studies,Civil Engineering,Business &amp; Management,Art, Performing Arts &amp; Design,Mechanical &amp; Aerospace Engineering,Mathematics &amp; Statistics,Electrical &amp; Electronic Engineering,General Engineering,Chemistry,Accounting &amp; Finance,Agriculture &amp; Forestry,Psychology,Physics &amp; Astronomy,Computer Science,Politics &amp; International Studies (incl Development Studies)</t>
  </si>
  <si>
    <t>Kalasalingam Academy of Research and Education</t>
  </si>
  <si>
    <t>Electrical &amp; Electronic Engineering,Mathematics &amp; Statistics,Computer Science,Physics &amp; Astronomy,Architecture,Biological Sciences,Agriculture &amp; Forestry,Accounting &amp; Finance,Civil Engineering,General Engineering,Mechanical &amp; Aerospace Engineering,Education,Communication &amp; Media Studies,Business &amp; Management,Chemistry,Languages, Literature &amp; Linguistics,Chemical Engineering</t>
  </si>
  <si>
    <t>Kaohsiung Medical University</t>
  </si>
  <si>
    <t>Medicine &amp; Dentistry,Biological Sciences,Computer Science,Business &amp; Management,Mathematics &amp; Statistics,Physics &amp; Astronomy,Geology, Environmental, Earth &amp; Marine Sciences,Languages, Literature &amp; Linguistics,Chemistry,Chemical Engineering,Sociology,Agriculture &amp; Forestry,Education,Other Health,Psychology,Sport Science</t>
  </si>
  <si>
    <t>Kazan Federal University</t>
  </si>
  <si>
    <t>Mathematics &amp; Statistics,Politics &amp; International Studies (incl Development Studies),Agriculture &amp; Forestry,General Engineering,Geography,Chemical Engineering,Accounting &amp; Finance,Computer Science,Business &amp; Management,Sociology,Medicine &amp; Dentistry,Communication &amp; Media Studies,Art, Performing Arts &amp; Design,Electrical &amp; Electronic Engineering,Mechanical &amp; Aerospace Engineering,Languages, Literature &amp; Linguistics,Biological Sciences,Education,Geology, Environmental, Earth &amp; Marine Sciences,Economics &amp; Econometrics,Other Health,Physics &amp; Astronomy,History, Philosophy &amp; Theology,Psychology,Chemistry,Civil Engineering,Archaeology,Law,Architecture,Sport Science</t>
  </si>
  <si>
    <t>King Faisal University</t>
  </si>
  <si>
    <t>Sport Science,Business &amp; Management,Languages, Literature &amp; Linguistics,Economics &amp; Econometrics,Education,Archaeology,Civil Engineering,Architecture,Art, Performing Arts &amp; Design,General Engineering,Mathematics &amp; Statistics,Politics &amp; International Studies (incl Development Studies),Chemistry,Agriculture &amp; Forestry,Mechanical &amp; Aerospace Engineering,Chemical Engineering,Geography,Geology, Environmental, Earth &amp; Marine Sciences,Physics &amp; Astronomy,Computer Science,Sociology,Electrical &amp; Electronic Engineering,Psychology,Medicine &amp; Dentistry,Law,History, Philosophy &amp; Theology,Accounting &amp; Finance,Veterinary Science,Other Health,Biological Sciences,Communication &amp; Media Studies</t>
  </si>
  <si>
    <t>King Mongkutâ€™s University of Technology Thonburi</t>
  </si>
  <si>
    <t>Civil Engineering,Architecture,Mathematics &amp; Statistics,Physics &amp; Astronomy,Mechanical &amp; Aerospace Engineering,Computer Science,Biological Sciences,General Engineering,Electrical &amp; Electronic Engineering,Geology, Environmental, Earth &amp; Marine Sciences,Business &amp; Management,Education,Agriculture &amp; Forestry,Communication &amp; Media Studies,Accounting &amp; Finance,Chemistry,Languages, Literature &amp; Linguistics,Chemical Engineering</t>
  </si>
  <si>
    <t>Kingston University</t>
  </si>
  <si>
    <t>Education,Sociology,Sport Science,General Engineering,Accounting &amp; Finance,Art, Performing Arts &amp; Design,Geology, Environmental, Earth &amp; Marine Sciences,Psychology,Computer Science,Architecture,Languages, Literature &amp; Linguistics,Geography,Economics &amp; Econometrics,History, Philosophy &amp; Theology,Law,Communication &amp; Media Studies,Other Health,Mechanical &amp; Aerospace Engineering,Business &amp; Management,Chemical Engineering,Chemistry,Civil Engineering,Biological Sciences</t>
  </si>
  <si>
    <t>K.N. Toosi University of Technology</t>
  </si>
  <si>
    <t>Mechanical &amp; Aerospace Engineering,General Engineering,Accounting &amp; Finance,Civil Engineering,Electrical &amp; Electronic Engineering,Mathematics &amp; Statistics,Computer Science,Physics &amp; Astronomy,Chemistry,Business &amp; Management</t>
  </si>
  <si>
    <t>Kore University of Enna</t>
  </si>
  <si>
    <t>Other Health,Civil Engineering,Medicine &amp; Dentistry,Business &amp; Management,Mechanical &amp; Aerospace Engineering,Computer Science,Languages, Literature &amp; Linguistics,Sport Science,Psychology,Law,Education,Architecture,Sociology</t>
  </si>
  <si>
    <t>Kumamoto University</t>
  </si>
  <si>
    <t>Archaeology,Physics &amp; Astronomy,Psychology,Other Health,Mathematics &amp; Statistics,Languages, Literature &amp; Linguistics,Chemical Engineering,Law,Architecture,Biological Sciences,General Engineering,Communication &amp; Media Studies,Medicine &amp; Dentistry,Geology, Environmental, Earth &amp; Marine Sciences,Electrical &amp; Electronic Engineering,Sociology,History, Philosophy &amp; Theology,Civil Engineering,Geography,Computer Science,Chemistry,Art, Performing Arts &amp; Design,Mechanical &amp; Aerospace Engineering,Politics &amp; International Studies (incl Development Studies),Education</t>
  </si>
  <si>
    <t>University of Kurdistan</t>
  </si>
  <si>
    <t>Computer Science,Physics &amp; Astronomy,General Engineering,Chemistry,Economics &amp; Econometrics,History, Philosophy &amp; Theology,Sport Science,Sociology,Agriculture &amp; Forestry,Geography,Accounting &amp; Finance,Languages, Literature &amp; Linguistics,Veterinary Science,Business &amp; Management,Mechanical &amp; Aerospace Engineering,Education,Art, Performing Arts &amp; Design,Civil Engineering,Law,Electrical &amp; Electronic Engineering,Mathematics &amp; Statistics,Architecture,Biological Sciences,Geology, Environmental, Earth &amp; Marine Sciences,Psychology,Chemical Engineering,Politics &amp; International Studies (incl Development Studies)</t>
  </si>
  <si>
    <t>Kyoto Prefectural University of Medicine</t>
  </si>
  <si>
    <t>University of Lahore</t>
  </si>
  <si>
    <t>Chemistry,Sport Science,Politics &amp; International Studies (incl Development Studies),Architecture,Sociology,Law,Medicine &amp; Dentistry,General Engineering,Languages, Literature &amp; Linguistics,Civil Engineering,Education,Business &amp; Management,Electrical &amp; Electronic Engineering,Veterinary Science,Computer Science,Physics &amp; Astronomy,Mathematics &amp; Statistics,Economics &amp; Econometrics,Geology, Environmental, Earth &amp; Marine Sciences,Other Health,Biological Sciences,Communication &amp; Media Studies,Psychology,Accounting &amp; Finance,Art, Performing Arts &amp; Design,Mechanical &amp; Aerospace Engineering</t>
  </si>
  <si>
    <t>Lahore University of Management Sciences</t>
  </si>
  <si>
    <t>Politics &amp; International Studies (incl Development Studies),History, Philosophy &amp; Theology,Chemistry,Sociology,Other Health,Law,Mathematics &amp; Statistics,Languages, Literature &amp; Linguistics,Economics &amp; Econometrics,Biological Sciences,Physics &amp; Astronomy,Electrical &amp; Electronic Engineering,Accounting &amp; Finance,Education,Chemical Engineering,Business &amp; Management,Computer Science</t>
  </si>
  <si>
    <t>Lakehead University</t>
  </si>
  <si>
    <t>Agriculture &amp; Forestry,Geology, Environmental, Earth &amp; Marine Sciences,Sociology,History, Philosophy &amp; Theology,Law,Other Health,Accounting &amp; Finance,Business &amp; Management,Mathematics &amp; Statistics,General Engineering,Geography,Physics &amp; Astronomy,Psychology,Politics &amp; International Studies (incl Development Studies),Chemistry,Electrical &amp; Electronic Engineering,Economics &amp; Econometrics,Languages, Literature &amp; Linguistics,Communication &amp; Media Studies,Computer Science,Mechanical &amp; Aerospace Engineering,Chemical Engineering,Medicine &amp; Dentistry,Art, Performing Arts &amp; Design,Civil Engineering,Biological Sciences,Sport Science,Education,Archaeology</t>
  </si>
  <si>
    <t>Lebanese University</t>
  </si>
  <si>
    <t>Other Health,Sport Science,Accounting &amp; Finance,Architecture,Chemical Engineering,Geography,Economics &amp; Econometrics,Agriculture &amp; Forestry,Politics &amp; International Studies (incl Development Studies),Biological Sciences,Psychology,Art, Performing Arts &amp; Design,General Engineering,Physics &amp; Astronomy,Law,Archaeology,Civil Engineering,Geology, Environmental, Earth &amp; Marine Sciences,Computer Science,Mathematics &amp; Statistics,Education,Languages, Literature &amp; Linguistics,Electrical &amp; Electronic Engineering,Chemistry,Medicine &amp; Dentistry,Veterinary Science,Communication &amp; Media Studies,History, Philosophy &amp; Theology,Mechanical &amp; Aerospace Engineering,Sociology,Business &amp; Management</t>
  </si>
  <si>
    <t>Leeds Beckett University</t>
  </si>
  <si>
    <t>Leeds Beckett University Leeds  United Kingdom UK</t>
  </si>
  <si>
    <t>Psychology,Accounting &amp; Finance,History, Philosophy &amp; Theology,Communication &amp; Media Studies,Geography,General Engineering,Education,Electrical &amp; Electronic Engineering,Economics &amp; Econometrics,Biological Sciences,Art, Performing Arts &amp; Design,Sociology,Architecture,Law,Other Health,Politics &amp; International Studies (incl Development Studies),Civil Engineering,Business &amp; Management,Languages, Literature &amp; Linguistics,Sport Science,Computer Science</t>
  </si>
  <si>
    <t>Lithuanian University of Health Sciences</t>
  </si>
  <si>
    <t>Lithuania</t>
  </si>
  <si>
    <t>Psychology,Veterinary Science,Agriculture &amp; Forestry,Chemistry,Other Health,Biological Sciences,Medicine &amp; Dentistry</t>
  </si>
  <si>
    <t>University of Ljubljana</t>
  </si>
  <si>
    <t>Slovenia</t>
  </si>
  <si>
    <t>Archaeology,Mechanical &amp; Aerospace Engineering,Sociology,Art, Performing Arts &amp; Design,Mathematics &amp; Statistics,Law,Computer Science,Electrical &amp; Electronic Engineering,Geology, Environmental, Earth &amp; Marine Sciences,Economics &amp; Econometrics,Architecture,Chemical Engineering,Business &amp; Management,History, Philosophy &amp; Theology,Agriculture &amp; Forestry,Politics &amp; International Studies (incl Development Studies),Civil Engineering,Communication &amp; Media Studies,Accounting &amp; Finance,Medicine &amp; Dentistry,Biological Sciences,Chemistry,Other Health,Veterinary Science,Education,General Engineering,Physics &amp; Astronomy,Geography,Languages, Literature &amp; Linguistics,Sport Science,Psychology</t>
  </si>
  <si>
    <t>University of Lleida</t>
  </si>
  <si>
    <t>Business &amp; Management,Medicine &amp; Dentistry,Biological Sciences,General Engineering,Geography,Architecture,Electrical &amp; Electronic Engineering,Art, Performing Arts &amp; Design,Psychology,Sport Science,Mechanical &amp; Aerospace Engineering,Agriculture &amp; Forestry,Veterinary Science,Chemical Engineering,Languages, Literature &amp; Linguistics,History, Philosophy &amp; Theology,Education,Other Health,Law,Computer Science,Communication &amp; Media Studies</t>
  </si>
  <si>
    <t>Lovely Professional University</t>
  </si>
  <si>
    <t>Mathematics &amp; Statistics,Other Health,Law,Geology, Environmental, Earth &amp; Marine Sciences,Electrical &amp; Electronic Engineering,Sport Science,History, Philosophy &amp; Theology,Sociology,Education,Civil Engineering,Chemical Engineering,Business &amp; Management,Politics &amp; International Studies (incl Development Studies),Computer Science,Agriculture &amp; Forestry,Economics &amp; Econometrics,Art, Performing Arts &amp; Design,Chemistry,Architecture,Accounting &amp; Finance,Physics &amp; Astronomy,General Engineering,Geography,Mechanical &amp; Aerospace Engineering,Psychology,Languages, Literature &amp; Linguistics,Biological Sciences,Communication &amp; Media Studies</t>
  </si>
  <si>
    <t>Makerere University</t>
  </si>
  <si>
    <t>Uganda</t>
  </si>
  <si>
    <t>Art, Performing Arts &amp; Design,Computer Science,Medicine &amp; Dentistry,Geology, Environmental, Earth &amp; Marine Sciences,Agriculture &amp; Forestry,Business &amp; Management,Education,Politics &amp; International Studies (incl Development Studies),Law,Civil Engineering,Psychology</t>
  </si>
  <si>
    <t>University of Malakand</t>
  </si>
  <si>
    <t>Education,Accounting &amp; Finance,Economics &amp; Econometrics,Archaeology,Communication &amp; Media Studies,Physics &amp; Astronomy,General Engineering,Law,Psychology,Business &amp; Management,Mathematics &amp; Statistics,Politics &amp; International Studies (incl Development Studies),Computer Science,Biological Sciences,Languages, Literature &amp; Linguistics,Sociology,Geology, Environmental, Earth &amp; Marine Sciences,Other Health,Chemistry,History, Philosophy &amp; Theology</t>
  </si>
  <si>
    <t>University of Malta</t>
  </si>
  <si>
    <t>Malta</t>
  </si>
  <si>
    <t>Computer Science,General Engineering,Geography,Civil Engineering,Politics &amp; International Studies (incl Development Studies),Economics &amp; Econometrics,Languages, Literature &amp; Linguistics,Mathematics &amp; Statistics,Education,Architecture,Communication &amp; Media Studies,Law,History, Philosophy &amp; Theology,Sport Science,Geology, Environmental, Earth &amp; Marine Sciences,Art, Performing Arts &amp; Design,Agriculture &amp; Forestry,Chemistry,Electrical &amp; Electronic Engineering,Physics &amp; Astronomy,Business &amp; Management,Medicine &amp; Dentistry,Mechanical &amp; Aerospace Engineering,Biological Sciences,Other Health,Psychology,Archaeology,Sociology,Accounting &amp; Finance</t>
  </si>
  <si>
    <t>University of Management and Technology</t>
  </si>
  <si>
    <t>Computer Science,Chemistry,Mathematics &amp; Statistics,Psychology,Other Health,Communication &amp; Media Studies,Medicine &amp; Dentistry,Civil Engineering,Education,Agriculture &amp; Forestry,Accounting &amp; Finance,Architecture,Mechanical &amp; Aerospace Engineering,Law,General Engineering,Physics &amp; Astronomy,Economics &amp; Econometrics,Biological Sciences,Business &amp; Management,Languages, Literature &amp; Linguistics,Electrical &amp; Electronic Engineering,Sociology,Art, Performing Arts &amp; Design,Politics &amp; International Studies (incl Development Studies)</t>
  </si>
  <si>
    <t>Mansoura University</t>
  </si>
  <si>
    <t>Business &amp; Management,Biological Sciences,Languages, Literature &amp; Linguistics,Architecture,Electrical &amp; Electronic Engineering,Computer Science,Law,Veterinary Science,Chemistry,Geography,Economics &amp; Econometrics,Sociology,Sport Science,Medicine &amp; Dentistry,Communication &amp; Media Studies,History, Philosophy &amp; Theology,Chemical Engineering,Agriculture &amp; Forestry,Geology, Environmental, Earth &amp; Marine Sciences,Politics &amp; International Studies (incl Development Studies),Mathematics &amp; Statistics,Accounting &amp; Finance,Mechanical &amp; Aerospace Engineering,Archaeology,Civil Engineering,Art, Performing Arts &amp; Design,Education,Other Health,Psychology,General Engineering,Physics &amp; Astronomy</t>
  </si>
  <si>
    <t>Marquette University</t>
  </si>
  <si>
    <t>Art, Performing Arts &amp; Design,Mathematics &amp; Statistics,Geology, Environmental, Earth &amp; Marine Sciences,Politics &amp; International Studies (incl Development Studies),Sociology,Electrical &amp; Electronic Engineering,Chemistry,Business &amp; Management,Mechanical &amp; Aerospace Engineering,Psychology,Physics &amp; Astronomy,Sport Science,Economics &amp; Econometrics,Law,Biological Sciences,Civil Engineering,Chemical Engineering,Computer Science,Other Health,Communication &amp; Media Studies,Medicine &amp; Dentistry,Education,General Engineering,Accounting &amp; Finance,History, Philosophy &amp; Theology,Languages, Literature &amp; Linguistics</t>
  </si>
  <si>
    <t>Medical University of Lodz</t>
  </si>
  <si>
    <t>University of Medicine and Pharmacy Carol Davila</t>
  </si>
  <si>
    <t>University of Memphis</t>
  </si>
  <si>
    <t>Art, Performing Arts &amp; Design,Languages, Literature &amp; Linguistics,Other Health,Sociology,Law,Communication &amp; Media Studies,Business &amp; Management,Sport Science,Psychology,General Engineering,Computer Science,Architecture,Mathematics &amp; Statistics,Chemistry,Accounting &amp; Finance,History, Philosophy &amp; Theology,Physics &amp; Astronomy,Geology, Environmental, Earth &amp; Marine Sciences,Politics &amp; International Studies (incl Development Studies),Education,Chemical Engineering,Biological Sciences,Medicine &amp; Dentistry,Economics &amp; Econometrics,Mechanical &amp; Aerospace Engineering,Agriculture &amp; Forestry,Archaeology,Electrical &amp; Electronic Engineering,Geography,Veterinary Science,Civil Engineering</t>
  </si>
  <si>
    <t>University of Mohaghegh Ardabili</t>
  </si>
  <si>
    <t>Art, Performing Arts &amp; Design,Civil Engineering,Chemistry,Economics &amp; Econometrics,Other Health,Mathematics &amp; Statistics,Law,Languages, Literature &amp; Linguistics,Chemical Engineering,Accounting &amp; Finance,Archaeology,Veterinary Science,Education,General Engineering,Biological Sciences,Sociology,Electrical &amp; Electronic Engineering,Geology, Environmental, Earth &amp; Marine Sciences,Computer Science,Physics &amp; Astronomy,Business &amp; Management,Architecture,Sport Science,Geography,Mechanical &amp; Aerospace Engineering,Psychology,History, Philosophy &amp; Theology,Agriculture &amp; Forestry,Politics &amp; International Studies (incl Development Studies)</t>
  </si>
  <si>
    <t>Montana State University</t>
  </si>
  <si>
    <t>Mechanical &amp; Aerospace Engineering,Geology, Environmental, Earth &amp; Marine Sciences,Languages, Literature &amp; Linguistics,Biological Sciences,Mathematics &amp; Statistics,Computer Science,Physics &amp; Astronomy,Medicine &amp; Dentistry,Veterinary Science,Business &amp; Management,Art, Performing Arts &amp; Design,Chemical Engineering,Sociology,Economics &amp; Econometrics,History, Philosophy &amp; Theology,Sport Science,Accounting &amp; Finance,Agriculture &amp; Forestry,Psychology,Other Health,Civil Engineering,Politics &amp; International Studies (incl Development Studies),Architecture,Electrical &amp; Electronic Engineering,Education,General Engineering,Chemistry</t>
  </si>
  <si>
    <t>University of Murcia</t>
  </si>
  <si>
    <t>Biological Sciences,Accounting &amp; Finance,Chemical Engineering,Sociology,Languages, Literature &amp; Linguistics,Geology, Environmental, Earth &amp; Marine Sciences,Computer Science,Communication &amp; Media Studies,Business &amp; Management,Medicine &amp; Dentistry,Veterinary Science,Geography,Physics &amp; Astronomy,Law,History, Philosophy &amp; Theology,Sport Science,Economics &amp; Econometrics,Other Health,Chemistry,Education,Art, Performing Arts &amp; Design,Agriculture &amp; Forestry,Mathematics &amp; Statistics,Psychology</t>
  </si>
  <si>
    <t>Nanjing University of Information Science and Technology</t>
  </si>
  <si>
    <t>Accounting &amp; Finance,Geography,Education,Chemical Engineering,Physics &amp; Astronomy,Computer Science,Geology, Environmental, Earth &amp; Marine Sciences,General Engineering,Chemistry,Languages, Literature &amp; Linguistics,Law,Art, Performing Arts &amp; Design,Agriculture &amp; Forestry,Economics &amp; Econometrics,Business &amp; Management,Mathematics &amp; Statistics,Communication &amp; Media Studies,Electrical &amp; Electronic Engineering</t>
  </si>
  <si>
    <t>Nanjing Medical University</t>
  </si>
  <si>
    <t>Nanjing Normal University</t>
  </si>
  <si>
    <t>Business &amp; Management,Electrical &amp; Electronic Engineering,Politics &amp; International Studies (incl Development Studies),Languages, Literature &amp; Linguistics,Mathematics &amp; Statistics,Psychology,Chemical Engineering,Sociology,Agriculture &amp; Forestry,Geography,Biological Sciences,Law,General Engineering,Communication &amp; Media Studies,Art, Performing Arts &amp; Design,Sport Science,Education,Archaeology,Computer Science,Chemistry,Geology, Environmental, Earth &amp; Marine Sciences,Economics &amp; Econometrics,Accounting &amp; Finance,History, Philosophy &amp; Theology,Physics &amp; Astronomy</t>
  </si>
  <si>
    <t>National Autonomous University of Mexico</t>
  </si>
  <si>
    <t>General Engineering,Architecture,Geography,Mathematics &amp; Statistics,Mechanical &amp; Aerospace Engineering,Other Health,Art, Performing Arts &amp; Design,Computer Science,Economics &amp; Econometrics,Chemistry,Chemical Engineering,Politics &amp; International Studies (incl Development Studies),Agriculture &amp; Forestry,Veterinary Science,Communication &amp; Media Studies,Law,Medicine &amp; Dentistry,Education,Physics &amp; Astronomy,Civil Engineering,Psychology,Business &amp; Management,Accounting &amp; Finance,Sociology,Geology, Environmental, Earth &amp; Marine Sciences,History, Philosophy &amp; Theology,Biological Sciences,Languages, Literature &amp; Linguistics,Electrical &amp; Electronic Engineering</t>
  </si>
  <si>
    <t>National Taipei University of Technology</t>
  </si>
  <si>
    <t>Languages, Literature &amp; Linguistics,Art, Performing Arts &amp; Design,Mechanical &amp; Aerospace Engineering,General Engineering,Civil Engineering,Computer Science,Business &amp; Management,Biological Sciences,Electrical &amp; Electronic Engineering,Chemical Engineering,Other Health,Geology, Environmental, Earth &amp; Marine Sciences,Architecture,Mathematics &amp; Statistics</t>
  </si>
  <si>
    <t>National Institute of Technology, Tiruchirappalli</t>
  </si>
  <si>
    <t>Mechanical &amp; Aerospace Engineering,Chemical Engineering,Languages, Literature &amp; Linguistics,Electrical &amp; Electronic Engineering,Computer Science,Physics &amp; Astronomy,Chemistry,Architecture,Business &amp; Management,Mathematics &amp; Statistics,General Engineering,Civil Engineering</t>
  </si>
  <si>
    <t>The New School</t>
  </si>
  <si>
    <t>Agriculture &amp; Forestry,Economics &amp; Econometrics,Communication &amp; Media Studies,Languages, Literature &amp; Linguistics,Biological Sciences,Business &amp; Management,Computer Science,Politics &amp; International Studies (incl Development Studies),Sociology,Architecture,History, Philosophy &amp; Theology,Psychology,Art, Performing Arts &amp; Design,Education</t>
  </si>
  <si>
    <t>New Mexico State University (Main campus)</t>
  </si>
  <si>
    <t>Medicine &amp; Dentistry,Art, Performing Arts &amp; Design,Chemical Engineering,Mathematics &amp; Statistics,Civil Engineering,Economics &amp; Econometrics,Electrical &amp; Electronic Engineering,Agriculture &amp; Forestry,Other Health,Education,Mechanical &amp; Aerospace Engineering,Sociology,Psychology,Politics &amp; International Studies (incl Development Studies),General Engineering,History, Philosophy &amp; Theology,Geology, Environmental, Earth &amp; Marine Sciences,Accounting &amp; Finance,Physics &amp; Astronomy,Geography,Biological Sciences,Languages, Literature &amp; Linguistics,Communication &amp; Media Studies,Sport Science,Business &amp; Management,Chemistry,Computer Science</t>
  </si>
  <si>
    <t>North China Electric Power University</t>
  </si>
  <si>
    <t>Computer Science,Law,Economics &amp; Econometrics,Chemical Engineering,General Engineering,Business &amp; Management,Mathematics &amp; Statistics,Electrical &amp; Electronic Engineering,Mechanical &amp; Aerospace Engineering,Languages, Literature &amp; Linguistics,Geology, Environmental, Earth &amp; Marine Sciences,Civil Engineering,Accounting &amp; Finance,Chemistry,Physics &amp; Astronomy</t>
  </si>
  <si>
    <t>Northeast Normal University</t>
  </si>
  <si>
    <t>Economics &amp; Econometrics,Art, Performing Arts &amp; Design,Psychology,Physics &amp; Astronomy,Biological Sciences,Accounting &amp; Finance,Business &amp; Management,Geology, Environmental, Earth &amp; Marine Sciences,Archaeology,Communication &amp; Media Studies,Mathematics &amp; Statistics,General Engineering,Sociology,Computer Science,Education,Law,Agriculture &amp; Forestry,Chemistry,Sport Science,History, Philosophy &amp; Theology,Languages, Literature &amp; Linguistics,Geography,Politics &amp; International Studies (incl Development Studies)</t>
  </si>
  <si>
    <t>University of Northern British Columbia (UNBC)</t>
  </si>
  <si>
    <t>Agriculture &amp; Forestry,Physics &amp; Astronomy,Medicine &amp; Dentistry,Education,Civil Engineering,Politics &amp; International Studies (incl Development Studies),Computer Science,Biological Sciences,Business &amp; Management,Other Health,Mathematics &amp; Statistics,Archaeology,Geography,General Engineering,Geology, Environmental, Earth &amp; Marine Sciences,Languages, Literature &amp; Linguistics,Psychology,Accounting &amp; Finance,Sport Science,Chemistry,Economics &amp; Econometrics,History, Philosophy &amp; Theology,Sociology</t>
  </si>
  <si>
    <t>North South University</t>
  </si>
  <si>
    <t>Communication &amp; Media Studies,Politics &amp; International Studies (incl Development Studies),Geology, Environmental, Earth &amp; Marine Sciences,Biological Sciences,Languages, Literature &amp; Linguistics,Law,Business &amp; Management,Other Health,Accounting &amp; Finance,History, Philosophy &amp; Theology,Architecture,Electrical &amp; Electronic Engineering,Civil Engineering,Computer Science,General Engineering,Economics &amp; Econometrics</t>
  </si>
  <si>
    <t>Nova Southeastern University</t>
  </si>
  <si>
    <t>Politics &amp; International Studies (incl Development Studies),Sociology,Chemistry,Other Health,History, Philosophy &amp; Theology,General Engineering,Geology, Environmental, Earth &amp; Marine Sciences,Geography,Law,Accounting &amp; Finance,Economics &amp; Econometrics,Computer Science,Physics &amp; Astronomy,Medicine &amp; Dentistry,Mathematics &amp; Statistics,Business &amp; Management,Sport Science,Communication &amp; Media Studies,Languages, Literature &amp; Linguistics,Psychology,Art, Performing Arts &amp; Design,Biological Sciences,Education</t>
  </si>
  <si>
    <t>Okayama University</t>
  </si>
  <si>
    <t>Architecture,Physics &amp; Astronomy,Archaeology,Biological Sciences,Economics &amp; Econometrics,General Engineering,Law,Languages, Literature &amp; Linguistics,Chemical Engineering,Education,Art, Performing Arts &amp; Design,Mechanical &amp; Aerospace Engineering,Business &amp; Management,History, Philosophy &amp; Theology,Agriculture &amp; Forestry,Electrical &amp; Electronic Engineering,Chemistry,Medicine &amp; Dentistry,Geology, Environmental, Earth &amp; Marine Sciences,Other Health,Mathematics &amp; Statistics,Civil Engineering,Accounting &amp; Finance</t>
  </si>
  <si>
    <t>University of Oviedo</t>
  </si>
  <si>
    <t>Biological Sciences,Mechanical &amp; Aerospace Engineering,Medicine &amp; Dentistry,Law,Accounting &amp; Finance,Electrical &amp; Electronic Engineering,Chemistry,Languages, Literature &amp; Linguistics,Economics &amp; Econometrics,Civil Engineering,Agriculture &amp; Forestry,Art, Performing Arts &amp; Design,Geology, Environmental, Earth &amp; Marine Sciences,Mathematics &amp; Statistics,General Engineering,Other Health,Business &amp; Management,Computer Science,Physics &amp; Astronomy,Education,Psychology,Sociology,Chemical Engineering,Sport Science,History, Philosophy &amp; Theology,Geography</t>
  </si>
  <si>
    <t>Ozyegin University</t>
  </si>
  <si>
    <t>Civil Engineering,Accounting &amp; Finance,Architecture,Psychology,Politics &amp; International Studies (incl Development Studies),Business &amp; Management,Electrical &amp; Electronic Engineering,Law,Communication &amp; Media Studies,Art, Performing Arts &amp; Design,Economics &amp; Econometrics,Computer Science,Mechanical &amp; Aerospace Engineering,Physics &amp; Astronomy,Mathematics &amp; Statistics</t>
  </si>
  <si>
    <t>Pablo de Olavide University</t>
  </si>
  <si>
    <t>History, Philosophy &amp; Theology,Languages, Literature &amp; Linguistics,Economics &amp; Econometrics,Geography,Sociology,Law,Computer Science,Sport Science,Education,Business &amp; Management,Accounting &amp; Finance,Politics &amp; International Studies (incl Development Studies)</t>
  </si>
  <si>
    <t>PalackÃ½ University Olomouc</t>
  </si>
  <si>
    <t>Politics &amp; International Studies (incl Development Studies),Communication &amp; Media Studies,Computer Science,Languages, Literature &amp; Linguistics,Law,Economics &amp; Econometrics,Sport Science,History, Philosophy &amp; Theology,Medicine &amp; Dentistry,Chemistry,Business &amp; Management,Archaeology,Biological Sciences,Other Health,Geography,Geology, Environmental, Earth &amp; Marine Sciences,General Engineering,Physics &amp; Astronomy,Psychology,Art, Performing Arts &amp; Design,Sociology,Mathematics &amp; Statistics,Education</t>
  </si>
  <si>
    <t>PanthÃ©on-Sorbonne University â€“ Paris 1</t>
  </si>
  <si>
    <t>Business &amp; Management,Mathematics &amp; Statistics,Economics &amp; Econometrics,Archaeology,Sociology,Geography,Politics &amp; International Studies (incl Development Studies),Art, Performing Arts &amp; Design,Law,History, Philosophy &amp; Theology</t>
  </si>
  <si>
    <t>University of Patras</t>
  </si>
  <si>
    <t>Accounting &amp; Finance,Geology, Environmental, Earth &amp; Marine Sciences,Economics &amp; Econometrics,Computer Science,Agriculture &amp; Forestry,Archaeology,Business &amp; Management,Education,Mechanical &amp; Aerospace Engineering,Architecture,Other Health,Chemical Engineering,Biological Sciences,History, Philosophy &amp; Theology,Chemistry,Medicine &amp; Dentistry,Electrical &amp; Electronic Engineering,Mathematics &amp; Statistics,Civil Engineering,Physics &amp; Astronomy,Languages, Literature &amp; Linguistics</t>
  </si>
  <si>
    <t>UPES</t>
  </si>
  <si>
    <t>Law,Chemistry,General Engineering,Computer Science,Art, Performing Arts &amp; Design,Electrical &amp; Electronic Engineering,Mechanical &amp; Aerospace Engineering,Chemical Engineering,Communication &amp; Media Studies,Biological Sciences,Accounting &amp; Finance,Physics &amp; Astronomy,Business &amp; Management,Civil Engineering,Geology, Environmental, Earth &amp; Marine Sciences,Mathematics &amp; Statistics</t>
  </si>
  <si>
    <t>UniversitÃ© de Poitiers</t>
  </si>
  <si>
    <t>Art, Performing Arts &amp; Design,Medicine &amp; Dentistry,History, Philosophy &amp; Theology,Languages, Literature &amp; Linguistics,Physics &amp; Astronomy,Economics &amp; Econometrics,Business &amp; Management,General Engineering,Biological Sciences,Other Health,Sport Science,Law,Geology, Environmental, Earth &amp; Marine Sciences,Electrical &amp; Electronic Engineering,Mechanical &amp; Aerospace Engineering,Psychology,Communication &amp; Media Studies,Computer Science,Politics &amp; International Studies (incl Development Studies),Veterinary Science,Sociology,Education,Geography,Archaeology,Civil Engineering,Chemical Engineering,Accounting &amp; Finance,Chemistry,Mathematics &amp; Statistics</t>
  </si>
  <si>
    <t>Pontifical Catholic University of Rio de Janeiro (PUC-Rio)</t>
  </si>
  <si>
    <t>Architecture,Mathematics &amp; Statistics,Law,Languages, Literature &amp; Linguistics,Chemical Engineering,Education,History, Philosophy &amp; Theology,Physics &amp; Astronomy,Business &amp; Management,Civil Engineering,Computer Science,Geography,General Engineering,Sociology,Mechanical &amp; Aerospace Engineering,Communication &amp; Media Studies,Electrical &amp; Electronic Engineering,Politics &amp; International Studies (incl Development Studies),Other Health,Biological Sciences,Accounting &amp; Finance,Art, Performing Arts &amp; Design,Chemistry,Psychology,Economics &amp; Econometrics</t>
  </si>
  <si>
    <t>Portland State University</t>
  </si>
  <si>
    <t>Other Health,Computer Science,Chemistry,Psychology,Archaeology,Sport Science,Education,Art, Performing Arts &amp; Design,Mechanical &amp; Aerospace Engineering,Communication &amp; Media Studies,General Engineering,Physics &amp; Astronomy,Accounting &amp; Finance,Languages, Literature &amp; Linguistics,Chemical Engineering,Sociology,History, Philosophy &amp; Theology,Agriculture &amp; Forestry,Politics &amp; International Studies (incl Development Studies),Medicine &amp; Dentistry,Biological Sciences,Business &amp; Management,Architecture,Electrical &amp; Electronic Engineering,Mathematics &amp; Statistics,Civil Engineering,Geography,Economics &amp; Econometrics,Geology, Environmental, Earth &amp; Marine Sciences</t>
  </si>
  <si>
    <t>University of the Punjab</t>
  </si>
  <si>
    <t>Chemical Engineering,Accounting &amp; Finance,Languages, Literature &amp; Linguistics,Physics &amp; Astronomy,Chemistry,Economics &amp; Econometrics,Sport Science,Psychology,Sociology,Geography,Geology, Environmental, Earth &amp; Marine Sciences,Business &amp; Management,Agriculture &amp; Forestry,Biological Sciences,Electrical &amp; Electronic Engineering,Communication &amp; Media Studies,Archaeology,Mathematics &amp; Statistics,General Engineering,Other Health,History, Philosophy &amp; Theology,Politics &amp; International Studies (incl Development Studies),Computer Science,Education,Architecture,Law,Art, Performing Arts &amp; Design</t>
  </si>
  <si>
    <t>Qassim University</t>
  </si>
  <si>
    <t>Other Health,Medicine &amp; Dentistry,Art, Performing Arts &amp; Design,Electrical &amp; Electronic Engineering,Geography,Computer Science,Sport Science,Business &amp; Management,Archaeology,Biological Sciences,Accounting &amp; Finance,History, Philosophy &amp; Theology,Chemical Engineering,Education,Architecture,Agriculture &amp; Forestry,Sociology,Civil Engineering,Chemistry,General Engineering,Mathematics &amp; Statistics,Politics &amp; International Studies (incl Development Studies),Languages, Literature &amp; Linguistics,Mechanical &amp; Aerospace Engineering,Geology, Environmental, Earth &amp; Marine Sciences,Economics &amp; Econometrics,Veterinary Science,Communication &amp; Media Studies,Physics &amp; Astronomy</t>
  </si>
  <si>
    <t>Qom University of Medical Sciences</t>
  </si>
  <si>
    <t>University of Regina</t>
  </si>
  <si>
    <t>General Engineering,Languages, Literature &amp; Linguistics,Sport Science,Communication &amp; Media Studies,Mechanical &amp; Aerospace Engineering,Sociology,Computer Science,Physics &amp; Astronomy,History, Philosophy &amp; Theology,Mathematics &amp; Statistics,Psychology,Other Health,Chemistry,Economics &amp; Econometrics,Electrical &amp; Electronic Engineering,Geology, Environmental, Earth &amp; Marine Sciences,Accounting &amp; Finance,Agriculture &amp; Forestry,Politics &amp; International Studies (incl Development Studies),Biological Sciences,Business &amp; Management,Art, Performing Arts &amp; Design,Civil Engineering,Education,Geography</t>
  </si>
  <si>
    <t>Reichman University</t>
  </si>
  <si>
    <t>Law,Business &amp; Management,Communication &amp; Media Studies,Economics &amp; Econometrics,Computer Science,Accounting &amp; Finance,Politics &amp; International Studies (incl Development Studies),Psychology</t>
  </si>
  <si>
    <t>University of Rennes 1</t>
  </si>
  <si>
    <t>Law,Electrical &amp; Electronic Engineering,Geology, Environmental, Earth &amp; Marine Sciences,Medicine &amp; Dentistry,Chemistry,Education,Other Health,Physics &amp; Astronomy,Archaeology,Chemical Engineering,History, Philosophy &amp; Theology,Biological Sciences,Politics &amp; International Studies (incl Development Studies),Mechanical &amp; Aerospace Engineering,Sociology,General Engineering,Veterinary Science,Accounting &amp; Finance,Civil Engineering,Mathematics &amp; Statistics,Business &amp; Management,Computer Science,Sport Science,Economics &amp; Econometrics,Agriculture &amp; Forestry,Communication &amp; Media Studies</t>
  </si>
  <si>
    <t>Robert Gordon University</t>
  </si>
  <si>
    <t>Sociology,Art, Performing Arts &amp; Design,Sport Science,Biological Sciences,Architecture,Chemistry,Electrical &amp; Electronic Engineering,Law,Other Health,Computer Science,Communication &amp; Media Studies,Civil Engineering,Accounting &amp; Finance,Mechanical &amp; Aerospace Engineering,Business &amp; Management</t>
  </si>
  <si>
    <t>Rochester Institute of Technology</t>
  </si>
  <si>
    <t>Sport Science,Mechanical &amp; Aerospace Engineering,Biological Sciences,Sociology,Electrical &amp; Electronic Engineering,Art, Performing Arts &amp; Design,Geology, Environmental, Earth &amp; Marine Sciences,Computer Science,Politics &amp; International Studies (incl Development Studies),Chemical Engineering,Education,Communication &amp; Media Studies,History, Philosophy &amp; Theology,Agriculture &amp; Forestry,Other Health,Economics &amp; Econometrics,Mathematics &amp; Statistics,Business &amp; Management,Psychology,Civil Engineering,Physics &amp; Astronomy,Languages, Literature &amp; Linguistics,Architecture,Accounting &amp; Finance,General Engineering,Chemistry</t>
  </si>
  <si>
    <t>University of Roehampton</t>
  </si>
  <si>
    <t>Communication &amp; Media Studies,Languages, Literature &amp; Linguistics,Education,Computer Science,Other Health,Art, Performing Arts &amp; Design,Sociology,History, Philosophy &amp; Theology,Psychology,Politics &amp; International Studies (incl Development Studies),Business &amp; Management,Accounting &amp; Finance,Biological Sciences,Sport Science,Economics &amp; Econometrics,Law</t>
  </si>
  <si>
    <t>University of Salamanca</t>
  </si>
  <si>
    <t>Art, Performing Arts &amp; Design,General Engineering,Mathematics &amp; Statistics,Psychology,Archaeology,Biological Sciences,Law,Electrical &amp; Electronic Engineering,Chemistry,Education,Medicine &amp; Dentistry,Agriculture &amp; Forestry,Geography,Other Health,Geology, Environmental, Earth &amp; Marine Sciences,Economics &amp; Econometrics,Veterinary Science,Sociology,History, Philosophy &amp; Theology,Computer Science,Physics &amp; Astronomy,Accounting &amp; Finance,Mechanical &amp; Aerospace Engineering,Communication &amp; Media Studies,Civil Engineering,Business &amp; Management,Languages, Literature &amp; Linguistics,Architecture,Chemical Engineering,Politics &amp; International Studies (incl Development Studies)</t>
  </si>
  <si>
    <t>University of Salford</t>
  </si>
  <si>
    <t>Economics &amp; Econometrics,Mechanical &amp; Aerospace Engineering,Sociology,General Engineering,Geology, Environmental, Earth &amp; Marine Sciences,Geography,Sport Science,History, Philosophy &amp; Theology,Architecture,Psychology,Mathematics &amp; Statistics,Business &amp; Management,Law,Chemical Engineering,Politics &amp; International Studies (incl Development Studies),Chemistry,Civil Engineering,Other Health,Physics &amp; Astronomy,Art, Performing Arts &amp; Design,Accounting &amp; Finance,Electrical &amp; Electronic Engineering,Computer Science,Communication &amp; Media Studies,Biological Sciences</t>
  </si>
  <si>
    <t>San Diego State University</t>
  </si>
  <si>
    <t>Communication &amp; Media Studies,Biological Sciences,Chemistry,Art, Performing Arts &amp; Design,Education,Mathematics &amp; Statistics,Mechanical &amp; Aerospace Engineering,Accounting &amp; Finance,General Engineering,Geology, Environmental, Earth &amp; Marine Sciences,Computer Science,History, Philosophy &amp; Theology,Business &amp; Management,Psychology,Civil Engineering,Electrical &amp; Electronic Engineering,Geography,Physics &amp; Astronomy,Economics &amp; Econometrics,Languages, Literature &amp; Linguistics,Politics &amp; International Studies (incl Development Studies),Sociology,Other Health</t>
  </si>
  <si>
    <t>Savitribai Phule Pune University</t>
  </si>
  <si>
    <t>Accounting &amp; Finance,Biological Sciences,Geography,Art, Performing Arts &amp; Design,Chemistry,Education,Politics &amp; International Studies (incl Development Studies),Physics &amp; Astronomy,Law,Geology, Environmental, Earth &amp; Marine Sciences,Economics &amp; Econometrics,Business &amp; Management,Communication &amp; Media Studies,History, Philosophy &amp; Theology,Languages, Literature &amp; Linguistics,Sociology,Mathematics &amp; Statistics,Psychology,Other Health,Sport Science,Computer Science</t>
  </si>
  <si>
    <t>Sechenov University</t>
  </si>
  <si>
    <t>General Engineering,Medicine &amp; Dentistry,Sociology,Other Health,Chemical Engineering,Biological Sciences,Civil Engineering,Electrical &amp; Electronic Engineering</t>
  </si>
  <si>
    <t>University of Seoul</t>
  </si>
  <si>
    <t>Mechanical &amp; Aerospace Engineering,Education,Computer Science,Chemistry,General Engineering,Geology, Environmental, Earth &amp; Marine Sciences,Art, Performing Arts &amp; Design,Biological Sciences,Business &amp; Management,History, Philosophy &amp; Theology,Law,Architecture,Physics &amp; Astronomy,Economics &amp; Econometrics,Civil Engineering,Politics &amp; International Studies (incl Development Studies),Languages, Literature &amp; Linguistics,Sport Science,Chemical Engineering,Sociology,Electrical &amp; Electronic Engineering,Mathematics &amp; Statistics</t>
  </si>
  <si>
    <t>University of Seville</t>
  </si>
  <si>
    <t>Art, Performing Arts &amp; Design,Physics &amp; Astronomy,Accounting &amp; Finance,Economics &amp; Econometrics,Medicine &amp; Dentistry,Computer Science,Communication &amp; Media Studies,Politics &amp; International Studies (incl Development Studies),Chemistry,Civil Engineering,Mathematics &amp; Statistics,History, Philosophy &amp; Theology,Geography,Architecture,Business &amp; Management,Sociology,Law,Chemical Engineering,Languages, Literature &amp; Linguistics,Mechanical &amp; Aerospace Engineering,Other Health,Electrical &amp; Electronic Engineering,Sport Science,Geology, Environmental, Earth &amp; Marine Sciences,Education,Biological Sciences,Archaeology,Psychology,General Engineering,Agriculture &amp; Forestry</t>
  </si>
  <si>
    <t>Shahrekord University of Medical Sciences</t>
  </si>
  <si>
    <t>Shantou University</t>
  </si>
  <si>
    <t>Art, Performing Arts &amp; Design,Biological Sciences,Economics &amp; Econometrics,Chemical Engineering,Geology, Environmental, Earth &amp; Marine Sciences,Other Health,Mathematics &amp; Statistics,Electrical &amp; Electronic Engineering,Mechanical &amp; Aerospace Engineering,Law,Computer Science,Education,Medicine &amp; Dentistry,Chemistry,Physics &amp; Astronomy,Accounting &amp; Finance,General Engineering,Sociology,Languages, Literature &amp; Linguistics,Communication &amp; Media Studies,Civil Engineering,Business &amp; Management</t>
  </si>
  <si>
    <t>Sheffield Hallam University</t>
  </si>
  <si>
    <t>Computer Science,Biological Sciences,Languages, Literature &amp; Linguistics,Chemical Engineering,Chemistry,Mechanical &amp; Aerospace Engineering,Communication &amp; Media Studies,Sport Science,Mathematics &amp; Statistics,Business &amp; Management,Architecture,Politics &amp; International Studies (incl Development Studies),Art, Performing Arts &amp; Design,Education,Physics &amp; Astronomy,History, Philosophy &amp; Theology,Law,Sociology,Accounting &amp; Finance,Psychology,Geography,Electrical &amp; Electronic Engineering,Geology, Environmental, Earth &amp; Marine Sciences,Economics &amp; Econometrics,Other Health</t>
  </si>
  <si>
    <t>Shiraz University</t>
  </si>
  <si>
    <t>Electrical &amp; Electronic Engineering,Sport Science,Politics &amp; International Studies (incl Development Studies),Physics &amp; Astronomy,Communication &amp; Media Studies,Computer Science,Chemistry,Economics &amp; Econometrics,Agriculture &amp; Forestry,Law,Languages, Literature &amp; Linguistics,Biological Sciences,Education,Art, Performing Arts &amp; Design,Chemical Engineering,Geography,General Engineering,Mechanical &amp; Aerospace Engineering,Geology, Environmental, Earth &amp; Marine Sciences,Accounting &amp; Finance,Architecture,Veterinary Science,Sociology,History, Philosophy &amp; Theology,Mathematics &amp; Statistics,Psychology,Archaeology,Civil Engineering,Business &amp; Management</t>
  </si>
  <si>
    <t>Shiraz University of Medical Sciences</t>
  </si>
  <si>
    <t>Shri Mata Vaishno Devi University</t>
  </si>
  <si>
    <t>Architecture,Economics &amp; Econometrics,Languages, Literature &amp; Linguistics,Biological Sciences,Electrical &amp; Electronic Engineering,Physics &amp; Astronomy,Mathematics &amp; Statistics,Civil Engineering,Computer Science,Business &amp; Management,General Engineering,Accounting &amp; Finance,Mechanical &amp; Aerospace Engineering,History, Philosophy &amp; Theology</t>
  </si>
  <si>
    <t>Siksha â€˜Oâ€™ Anusandhan</t>
  </si>
  <si>
    <t>Sogang University</t>
  </si>
  <si>
    <t>Politics &amp; International Studies (incl Development Studies),Chemistry,Electrical &amp; Electronic Engineering,Law,Business &amp; Management,Education,Mechanical &amp; Aerospace Engineering,Chemical Engineering,Communication &amp; Media Studies,Economics &amp; Econometrics,Psychology,Mathematics &amp; Statistics,Languages, Literature &amp; Linguistics,Accounting &amp; Finance,Biological Sciences,Physics &amp; Astronomy,Sociology,History, Philosophy &amp; Theology,Computer Science</t>
  </si>
  <si>
    <t>Institute of Space Technology</t>
  </si>
  <si>
    <t>Mathematics &amp; Statistics,Mechanical &amp; Aerospace Engineering,Electrical &amp; Electronic Engineering,Computer Science,Physics &amp; Astronomy,General Engineering</t>
  </si>
  <si>
    <t>University of Tabuk</t>
  </si>
  <si>
    <t>Civil Engineering,Accounting &amp; Finance,Mechanical &amp; Aerospace Engineering,Business &amp; Management,Art, Performing Arts &amp; Design,Chemical Engineering,Psychology,Languages, Literature &amp; Linguistics,Chemistry,Economics &amp; Econometrics,History, Philosophy &amp; Theology,Biological Sciences,Veterinary Science,Computer Science,Physics &amp; Astronomy,Agriculture &amp; Forestry,Medicine &amp; Dentistry,Mathematics &amp; Statistics,Other Health,Geology, Environmental, Earth &amp; Marine Sciences,General Engineering,Law,Electrical &amp; Electronic Engineering,Education</t>
  </si>
  <si>
    <t>Technical University of Madrid</t>
  </si>
  <si>
    <t>General Engineering,Civil Engineering,Geology, Environmental, Earth &amp; Marine Sciences,Computer Science,Sport Science,Mechanical &amp; Aerospace Engineering,Education,Electrical &amp; Electronic Engineering,Agriculture &amp; Forestry,Business &amp; Management,Biological Sciences,Art, Performing Arts &amp; Design,Architecture,Chemical Engineering</t>
  </si>
  <si>
    <t>University of Technology, Iraq</t>
  </si>
  <si>
    <t>Iraq</t>
  </si>
  <si>
    <t>General Engineering,Chemistry,Chemical Engineering,Physics &amp; Astronomy,Civil Engineering,Electrical &amp; Electronic Engineering,Architecture,Mechanical &amp; Aerospace Engineering,Computer Science</t>
  </si>
  <si>
    <t>University of Texas at El Paso</t>
  </si>
  <si>
    <t>Biological Sciences,Business &amp; Management,Agriculture &amp; Forestry,Sport Science,Art, Performing Arts &amp; Design,Mechanical &amp; Aerospace Engineering,Sociology,Electrical &amp; Electronic Engineering,Politics &amp; International Studies (incl Development Studies),Civil Engineering,Education,Computer Science,Physics &amp; Astronomy,Geography,Other Health,Chemistry,Economics &amp; Econometrics,Languages, Literature &amp; Linguistics,Mathematics &amp; Statistics,General Engineering,Geology, Environmental, Earth &amp; Marine Sciences,Psychology,History, Philosophy &amp; Theology,Communication &amp; Media Studies,Accounting &amp; Finance</t>
  </si>
  <si>
    <t>Tokyo University of Agriculture and Technology</t>
  </si>
  <si>
    <t>Sport Science,Mechanical &amp; Aerospace Engineering,Geography,Veterinary Science,Chemistry,Agriculture &amp; Forestry,Civil Engineering,Geology, Environmental, Earth &amp; Marine Sciences,Mathematics &amp; Statistics,General Engineering,Electrical &amp; Electronic Engineering,Physics &amp; Astronomy,Politics &amp; International Studies (incl Development Studies),Sociology,Chemical Engineering,Computer Science,Biological Sciences</t>
  </si>
  <si>
    <t>Tokyo Medical University</t>
  </si>
  <si>
    <t>Tomsk Polytechnic University</t>
  </si>
  <si>
    <t>Chemistry,Mechanical &amp; Aerospace Engineering,Electrical &amp; Electronic Engineering,General Engineering,Business &amp; Management,Physics &amp; Astronomy,Chemical Engineering,Mathematics &amp; Statistics,Computer Science,Economics &amp; Econometrics,Geology, Environmental, Earth &amp; Marine Sciences</t>
  </si>
  <si>
    <t>University of Tours</t>
  </si>
  <si>
    <t>Sociology,Geography,Electrical &amp; Electronic Engineering,Chemistry,Mechanical &amp; Aerospace Engineering,Economics &amp; Econometrics,Psychology,Communication &amp; Media Studies,Languages, Literature &amp; Linguistics,Computer Science,Politics &amp; International Studies (incl Development Studies),Chemical Engineering,Medicine &amp; Dentistry,Business &amp; Management,Education,Physics &amp; Astronomy,Other Health,Biological Sciences,Archaeology,General Engineering,Geology, Environmental, Earth &amp; Marine Sciences,History, Philosophy &amp; Theology,Accounting &amp; Finance,Mathematics &amp; Statistics,Law</t>
  </si>
  <si>
    <t>University of TrÃ¡s-os-Montes and Alto Douro</t>
  </si>
  <si>
    <t>General Engineering,Economics &amp; Econometrics,Physics &amp; Astronomy,Communication &amp; Media Studies,Mechanical &amp; Aerospace Engineering,Sport Science,Art, Performing Arts &amp; Design,Other Health,Computer Science,Biological Sciences,Mathematics &amp; Statistics,Agriculture &amp; Forestry,Business &amp; Management,Civil Engineering,Politics &amp; International Studies (incl Development Studies),Languages, Literature &amp; Linguistics,Architecture,Electrical &amp; Electronic Engineering,Chemistry,Veterinary Science,Psychology,Geology, Environmental, Earth &amp; Marine Sciences,Education</t>
  </si>
  <si>
    <t>University of Tunis El Manar</t>
  </si>
  <si>
    <t>Tunisia</t>
  </si>
  <si>
    <t>Accounting &amp; Finance,General Engineering,Chemistry,Psychology,Chemical Engineering,Mathematics &amp; Statistics,Sociology,Archaeology,Veterinary Science,History, Philosophy &amp; Theology,Other Health,Physics &amp; Astronomy,Electrical &amp; Electronic Engineering,Geology, Environmental, Earth &amp; Marine Sciences,Law,Medicine &amp; Dentistry,Computer Science,Languages, Literature &amp; Linguistics,Mechanical &amp; Aerospace Engineering,Politics &amp; International Studies (incl Development Studies),Civil Engineering,Biological Sciences,Education,Business &amp; Management,Economics &amp; Econometrics</t>
  </si>
  <si>
    <t>Urmia University</t>
  </si>
  <si>
    <t>History, Philosophy &amp; Theology,Biological Sciences,Economics &amp; Econometrics,Computer Science,Sport Science,Electrical &amp; Electronic Engineering,Chemistry,Psychology,General Engineering,Mechanical &amp; Aerospace Engineering,Accounting &amp; Finance,Agriculture &amp; Forestry,Geology, Environmental, Earth &amp; Marine Sciences,Mathematics &amp; Statistics,Geography,Art, Performing Arts &amp; Design,Chemical Engineering,Education,Architecture,Veterinary Science,Business &amp; Management,Civil Engineering,Sociology,Languages, Literature &amp; Linguistics,Physics &amp; Astronomy</t>
  </si>
  <si>
    <t>University of Veterinary and Animal Sciences, Lahore</t>
  </si>
  <si>
    <t>Geology, Environmental, Earth &amp; Marine Sciences,Veterinary Science,Biological Sciences</t>
  </si>
  <si>
    <t>University of Vic â€“ Central University of Catalonia</t>
  </si>
  <si>
    <t>Communication &amp; Media Studies,Art, Performing Arts &amp; Design,Computer Science,Languages, Literature &amp; Linguistics,Mechanical &amp; Aerospace Engineering,Accounting &amp; Finance,Business &amp; Management,Electrical &amp; Electronic Engineering,Education,Psychology,Other Health,Biological Sciences,Sport Science,Medicine &amp; Dentistry</t>
  </si>
  <si>
    <t>University of Vigo</t>
  </si>
  <si>
    <t>Archaeology,Mathematics &amp; Statistics,History, Philosophy &amp; Theology,Agriculture &amp; Forestry,Sociology,Electrical &amp; Electronic Engineering,Physics &amp; Astronomy,Economics &amp; Econometrics,Civil Engineering,Biological Sciences,Law,Computer Science,Communication &amp; Media Studies,Psychology,Mechanical &amp; Aerospace Engineering,Sport Science,Accounting &amp; Finance,General Engineering,Geology, Environmental, Earth &amp; Marine Sciences,Other Health,Politics &amp; International Studies (incl Development Studies),Business &amp; Management,Art, Performing Arts &amp; Design,Languages, Literature &amp; Linguistics,Chemistry,Education,Chemical Engineering,Geography</t>
  </si>
  <si>
    <t>Vilnius University</t>
  </si>
  <si>
    <t>Psychology,Chemistry,General Engineering,Other Health,History, Philosophy &amp; Theology,Accounting &amp; Finance,Electrical &amp; Electronic Engineering,Geology, Environmental, Earth &amp; Marine Sciences,Geography,Sociology,Business &amp; Management,Law,Biological Sciences,Economics &amp; Econometrics,Chemical Engineering,Languages, Literature &amp; Linguistics,Medicine &amp; Dentistry,Mathematics &amp; Statistics,Archaeology,Politics &amp; International Studies (incl Development Studies),Communication &amp; Media Studies,Education,Physics &amp; Astronomy,Computer Science</t>
  </si>
  <si>
    <t>Waseda University</t>
  </si>
  <si>
    <t>Waseda University Waseda Japan Tokyo</t>
  </si>
  <si>
    <t>Art, Performing Arts &amp; Design,Other Health,Mathematics &amp; Statistics,Business &amp; Management,Computer Science,Sociology,Education,Architecture,Geology, Environmental, Earth &amp; Marine Sciences,Electrical &amp; Electronic Engineering,Communication &amp; Media Studies,Economics &amp; Econometrics,Archaeology,Physics &amp; Astronomy,Law,Civil Engineering,Biological Sciences,Psychology,Languages, Literature &amp; Linguistics,Chemical Engineering,Geography,History, Philosophy &amp; Theology,Chemistry,Medicine &amp; Dentistry,Mechanical &amp; Aerospace Engineering,Politics &amp; International Studies (incl Development Studies),General Engineering,Sport Science,Accounting &amp; Finance</t>
  </si>
  <si>
    <t>Wenzhou University</t>
  </si>
  <si>
    <t>Computer Science,Mathematics &amp; Statistics,Psychology,Archaeology,Sport Science,Education,Electrical &amp; Electronic Engineering,Biological Sciences,Languages, Literature &amp; Linguistics,Geography,Chemical Engineering,Geology, Environmental, Earth &amp; Marine Sciences,Economics &amp; Econometrics,Civil Engineering,Politics &amp; International Studies (incl Development Studies),Accounting &amp; Finance,History, Philosophy &amp; Theology,Sociology,General Engineering,Chemistry,Law,Architecture,Communication &amp; Media Studies,Business &amp; Management,Art, Performing Arts &amp; Design,Agriculture &amp; Forestry</t>
  </si>
  <si>
    <t>Wenzhou Medical University</t>
  </si>
  <si>
    <t>Medicine &amp; Dentistry,Biological Sciences,Other Health</t>
  </si>
  <si>
    <t>University of Westminster</t>
  </si>
  <si>
    <t>Architecture,Languages, Literature &amp; Linguistics,Politics &amp; International Studies (incl Development Studies),Electrical &amp; Electronic Engineering,Sociology,History, Philosophy &amp; Theology,Computer Science,Business &amp; Management,Law,Economics &amp; Econometrics,Communication &amp; Media Studies,Psychology,Other Health,Accounting &amp; Finance,Biological Sciences,Art, Performing Arts &amp; Design</t>
  </si>
  <si>
    <t>YÄ±ldÄ±z Technical University</t>
  </si>
  <si>
    <t>Civil Engineering,Languages, Literature &amp; Linguistics,Mathematics &amp; Statistics,Physics &amp; Astronomy,General Engineering,Chemistry,Communication &amp; Media Studies,Computer Science,Economics &amp; Econometrics,Education,Mechanical &amp; Aerospace Engineering,Biological Sciences,Architecture,Politics &amp; International Studies (incl Development Studies),Geography,Art, Performing Arts &amp; Design,Electrical &amp; Electronic Engineering,Chemical Engineering,Geology, Environmental, Earth &amp; Marine Sciences,History, Philosophy &amp; Theology,Sociology,Business &amp; Management</t>
  </si>
  <si>
    <t>Yokohama City University</t>
  </si>
  <si>
    <t>Mathematics &amp; Statistics,Business &amp; Management,Biological Sciences,Economics &amp; Econometrics,Accounting &amp; Finance,Medicine &amp; Dentistry,Chemistry,Politics &amp; International Studies (incl Development Studies),Sociology,Other Health</t>
  </si>
  <si>
    <t>Zagazig University</t>
  </si>
  <si>
    <t>Languages, Literature &amp; Linguistics,General Engineering,Communication &amp; Media Studies,Accounting &amp; Finance,Archaeology,Chemical Engineering,Politics &amp; International Studies (incl Development Studies),Architecture,Biological Sciences,Geography,Medicine &amp; Dentistry,Sport Science,Psychology,Art, Performing Arts &amp; Design,Electrical &amp; Electronic Engineering,Physics &amp; Astronomy,Economics &amp; Econometrics,Computer Science,Veterinary Science,Law,Mechanical &amp; Aerospace Engineering,Chemistry,Business &amp; Management,History, Philosophy &amp; Theology,Agriculture &amp; Forestry,Sociology,Other Health,Mathematics &amp; Statistics,Education,Civil Engineering,Geology, Environmental, Earth &amp; Marine Sciences</t>
  </si>
  <si>
    <t>University of Zaragoza</t>
  </si>
  <si>
    <t>History, Philosophy &amp; Theology,Veterinary Science,Economics &amp; Econometrics,Medicine &amp; Dentistry,Mechanical &amp; Aerospace Engineering,Geology, Environmental, Earth &amp; Marine Sciences,Electrical &amp; Electronic Engineering,Mathematics &amp; Statistics,Business &amp; Management,Computer Science,Civil Engineering,Communication &amp; Media Studies,Other Health,Chemical Engineering,Geography,Physics &amp; Astronomy,Sociology,General Engineering,Agriculture &amp; Forestry,Psychology,Languages, Literature &amp; Linguistics,Biological Sciences,Law,Art, Performing Arts &amp; Design,Sport Science,Education,Architecture,Chemistry,Accounting &amp; Finance</t>
  </si>
  <si>
    <t>ZHAW Zurich University of Applied Sciences</t>
  </si>
  <si>
    <t>Sociology,Other Health,Economics &amp; Econometrics,Languages, Literature &amp; Linguistics,Geology, Environmental, Earth &amp; Marine Sciences,Chemistry,Architecture,Electrical &amp; Electronic Engineering,Psychology,Law,Business &amp; Management,Mathematics &amp; Statistics,Accounting &amp; Finance,Chemical Engineering,Agriculture &amp; Forestry,Biological Sciences,General Engineering,Politics &amp; International Studies (incl Development Studies),Mechanical &amp; Aerospace Engineering,Communication &amp; Media Studies,Computer Science,Civil Engineering</t>
  </si>
  <si>
    <t>Zhejiang Gongshang University</t>
  </si>
  <si>
    <t>Geology, Environmental, Earth &amp; Marine Sciences,Chemistry,Architecture,Sociology,History, Philosophy &amp; Theology,Psychology,Communication &amp; Media Studies,Art, Performing Arts &amp; Design,Business &amp; Management,Computer Science,Accounting &amp; Finance,Languages, Literature &amp; Linguistics,Law,Mathematics &amp; Statistics,General Engineering,Economics &amp; Econometrics</t>
  </si>
  <si>
    <t>1001â€“1200</t>
  </si>
  <si>
    <t>University of A CoruÃ±a</t>
  </si>
  <si>
    <t>28.3â€“32.6</t>
  </si>
  <si>
    <t>General Engineering,Communication &amp; Media Studies,Geology, Environmental, Earth &amp; Marine Sciences,Computer Science,History, Philosophy &amp; Theology,Medicine &amp; Dentistry,Economics &amp; Econometrics,Biological Sciences,Business &amp; Management,Civil Engineering,Sociology,Law,Other Health,Physics &amp; Astronomy,Mechanical &amp; Aerospace Engineering,Accounting &amp; Finance,Architecture,Psychology,Politics &amp; International Studies (incl Development Studies),Chemistry,Art, Performing Arts &amp; Design,Electrical &amp; Electronic Engineering,Agriculture &amp; Forestry,Sport Science,Languages, Literature &amp; Linguistics,Education,Mathematics &amp; Statistics</t>
  </si>
  <si>
    <t>Adam Mickiewicz University, PoznaÅ„</t>
  </si>
  <si>
    <t>History, Philosophy &amp; Theology,Law,Chemistry,Sociology,Psychology,Computer Science,Archaeology,Politics &amp; International Studies (incl Development Studies),Biological Sciences,Geology, Environmental, Earth &amp; Marine Sciences,Geography,Communication &amp; Media Studies,Mathematics &amp; Statistics,Art, Performing Arts &amp; Design,Business &amp; Management,Languages, Literature &amp; Linguistics,Physics &amp; Astronomy,Education</t>
  </si>
  <si>
    <t>AGH University of Krakow</t>
  </si>
  <si>
    <t>Mechanical &amp; Aerospace Engineering,Chemical Engineering,Business &amp; Management,Mathematics &amp; Statistics,Computer Science,Physics &amp; Astronomy,General Engineering,Sociology,Geology, Environmental, Earth &amp; Marine Sciences,Electrical &amp; Electronic Engineering,Civil Engineering</t>
  </si>
  <si>
    <t>Aichi Medical University</t>
  </si>
  <si>
    <t>Ain Shams University</t>
  </si>
  <si>
    <t>Architecture,Agriculture &amp; Forestry,Psychology,Medicine &amp; Dentistry,Chemical Engineering,Geography,Mechanical &amp; Aerospace Engineering,Communication &amp; Media Studies,Archaeology,Veterinary Science,Chemistry,Accounting &amp; Finance,Art, Performing Arts &amp; Design,Biological Sciences,Law,History, Philosophy &amp; Theology,General Engineering,Politics &amp; International Studies (incl Development Studies),Other Health,Physics &amp; Astronomy,Business &amp; Management,Computer Science,Sociology,Economics &amp; Econometrics,Languages, Literature &amp; Linguistics,Civil Engineering,Geology, Environmental, Earth &amp; Marine Sciences,Electrical &amp; Electronic Engineering,Mathematics &amp; Statistics,Education</t>
  </si>
  <si>
    <t>Akdeniz University</t>
  </si>
  <si>
    <t>History, Philosophy &amp; Theology,Biological Sciences,Education,Computer Science,Geology, Environmental, Earth &amp; Marine Sciences,Economics &amp; Econometrics,Other Health,Communication &amp; Media Studies,Mechanical &amp; Aerospace Engineering,Sociology,Architecture,Civil Engineering,Physics &amp; Astronomy,Business &amp; Management,Electrical &amp; Electronic Engineering,Chemistry,Medicine &amp; Dentistry,Mathematics &amp; Statistics,Psychology,Languages, Literature &amp; Linguistics,Sport Science,Geography,General Engineering,Politics &amp; International Studies (incl Development Studies),Accounting &amp; Finance,Archaeology,Agriculture &amp; Forestry,Law</t>
  </si>
  <si>
    <t>Al-Balqa Applied University</t>
  </si>
  <si>
    <t>Accounting &amp; Finance,Medicine &amp; Dentistry,Business &amp; Management,Law,Chemical Engineering,Physics &amp; Astronomy,Biological Sciences,Chemistry,General Engineering,Electrical &amp; Electronic Engineering,Mathematics &amp; Statistics,Computer Science,Education,Languages, Literature &amp; Linguistics,Mechanical &amp; Aerospace Engineering,Psychology,Sociology,Other Health,Civil Engineering,Agriculture &amp; Forestry,Architecture,Economics &amp; Econometrics</t>
  </si>
  <si>
    <t>University of Alicante</t>
  </si>
  <si>
    <t>General Engineering,Mathematics &amp; Statistics,Geography,Communication &amp; Media Studies,Physics &amp; Astronomy,Computer Science,Civil Engineering,Law,Geology, Environmental, Earth &amp; Marine Sciences,Business &amp; Management,Other Health,Chemistry,Archaeology,Architecture,Electrical &amp; Electronic Engineering,Politics &amp; International Studies (incl Development Studies),Sport Science,Languages, Literature &amp; Linguistics,Sociology,Biological Sciences,Economics &amp; Econometrics,Education,Chemical Engineering,History, Philosophy &amp; Theology</t>
  </si>
  <si>
    <t>University of AlmerÃ­a</t>
  </si>
  <si>
    <t>General Engineering,Psychology,Electrical &amp; Electronic Engineering,Mechanical &amp; Aerospace Engineering,Business &amp; Management,Sociology,Education,Sport Science,History, Philosophy &amp; Theology,Law,Other Health,Mathematics &amp; Statistics,Computer Science,Accounting &amp; Finance,Communication &amp; Media Studies,Chemistry,Agriculture &amp; Forestry,Languages, Literature &amp; Linguistics,Geology, Environmental, Earth &amp; Marine Sciences,Politics &amp; International Studies (incl Development Studies),Biological Sciences,Chemical Engineering,Economics &amp; Econometrics</t>
  </si>
  <si>
    <t>An-Najah National University</t>
  </si>
  <si>
    <t>Palestine</t>
  </si>
  <si>
    <t>History, Philosophy &amp; Theology,Veterinary Science,Other Health,Economics &amp; Econometrics,Sociology,Sport Science,Archaeology,Geography,Business &amp; Management,Mechanical &amp; Aerospace Engineering,Medicine &amp; Dentistry,Psychology,Mathematics &amp; Statistics,General Engineering,Physics &amp; Astronomy,Agriculture &amp; Forestry,Architecture,Law,Electrical &amp; Electronic Engineering,Education,Politics &amp; International Studies (incl Development Studies),Accounting &amp; Finance,Biological Sciences,Communication &amp; Media Studies,Chemical Engineering,Geology, Environmental, Earth &amp; Marine Sciences,Computer Science,Art, Performing Arts &amp; Design,Languages, Literature &amp; Linguistics,Civil Engineering</t>
  </si>
  <si>
    <t>University of Applied Sciences and Arts of Western Switzerland</t>
  </si>
  <si>
    <t>Other Health,Business &amp; Management,Accounting &amp; Finance,Computer Science,Agriculture &amp; Forestry,Electrical &amp; Electronic Engineering,Art, Performing Arts &amp; Design,Chemical Engineering,Biological Sciences,Civil Engineering,Architecture,Sociology,General Engineering,Mechanical &amp; Aerospace Engineering</t>
  </si>
  <si>
    <t>Ateneo de Manila University</t>
  </si>
  <si>
    <t>Philippines</t>
  </si>
  <si>
    <t>Geology, Environmental, Earth &amp; Marine Sciences,Mathematics &amp; Statistics,Languages, Literature &amp; Linguistics,Chemistry,Other Health,Business &amp; Management,Education,Medicine &amp; Dentistry,Politics &amp; International Studies (incl Development Studies),Economics &amp; Econometrics,Computer Science,Law,Psychology,Physics &amp; Astronomy,History, Philosophy &amp; Theology,Communication &amp; Media Studies,Electrical &amp; Electronic Engineering,Biological Sciences,Sociology,Accounting &amp; Finance,Art, Performing Arts &amp; Design</t>
  </si>
  <si>
    <t>Universidad AutÃ³noma de Chile</t>
  </si>
  <si>
    <t>Civil Engineering,Business &amp; Management,Law,Education,Other Health,Computer Science,Medicine &amp; Dentistry,Architecture,Chemical Engineering,Psychology,Communication &amp; Media Studies</t>
  </si>
  <si>
    <t>Azarbaijan Shahid Madani University</t>
  </si>
  <si>
    <t>Electrical &amp; Electronic Engineering,Physics &amp; Astronomy,History, Philosophy &amp; Theology,Mathematics &amp; Statistics,Biological Sciences,Chemical Engineering,Computer Science,Civil Engineering,Agriculture &amp; Forestry,Psychology,Mechanical &amp; Aerospace Engineering,Education,Law,Chemistry,General Engineering,Sport Science,Languages, Literature &amp; Linguistics</t>
  </si>
  <si>
    <t>BabeÅŸ-Bolyai University</t>
  </si>
  <si>
    <t>Biological Sciences,Mathematics &amp; Statistics,Politics &amp; International Studies (incl Development Studies),Art, Performing Arts &amp; Design,Geology, Environmental, Earth &amp; Marine Sciences,Languages, Literature &amp; Linguistics,Psychology,Sport Science,Accounting &amp; Finance,Archaeology,Electrical &amp; Electronic Engineering,Computer Science,Physics &amp; Astronomy,Law,Sociology,Education,Chemistry,Communication &amp; Media Studies,Geography,Business &amp; Management,Mechanical &amp; Aerospace Engineering,General Engineering,Chemical Engineering,Other Health,Economics &amp; Econometrics,History, Philosophy &amp; Theology</t>
  </si>
  <si>
    <t>Bahauddin Zakariya University</t>
  </si>
  <si>
    <t>Architecture,Law,Communication &amp; Media Studies,Politics &amp; International Studies (incl Development Studies),Mathematics &amp; Statistics,Sociology,Computer Science,History, Philosophy &amp; Theology,Other Health,Art, Performing Arts &amp; Design,Veterinary Science,Physics &amp; Astronomy,Chemistry,Civil Engineering,Geography,Electrical &amp; Electronic Engineering,Geology, Environmental, Earth &amp; Marine Sciences,Languages, Literature &amp; Linguistics,Mechanical &amp; Aerospace Engineering,Psychology,Agriculture &amp; Forestry,Biological Sciences,Economics &amp; Econometrics,Education,Business &amp; Management,Sport Science,Accounting &amp; Finance</t>
  </si>
  <si>
    <t>Bangladesh Agricultural University (BAU)</t>
  </si>
  <si>
    <t>Medicine &amp; Dentistry,Accounting &amp; Finance,Agriculture &amp; Forestry,Veterinary Science,Mathematics &amp; Statistics,Other Health,Economics &amp; Econometrics,Geology, Environmental, Earth &amp; Marine Sciences,Chemistry,Computer Science,Sociology,Biological Sciences,General Engineering,Business &amp; Management</t>
  </si>
  <si>
    <t>Bangladesh University of Engineering and Technology</t>
  </si>
  <si>
    <t>Bangladesh University of Engineering and Technology buet BUET</t>
  </si>
  <si>
    <t>Chemical Engineering,Civil Engineering,Physics &amp; Astronomy,Mechanical &amp; Aerospace Engineering,Mathematics &amp; Statistics,General Engineering,Electrical &amp; Electronic Engineering,Chemistry,Computer Science,Architecture</t>
  </si>
  <si>
    <t>Bartin University</t>
  </si>
  <si>
    <t>Computer Science,Chemistry,Education,Mechanical &amp; Aerospace Engineering,Sport Science,Psychology,Electrical &amp; Electronic Engineering,Physics &amp; Astronomy,Business &amp; Management,Other Health,Agriculture &amp; Forestry,History, Philosophy &amp; Theology,Mathematics &amp; Statistics,Accounting &amp; Finance,General Engineering,Biological Sciences,Archaeology,Communication &amp; Media Studies,Art, Performing Arts &amp; Design,Civil Engineering,Sociology,Architecture,Chemical Engineering,Economics &amp; Econometrics,Languages, Literature &amp; Linguistics,Politics &amp; International Studies (incl Development Studies)</t>
  </si>
  <si>
    <t>University of Bedfordshire</t>
  </si>
  <si>
    <t>Civil Engineering,Business &amp; Management,Art, Performing Arts &amp; Design,Sport Science,Education,Chemistry,Economics &amp; Econometrics,Computer Science,Communication &amp; Media Studies,Languages, Literature &amp; Linguistics,Biological Sciences,Agriculture &amp; Forestry,Accounting &amp; Finance,Other Health,Sociology,Mechanical &amp; Aerospace Engineering,Politics &amp; International Studies (incl Development Studies),Electrical &amp; Electronic Engineering,Law,General Engineering,Psychology</t>
  </si>
  <si>
    <t>Benha University</t>
  </si>
  <si>
    <t>Medicine &amp; Dentistry,Veterinary Science,Chemistry,Languages, Literature &amp; Linguistics,Chemical Engineering,Law,Electrical &amp; Electronic Engineering,Agriculture &amp; Forestry,Geography,Archaeology,Mechanical &amp; Aerospace Engineering,Accounting &amp; Finance,Architecture,Biological Sciences,Education,General Engineering,Sociology,Other Health,Sport Science,Communication &amp; Media Studies,Art, Performing Arts &amp; Design,Civil Engineering,Geology, Environmental, Earth &amp; Marine Sciences,Computer Science,Physics &amp; Astronomy,Economics &amp; Econometrics,History, Philosophy &amp; Theology,Mathematics &amp; Statistics,Business &amp; Management</t>
  </si>
  <si>
    <t>Beni-Suef University</t>
  </si>
  <si>
    <t>Business &amp; Management,Agriculture &amp; Forestry,Languages, Literature &amp; Linguistics,Chemistry,Chemical Engineering,Psychology,Communication &amp; Media Studies,History, Philosophy &amp; Theology,Law,Physics &amp; Astronomy,Electrical &amp; Electronic Engineering,Geology, Environmental, Earth &amp; Marine Sciences,General Engineering,Art, Performing Arts &amp; Design,Computer Science,Civil Engineering,Politics &amp; International Studies (incl Development Studies),Mathematics &amp; Statistics,Medicine &amp; Dentistry,Economics &amp; Econometrics,Accounting &amp; Finance,Geography,Other Health,Sport Science,Archaeology,Sociology,Education,Veterinary Science,Biological Sciences,Architecture</t>
  </si>
  <si>
    <t>Bowling Green State University</t>
  </si>
  <si>
    <t>Electrical &amp; Electronic Engineering,Architecture,General Engineering,Chemistry,Psychology,Business &amp; Management,Sociology,Mathematics &amp; Statistics,Mechanical &amp; Aerospace Engineering,Economics &amp; Econometrics,Geography,History, Philosophy &amp; Theology,Communication &amp; Media Studies,Civil Engineering,Education,Accounting &amp; Finance,Physics &amp; Astronomy,Art, Performing Arts &amp; Design,Politics &amp; International Studies (incl Development Studies),Computer Science,Law,Other Health,Biological Sciences,Languages, Literature &amp; Linguistics,Geology, Environmental, Earth &amp; Marine Sciences,Sport Science</t>
  </si>
  <si>
    <t>Brno University of Technology</t>
  </si>
  <si>
    <t>Mechanical &amp; Aerospace Engineering,Economics &amp; Econometrics,Architecture,General Engineering,Accounting &amp; Finance,Business &amp; Management,Computer Science,Chemical Engineering,Art, Performing Arts &amp; Design,Sport Science,Civil Engineering,Electrical &amp; Electronic Engineering,Chemistry</t>
  </si>
  <si>
    <t>University of Bucharest</t>
  </si>
  <si>
    <t>Mathematics &amp; Statistics,History, Philosophy &amp; Theology,Business &amp; Management,Politics &amp; International Studies (incl Development Studies),Computer Science,Geography,Communication &amp; Media Studies,Geology, Environmental, Earth &amp; Marine Sciences,Languages, Literature &amp; Linguistics,Sociology,Physics &amp; Astronomy,Chemistry,Economics &amp; Econometrics,Education,General Engineering,Law,Biological Sciences,Psychology</t>
  </si>
  <si>
    <t>University of Cadiz</t>
  </si>
  <si>
    <t>Electrical &amp; Electronic Engineering,Chemical Engineering,Other Health,Communication &amp; Media Studies,Mechanical &amp; Aerospace Engineering,Languages, Literature &amp; Linguistics,Agriculture &amp; Forestry,Psychology,Archaeology,Politics &amp; International Studies (incl Development Studies),History, Philosophy &amp; Theology,Geology, Environmental, Earth &amp; Marine Sciences,Art, Performing Arts &amp; Design,Civil Engineering,Law,Medicine &amp; Dentistry,Chemistry,Accounting &amp; Finance,General Engineering,Biological Sciences,Economics &amp; Econometrics,Computer Science,Sport Science,Mathematics &amp; Statistics,Education,Business &amp; Management</t>
  </si>
  <si>
    <t>University of Calcutta</t>
  </si>
  <si>
    <t>Archaeology,Law,Art, Performing Arts &amp; Design,Physics &amp; Astronomy,Accounting &amp; Finance,Chemistry,Business &amp; Management,Biological Sciences,Education,History, Philosophy &amp; Theology,Mathematics &amp; Statistics,Languages, Literature &amp; Linguistics,Geology, Environmental, Earth &amp; Marine Sciences,Economics &amp; Econometrics,Architecture,Sport Science,Computer Science,Sociology,Agriculture &amp; Forestry,Psychology,Chemical Engineering,Geography</t>
  </si>
  <si>
    <t>Canterbury Christ Church University</t>
  </si>
  <si>
    <t>Art, Performing Arts &amp; Design,Chemical Engineering,Education,Economics &amp; Econometrics,Accounting &amp; Finance,Veterinary Science,History, Philosophy &amp; Theology,Biological Sciences,General Engineering,Agriculture &amp; Forestry,Politics &amp; International Studies (incl Development Studies),Geography,Mechanical &amp; Aerospace Engineering,Computer Science,Medicine &amp; Dentistry,Law,Languages, Literature &amp; Linguistics,Communication &amp; Media Studies,Archaeology,Psychology,Business &amp; Management,Sport Science,Other Health,Sociology</t>
  </si>
  <si>
    <t>University of Central Lancashire</t>
  </si>
  <si>
    <t>Biological Sciences,General Engineering,Chemistry,Chemical Engineering,Veterinary Science,Other Health,Mathematics &amp; Statistics,Law,Politics &amp; International Studies (incl Development Studies),Accounting &amp; Finance,Sport Science,Architecture,History, Philosophy &amp; Theology,Geology, Environmental, Earth &amp; Marine Sciences,Sociology,Languages, Literature &amp; Linguistics,Communication &amp; Media Studies,Education,Geography,Economics &amp; Econometrics,Physics &amp; Astronomy,Psychology,Civil Engineering,Art, Performing Arts &amp; Design,Computer Science,Electrical &amp; Electronic Engineering,Business &amp; Management,Archaeology,Medicine &amp; Dentistry,Mechanical &amp; Aerospace Engineering</t>
  </si>
  <si>
    <t>Central Michigan University</t>
  </si>
  <si>
    <t>Mechanical &amp; Aerospace Engineering,Sociology,Economics &amp; Econometrics,Computer Science,Sport Science,Politics &amp; International Studies (incl Development Studies),Communication &amp; Media Studies,General Engineering,Medicine &amp; Dentistry,Other Health,Chemical Engineering,Psychology,Art, Performing Arts &amp; Design,Mathematics &amp; Statistics,Law,Geography,Education,Chemistry,Physics &amp; Astronomy,History, Philosophy &amp; Theology,Geology, Environmental, Earth &amp; Marine Sciences,Electrical &amp; Electronic Engineering,Biological Sciences,Languages, Literature &amp; Linguistics,Business &amp; Management,Accounting &amp; Finance,Agriculture &amp; Forestry</t>
  </si>
  <si>
    <t>University of Chemistry and Technology, Prague</t>
  </si>
  <si>
    <t>Chemistry,Business &amp; Management,Education,Mathematics &amp; Statistics,Mechanical &amp; Aerospace Engineering,Biological Sciences,Chemical Engineering,Economics &amp; Econometrics,Accounting &amp; Finance,General Engineering,Geology, Environmental, Earth &amp; Marine Sciences</t>
  </si>
  <si>
    <t>China Pharmaceutical University</t>
  </si>
  <si>
    <t>General Engineering,Business &amp; Management,Computer Science,Languages, Literature &amp; Linguistics,Physics &amp; Astronomy,Mathematics &amp; Statistics,Psychology,Economics &amp; Econometrics,Agriculture &amp; Forestry,Geology, Environmental, Earth &amp; Marine Sciences,Accounting &amp; Finance,Sociology,Biological Sciences,Chemistry,Other Health</t>
  </si>
  <si>
    <t>Chung Yuan Christian University</t>
  </si>
  <si>
    <t>Economics &amp; Econometrics,Physics &amp; Astronomy,History, Philosophy &amp; Theology,Mechanical &amp; Aerospace Engineering,Languages, Literature &amp; Linguistics,Civil Engineering,Mathematics &amp; Statistics,Architecture,Psychology,Chemistry,Business &amp; Management,Art, Performing Arts &amp; Design,General Engineering,Accounting &amp; Finance,Biological Sciences,Electrical &amp; Electronic Engineering,Law,Computer Science,Education,Chemical Engineering,Geology, Environmental, Earth &amp; Marine Sciences</t>
  </si>
  <si>
    <t>University of Colombo</t>
  </si>
  <si>
    <t>Sri Lanka</t>
  </si>
  <si>
    <t>Geology, Environmental, Earth &amp; Marine Sciences,Business &amp; Management,Other Health,Agriculture &amp; Forestry,Law,Mathematics &amp; Statistics,Computer Science,Sport Science,Economics &amp; Econometrics,History, Philosophy &amp; Theology,Communication &amp; Media Studies,Psychology,General Engineering,Sociology,Chemistry,Geography,Medicine &amp; Dentistry,Biological Sciences,Education,Languages, Literature &amp; Linguistics,Politics &amp; International Studies (incl Development Studies),Art, Performing Arts &amp; Design,Physics &amp; Astronomy,Accounting &amp; Finance</t>
  </si>
  <si>
    <t>Comenius University in Bratislava</t>
  </si>
  <si>
    <t>Slovakia</t>
  </si>
  <si>
    <t>Archaeology,Politics &amp; International Studies (incl Development Studies),Psychology,History, Philosophy &amp; Theology,Physics &amp; Astronomy,Other Health,Sociology,Mathematics &amp; Statistics,Biological Sciences,Law,Medicine &amp; Dentistry,Geography,Business &amp; Management,Computer Science,Geology, Environmental, Earth &amp; Marine Sciences,Education,Communication &amp; Media Studies,Languages, Literature &amp; Linguistics,Sport Science,Chemistry</t>
  </si>
  <si>
    <t>Czech Technical University in Prague</t>
  </si>
  <si>
    <t>Chemical Engineering,Other Health,Economics &amp; Econometrics,Computer Science,Mathematics &amp; Statistics,Civil Engineering,Business &amp; Management,Chemistry,Physics &amp; Astronomy,General Engineering,Biological Sciences,Electrical &amp; Electronic Engineering,Mechanical &amp; Aerospace Engineering,Accounting &amp; Finance</t>
  </si>
  <si>
    <t>Democritus University of Thrace</t>
  </si>
  <si>
    <t>History, Philosophy &amp; Theology,Law,Politics &amp; International Studies (incl Development Studies),General Engineering,Electrical &amp; Electronic Engineering,Civil Engineering,Medicine &amp; Dentistry,Education,Languages, Literature &amp; Linguistics,Economics &amp; Econometrics,Sport Science,Biological Sciences,Agriculture &amp; Forestry</t>
  </si>
  <si>
    <t>Universidad del Desarrollo</t>
  </si>
  <si>
    <t>Universidad del Desarrollo Universidad del Desarrollo UDD Desarrollo University</t>
  </si>
  <si>
    <t>Civil Engineering,Psychology,Communication &amp; Media Studies,Architecture,General Engineering,Education,Other Health,Business &amp; Management,Medicine &amp; Dentistry,Computer Science,Art, Performing Arts &amp; Design,Politics &amp; International Studies (incl Development Studies),Law,Geology, Environmental, Earth &amp; Marine Sciences</t>
  </si>
  <si>
    <t>Diego Portales University</t>
  </si>
  <si>
    <t>General Engineering,Computer Science,Architecture,Politics &amp; International Studies (incl Development Studies),Other Health,Psychology,History, Philosophy &amp; Theology,Sociology,Medicine &amp; Dentistry,Education,Art, Performing Arts &amp; Design,Civil Engineering,Economics &amp; Econometrics,Languages, Literature &amp; Linguistics,Law,Communication &amp; Media Studies,Business &amp; Management,Physics &amp; Astronomy,Accounting &amp; Finance</t>
  </si>
  <si>
    <t>UniversitÃ© Djillali LiabÃ¨s de Sidi Bel-AbbÃ¨s</t>
  </si>
  <si>
    <t>Algeria</t>
  </si>
  <si>
    <t>Biological Sciences,Chemistry,Business &amp; Management,General Engineering,Other Health,History, Philosophy &amp; Theology,Agriculture &amp; Forestry,Medicine &amp; Dentistry,Languages, Literature &amp; Linguistics,Accounting &amp; Finance,Geology, Environmental, Earth &amp; Marine Sciences,Physics &amp; Astronomy,Computer Science,Art, Performing Arts &amp; Design,Communication &amp; Media Studies,Mathematics &amp; Statistics,Chemical Engineering,Psychology,Economics &amp; Econometrics,Mechanical &amp; Aerospace Engineering,Law,Civil Engineering,Sociology,Electrical &amp; Electronic Engineering,Politics &amp; International Studies (incl Development Studies)</t>
  </si>
  <si>
    <t>Don State Technical University</t>
  </si>
  <si>
    <t>Languages, Literature &amp; Linguistics,Art, Performing Arts &amp; Design,Agriculture &amp; Forestry,Communication &amp; Media Studies,Biological Sciences,Education,History, Philosophy &amp; Theology,Sport Science,Electrical &amp; Electronic Engineering,Geology, Environmental, Earth &amp; Marine Sciences,Computer Science,Chemistry,Economics &amp; Econometrics,Civil Engineering,Sociology,Architecture,Veterinary Science,Business &amp; Management,General Engineering,Physics &amp; Astronomy,Psychology,Mechanical &amp; Aerospace Engineering,Mathematics &amp; Statistics,Accounting &amp; Finance,Chemical Engineering,Law</t>
  </si>
  <si>
    <t>Dr B.R. Ambedkar National Institute of Technology Jalandhar</t>
  </si>
  <si>
    <t>Economics &amp; Econometrics,Computer Science,Accounting &amp; Finance,Mechanical &amp; Aerospace Engineering,Mathematics &amp; Statistics,Electrical &amp; Electronic Engineering,General Engineering,Physics &amp; Astronomy,Civil Engineering,Chemistry,Chemical Engineering,Business &amp; Management,Languages, Literature &amp; Linguistics</t>
  </si>
  <si>
    <t>Durban University of Technology</t>
  </si>
  <si>
    <t>Art, Performing Arts &amp; Design,Chemistry,Business &amp; Management,Languages, Literature &amp; Linguistics,History, Philosophy &amp; Theology,Law,Geography,Archaeology,Sociology,General Engineering,Biological Sciences,Psychology,Computer Science,Civil Engineering,Mechanical &amp; Aerospace Engineering,Medicine &amp; Dentistry,Politics &amp; International Studies (incl Development Studies),Geology, Environmental, Earth &amp; Marine Sciences,Accounting &amp; Finance,Chemical Engineering,Physics &amp; Astronomy,Other Health,Economics &amp; Econometrics,Communication &amp; Media Studies,Education,Electrical &amp; Electronic Engineering,Agriculture &amp; Forestry,Mathematics &amp; Statistics,Architecture,Sport Science</t>
  </si>
  <si>
    <t>University of East London</t>
  </si>
  <si>
    <t>Biological Sciences,Art, Performing Arts &amp; Design,Architecture,Chemistry,Business &amp; Management,Education,Psychology,Mechanical &amp; Aerospace Engineering,Economics &amp; Econometrics,Computer Science,Communication &amp; Media Studies,Civil Engineering,Law,General Engineering,Electrical &amp; Electronic Engineering,Sociology,Accounting &amp; Finance,Politics &amp; International Studies (incl Development Studies),Sport Science</t>
  </si>
  <si>
    <t>Edge Hill University</t>
  </si>
  <si>
    <t>Education,Electrical &amp; Electronic Engineering,History, Philosophy &amp; Theology,Economics &amp; Econometrics,Other Health,Medicine &amp; Dentistry,Sociology,Geography,Geology, Environmental, Earth &amp; Marine Sciences,Politics &amp; International Studies (incl Development Studies),Languages, Literature &amp; Linguistics,Law,Psychology,Art, Performing Arts &amp; Design,Communication &amp; Media Studies,Business &amp; Management,Sport Science,Biological Sciences,Accounting &amp; Finance,Computer Science</t>
  </si>
  <si>
    <t>University of Engineering and Technology, Peshawar</t>
  </si>
  <si>
    <t>Architecture,Mathematics &amp; Statistics,Civil Engineering,Mechanical &amp; Aerospace Engineering,Computer Science,Chemical Engineering,Electrical &amp; Electronic Engineering,General Engineering</t>
  </si>
  <si>
    <t>University of Engineering &amp; Technology (UET) Lahore</t>
  </si>
  <si>
    <t>Accounting &amp; Finance,Physics &amp; Astronomy,Computer Science,Electrical &amp; Electronic Engineering,Civil Engineering,General Engineering,Business &amp; Management,Chemical Engineering,Mathematics &amp; Statistics,Chemistry,Mechanical &amp; Aerospace Engineering,Architecture,Geology, Environmental, Earth &amp; Marine Sciences</t>
  </si>
  <si>
    <t>European University of Madrid</t>
  </si>
  <si>
    <t>Civil Engineering,General Engineering,Politics &amp; International Studies (incl Development Studies),Architecture,Mathematics &amp; Statistics,Law,Art, Performing Arts &amp; Design,Sport Science,Psychology,Medicine &amp; Dentistry,Physics &amp; Astronomy,Biological Sciences,Business &amp; Management,Veterinary Science,Education,Computer Science,Communication &amp; Media Studies,Mechanical &amp; Aerospace Engineering,Accounting &amp; Finance,Other Health,Geology, Environmental, Earth &amp; Marine Sciences</t>
  </si>
  <si>
    <t>University of Extremadura</t>
  </si>
  <si>
    <t>Civil Engineering,Geography,Other Health,Physics &amp; Astronomy,Agriculture &amp; Forestry,General Engineering,Communication &amp; Media Studies,Medicine &amp; Dentistry,Education,Veterinary Science,Chemical Engineering,Law,Mathematics &amp; Statistics,Economics &amp; Econometrics,Sport Science,History, Philosophy &amp; Theology,Chemistry,Computer Science,Business &amp; Management,Electrical &amp; Electronic Engineering,Languages, Literature &amp; Linguistics,Geology, Environmental, Earth &amp; Marine Sciences,Mechanical &amp; Aerospace Engineering,Psychology,Biological Sciences,Accounting &amp; Finance</t>
  </si>
  <si>
    <t>Fayoum University</t>
  </si>
  <si>
    <t>Architecture,Other Health,Psychology,Mechanical &amp; Aerospace Engineering,Law,Computer Science,Agriculture &amp; Forestry,General Engineering,Sociology,Politics &amp; International Studies (incl Development Studies),Languages, Literature &amp; Linguistics,Civil Engineering,Chemical Engineering,Biological Sciences,Art, Performing Arts &amp; Design,Chemistry,History, Philosophy &amp; Theology,Archaeology,Geography,Sport Science,Education,Physics &amp; Astronomy,Geology, Environmental, Earth &amp; Marine Sciences,Electrical &amp; Electronic Engineering,Mathematics &amp; Statistics,Medicine &amp; Dentistry</t>
  </si>
  <si>
    <t>Federal University of SÃ£o Carlos</t>
  </si>
  <si>
    <t>Chemical Engineering,Sociology,History, Philosophy &amp; Theology,Chemistry,General Engineering,Medicine &amp; Dentistry,Business &amp; Management,Education,Geography,Civil Engineering,Computer Science,Biological Sciences,Languages, Literature &amp; Linguistics,Mathematics &amp; Statistics,Physics &amp; Astronomy,Other Health,Communication &amp; Media Studies,Agriculture &amp; Forestry,Mechanical &amp; Aerospace Engineering,Psychology,Art, Performing Arts &amp; Design,Economics &amp; Econometrics,Geology, Environmental, Earth &amp; Marine Sciences,Sport Science,Electrical &amp; Electronic Engineering,Politics &amp; International Studies (incl Development Studies)</t>
  </si>
  <si>
    <t>Federal University of Technology Akure</t>
  </si>
  <si>
    <t>Electrical &amp; Electronic Engineering,Medicine &amp; Dentistry,Economics &amp; Econometrics,Biological Sciences,Chemistry,Architecture,Agriculture &amp; Forestry,Physics &amp; Astronomy,Geology, Environmental, Earth &amp; Marine Sciences,Chemical Engineering,Mechanical &amp; Aerospace Engineering,Computer Science,Mathematics &amp; Statistics,Accounting &amp; Finance,Business &amp; Management,Other Health,Civil Engineering,General Engineering</t>
  </si>
  <si>
    <t>Financial University under the Government of the Russian Federation</t>
  </si>
  <si>
    <t>Mathematics &amp; Statistics,Politics &amp; International Studies (incl Development Studies),Sociology,Computer Science,Business &amp; Management,Law,Economics &amp; Econometrics,Accounting &amp; Finance,Communication &amp; Media Studies</t>
  </si>
  <si>
    <t>Firat University</t>
  </si>
  <si>
    <t>Chemical Engineering,Communication &amp; Media Studies,History, Philosophy &amp; Theology,Mathematics &amp; Statistics,Education,Other Health,Biological Sciences,Geography,Civil Engineering,Sociology,Medicine &amp; Dentistry,Sport Science,Business &amp; Management,General Engineering,Geology, Environmental, Earth &amp; Marine Sciences,Languages, Literature &amp; Linguistics,Mechanical &amp; Aerospace Engineering,Politics &amp; International Studies (incl Development Studies),Architecture,Physics &amp; Astronomy,Computer Science,Veterinary Science,Economics &amp; Econometrics,Art, Performing Arts &amp; Design,Electrical &amp; Electronic Engineering,Chemistry,Accounting &amp; Finance</t>
  </si>
  <si>
    <t>Florida Agricultural and Mechanical University</t>
  </si>
  <si>
    <t>Civil Engineering,Economics &amp; Econometrics,Biological Sciences,Mathematics &amp; Statistics,Education,History, Philosophy &amp; Theology,Sport Science,Physics &amp; Astronomy,Mechanical &amp; Aerospace Engineering,Accounting &amp; Finance,Business &amp; Management,Agriculture &amp; Forestry,Languages, Literature &amp; Linguistics,Other Health,Geology, Environmental, Earth &amp; Marine Sciences,Law,Psychology,Communication &amp; Media Studies,Architecture,Sociology,Chemistry,Electrical &amp; Electronic Engineering,Chemical Engineering,Politics &amp; International Studies (incl Development Studies),Computer Science,Art, Performing Arts &amp; Design,Geography,General Engineering</t>
  </si>
  <si>
    <t>University of Franche-ComtÃ©</t>
  </si>
  <si>
    <t>Physics &amp; Astronomy,Mechanical &amp; Aerospace Engineering,Computer Science,Geography,Communication &amp; Media Studies,Civil Engineering,Education,Other Health,Sociology,Business &amp; Management,Medicine &amp; Dentistry,Economics &amp; Econometrics,Biological Sciences,General Engineering,Art, Performing Arts &amp; Design,Chemistry,Chemical Engineering,Accounting &amp; Finance,Geology, Environmental, Earth &amp; Marine Sciences,Electrical &amp; Electronic Engineering,Languages, Literature &amp; Linguistics,Sport Science,Mathematics &amp; Statistics,History, Philosophy &amp; Theology,Law,Archaeology,Psychology,Agriculture &amp; Forestry</t>
  </si>
  <si>
    <t>Fu Jen Catholic University</t>
  </si>
  <si>
    <t>Chemical Engineering,Computer Science,Art, Performing Arts &amp; Design,Civil Engineering,Sociology,Economics &amp; Econometrics,History, Philosophy &amp; Theology,Physics &amp; Astronomy,Business &amp; Management,Geology, Environmental, Earth &amp; Marine Sciences,Mechanical &amp; Aerospace Engineering,Languages, Literature &amp; Linguistics,Communication &amp; Media Studies,Politics &amp; International Studies (incl Development Studies),Mathematics &amp; Statistics,Archaeology,Electrical &amp; Electronic Engineering,Psychology,Accounting &amp; Finance,Agriculture &amp; Forestry,Architecture,Chemistry,Law,Sport Science,Medicine &amp; Dentistry,General Engineering,Other Health,Education,Geography,Biological Sciences</t>
  </si>
  <si>
    <t>Fujian Agriculture and Forestry University</t>
  </si>
  <si>
    <t>Languages, Literature &amp; Linguistics,Geology, Environmental, Earth &amp; Marine Sciences,Architecture,Accounting &amp; Finance,Mechanical &amp; Aerospace Engineering,Business &amp; Management,General Engineering,Economics &amp; Econometrics,Chemical Engineering,Mathematics &amp; Statistics,Electrical &amp; Electronic Engineering,Art, Performing Arts &amp; Design,Biological Sciences,Agriculture &amp; Forestry,Computer Science,Sociology,Civil Engineering</t>
  </si>
  <si>
    <t>Fujita Health University</t>
  </si>
  <si>
    <t>Fujita Health University Fujita Gakuen Fujita Medical  Fujita Academy</t>
  </si>
  <si>
    <t>Gauhati University</t>
  </si>
  <si>
    <t>Civil Engineering,Electrical &amp; Electronic Engineering,Geology, Environmental, Earth &amp; Marine Sciences,Economics &amp; Econometrics,Computer Science,Mathematics &amp; Statistics,Agriculture &amp; Forestry,Geography,Mechanical &amp; Aerospace Engineering,Physics &amp; Astronomy,Psychology,Biological Sciences,Business &amp; Management,Languages, Literature &amp; Linguistics,Law,Art, Performing Arts &amp; Design,Communication &amp; Media Studies,History, Philosophy &amp; Theology,Sociology,Education,General Engineering,Politics &amp; International Studies (incl Development Studies),Chemistry,Accounting &amp; Finance</t>
  </si>
  <si>
    <t>GdaÅ„sk University of Technology</t>
  </si>
  <si>
    <t>Chemical Engineering,General Engineering,Physics &amp; Astronomy,Chemistry,Mathematics &amp; Statistics,Geology, Environmental, Earth &amp; Marine Sciences,Computer Science,Business &amp; Management,Electrical &amp; Electronic Engineering,Economics &amp; Econometrics,Civil Engineering,Mechanical &amp; Aerospace Engineering</t>
  </si>
  <si>
    <t>University of Ghana</t>
  </si>
  <si>
    <t>General Engineering,Biological Sciences,Accounting &amp; Finance,History, Philosophy &amp; Theology,Mathematics &amp; Statistics,Sociology,Computer Science,Politics &amp; International Studies (incl Development Studies),Economics &amp; Econometrics,Geology, Environmental, Earth &amp; Marine Sciences,Other Health,Chemistry,Business &amp; Management,Languages, Literature &amp; Linguistics,Communication &amp; Media Studies,Medicine &amp; Dentistry,Sport Science,Law,Physics &amp; Astronomy,Psychology,Archaeology,Veterinary Science,Education,Agriculture &amp; Forestry,Geography</t>
  </si>
  <si>
    <t>Gifu University</t>
  </si>
  <si>
    <t>Electrical &amp; Electronic Engineering,Accounting &amp; Finance,Mechanical &amp; Aerospace Engineering,Agriculture &amp; Forestry,Economics &amp; Econometrics,General Engineering,Civil Engineering,Sociology,Education,Chemical Engineering,Other Health,Veterinary Science,Medicine &amp; Dentistry,Business &amp; Management,Biological Sciences</t>
  </si>
  <si>
    <t>GLA University</t>
  </si>
  <si>
    <t>Chemistry,Biological Sciences,Mathematics &amp; Statistics,Civil Engineering,Computer Science,Accounting &amp; Finance,Mechanical &amp; Aerospace Engineering,Law,Languages, Literature &amp; Linguistics,Business &amp; Management,Agriculture &amp; Forestry,Electrical &amp; Electronic Engineering,Education,Physics &amp; Astronomy</t>
  </si>
  <si>
    <t>University of Gujrat</t>
  </si>
  <si>
    <t>Psychology,Computer Science,Education,Politics &amp; International Studies (incl Development Studies),Geology, Environmental, Earth &amp; Marine Sciences,Electrical &amp; Electronic Engineering,Accounting &amp; Finance,Languages, Literature &amp; Linguistics,Sport Science,Law,Geography,Sociology,Chemical Engineering,Chemistry,Communication &amp; Media Studies,Economics &amp; Econometrics,Physics &amp; Astronomy,History, Philosophy &amp; Theology,Mathematics &amp; Statistics,Medicine &amp; Dentistry,Business &amp; Management,Mechanical &amp; Aerospace Engineering,Architecture,Biological Sciences,Art, Performing Arts &amp; Design</t>
  </si>
  <si>
    <t>Guru Ghasidas Vishwavidyalaya</t>
  </si>
  <si>
    <t>Electrical &amp; Electronic Engineering,Communication &amp; Media Studies,Languages, Literature &amp; Linguistics,Mathematics &amp; Statistics,Other Health,Biological Sciences,Education,Agriculture &amp; Forestry,Business &amp; Management,Computer Science,Law,Civil Engineering,Accounting &amp; Finance,Chemical Engineering,Economics &amp; Econometrics,Physics &amp; Astronomy,Sociology,Mechanical &amp; Aerospace Engineering,Politics &amp; International Studies (incl Development Studies),History, Philosophy &amp; Theology,Chemistry,Geology, Environmental, Earth &amp; Marine Sciences</t>
  </si>
  <si>
    <t>Hakim Sabzevari University</t>
  </si>
  <si>
    <t>Architecture,Law,Mechanical &amp; Aerospace Engineering,Psychology,Art, Performing Arts &amp; Design,Biological Sciences,Chemistry,Electrical &amp; Electronic Engineering,Geography,Computer Science,Sport Science,Politics &amp; International Studies (incl Development Studies),General Engineering,Sociology,History, Philosophy &amp; Theology,Civil Engineering,Physics &amp; Astronomy,Languages, Literature &amp; Linguistics,Geology, Environmental, Earth &amp; Marine Sciences,Chemical Engineering,Education</t>
  </si>
  <si>
    <t>Hamamatsu University School of Medicine</t>
  </si>
  <si>
    <t>Huaqiao University</t>
  </si>
  <si>
    <t>History, Philosophy &amp; Theology,Mathematics &amp; Statistics,Business &amp; Management,Computer Science,Economics &amp; Econometrics,Architecture,Physics &amp; Astronomy,Accounting &amp; Finance,General Engineering,Chemistry,Civil Engineering,Politics &amp; International Studies (incl Development Studies),Art, Performing Arts &amp; Design,Biological Sciences,Law,Mechanical &amp; Aerospace Engineering,Chemical Engineering,Sociology,Communication &amp; Media Studies,Languages, Literature &amp; Linguistics,Sport Science,Education,Electrical &amp; Electronic Engineering,Geology, Environmental, Earth &amp; Marine Sciences</t>
  </si>
  <si>
    <t>Icesi University</t>
  </si>
  <si>
    <t>General Engineering,Accounting &amp; Finance,Sociology,Other Health,Biological Sciences,Economics &amp; Econometrics,Computer Science,Education,Chemical Engineering,Business &amp; Management,Chemistry,Psychology,Medicine &amp; Dentistry,Communication &amp; Media Studies,Agriculture &amp; Forestry,Law,Art, Performing Arts &amp; Design,Politics &amp; International Studies (incl Development Studies)</t>
  </si>
  <si>
    <t>Ilmenau University of Technology</t>
  </si>
  <si>
    <t>Computer Science,Physics &amp; Astronomy,General Engineering,Education,Communication &amp; Media Studies,Electrical &amp; Electronic Engineering,Accounting &amp; Finance,Business &amp; Management,Economics &amp; Econometrics,Biological Sciences,Chemistry,Mathematics &amp; Statistics,Chemical Engineering</t>
  </si>
  <si>
    <t>IMT Nord Europe</t>
  </si>
  <si>
    <t>Mechanical &amp; Aerospace Engineering,Civil Engineering,Business &amp; Management,General Engineering,Electrical &amp; Electronic Engineering,Mathematics &amp; Statistics,Communication &amp; Media Studies,Chemistry,Chemical Engineering,Computer Science,Geology, Environmental, Earth &amp; Marine Sciences</t>
  </si>
  <si>
    <t>Indian Institute of Science Education and Research Kolkata</t>
  </si>
  <si>
    <t>Mathematics &amp; Statistics,Chemistry,Geology, Environmental, Earth &amp; Marine Sciences,Biological Sciences,Physics &amp; Astronomy,Economics &amp; Econometrics,Computer Science</t>
  </si>
  <si>
    <t>Indian Institute of Technology Ropar</t>
  </si>
  <si>
    <t>Computer Science,Communication &amp; Media Studies,Civil Engineering,Mathematics &amp; Statistics,Accounting &amp; Finance,General Engineering,Sociology,Mechanical &amp; Aerospace Engineering,Business &amp; Management,History, Philosophy &amp; Theology,Physics &amp; Astronomy,Languages, Literature &amp; Linguistics,Chemical Engineering,Biological Sciences,Chemistry,Economics &amp; Econometrics,Electrical &amp; Electronic Engineering,Psychology</t>
  </si>
  <si>
    <t>Indian Institute of Technology Mandi</t>
  </si>
  <si>
    <t>Psychology,Physics &amp; Astronomy,Mathematics &amp; Statistics,General Engineering,Chemistry,Electrical &amp; Electronic Engineering,Politics &amp; International Studies (incl Development Studies),Biological Sciences,Computer Science,Business &amp; Management,Mechanical &amp; Aerospace Engineering,Accounting &amp; Finance,Civil Engineering,Economics &amp; Econometrics</t>
  </si>
  <si>
    <t>University of Ioannina</t>
  </si>
  <si>
    <t>History, Philosophy &amp; Theology,Chemical Engineering,Medicine &amp; Dentistry,Accounting &amp; Finance,Computer Science,Education,Art, Performing Arts &amp; Design,Agriculture &amp; Forestry,Languages, Literature &amp; Linguistics,Biological Sciences,Economics &amp; Econometrics,Archaeology,Physics &amp; Astronomy,Architecture,Mathematics &amp; Statistics,Electrical &amp; Electronic Engineering,Business &amp; Management,General Engineering,Psychology,Other Health,Chemistry</t>
  </si>
  <si>
    <t>University of Isfahan</t>
  </si>
  <si>
    <t>General Engineering,Chemistry,Economics &amp; Econometrics,Accounting &amp; Finance,Geology, Environmental, Earth &amp; Marine Sciences,Mechanical &amp; Aerospace Engineering,Chemical Engineering,Computer Science,Geography,Languages, Literature &amp; Linguistics,Physics &amp; Astronomy,Electrical &amp; Electronic Engineering,Education,Sport Science,Civil Engineering,Law,Sociology,History, Philosophy &amp; Theology,Politics &amp; International Studies (incl Development Studies),Psychology,Communication &amp; Media Studies,Biological Sciences,Business &amp; Management,Mathematics &amp; Statistics,Other Health</t>
  </si>
  <si>
    <t>The Islamia University of Bahawalpur</t>
  </si>
  <si>
    <t>Computer Science,Education,Electrical &amp; Electronic Engineering,Civil Engineering,Biological Sciences,History, Philosophy &amp; Theology,Geography,Business &amp; Management,Physics &amp; Astronomy,Accounting &amp; Finance,Medicine &amp; Dentistry,Art, Performing Arts &amp; Design,Architecture,Agriculture &amp; Forestry,Politics &amp; International Studies (incl Development Studies),Languages, Literature &amp; Linguistics,Chemistry,Veterinary Science,Sport Science,Law,Psychology,Archaeology,Other Health,Mathematics &amp; Statistics,Geology, Environmental, Earth &amp; Marine Sciences,Communication &amp; Media Studies,Mechanical &amp; Aerospace Engineering,Sociology,Economics &amp; Econometrics</t>
  </si>
  <si>
    <t>Istanbul University</t>
  </si>
  <si>
    <t>Law,Archaeology,Art, Performing Arts &amp; Design,Business &amp; Management,Accounting &amp; Finance,Chemistry,Architecture,Physics &amp; Astronomy,Geology, Environmental, Earth &amp; Marine Sciences,Languages, Literature &amp; Linguistics,Geography,Psychology,Biological Sciences,Computer Science,History, Philosophy &amp; Theology,Sociology,Other Health,Economics &amp; Econometrics,Medicine &amp; Dentistry,Politics &amp; International Studies (incl Development Studies),Communication &amp; Media Studies,Mathematics &amp; Statistics</t>
  </si>
  <si>
    <t>Istanbul University-CerrahpaÅŸa</t>
  </si>
  <si>
    <t>Mechanical &amp; Aerospace Engineering,Chemical Engineering,Civil Engineering,Medicine &amp; Dentistry,Electrical &amp; Electronic Engineering,Geology, Environmental, Earth &amp; Marine Sciences,Education,Veterinary Science,Computer Science,Other Health,Chemistry,General Engineering,Agriculture &amp; Forestry,Sport Science</t>
  </si>
  <si>
    <t>Iuliu HaÅ£ieganu University of Medicine and Pharmacy Cluj-Napoca</t>
  </si>
  <si>
    <t>Jadavpur University</t>
  </si>
  <si>
    <t>Electrical &amp; Electronic Engineering,Mechanical &amp; Aerospace Engineering,Politics &amp; International Studies (incl Development Studies),General Engineering,Communication &amp; Media Studies,Computer Science,Geology, Environmental, Earth &amp; Marine Sciences,Geography,History, Philosophy &amp; Theology,Physics &amp; Astronomy,Languages, Literature &amp; Linguistics,Mathematics &amp; Statistics,Civil Engineering,Sociology,Chemical Engineering,Education,Biological Sciences,Economics &amp; Econometrics,Architecture,Chemistry</t>
  </si>
  <si>
    <t>University of Jeddah</t>
  </si>
  <si>
    <t>Business &amp; Management,General Engineering,Mathematics &amp; Statistics,Chemical Engineering,Sport Science,Geography,Archaeology,Civil Engineering,Biological Sciences,Chemistry,Computer Science,Medicine &amp; Dentistry,Sociology,Communication &amp; Media Studies,Mechanical &amp; Aerospace Engineering,Economics &amp; Econometrics,Accounting &amp; Finance,Other Health,Education,Electrical &amp; Electronic Engineering,Law,Art, Performing Arts &amp; Design,Languages, Literature &amp; Linguistics,History, Philosophy &amp; Theology,Physics &amp; Astronomy,Psychology</t>
  </si>
  <si>
    <t>Jimma University</t>
  </si>
  <si>
    <t>Ethiopia</t>
  </si>
  <si>
    <t>Biological Sciences,Geography,General Engineering,Veterinary Science,Business &amp; Management,History, Philosophy &amp; Theology,Mechanical &amp; Aerospace Engineering,Law,Other Health,Mathematics &amp; Statistics,Psychology,Chemical Engineering,Education,Art, Performing Arts &amp; Design,Civil Engineering,Economics &amp; Econometrics,Electrical &amp; Electronic Engineering,Communication &amp; Media Studies,Computer Science,Sport Science,Chemistry,Medicine &amp; Dentistry,Physics &amp; Astronomy,Accounting &amp; Finance,Architecture,Agriculture &amp; Forestry,Sociology,Languages, Literature &amp; Linguistics</t>
  </si>
  <si>
    <t>Kanazawa University</t>
  </si>
  <si>
    <t>Civil Engineering,Mathematics &amp; Statistics,General Engineering,Chemistry,Computer Science,Politics &amp; International Studies (incl Development Studies),Architecture,Electrical &amp; Electronic Engineering,Geography,History, Philosophy &amp; Theology,Archaeology,Education,Mechanical &amp; Aerospace Engineering,Geology, Environmental, Earth &amp; Marine Sciences,Sport Science,Accounting &amp; Finance,Languages, Literature &amp; Linguistics,Biological Sciences,Sociology,Business &amp; Management,Medicine &amp; Dentistry,Chemical Engineering,Law,Other Health,Physics &amp; Astronomy,Economics &amp; Econometrics,Psychology,Communication &amp; Media Studies</t>
  </si>
  <si>
    <t>Kansai Medical University</t>
  </si>
  <si>
    <t>Karlstad University</t>
  </si>
  <si>
    <t>Sociology,Languages, Literature &amp; Linguistics,Business &amp; Management,Mathematics &amp; Statistics,Education,Chemistry,Mechanical &amp; Aerospace Engineering,Medicine &amp; Dentistry,Sport Science,Geography,Other Health,Psychology,Art, Performing Arts &amp; Design,Biological Sciences,Politics &amp; International Studies (incl Development Studies),Computer Science,Physics &amp; Astronomy,Chemical Engineering,Economics &amp; Econometrics,Civil Engineering,Electrical &amp; Electronic Engineering,Law,Communication &amp; Media Studies,History, Philosophy &amp; Theology,Accounting &amp; Finance</t>
  </si>
  <si>
    <t>Karnatak University Dharwad</t>
  </si>
  <si>
    <t>Art, Performing Arts &amp; Design,Geography,Archaeology,Communication &amp; Media Studies,Biological Sciences,Geology, Environmental, Earth &amp; Marine Sciences,Politics &amp; International Studies (incl Development Studies),Business &amp; Management,History, Philosophy &amp; Theology,Mathematics &amp; Statistics,Law,Education,Physics &amp; Astronomy,Chemistry,Economics &amp; Econometrics,Computer Science,Sociology,Agriculture &amp; Forestry,Psychology</t>
  </si>
  <si>
    <t>Kerman University of Medical Sciences</t>
  </si>
  <si>
    <t>Politics &amp; International Studies (incl Development Studies),Medicine &amp; Dentistry,Biological Sciences,Education,Other Health</t>
  </si>
  <si>
    <t>Kharkiv National University of Radio Electronics</t>
  </si>
  <si>
    <t>Business &amp; Management,Art, Performing Arts &amp; Design,Mathematics &amp; Statistics,Computer Science,Electrical &amp; Electronic Engineering,Economics &amp; Econometrics,Mechanical &amp; Aerospace Engineering,Physics &amp; Astronomy</t>
  </si>
  <si>
    <t>Kindai University</t>
  </si>
  <si>
    <t>Chemical Engineering,Art, Performing Arts &amp; Design,History, Philosophy &amp; Theology,Electrical &amp; Electronic Engineering,Agriculture &amp; Forestry,Politics &amp; International Studies (incl Development Studies),Business &amp; Management,General Engineering,Law,Mechanical &amp; Aerospace Engineering,Other Health,Sociology,Chemistry,Computer Science,Biological Sciences,Accounting &amp; Finance,Mathematics &amp; Statistics,Medicine &amp; Dentistry,Communication &amp; Media Studies,Architecture,Economics &amp; Econometrics,Civil Engineering,Languages, Literature &amp; Linguistics,Physics &amp; Astronomy</t>
  </si>
  <si>
    <t>Kohat University of Science and Technology</t>
  </si>
  <si>
    <t>Agriculture &amp; Forestry,Business &amp; Management,Medicine &amp; Dentistry,Geology, Environmental, Earth &amp; Marine Sciences,Economics &amp; Econometrics,Chemistry,Computer Science,Law,Languages, Literature &amp; Linguistics,Physics &amp; Astronomy,Veterinary Science,Sociology,Mathematics &amp; Statistics,Accounting &amp; Finance,History, Philosophy &amp; Theology,Communication &amp; Media Studies,Biological Sciences,Education,Other Health,Psychology</t>
  </si>
  <si>
    <t>University of Kragujevac</t>
  </si>
  <si>
    <t>Economics &amp; Econometrics,General Engineering,Mechanical &amp; Aerospace Engineering,Chemistry,Biological Sciences,Education,Architecture,Sport Science,Physics &amp; Astronomy,Civil Engineering,Electrical &amp; Electronic Engineering,Business &amp; Management,Mathematics &amp; Statistics,Other Health,Languages, Literature &amp; Linguistics,Accounting &amp; Finance,Agriculture &amp; Forestry,Law,Art, Performing Arts &amp; Design,Psychology,Computer Science,Medicine &amp; Dentistry</t>
  </si>
  <si>
    <t>Kurume University</t>
  </si>
  <si>
    <t>Languages, Literature &amp; Linguistics,Other Health,Business &amp; Management,Medicine &amp; Dentistry,Accounting &amp; Finance,Psychology,Law</t>
  </si>
  <si>
    <t>Kuwait University</t>
  </si>
  <si>
    <t>Kuwait</t>
  </si>
  <si>
    <t>Architecture,Communication &amp; Media Studies,Business &amp; Management,Computer Science,Chemistry,Education,General Engineering,Mechanical &amp; Aerospace Engineering,Geography,Medicine &amp; Dentistry,Mathematics &amp; Statistics,Law,Other Health,Physics &amp; Astronomy,Languages, Literature &amp; Linguistics,Geology, Environmental, Earth &amp; Marine Sciences,Economics &amp; Econometrics,History, Philosophy &amp; Theology,Biological Sciences,Psychology,Art, Performing Arts &amp; Design,Chemical Engineering,Accounting &amp; Finance,Electrical &amp; Electronic Engineering,Sociology,Civil Engineering,Politics &amp; International Studies (incl Development Studies)</t>
  </si>
  <si>
    <t>Kwame Nkrumah University of Science and Technology</t>
  </si>
  <si>
    <t>History, Philosophy &amp; Theology,Electrical &amp; Electronic Engineering,Veterinary Science,Art, Performing Arts &amp; Design,Sociology,Architecture,Mechanical &amp; Aerospace Engineering,Sport Science,Computer Science,Business &amp; Management,Mathematics &amp; Statistics,Accounting &amp; Finance,Chemistry,Medicine &amp; Dentistry,Agriculture &amp; Forestry,Physics &amp; Astronomy,Civil Engineering,Geography,General Engineering,Politics &amp; International Studies (incl Development Studies),Languages, Literature &amp; Linguistics,Geology, Environmental, Earth &amp; Marine Sciences,Economics &amp; Econometrics,Communication &amp; Media Studies,Other Health,Biological Sciences,Law,Chemical Engineering,Education</t>
  </si>
  <si>
    <t>University of Lagos</t>
  </si>
  <si>
    <t>Education,Computer Science,Sport Science,Medicine &amp; Dentistry,Biological Sciences,Geology, Environmental, Earth &amp; Marine Sciences,Sociology,Law,Other Health,Art, Performing Arts &amp; Design,Civil Engineering,History, Philosophy &amp; Theology,Chemical Engineering,Accounting &amp; Finance,Geography,Architecture,Mathematics &amp; Statistics,Physics &amp; Astronomy,Psychology,General Engineering,Business &amp; Management,Chemistry,Electrical &amp; Electronic Engineering,Economics &amp; Econometrics,Politics &amp; International Studies (incl Development Studies),Communication &amp; Media Studies,Languages, Literature &amp; Linguistics,Mechanical &amp; Aerospace Engineering</t>
  </si>
  <si>
    <t>University of La Laguna</t>
  </si>
  <si>
    <t>Languages, Literature &amp; Linguistics,Communication &amp; Media Studies,Electrical &amp; Electronic Engineering,Geology, Environmental, Earth &amp; Marine Sciences,Architecture,Mechanical &amp; Aerospace Engineering,Geography,Computer Science,Sociology,Chemical Engineering,Sport Science,Psychology,History, Philosophy &amp; Theology,Mathematics &amp; Statistics,Business &amp; Management,Agriculture &amp; Forestry,Physics &amp; Astronomy,Accounting &amp; Finance,Art, Performing Arts &amp; Design,Medicine &amp; Dentistry,Biological Sciences,Education,Other Health,Chemistry,Economics &amp; Econometrics,Civil Engineering,Law</t>
  </si>
  <si>
    <t>University of Las Palmas de Gran Canaria</t>
  </si>
  <si>
    <t>History, Philosophy &amp; Theology,Art, Performing Arts &amp; Design,Electrical &amp; Electronic Engineering,Computer Science,Physics &amp; Astronomy,Psychology,Sociology,Business &amp; Management,Geography,Accounting &amp; Finance,Languages, Literature &amp; Linguistics,Geology, Environmental, Earth &amp; Marine Sciences,Chemical Engineering,Agriculture &amp; Forestry,Veterinary Science,Civil Engineering,Medicine &amp; Dentistry,Other Health,Politics &amp; International Studies (incl Development Studies),Communication &amp; Media Studies,Education,Sport Science,Economics &amp; Econometrics,General Engineering,Mathematics &amp; Statistics,Biological Sciences,Law,Chemistry,Archaeology,Architecture,Mechanical &amp; Aerospace Engineering</t>
  </si>
  <si>
    <t>University of Latvia</t>
  </si>
  <si>
    <t>Latvia</t>
  </si>
  <si>
    <t>History, Philosophy &amp; Theology,Communication &amp; Media Studies,Art, Performing Arts &amp; Design,Mathematics &amp; Statistics,Business &amp; Management,Computer Science,Sociology,Economics &amp; Econometrics,Archaeology,Politics &amp; International Studies (incl Development Studies),Veterinary Science,Education,Other Health,Chemistry,Accounting &amp; Finance,Medicine &amp; Dentistry,Physics &amp; Astronomy,Psychology,Agriculture &amp; Forestry,Geography,Biological Sciences,Geology, Environmental, Earth &amp; Marine Sciences,Languages, Literature &amp; Linguistics,Sport Science,Law</t>
  </si>
  <si>
    <t>University of LeÃ³n</t>
  </si>
  <si>
    <t>Computer Science,Art, Performing Arts &amp; Design,Communication &amp; Media Studies,Law,Economics &amp; Econometrics,Geology, Environmental, Earth &amp; Marine Sciences,General Engineering,Civil Engineering,Mathematics &amp; Statistics,Biological Sciences,Geography,Sport Science,Business &amp; Management,History, Philosophy &amp; Theology,Education,Veterinary Science,Politics &amp; International Studies (incl Development Studies),Chemical Engineering,Agriculture &amp; Forestry,Accounting &amp; Finance,Sociology,Other Health,Languages, Literature &amp; Linguistics,Electrical &amp; Electronic Engineering,Mechanical &amp; Aerospace Engineering</t>
  </si>
  <si>
    <t>Lorestan University</t>
  </si>
  <si>
    <t>Agriculture &amp; Forestry,Economics &amp; Econometrics,History, Philosophy &amp; Theology,Chemistry,Education,Accounting &amp; Finance,Electrical &amp; Electronic Engineering,Politics &amp; International Studies (incl Development Studies),Veterinary Science,Computer Science,Law,Chemical Engineering,Psychology,Archaeology,Geology, Environmental, Earth &amp; Marine Sciences,Physics &amp; Astronomy,Business &amp; Management,Civil Engineering,Mechanical &amp; Aerospace Engineering,Languages, Literature &amp; Linguistics,Geography,Sport Science,Biological Sciences,Mathematics &amp; Statistics</t>
  </si>
  <si>
    <t>Mae Fah Luang University</t>
  </si>
  <si>
    <t>Other Health,Medicine &amp; Dentistry,Education,Mathematics &amp; Statistics,Law,Politics &amp; International Studies (incl Development Studies),Chemical Engineering,Sport Science,Accounting &amp; Finance,Agriculture &amp; Forestry,Business &amp; Management,Languages, Literature &amp; Linguistics,Chemistry,Biological Sciences,Computer Science,Economics &amp; Econometrics,Physics &amp; Astronomy</t>
  </si>
  <si>
    <t>Maharishi Markandeshwar University (MMU)</t>
  </si>
  <si>
    <t>Medicine &amp; Dentistry,Law,Business &amp; Management,General Engineering</t>
  </si>
  <si>
    <t>University of Malaga</t>
  </si>
  <si>
    <t>Accounting &amp; Finance,Civil Engineering,Communication &amp; Media Studies,Geology, Environmental, Earth &amp; Marine Sciences,Geography,Architecture,Other Health,Chemical Engineering,Art, Performing Arts &amp; Design,Mechanical &amp; Aerospace Engineering,Business &amp; Management,Economics &amp; Econometrics,Chemistry,Computer Science,Politics &amp; International Studies (incl Development Studies),Education,History, Philosophy &amp; Theology,Law,Psychology,Biological Sciences,General Engineering,Electrical &amp; Electronic Engineering,Languages, Literature &amp; Linguistics,Physics &amp; Astronomy,Medicine &amp; Dentistry,Mathematics &amp; Statistics,Sport Science</t>
  </si>
  <si>
    <t>Universiti Malaysia Sarawak (UNIMAS)</t>
  </si>
  <si>
    <t>Art, Performing Arts &amp; Design,Civil Engineering,Psychology,Languages, Literature &amp; Linguistics,Chemistry,Electrical &amp; Electronic Engineering,Sociology,Other Health,Biological Sciences,Economics &amp; Econometrics,Agriculture &amp; Forestry,Business &amp; Management,Computer Science,Politics &amp; International Studies (incl Development Studies),Chemical Engineering,Architecture,Communication &amp; Media Studies,Medicine &amp; Dentistry,Geology, Environmental, Earth &amp; Marine Sciences,Accounting &amp; Finance,Mechanical &amp; Aerospace Engineering,Geography</t>
  </si>
  <si>
    <t>University of Maragheh</t>
  </si>
  <si>
    <t>Chemical Engineering,Geography,Civil Engineering,Languages, Literature &amp; Linguistics,Chemistry,Agriculture &amp; Forestry,Physics &amp; Astronomy,Mechanical &amp; Aerospace Engineering,Mathematics &amp; Statistics,Law,Psychology,Biological Sciences</t>
  </si>
  <si>
    <t>University of Mazandaran</t>
  </si>
  <si>
    <t>Physics &amp; Astronomy,Art, Performing Arts &amp; Design,Sociology,Archaeology,Civil Engineering,Law,Geography,Economics &amp; Econometrics,Education,Sport Science,Electrical &amp; Electronic Engineering,Mathematics &amp; Statistics,General Engineering,History, Philosophy &amp; Theology,Chemical Engineering,Politics &amp; International Studies (incl Development Studies),Business &amp; Management,Mechanical &amp; Aerospace Engineering,Chemistry,Accounting &amp; Finance,Psychology,Computer Science,Biological Sciences,Architecture,Languages, Literature &amp; Linguistics,Veterinary Science,Agriculture &amp; Forestry,Geology, Environmental, Earth &amp; Marine Sciences</t>
  </si>
  <si>
    <t>Medical University of Bialystok</t>
  </si>
  <si>
    <t>Medicine &amp; Dentistry,Biological Sciences,Sport Science,Other Health</t>
  </si>
  <si>
    <t>Medical University of GdaÅ„sk</t>
  </si>
  <si>
    <t>Other Health,Biological Sciences,Chemistry,Medicine &amp; Dentistry</t>
  </si>
  <si>
    <t>Medical University of Warsaw</t>
  </si>
  <si>
    <t>Mehran University of Engineering and Technology, Jamshoro, Pakistan</t>
  </si>
  <si>
    <t>Mechanical &amp; Aerospace Engineering,Chemical Engineering,Electrical &amp; Electronic Engineering,Architecture,Languages, Literature &amp; Linguistics,Mathematics &amp; Statistics,Business &amp; Management,Civil Engineering,Computer Science,General Engineering</t>
  </si>
  <si>
    <t>Miguel HernÃ¡ndez University of Elche</t>
  </si>
  <si>
    <t>Mechanical &amp; Aerospace Engineering,Agriculture &amp; Forestry,Psychology,General Engineering,Geology, Environmental, Earth &amp; Marine Sciences,Electrical &amp; Electronic Engineering,Art, Performing Arts &amp; Design,Biological Sciences,Business &amp; Management,Computer Science,Law,Other Health,Politics &amp; International Studies (incl Development Studies),Medicine &amp; Dentistry,Communication &amp; Media Studies,Mathematics &amp; Statistics,Sport Science,Accounting &amp; Finance</t>
  </si>
  <si>
    <t>Ming Chi University of Technology</t>
  </si>
  <si>
    <t>Business &amp; Management,Electrical &amp; Electronic Engineering,Civil Engineering,Languages, Literature &amp; Linguistics,Sport Science,Accounting &amp; Finance,Chemical Engineering,Biological Sciences,Chemistry,Computer Science,Economics &amp; Econometrics,Geology, Environmental, Earth &amp; Marine Sciences,Mechanical &amp; Aerospace Engineering,Architecture,Art, Performing Arts &amp; Design,History, Philosophy &amp; Theology,Sociology,General Engineering,Mathematics &amp; Statistics</t>
  </si>
  <si>
    <t>Minia University</t>
  </si>
  <si>
    <t>Art, Performing Arts &amp; Design,Sport Science,Psychology,Languages, Literature &amp; Linguistics,Education,Law,Veterinary Science,Mechanical &amp; Aerospace Engineering,Communication &amp; Media Studies,Other Health,Chemistry,Electrical &amp; Electronic Engineering,General Engineering,Computer Science,Geography,Physics &amp; Astronomy,Biological Sciences,Civil Engineering,History, Philosophy &amp; Theology,Chemical Engineering,Politics &amp; International Studies (incl Development Studies),Geology, Environmental, Earth &amp; Marine Sciences,Architecture,Sociology,Agriculture &amp; Forestry,Business &amp; Management,Mathematics &amp; Statistics,Medicine &amp; Dentistry</t>
  </si>
  <si>
    <t>Mirpur University of Science and Technology</t>
  </si>
  <si>
    <t>History, Philosophy &amp; Theology,Sport Science,Mathematics &amp; Statistics,Economics &amp; Econometrics,Other Health,Agriculture &amp; Forestry,Business &amp; Management,Computer Science,Civil Engineering,Languages, Literature &amp; Linguistics,Veterinary Science,Art, Performing Arts &amp; Design,Biological Sciences,Education,Mechanical &amp; Aerospace Engineering,Communication &amp; Media Studies,General Engineering,Politics &amp; International Studies (incl Development Studies),Sociology,Physics &amp; Astronomy,Accounting &amp; Finance,Electrical &amp; Electronic Engineering,Chemistry,Law</t>
  </si>
  <si>
    <t>MontanuniversitÃ¤t Leoben</t>
  </si>
  <si>
    <t>General Engineering,Physics &amp; Astronomy,Mechanical &amp; Aerospace Engineering,Electrical &amp; Electronic Engineering,Geology, Environmental, Earth &amp; Marine Sciences,Chemistry,Civil Engineering,Mathematics &amp; Statistics,Chemical Engineering</t>
  </si>
  <si>
    <t>Muhimbili University of Health and Allied Sciences</t>
  </si>
  <si>
    <t>Tanzania</t>
  </si>
  <si>
    <t>Nagoya City University</t>
  </si>
  <si>
    <t>Languages, Literature &amp; Linguistics,Computer Science,Art, Performing Arts &amp; Design,Electrical &amp; Electronic Engineering,Architecture,Communication &amp; Media Studies,Business &amp; Management,Physics &amp; Astronomy,Geology, Environmental, Earth &amp; Marine Sciences,Psychology,Chemistry,History, Philosophy &amp; Theology,Politics &amp; International Studies (incl Development Studies),Law,Education,Other Health,Sport Science,Biological Sciences,Geography,Economics &amp; Econometrics,Accounting &amp; Finance,Mathematics &amp; Statistics,Mechanical &amp; Aerospace Engineering,Medicine &amp; Dentistry,General Engineering,Sociology</t>
  </si>
  <si>
    <t>Najran University</t>
  </si>
  <si>
    <t>Medicine &amp; Dentistry,Business &amp; Management,Other Health,Education,Architecture,Psychology,Physics &amp; Astronomy,Languages, Literature &amp; Linguistics,Mathematics &amp; Statistics,Biological Sciences,Civil Engineering,Electrical &amp; Electronic Engineering,Computer Science,Law,History, Philosophy &amp; Theology,Chemistry</t>
  </si>
  <si>
    <t>National Central University</t>
  </si>
  <si>
    <t>Mechanical &amp; Aerospace Engineering,Chemistry,Education,Physics &amp; Astronomy,Psychology,Biological Sciences,Civil Engineering,Sociology,Accounting &amp; Finance,Mathematics &amp; Statistics,Business &amp; Management,Geography,Archaeology,Economics &amp; Econometrics,Electrical &amp; Electronic Engineering,Geology, Environmental, Earth &amp; Marine Sciences,General Engineering,Communication &amp; Media Studies,Languages, Literature &amp; Linguistics,Art, Performing Arts &amp; Design,Architecture,Veterinary Science,Agriculture &amp; Forestry,Law,Politics &amp; International Studies (incl Development Studies),History, Philosophy &amp; Theology,Computer Science,Medicine &amp; Dentistry,Other Health,Chemical Engineering</t>
  </si>
  <si>
    <t>National Chengchi University</t>
  </si>
  <si>
    <t>Languages, Literature &amp; Linguistics,Civil Engineering,Computer Science,Chemistry,Biological Sciences,Law,Physics &amp; Astronomy,Education,Veterinary Science,Other Health,Sport Science,Electrical &amp; Electronic Engineering,History, Philosophy &amp; Theology,Art, Performing Arts &amp; Design,Geography,Archaeology,Psychology,Economics &amp; Econometrics,Politics &amp; International Studies (incl Development Studies),Communication &amp; Media Studies,General Engineering,Accounting &amp; Finance,Business &amp; Management,Mathematics &amp; Statistics,Mechanical &amp; Aerospace Engineering,Architecture,Agriculture &amp; Forestry,Sociology,Chemical Engineering,Geology, Environmental, Earth &amp; Marine Sciences,Medicine &amp; Dentistry</t>
  </si>
  <si>
    <t>National Chung Hsing University</t>
  </si>
  <si>
    <t>National Chung Hsing University NCHU Taiwan Zhong Xing</t>
  </si>
  <si>
    <t>Chemistry,Veterinary Science,Economics &amp; Econometrics,Business &amp; Management,Other Health,Medicine &amp; Dentistry,Biological Sciences,Geology, Environmental, Earth &amp; Marine Sciences,Mathematics &amp; Statistics,Sport Science,Communication &amp; Media Studies,History, Philosophy &amp; Theology,Computer Science,Civil Engineering,Electrical &amp; Electronic Engineering,Accounting &amp; Finance,Chemical Engineering,Sociology,Languages, Literature &amp; Linguistics,Mechanical &amp; Aerospace Engineering,General Engineering,Law,Physics &amp; Astronomy,Education,Agriculture &amp; Forestry,Politics &amp; International Studies (incl Development Studies)</t>
  </si>
  <si>
    <t>National University of Computer and Emerging Sciences</t>
  </si>
  <si>
    <t>Electrical &amp; Electronic Engineering,Accounting &amp; Finance,Civil Engineering,Languages, Literature &amp; Linguistics,Mathematics &amp; Statistics,Computer Science,Business &amp; Management</t>
  </si>
  <si>
    <t>National Institute of Technology Warangal</t>
  </si>
  <si>
    <t>Accounting &amp; Finance,Computer Science,Economics &amp; Econometrics,Chemistry,Mechanical &amp; Aerospace Engineering,Biological Sciences,Electrical &amp; Electronic Engineering,Business &amp; Management,Physics &amp; Astronomy,Languages, Literature &amp; Linguistics,Civil Engineering,Chemical Engineering,Mathematics &amp; Statistics</t>
  </si>
  <si>
    <t>Necmettin Erbakan University</t>
  </si>
  <si>
    <t>Civil Engineering,Physics &amp; Astronomy,Accounting &amp; Finance,Computer Science,Politics &amp; International Studies (incl Development Studies),Medicine &amp; Dentistry,Veterinary Science,Psychology,Art, Performing Arts &amp; Design,Agriculture &amp; Forestry,Sociology,Economics &amp; Econometrics,History, Philosophy &amp; Theology,General Engineering,Law,Chemical Engineering,Chemistry,Business &amp; Management,Languages, Literature &amp; Linguistics,Biological Sciences,Communication &amp; Media Studies,Other Health,Geography,Architecture,Electrical &amp; Electronic Engineering,Geology, Environmental, Earth &amp; Marine Sciences,Mechanical &amp; Aerospace Engineering,Mathematics &amp; Statistics,Education</t>
  </si>
  <si>
    <t>Nicolaus Copernicus University in ToruÅ„</t>
  </si>
  <si>
    <t>History, Philosophy &amp; Theology,Mathematics &amp; Statistics,Psychology,Electrical &amp; Electronic Engineering,Sociology,Languages, Literature &amp; Linguistics,Sport Science,Education,Art, Performing Arts &amp; Design,Medicine &amp; Dentistry,Geography,Veterinary Science,Law,Other Health,Communication &amp; Media Studies,Economics &amp; Econometrics,Biological Sciences,Politics &amp; International Studies (incl Development Studies),Archaeology,Geology, Environmental, Earth &amp; Marine Sciences,Business &amp; Management,Computer Science,Physics &amp; Astronomy,Chemical Engineering,Chemistry,Accounting &amp; Finance</t>
  </si>
  <si>
    <t>Niigata University</t>
  </si>
  <si>
    <t>Electrical &amp; Electronic Engineering,Physics &amp; Astronomy,Economics &amp; Econometrics,Art, Performing Arts &amp; Design,Biological Sciences,Communication &amp; Media Studies,Medicine &amp; Dentistry,Computer Science,Politics &amp; International Studies (incl Development Studies),Archaeology,Chemical Engineering,Psychology,General Engineering,Sport Science,Accounting &amp; Finance,Mechanical &amp; Aerospace Engineering,Geology, Environmental, Earth &amp; Marine Sciences,Business &amp; Management,History, Philosophy &amp; Theology,Civil Engineering,Geography,Languages, Literature &amp; Linguistics,Mathematics &amp; Statistics,Law,Architecture,Agriculture &amp; Forestry,Sociology,Other Health,Chemistry,Education</t>
  </si>
  <si>
    <t>Nile University</t>
  </si>
  <si>
    <t>Business &amp; Management,Languages, Literature &amp; Linguistics,Electrical &amp; Electronic Engineering,Sociology,Physics &amp; Astronomy,Mechanical &amp; Aerospace Engineering,Chemistry,Mathematics &amp; Statistics,Architecture,Computer Science,Economics &amp; Econometrics,Accounting &amp; Finance,Civil Engineering,Psychology,General Engineering,Biological Sciences</t>
  </si>
  <si>
    <t>Nippon Medical School</t>
  </si>
  <si>
    <t>Northwest University</t>
  </si>
  <si>
    <t>Biological Sciences,Business &amp; Management,General Engineering,Geography,Languages, Literature &amp; Linguistics,Geology, Environmental, Earth &amp; Marine Sciences,Chemical Engineering,Agriculture &amp; Forestry,Accounting &amp; Finance,Archaeology,Physics &amp; Astronomy,Economics &amp; Econometrics,History, Philosophy &amp; Theology,Communication &amp; Media Studies,Art, Performing Arts &amp; Design,Mathematics &amp; Statistics,Computer Science,Law,Medicine &amp; Dentistry,Chemistry</t>
  </si>
  <si>
    <t>Oakland University</t>
  </si>
  <si>
    <t>Languages, Literature &amp; Linguistics,Sport Science,Law,History, Philosophy &amp; Theology,Biological Sciences,Sociology,Economics &amp; Econometrics,Medicine &amp; Dentistry,Chemical Engineering,Communication &amp; Media Studies,Art, Performing Arts &amp; Design,General Engineering,Physics &amp; Astronomy,Mechanical &amp; Aerospace Engineering,Chemistry,Accounting &amp; Finance,Computer Science,Education,Other Health,Psychology,Agriculture &amp; Forestry,Politics &amp; International Studies (incl Development Studies),Mathematics &amp; Statistics,Business &amp; Management,Electrical &amp; Electronic Engineering,Geology, Environmental, Earth &amp; Marine Sciences</t>
  </si>
  <si>
    <t>Ã“buda University</t>
  </si>
  <si>
    <t>Mechanical &amp; Aerospace Engineering,Geology, Environmental, Earth &amp; Marine Sciences,Education,Civil Engineering,Computer Science,Architecture,Business &amp; Management,Electrical &amp; Electronic Engineering,Mathematics &amp; Statistics</t>
  </si>
  <si>
    <t>University of Occupational and Environmental Health, Japan</t>
  </si>
  <si>
    <t>University of Occupational and Environmental Health, Japan UOEH Occupational medicine Graduate school of medical science</t>
  </si>
  <si>
    <t>University of PÃ©cs</t>
  </si>
  <si>
    <t>History, Philosophy &amp; Theology,Geology, Environmental, Earth &amp; Marine Sciences,Civil Engineering,Mathematics &amp; Statistics,Languages, Literature &amp; Linguistics,Sport Science,Electrical &amp; Electronic Engineering,Politics &amp; International Studies (incl Development Studies),Chemistry,Psychology,General Engineering,Biological Sciences,Agriculture &amp; Forestry,Computer Science,Education,Archaeology,Sociology,Law,Mechanical &amp; Aerospace Engineering,Physics &amp; Astronomy,Geography,Art, Performing Arts &amp; Design,Economics &amp; Econometrics,Business &amp; Management,Communication &amp; Media Studies,Accounting &amp; Finance,Other Health,Medicine &amp; Dentistry,Architecture</t>
  </si>
  <si>
    <t>University of Peradeniya</t>
  </si>
  <si>
    <t>Medicine &amp; Dentistry,Communication &amp; Media Studies,Economics &amp; Econometrics,History, Philosophy &amp; Theology,Agriculture &amp; Forestry,Education,Computer Science,Mechanical &amp; Aerospace Engineering,Physics &amp; Astronomy,Psychology,Biological Sciences,Politics &amp; International Studies (incl Development Studies),Other Health,Mathematics &amp; Statistics,Business &amp; Management,General Engineering,Chemistry,Accounting &amp; Finance,Languages, Literature &amp; Linguistics,Civil Engineering,Geology, Environmental, Earth &amp; Marine Sciences,Art, Performing Arts &amp; Design,Chemical Engineering,Law,Archaeology,Electrical &amp; Electronic Engineering,Geography,Veterinary Science,Sociology</t>
  </si>
  <si>
    <t>Universidad Peruana Cayetano Heredia</t>
  </si>
  <si>
    <t>Peru</t>
  </si>
  <si>
    <t>Sport Science,Other Health,Veterinary Science,Computer Science,Geology, Environmental, Earth &amp; Marine Sciences,Chemistry,Mathematics &amp; Statistics,Medicine &amp; Dentistry,Education,Psychology,Biological Sciences</t>
  </si>
  <si>
    <t>University of Peshawar</t>
  </si>
  <si>
    <t>Mathematics &amp; Statistics,General Engineering,Law,Psychology,Communication &amp; Media Studies,Geography,Business &amp; Management,Computer Science,Other Health,Politics &amp; International Studies (incl Development Studies),Physics &amp; Astronomy,Accounting &amp; Finance,Sociology,Art, Performing Arts &amp; Design,Geology, Environmental, Earth &amp; Marine Sciences,Education,Biological Sciences,Electrical &amp; Electronic Engineering,Languages, Literature &amp; Linguistics,Economics &amp; Econometrics,Archaeology,History, Philosophy &amp; Theology,Architecture,Chemistry</t>
  </si>
  <si>
    <t>Plekhanov Russian University of Economics</t>
  </si>
  <si>
    <t>Chemistry,Chemical Engineering,Geology, Environmental, Earth &amp; Marine Sciences,Art, Performing Arts &amp; Design,Sociology,Biological Sciences,Accounting &amp; Finance,Computer Science,Mathematics &amp; Statistics,Economics &amp; Econometrics,Sport Science,Education,History, Philosophy &amp; Theology,Law,Languages, Literature &amp; Linguistics,Politics &amp; International Studies (incl Development Studies),General Engineering,Psychology,Communication &amp; Media Studies,Business &amp; Management</t>
  </si>
  <si>
    <t>PMAS Arid Agriculture University Rawalpindi</t>
  </si>
  <si>
    <t>Education,Mathematics &amp; Statistics,General Engineering,Business &amp; Management,Economics &amp; Econometrics,Veterinary Science,Medicine &amp; Dentistry,Chemistry,Computer Science,Physics &amp; Astronomy,Biological Sciences,Agriculture &amp; Forestry,Accounting &amp; Finance,Geology, Environmental, Earth &amp; Marine Sciences,Other Health,Sociology</t>
  </si>
  <si>
    <t>Pondicherry University</t>
  </si>
  <si>
    <t>Geology, Environmental, Earth &amp; Marine Sciences,Sport Science,Communication &amp; Media Studies,Business &amp; Management,Agriculture &amp; Forestry,Archaeology,Economics &amp; Econometrics,Biological Sciences,Chemistry,Geography,Electrical &amp; Electronic Engineering,Sociology,General Engineering,Art, Performing Arts &amp; Design,Computer Science,Veterinary Science,Psychology,History, Philosophy &amp; Theology,Law,Education,Civil Engineering,Physics &amp; Astronomy,Languages, Literature &amp; Linguistics,Politics &amp; International Studies (incl Development Studies),Architecture,Accounting &amp; Finance,Mathematics &amp; Statistics</t>
  </si>
  <si>
    <t>Pontifical Catholic University of Rio Grande do Sul (PUCRS)</t>
  </si>
  <si>
    <t>History, Philosophy &amp; Theology,Biological Sciences,Chemical Engineering,Business &amp; Management,Medicine &amp; Dentistry,Law,Communication &amp; Media Studies,Architecture,Civil Engineering,Economics &amp; Econometrics,Languages, Literature &amp; Linguistics,Sport Science,Accounting &amp; Finance,Computer Science,Sociology,Other Health,Mechanical &amp; Aerospace Engineering,Politics &amp; International Studies (incl Development Studies),General Engineering,Education,Art, Performing Arts &amp; Design,Electrical &amp; Electronic Engineering,Psychology</t>
  </si>
  <si>
    <t>Poznan University of Medical Sciences</t>
  </si>
  <si>
    <t>Chemical Engineering,General Engineering,Other Health,Medicine &amp; Dentistry</t>
  </si>
  <si>
    <t>Public University of Navarre</t>
  </si>
  <si>
    <t>Business &amp; Management,Agriculture &amp; Forestry,Law,Physics &amp; Astronomy,Sociology,Electrical &amp; Electronic Engineering,Biological Sciences,Mechanical &amp; Aerospace Engineering,Education,Other Health,Computer Science,Economics &amp; Econometrics,Medicine &amp; Dentistry,General Engineering,Psychology,Accounting &amp; Finance,Chemistry,History, Philosophy &amp; Theology,Geology, Environmental, Earth &amp; Marine Sciences,Mathematics &amp; Statistics</t>
  </si>
  <si>
    <t>University of Rajshahi</t>
  </si>
  <si>
    <t>History, Philosophy &amp; Theology,Art, Performing Arts &amp; Design,Electrical &amp; Electronic Engineering,Geography,Geology, Environmental, Earth &amp; Marine Sciences,Chemistry,Chemical Engineering,Psychology,Sociology,Economics &amp; Econometrics,Agriculture &amp; Forestry,Law,Computer Science,Physics &amp; Astronomy,Mathematics &amp; Statistics,Sport Science,Business &amp; Management,Education,Veterinary Science,Politics &amp; International Studies (incl Development Studies),Languages, Literature &amp; Linguistics,Communication &amp; Media Studies,General Engineering,Accounting &amp; Finance,Biological Sciences</t>
  </si>
  <si>
    <t>Razi University</t>
  </si>
  <si>
    <t>Veterinary Science,Accounting &amp; Finance,Chemical Engineering,Law,Mechanical &amp; Aerospace Engineering,Physics &amp; Astronomy,Mathematics &amp; Statistics,Computer Science,Languages, Literature &amp; Linguistics,Sociology,Archaeology,Electrical &amp; Electronic Engineering,Civil Engineering,History, Philosophy &amp; Theology,Biological Sciences,Business &amp; Management,Geography,Politics &amp; International Studies (incl Development Studies),Psychology,Agriculture &amp; Forestry,Architecture,Economics &amp; Econometrics,Sport Science,Chemistry</t>
  </si>
  <si>
    <t>Riga Technical University</t>
  </si>
  <si>
    <t>Chemistry,General Engineering,Business &amp; Management,Accounting &amp; Finance,Civil Engineering,Computer Science,Chemical Engineering,Electrical &amp; Electronic Engineering,Economics &amp; Econometrics,Mechanical &amp; Aerospace Engineering,Architecture</t>
  </si>
  <si>
    <t>Riphah International University</t>
  </si>
  <si>
    <t>Sociology,Communication &amp; Media Studies,Accounting &amp; Finance,Languages, Literature &amp; Linguistics,Other Health,Physics &amp; Astronomy,Electrical &amp; Electronic Engineering,Medicine &amp; Dentistry,Business &amp; Management,History, Philosophy &amp; Theology,Veterinary Science,Computer Science,General Engineering,Law,Politics &amp; International Studies (incl Development Studies),Mathematics &amp; Statistics,Biological Sciences,Psychology,Chemistry</t>
  </si>
  <si>
    <t>Rowan University</t>
  </si>
  <si>
    <t>Other Health,Computer Science,Mathematics &amp; Statistics,Art, Performing Arts &amp; Design,Civil Engineering,Geography,Chemical Engineering,Sociology,General Engineering,Geology, Environmental, Earth &amp; Marine Sciences,Business &amp; Management,Electrical &amp; Electronic Engineering,Biological Sciences,Education,Mechanical &amp; Aerospace Engineering,Communication &amp; Media Studies,History, Philosophy &amp; Theology,Chemistry,Psychology,Medicine &amp; Dentistry,Sport Science,Languages, Literature &amp; Linguistics,Agriculture &amp; Forestry,Politics &amp; International Studies (incl Development Studies),Economics &amp; Econometrics,Physics &amp; Astronomy,Accounting &amp; Finance</t>
  </si>
  <si>
    <t>Sahand University of Technology</t>
  </si>
  <si>
    <t>Civil Engineering,Chemical Engineering,Mechanical &amp; Aerospace Engineering,General Engineering,Electrical &amp; Electronic Engineering</t>
  </si>
  <si>
    <t>Universidad San Francisco de Quito</t>
  </si>
  <si>
    <t>Ecuador</t>
  </si>
  <si>
    <t>Universidad San Francisco de Quito Universidad San Francisco de Quito USFQ</t>
  </si>
  <si>
    <t>Other Health,Biological Sciences,Sociology,Electrical &amp; Electronic Engineering,Education,Medicine &amp; Dentistry,Physics &amp; Astronomy,Economics &amp; Econometrics,Veterinary Science,Communication &amp; Media Studies,Architecture,Computer Science,Business &amp; Management,Agriculture &amp; Forestry,Law,Accounting &amp; Finance,General Engineering,Mathematics &amp; Statistics,Art, Performing Arts &amp; Design,Chemical Engineering,Politics &amp; International Studies (incl Development Studies),Civil Engineering,Psychology,Mechanical &amp; Aerospace Engineering,Geology, Environmental, Earth &amp; Marine Sciences</t>
  </si>
  <si>
    <t>University of Sargodha</t>
  </si>
  <si>
    <t>History, Philosophy &amp; Theology,Physics &amp; Astronomy,Psychology,Electrical &amp; Electronic Engineering,Communication &amp; Media Studies,Economics &amp; Econometrics,Languages, Literature &amp; Linguistics,Computer Science,Chemistry,Accounting &amp; Finance,Medicine &amp; Dentistry,Mathematics &amp; Statistics,Business &amp; Management,Civil Engineering,Geography,Art, Performing Arts &amp; Design,Sport Science,Law,Biological Sciences,Education,Mechanical &amp; Aerospace Engineering,Politics &amp; International Studies (incl Development Studies),General Engineering,Geology, Environmental, Earth &amp; Marine Sciences,Agriculture &amp; Forestry,Sociology</t>
  </si>
  <si>
    <t>Semnan University</t>
  </si>
  <si>
    <t>Mechanical &amp; Aerospace Engineering,Veterinary Science,Education,Agriculture &amp; Forestry,Languages, Literature &amp; Linguistics,Mathematics &amp; Statistics,Biological Sciences,Business &amp; Management,Chemistry,Civil Engineering,Electrical &amp; Electronic Engineering,Psychology,Accounting &amp; Finance,Architecture,Art, Performing Arts &amp; Design,Economics &amp; Econometrics,Physics &amp; Astronomy,Law,Chemical Engineering,Computer Science,History, Philosophy &amp; Theology,Sport Science</t>
  </si>
  <si>
    <t>University of Sfax</t>
  </si>
  <si>
    <t>Architecture,Agriculture &amp; Forestry,Sociology,Art, Performing Arts &amp; Design,General Engineering,Physics &amp; Astronomy,Economics &amp; Econometrics,Medicine &amp; Dentistry,Biological Sciences,Business &amp; Management,Archaeology,Sport Science,Law,Accounting &amp; Finance,Electrical &amp; Electronic Engineering,Geography,Languages, Literature &amp; Linguistics,Civil Engineering,Geology, Environmental, Earth &amp; Marine Sciences,History, Philosophy &amp; Theology,Chemical Engineering,Communication &amp; Media Studies,Other Health,Education,Computer Science,Chemistry,Mechanical &amp; Aerospace Engineering,Mathematics &amp; Statistics</t>
  </si>
  <si>
    <t>â€‹Shahid Chamran University of Ahvaz</t>
  </si>
  <si>
    <t>Sport Science,Economics &amp; Econometrics,Accounting &amp; Finance,Mechanical &amp; Aerospace Engineering,Politics &amp; International Studies (incl Development Studies),Business &amp; Management,Veterinary Science,Mathematics &amp; Statistics,Computer Science,Psychology,Physics &amp; Astronomy,General Engineering,Education,Biological Sciences,Electrical &amp; Electronic Engineering,Law,Geology, Environmental, Earth &amp; Marine Sciences,Architecture,Chemical Engineering,History, Philosophy &amp; Theology,Communication &amp; Media Studies,Civil Engineering,Languages, Literature &amp; Linguistics,Geography,Agriculture &amp; Forestry,Chemistry</t>
  </si>
  <si>
    <t>Shahrekord University</t>
  </si>
  <si>
    <t>Law,Chemistry,Computer Science,Education,Geology, Environmental, Earth &amp; Marine Sciences,Mechanical &amp; Aerospace Engineering,Politics &amp; International Studies (incl Development Studies),Architecture,History, Philosophy &amp; Theology,Veterinary Science,Civil Engineering,Agriculture &amp; Forestry,Art, Performing Arts &amp; Design,Languages, Literature &amp; Linguistics,Archaeology,Mathematics &amp; Statistics,Biological Sciences,Sport Science,Psychology,Electrical &amp; Electronic Engineering,General Engineering</t>
  </si>
  <si>
    <t>Shahrood University of Technology</t>
  </si>
  <si>
    <t>History, Philosophy &amp; Theology,Agriculture &amp; Forestry,Civil Engineering,Economics &amp; Econometrics,Physics &amp; Astronomy,General Engineering,Sport Science,Languages, Literature &amp; Linguistics,Mechanical &amp; Aerospace Engineering,Chemical Engineering,Architecture,Business &amp; Management,Electrical &amp; Electronic Engineering,Geology, Environmental, Earth &amp; Marine Sciences,Chemistry,Computer Science,Mathematics &amp; Statistics,Accounting &amp; Finance</t>
  </si>
  <si>
    <t>Shanghai Maritime University</t>
  </si>
  <si>
    <t>Law,Geology, Environmental, Earth &amp; Marine Sciences,Mechanical &amp; Aerospace Engineering,Geography,Economics &amp; Econometrics,Electrical &amp; Electronic Engineering,General Engineering</t>
  </si>
  <si>
    <t>Shinshu University</t>
  </si>
  <si>
    <t>Shinshu University Shindai Shin shu</t>
  </si>
  <si>
    <t>Electrical &amp; Electronic Engineering,Other Health,Law,Art, Performing Arts &amp; Design,Medicine &amp; Dentistry,Education,History, Philosophy &amp; Theology,Biological Sciences,Mechanical &amp; Aerospace Engineering,Chemistry,Chemical Engineering,Mathematics &amp; Statistics,Civil Engineering,Geology, Environmental, Earth &amp; Marine Sciences,General Engineering,Accounting &amp; Finance,Languages, Literature &amp; Linguistics,Agriculture &amp; Forestry,Business &amp; Management,Architecture,Economics &amp; Econometrics,Physics &amp; Astronomy</t>
  </si>
  <si>
    <t>Siberian Federal University</t>
  </si>
  <si>
    <t>Architecture,Civil Engineering,Geography,Mechanical &amp; Aerospace Engineering,Communication &amp; Media Studies,History, Philosophy &amp; Theology,Geology, Environmental, Earth &amp; Marine Sciences,Languages, Literature &amp; Linguistics,Mathematics &amp; Statistics,Business &amp; Management,Sport Science,Education,Computer Science,Physics &amp; Astronomy,Psychology,General Engineering,Politics &amp; International Studies (incl Development Studies),Accounting &amp; Finance,Chemical Engineering,Law,Art, Performing Arts &amp; Design,Electrical &amp; Electronic Engineering,Sociology,Chemistry,Economics &amp; Econometrics</t>
  </si>
  <si>
    <t>Sidi Mohamed Ben Abdellah University</t>
  </si>
  <si>
    <t>Morocco</t>
  </si>
  <si>
    <t>Electrical &amp; Electronic Engineering,Biological Sciences,Geography,Business &amp; Management,Economics &amp; Econometrics,Physics &amp; Astronomy,Chemistry,Languages, Literature &amp; Linguistics,Psychology,Education,General Engineering,History, Philosophy &amp; Theology,Sociology,Law,Medicine &amp; Dentistry,Chemical Engineering,Mechanical &amp; Aerospace Engineering,Geology, Environmental, Earth &amp; Marine Sciences,Mathematics &amp; Statistics,Computer Science,Accounting &amp; Finance</t>
  </si>
  <si>
    <t>University of Social Welfare and Rehabilitation Sciences</t>
  </si>
  <si>
    <t>Other Health,Politics &amp; International Studies (incl Development Studies),Education,Biological Sciences,Psychology</t>
  </si>
  <si>
    <t>University of South Africa</t>
  </si>
  <si>
    <t>Mathematics &amp; Statistics,Law,Business &amp; Management,Education,General Engineering,Languages, Literature &amp; Linguistics,Agriculture &amp; Forestry,Chemistry,Accounting &amp; Finance,Geology, Environmental, Earth &amp; Marine Sciences,Electrical &amp; Electronic Engineering,Physics &amp; Astronomy,Mechanical &amp; Aerospace Engineering,Biological Sciences,Geography,Other Health,Economics &amp; Econometrics,Chemical Engineering,History, Philosophy &amp; Theology,Communication &amp; Media Studies,Archaeology,Computer Science,Politics &amp; International Studies (incl Development Studies),Art, Performing Arts &amp; Design,Civil Engineering,Psychology,Sociology</t>
  </si>
  <si>
    <t>University of South Bohemia in ÄŒeskÃ© BudÄ›jovice</t>
  </si>
  <si>
    <t>History, Philosophy &amp; Theology,Politics &amp; International Studies (incl Development Studies),Education,Biological Sciences,Art, Performing Arts &amp; Design,Electrical &amp; Electronic Engineering,Mathematics &amp; Statistics,Archaeology,Accounting &amp; Finance,Chemistry,Other Health,General Engineering,Languages, Literature &amp; Linguistics,Economics &amp; Econometrics,Agriculture &amp; Forestry,Psychology,Sociology,Communication &amp; Media Studies,Physics &amp; Astronomy,Architecture,Business &amp; Management,Geology, Environmental, Earth &amp; Marine Sciences,Computer Science</t>
  </si>
  <si>
    <t>University of South Dakota</t>
  </si>
  <si>
    <t>Chemistry,Psychology,Mathematics &amp; Statistics,Law,Other Health,Medicine &amp; Dentistry,Communication &amp; Media Studies,Sport Science,Languages, Literature &amp; Linguistics,Education,Biological Sciences,Sociology,Physics &amp; Astronomy,Business &amp; Management,History, Philosophy &amp; Theology,Accounting &amp; Finance,Art, Performing Arts &amp; Design,Geology, Environmental, Earth &amp; Marine Sciences,Economics &amp; Econometrics,Computer Science,Politics &amp; International Studies (incl Development Studies)</t>
  </si>
  <si>
    <t>University of the South Pacific</t>
  </si>
  <si>
    <t>Fiji</t>
  </si>
  <si>
    <t>General Engineering,Communication &amp; Media Studies,Civil Engineering,Archaeology,Geology, Environmental, Earth &amp; Marine Sciences,Accounting &amp; Finance,Mechanical &amp; Aerospace Engineering,Geography,Art, Performing Arts &amp; Design,Physics &amp; Astronomy,Economics &amp; Econometrics,Computer Science,Chemistry,Agriculture &amp; Forestry,Politics &amp; International Studies (incl Development Studies),History, Philosophy &amp; Theology,Mathematics &amp; Statistics,Psychology,Languages, Literature &amp; Linguistics,Biological Sciences,Education,Electrical &amp; Electronic Engineering,Law,Sociology,Business &amp; Management</t>
  </si>
  <si>
    <t>University of South Wales</t>
  </si>
  <si>
    <t>Electrical &amp; Electronic Engineering,Biological Sciences,Computer Science,Art, Performing Arts &amp; Design,Archaeology,Mechanical &amp; Aerospace Engineering,Agriculture &amp; Forestry,Education,Psychology,Accounting &amp; Finance,Sociology,History, Philosophy &amp; Theology,Sport Science,Civil Engineering,Business &amp; Management,Communication &amp; Media Studies,Mathematics &amp; Statistics,Law,Geology, Environmental, Earth &amp; Marine Sciences,Chemistry</t>
  </si>
  <si>
    <t>Staffordshire University</t>
  </si>
  <si>
    <t>Other Health,Communication &amp; Media Studies,Architecture,Sociology,General Engineering,Law,History, Philosophy &amp; Theology,Politics &amp; International Studies (incl Development Studies),Mechanical &amp; Aerospace Engineering,Art, Performing Arts &amp; Design,Biological Sciences,Business &amp; Management,Electrical &amp; Electronic Engineering,Psychology,Computer Science,Education,Languages, Literature &amp; Linguistics,Sport Science,Accounting &amp; Finance,Archaeology,Geography</t>
  </si>
  <si>
    <t>Suez University</t>
  </si>
  <si>
    <t>General Engineering,Medicine &amp; Dentistry,Chemistry,Education,Geology, Environmental, Earth &amp; Marine Sciences,Psychology,Sociology,Mechanical &amp; Aerospace Engineering,History, Philosophy &amp; Theology,Communication &amp; Media Studies,Mathematics &amp; Statistics,Chemical Engineering,Languages, Literature &amp; Linguistics,Accounting &amp; Finance,Business &amp; Management,Biological Sciences,Other Health,Sport Science,Civil Engineering,Politics &amp; International Studies (incl Development Studies),Economics &amp; Econometrics,Computer Science,Electrical &amp; Electronic Engineering,Physics &amp; Astronomy,Geography</t>
  </si>
  <si>
    <t>Suez Canal University</t>
  </si>
  <si>
    <t>Electrical &amp; Electronic Engineering,Communication &amp; Media Studies,Medicine &amp; Dentistry,Sport Science,Education,Art, Performing Arts &amp; Design,Civil Engineering,Agriculture &amp; Forestry,Sociology,Architecture,Physics &amp; Astronomy,Archaeology,Biological Sciences,Psychology,Mechanical &amp; Aerospace Engineering,Politics &amp; International Studies (incl Development Studies),General Engineering,Mathematics &amp; Statistics,Business &amp; Management,History, Philosophy &amp; Theology,Chemical Engineering,Chemistry,Geography,Languages, Literature &amp; Linguistics,Computer Science,Geology, Environmental, Earth &amp; Marine Sciences,Accounting &amp; Finance,Other Health,Veterinary Science,Economics &amp; Econometrics</t>
  </si>
  <si>
    <t>SWPS University</t>
  </si>
  <si>
    <t>Business &amp; Management,Sociology,Languages, Literature &amp; Linguistics,Computer Science,Communication &amp; Media Studies,Art, Performing Arts &amp; Design,History, Philosophy &amp; Theology,Psychology,Law</t>
  </si>
  <si>
    <t>Symbiosis International University</t>
  </si>
  <si>
    <t>Accounting &amp; Finance,Chemical Engineering,Computer Science,Sociology,Law,General Engineering,Electrical &amp; Electronic Engineering,Sport Science,History, Philosophy &amp; Theology,Biological Sciences,Art, Performing Arts &amp; Design,Mathematics &amp; Statistics,Civil Engineering,Business &amp; Management,Communication &amp; Media Studies,Other Health,Languages, Literature &amp; Linguistics,Politics &amp; International Studies (incl Development Studies),Medicine &amp; Dentistry,Architecture,Mechanical &amp; Aerospace Engineering,Economics &amp; Econometrics</t>
  </si>
  <si>
    <t>University of Szeged</t>
  </si>
  <si>
    <t>Sociology,Other Health,Chemistry,Geology, Environmental, Earth &amp; Marine Sciences,Mechanical &amp; Aerospace Engineering,Chemical Engineering,Business &amp; Management,Communication &amp; Media Studies,Medicine &amp; Dentistry,Electrical &amp; Electronic Engineering,Law,Physics &amp; Astronomy,Economics &amp; Econometrics,Art, Performing Arts &amp; Design,Accounting &amp; Finance,Computer Science,History, Philosophy &amp; Theology,Politics &amp; International Studies (incl Development Studies),Geography,Sport Science,Agriculture &amp; Forestry,Psychology,Archaeology,Languages, Literature &amp; Linguistics,Biological Sciences,Education,Mathematics &amp; Statistics</t>
  </si>
  <si>
    <t>Taibah University</t>
  </si>
  <si>
    <t>Medicine &amp; Dentistry,Civil Engineering,Accounting &amp; Finance,Mechanical &amp; Aerospace Engineering,Languages, Literature &amp; Linguistics,Communication &amp; Media Studies,Mathematics &amp; Statistics,Geology, Environmental, Earth &amp; Marine Sciences,Architecture,Business &amp; Management,Law,Art, Performing Arts &amp; Design,Chemical Engineering,Education,History, Philosophy &amp; Theology,Sport Science,Computer Science,Geography,Physics &amp; Astronomy,Economics &amp; Econometrics,Other Health,Psychology,Chemistry,Electrical &amp; Electronic Engineering,Biological Sciences</t>
  </si>
  <si>
    <t>Tallinn University</t>
  </si>
  <si>
    <t>Mathematics &amp; Statistics,Education,Chemistry,Biological Sciences,Psychology,Languages, Literature &amp; Linguistics,Sociology,Physics &amp; Astronomy,Computer Science,Geography,History, Philosophy &amp; Theology,Geology, Environmental, Earth &amp; Marine Sciences,Sport Science,Business &amp; Management,Art, Performing Arts &amp; Design,Politics &amp; International Studies (incl Development Studies),Other Health,Communication &amp; Media Studies,Law</t>
  </si>
  <si>
    <t>Tanta University</t>
  </si>
  <si>
    <t>Agriculture &amp; Forestry,Politics &amp; International Studies (incl Development Studies),Art, Performing Arts &amp; Design,General Engineering,Physics &amp; Astronomy,Business &amp; Management,Other Health,Sport Science,Education,History, Philosophy &amp; Theology,Mechanical &amp; Aerospace Engineering,Geology, Environmental, Earth &amp; Marine Sciences,Accounting &amp; Finance,Civil Engineering,Communication &amp; Media Studies,Medicine &amp; Dentistry,Veterinary Science,Law,Architecture,Chemical Engineering,Sociology,Computer Science,Mathematics &amp; Statistics,Psychology,Archaeology,Biological Sciences,Geography,Languages, Literature &amp; Linguistics,Electrical &amp; Electronic Engineering,Chemistry,Economics &amp; Econometrics</t>
  </si>
  <si>
    <t>Technical University of Cartagena</t>
  </si>
  <si>
    <t>Biological Sciences,Computer Science,Economics &amp; Econometrics,General Engineering,Accounting &amp; Finance,Mechanical &amp; Aerospace Engineering,Business &amp; Management,Agriculture &amp; Forestry,Civil Engineering,Electrical &amp; Electronic Engineering,Architecture,Chemical Engineering</t>
  </si>
  <si>
    <t>Technological University Dublin</t>
  </si>
  <si>
    <t>Architecture,Mathematics &amp; Statistics,Electrical &amp; Electronic Engineering,Geology, Environmental, Earth &amp; Marine Sciences,Other Health,Sport Science,Languages, Literature &amp; Linguistics,Biological Sciences,Business &amp; Management,Computer Science,Education,Mechanical &amp; Aerospace Engineering,Communication &amp; Media Studies,Agriculture &amp; Forestry,Accounting &amp; Finance,History, Philosophy &amp; Theology,Chemistry,Economics &amp; Econometrics,General Engineering,Law,Art, Performing Arts &amp; Design,Civil Engineering,Physics &amp; Astronomy</t>
  </si>
  <si>
    <t>University of Technology of Troyes</t>
  </si>
  <si>
    <t>Teesside University</t>
  </si>
  <si>
    <t>Geography,Economics &amp; Econometrics,Biological Sciences,History, Philosophy &amp; Theology,Computer Science,Law,Art, Performing Arts &amp; Design,Geology, Environmental, Earth &amp; Marine Sciences,Other Health,Politics &amp; International Studies (incl Development Studies),Civil Engineering,Sport Science,Communication &amp; Media Studies,Electrical &amp; Electronic Engineering,Sociology,Chemical Engineering,Chemistry,Accounting &amp; Finance,Languages, Literature &amp; Linguistics,Veterinary Science,General Engineering,Education,Agriculture &amp; Forestry,Business &amp; Management,Mechanical &amp; Aerospace Engineering,Mathematics &amp; Statistics,Medicine &amp; Dentistry,Psychology</t>
  </si>
  <si>
    <t>Texas State University</t>
  </si>
  <si>
    <t>Other Health,Education,Computer Science,Communication &amp; Media Studies,Mathematics &amp; Statistics,Politics &amp; International Studies (incl Development Studies),Economics &amp; Econometrics,Electrical &amp; Electronic Engineering,History, Philosophy &amp; Theology,Accounting &amp; Finance,Geology, Environmental, Earth &amp; Marine Sciences,Mechanical &amp; Aerospace Engineering,General Engineering,Chemistry,Languages, Literature &amp; Linguistics,Biological Sciences,Sport Science,Business &amp; Management,Agriculture &amp; Forestry,Psychology,Physics &amp; Astronomy,Sociology,Architecture,Art, Performing Arts &amp; Design,Civil Engineering,Geography</t>
  </si>
  <si>
    <t>TOBB University of Economics and Technology</t>
  </si>
  <si>
    <t>Education,Medicine &amp; Dentistry,Art, Performing Arts &amp; Design,Mathematics &amp; Statistics,Accounting &amp; Finance,Law,Communication &amp; Media Studies,Computer Science,Physics &amp; Astronomy,Languages, Literature &amp; Linguistics,History, Philosophy &amp; Theology,Psychology,General Engineering,Mechanical &amp; Aerospace Engineering,Economics &amp; Econometrics,Politics &amp; International Studies (incl Development Studies),Business &amp; Management,Chemistry,Electrical &amp; Electronic Engineering,Architecture</t>
  </si>
  <si>
    <t>Tokyo Metropolitan University</t>
  </si>
  <si>
    <t>Economics &amp; Econometrics,Communication &amp; Media Studies,Psychology,Medicine &amp; Dentistry,Other Health,Business &amp; Management,Geography,Mathematics &amp; Statistics,Chemistry,Sport Science,Archaeology,Chemical Engineering,Architecture,Mechanical &amp; Aerospace Engineering,Education,Biological Sciences,Electrical &amp; Electronic Engineering,Law,Geology, Environmental, Earth &amp; Marine Sciences,Computer Science,Politics &amp; International Studies (incl Development Studies),Civil Engineering,Languages, Literature &amp; Linguistics,Accounting &amp; Finance,Physics &amp; Astronomy,General Engineering,Sociology,Art, Performing Arts &amp; Design,History, Philosophy &amp; Theology,Agriculture &amp; Forestry</t>
  </si>
  <si>
    <t>Toyohashi University of Technology (TUT)</t>
  </si>
  <si>
    <t>Electrical &amp; Electronic Engineering,General Engineering,Physics &amp; Astronomy,Biological Sciences,Computer Science,Mechanical &amp; Aerospace Engineering,Chemistry,Chemical Engineering,Mathematics &amp; Statistics,Civil Engineering</t>
  </si>
  <si>
    <t>Toyota Technological Institute</t>
  </si>
  <si>
    <t>Chemical Engineering,Electrical &amp; Electronic Engineering,Physics &amp; Astronomy,General Engineering,Chemistry,Computer Science,Mechanical &amp; Aerospace Engineering</t>
  </si>
  <si>
    <t>Universiti Tunku Abdul Rahman (UTAR)</t>
  </si>
  <si>
    <t>Architecture,Art, Performing Arts &amp; Design,Psychology,Economics &amp; Econometrics,Mechanical &amp; Aerospace Engineering,Accounting &amp; Finance,Agriculture &amp; Forestry,Languages, Literature &amp; Linguistics,Chemistry,Other Health,Biological Sciences,Physics &amp; Astronomy,Business &amp; Management,Electrical &amp; Electronic Engineering,General Engineering,Civil Engineering,Education,Sociology,Communication &amp; Media Studies,Computer Science,Geology, Environmental, Earth &amp; Marine Sciences,Medicine &amp; Dentistry,Chemical Engineering,Mathematics &amp; Statistics</t>
  </si>
  <si>
    <t>Universiti Malaysia Terengganu (UMT)</t>
  </si>
  <si>
    <t>Physics &amp; Astronomy,Chemistry,Biological Sciences,Accounting &amp; Finance,Business &amp; Management,Agriculture &amp; Forestry,Geology, Environmental, Earth &amp; Marine Sciences,Chemical Engineering,Computer Science,Economics &amp; Econometrics,Politics &amp; International Studies (incl Development Studies),Mathematics &amp; Statistics,Communication &amp; Media Studies</t>
  </si>
  <si>
    <t>Ural Federal University</t>
  </si>
  <si>
    <t>Electrical &amp; Electronic Engineering,General Engineering,Physics &amp; Astronomy,Education,Art, Performing Arts &amp; Design,Computer Science,Chemistry,Mechanical &amp; Aerospace Engineering,Mathematics &amp; Statistics,Sociology,Architecture,Agriculture &amp; Forestry,Geography,Medicine &amp; Dentistry,Chemical Engineering,Communication &amp; Media Studies,Languages, Literature &amp; Linguistics,Biological Sciences,Economics &amp; Econometrics,History, Philosophy &amp; Theology,Veterinary Science,Psychology,Archaeology,Sport Science,Business &amp; Management,Other Health,Civil Engineering,Geology, Environmental, Earth &amp; Marine Sciences,Politics &amp; International Studies (incl Development Studies),Accounting &amp; Finance</t>
  </si>
  <si>
    <t>University of Urbino Carlo Bo</t>
  </si>
  <si>
    <t>Biological Sciences,Business &amp; Management,Education,Geology, Environmental, Earth &amp; Marine Sciences,Physics &amp; Astronomy,Archaeology,Languages, Literature &amp; Linguistics,Politics &amp; International Studies (incl Development Studies),Mathematics &amp; Statistics,Psychology,Law,Sport Science,Communication &amp; Media Studies,Computer Science,Other Health,General Engineering,Sociology,Art, Performing Arts &amp; Design,History, Philosophy &amp; Theology,Geography,Chemistry,Accounting &amp; Finance,Economics &amp; Econometrics</t>
  </si>
  <si>
    <t>Urmia University of Technology</t>
  </si>
  <si>
    <t>Chemical Engineering,General Engineering,Mechanical &amp; Aerospace Engineering,Electrical &amp; Electronic Engineering,Computer Science,Civil Engineering</t>
  </si>
  <si>
    <t>USAMV Cluj-Napoca</t>
  </si>
  <si>
    <t>Agriculture &amp; Forestry,Biological Sciences,Veterinary Science</t>
  </si>
  <si>
    <t>Wakayama Medical University</t>
  </si>
  <si>
    <t>Western Michigan University</t>
  </si>
  <si>
    <t>Civil Engineering,Politics &amp; International Studies (incl Development Studies),Law,Computer Science,Communication &amp; Media Studies,Mathematics &amp; Statistics,Business &amp; Management,Electrical &amp; Electronic Engineering,Geology, Environmental, Earth &amp; Marine Sciences,Architecture,Chemical Engineering,Accounting &amp; Finance,Art, Performing Arts &amp; Design,Sport Science,Sociology,History, Philosophy &amp; Theology,Agriculture &amp; Forestry,Geography,General Engineering,Physics &amp; Astronomy,Psychology,Languages, Literature &amp; Linguistics,Mechanical &amp; Aerospace Engineering,Chemistry,Economics &amp; Econometrics,Other Health,Biological Sciences,Education</t>
  </si>
  <si>
    <t>The University of the West Indies</t>
  </si>
  <si>
    <t>Jamaica</t>
  </si>
  <si>
    <t>General Engineering,Geology, Environmental, Earth &amp; Marine Sciences,Geography,Electrical &amp; Electronic Engineering,Biological Sciences,Education,Civil Engineering,Politics &amp; International Studies (incl Development Studies),Art, Performing Arts &amp; Design,Physics &amp; Astronomy,Economics &amp; Econometrics,Computer Science,Sport Science,Psychology,Medicine &amp; Dentistry,Veterinary Science,Law,Mechanical &amp; Aerospace Engineering,Chemistry,Accounting &amp; Finance,Other Health,Chemical Engineering,Sociology,History, Philosophy &amp; Theology,Mathematics &amp; Statistics,Business &amp; Management,Languages, Literature &amp; Linguistics,Agriculture &amp; Forestry,Communication &amp; Media Studies</t>
  </si>
  <si>
    <t>University of West London</t>
  </si>
  <si>
    <t>Architecture,Mathematics &amp; Statistics,Accounting &amp; Finance,Electrical &amp; Electronic Engineering,Education,Languages, Literature &amp; Linguistics,Agriculture &amp; Forestry,Art, Performing Arts &amp; Design,Politics &amp; International Studies (incl Development Studies),Law,Economics &amp; Econometrics,Civil Engineering,Business &amp; Management,General Engineering,Mechanical &amp; Aerospace Engineering,Computer Science,Communication &amp; Media Studies,Psychology,Sociology,Other Health,Chemistry</t>
  </si>
  <si>
    <t>University of Winchester</t>
  </si>
  <si>
    <t>Communication &amp; Media Studies,Languages, Literature &amp; Linguistics,Business &amp; Management,Archaeology,Law,Other Health,Accounting &amp; Finance,Computer Science,Psychology,Sport Science,Economics &amp; Econometrics,Art, Performing Arts &amp; Design,Geography,History, Philosophy &amp; Theology,Sociology,Politics &amp; International Studies (incl Development Studies),Education,Mathematics &amp; Statistics</t>
  </si>
  <si>
    <t>University of WrocÅ‚aw</t>
  </si>
  <si>
    <t>General Engineering,Politics &amp; International Studies (incl Development Studies),Archaeology,Education,Biological Sciences,Sociology,Geography,History, Philosophy &amp; Theology,Mathematics &amp; Statistics,Economics &amp; Econometrics,Physics &amp; Astronomy,Psychology,Computer Science,Chemistry,Languages, Literature &amp; Linguistics,Law,Other Health,Communication &amp; Media Studies,Art, Performing Arts &amp; Design,Geology, Environmental, Earth &amp; Marine Sciences,Business &amp; Management</t>
  </si>
  <si>
    <t>Yazd University</t>
  </si>
  <si>
    <t>Languages, Literature &amp; Linguistics,Mechanical &amp; Aerospace Engineering,Psychology,Agriculture &amp; Forestry,Geology, Environmental, Earth &amp; Marine Sciences,Economics &amp; Econometrics,Architecture,Physics &amp; Astronomy,Accounting &amp; Finance,Computer Science,Politics &amp; International Studies (incl Development Studies),General Engineering,Geography,History, Philosophy &amp; Theology,Mathematics &amp; Statistics,Law,Art, Performing Arts &amp; Design,Chemical Engineering,Chemistry,Electrical &amp; Electronic Engineering,Sport Science,Business &amp; Management,Biological Sciences,Sociology,Civil Engineering,Education</t>
  </si>
  <si>
    <t>University of Zagreb</t>
  </si>
  <si>
    <t>Croatia</t>
  </si>
  <si>
    <t>Architecture,Chemical Engineering,Sociology,General Engineering,Physics &amp; Astronomy,Medicine &amp; Dentistry,Veterinary Science,Law,Archaeology,Biological Sciences,Geography,Other Health,Sport Science,Education,Electrical &amp; Electronic Engineering,Chemistry,Business &amp; Management,Accounting &amp; Finance,Languages, Literature &amp; Linguistics,Civil Engineering,Communication &amp; Media Studies,Art, Performing Arts &amp; Design,Mechanical &amp; Aerospace Engineering,Geology, Environmental, Earth &amp; Marine Sciences,Economics &amp; Econometrics,History, Philosophy &amp; Theology,Agriculture &amp; Forestry,Politics &amp; International Studies (incl Development Studies),Computer Science,Mathematics &amp; Statistics,Psychology</t>
  </si>
  <si>
    <t>Zewail City of Science and Technology</t>
  </si>
  <si>
    <t>Chemical Engineering,Economics &amp; Econometrics,Geology, Environmental, Earth &amp; Marine Sciences,Computer Science,Accounting &amp; Finance,Chemistry,Electrical &amp; Electronic Engineering,Physics &amp; Astronomy,Mechanical &amp; Aerospace Engineering,Business &amp; Management,General Engineering,Biological Sciences</t>
  </si>
  <si>
    <t>Zhejiang University of Finance and Economics</t>
  </si>
  <si>
    <t>Accounting &amp; Finance,Economics &amp; Econometrics,Communication &amp; Media Studies,Languages, Literature &amp; Linguistics,Business &amp; Management,Law,Civil Engineering,History, Philosophy &amp; Theology,Mathematics &amp; Statistics,Sociology,Computer Science,Art, Performing Arts &amp; Design</t>
  </si>
  <si>
    <t>University of Å½ilina</t>
  </si>
  <si>
    <t>Computer Science,Business &amp; Management,Civil Engineering,Electrical &amp; Electronic Engineering,General Engineering,Education,Mechanical &amp; Aerospace Engineering,Languages, Literature &amp; Linguistics,Politics &amp; International Studies (incl Development Studies),Communication &amp; Media Studies,Economics &amp; Econometrics,Accounting &amp; Finance,Geology, Environmental, Earth &amp; Marine Sciences</t>
  </si>
  <si>
    <t>1201â€“1500</t>
  </si>
  <si>
    <t>Acharya Nagarjuna University</t>
  </si>
  <si>
    <t>22.8â€“28.2</t>
  </si>
  <si>
    <t>Sociology,Business &amp; Management,Physics &amp; Astronomy,Biological Sciences,Accounting &amp; Finance,Languages, Literature &amp; Linguistics,Geography,Economics &amp; Econometrics,History, Philosophy &amp; Theology,Psychology,Mathematics &amp; Statistics,Computer Science,Other Health,Education,Civil Engineering,Chemical Engineering,Archaeology,Mechanical &amp; Aerospace Engineering,Electrical &amp; Electronic Engineering,Sport Science,Law,Politics &amp; International Studies (incl Development Studies),Art, Performing Arts &amp; Design,Communication &amp; Media Studies,Chemistry,General Engineering,Geology, Environmental, Earth &amp; Marine Sciences,Architecture</t>
  </si>
  <si>
    <t>Adolfo IbÃ¡Ã±ez University</t>
  </si>
  <si>
    <t>Economics &amp; Econometrics,Languages, Literature &amp; Linguistics,Mathematics &amp; Statistics,Computer Science,History, Philosophy &amp; Theology,Physics &amp; Astronomy,Psychology,Civil Engineering,Communication &amp; Media Studies,Biological Sciences,Accounting &amp; Finance,General Engineering,Business &amp; Management,Law</t>
  </si>
  <si>
    <t>The University of Agriculture, Peshawar</t>
  </si>
  <si>
    <t>Accounting &amp; Finance,Business &amp; Management,Agriculture &amp; Forestry,Computer Science,Sociology,Veterinary Science,Chemistry,Economics &amp; Econometrics,Biological Sciences,Communication &amp; Media Studies</t>
  </si>
  <si>
    <t>Universitas Airlangga</t>
  </si>
  <si>
    <t>Medicine &amp; Dentistry,Law,Mathematics &amp; Statistics,General Engineering,Sociology,Geology, Environmental, Earth &amp; Marine Sciences,Agriculture &amp; Forestry,History, Philosophy &amp; Theology,Physics &amp; Astronomy,Art, Performing Arts &amp; Design,Communication &amp; Media Studies,Chemistry,Politics &amp; International Studies (incl Development Studies),Electrical &amp; Electronic Engineering,Computer Science,Business &amp; Management,Economics &amp; Econometrics,Other Health,Languages, Literature &amp; Linguistics,Chemical Engineering,Psychology,Accounting &amp; Finance,Biological Sciences,Veterinary Science</t>
  </si>
  <si>
    <t>Al-Farabi Kazakh National University</t>
  </si>
  <si>
    <t>Electrical &amp; Electronic Engineering,Law,Sport Science,Communication &amp; Media Studies,Accounting &amp; Finance,Biological Sciences,Geology, Environmental, Earth &amp; Marine Sciences,Economics &amp; Econometrics,Other Health,Physics &amp; Astronomy,Business &amp; Management,Medicine &amp; Dentistry,General Engineering,Chemistry,Archaeology,Chemical Engineering,Psychology,Computer Science,Politics &amp; International Studies (incl Development Studies),Mechanical &amp; Aerospace Engineering,Sociology,History, Philosophy &amp; Theology,Mathematics &amp; Statistics,Geography,Languages, Literature &amp; Linguistics,Civil Engineering,Education</t>
  </si>
  <si>
    <t>Allameh Tabataba â€™i University</t>
  </si>
  <si>
    <t>Mathematics &amp; Statistics,Law,Business &amp; Management,Sport Science,Sociology,Communication &amp; Media Studies,Computer Science,History, Philosophy &amp; Theology,Accounting &amp; Finance,Economics &amp; Econometrics,Education,Languages, Literature &amp; Linguistics,Politics &amp; International Studies (incl Development Studies),Psychology</t>
  </si>
  <si>
    <t>Al-Nahrain University</t>
  </si>
  <si>
    <t>Medicine &amp; Dentistry,Chemistry,Electrical &amp; Electronic Engineering,Law,Other Health,Physics &amp; Astronomy,Accounting &amp; Finance,Architecture,Civil Engineering,Biological Sciences,General Engineering,Business &amp; Management,Mechanical &amp; Aerospace Engineering,Economics &amp; Econometrics,Computer Science,Politics &amp; International Studies (incl Development Studies),Mathematics &amp; Statistics,Chemical Engineering</t>
  </si>
  <si>
    <t>University of Al-Qadisiyah</t>
  </si>
  <si>
    <t>Chemistry,Archaeology,Civil Engineering,Law,General Engineering,Biological Sciences,Business &amp; Management,Veterinary Science,Psychology,Mathematics &amp; Statistics,Languages, Literature &amp; Linguistics,History, Philosophy &amp; Theology,Sport Science,Geology, Environmental, Earth &amp; Marine Sciences,Art, Performing Arts &amp; Design,Mechanical &amp; Aerospace Engineering,Sociology,Geography,Economics &amp; Econometrics,Agriculture &amp; Forestry,Electrical &amp; Electronic Engineering,Medicine &amp; Dentistry,Physics &amp; Astronomy,Education,Other Health,Computer Science,Chemical Engineering,Politics &amp; International Studies (incl Development Studies),Accounting &amp; Finance</t>
  </si>
  <si>
    <t>Anadolu University</t>
  </si>
  <si>
    <t>Sociology,Languages, Literature &amp; Linguistics,Law,Business &amp; Management,Archaeology,Chemistry,History, Philosophy &amp; Theology,Education,Economics &amp; Econometrics,Biological Sciences,Accounting &amp; Finance,Politics &amp; International Studies (incl Development Studies),Other Health,Psychology,Art, Performing Arts &amp; Design,Communication &amp; Media Studies</t>
  </si>
  <si>
    <t>University of the Andes, Chile</t>
  </si>
  <si>
    <t>General Engineering,History, Philosophy &amp; Theology,Education,Communication &amp; Media Studies,Economics &amp; Econometrics,Computer Science,Languages, Literature &amp; Linguistics,Business &amp; Management,Psychology,Other Health,Civil Engineering,Medicine &amp; Dentistry,Accounting &amp; Finance,Electrical &amp; Electronic Engineering,Law</t>
  </si>
  <si>
    <t>University of Antofagasta</t>
  </si>
  <si>
    <t>Law,Mechanical &amp; Aerospace Engineering,Civil Engineering,Electrical &amp; Electronic Engineering,Business &amp; Management,Biological Sciences,General Engineering,Education,Other Health,Chemistry,Mathematics &amp; Statistics,Art, Performing Arts &amp; Design,Physics &amp; Astronomy,Chemical Engineering,Medicine &amp; Dentistry</t>
  </si>
  <si>
    <t>University of Antioquia</t>
  </si>
  <si>
    <t>Law,Education,Chemistry,Languages, Literature &amp; Linguistics,Economics &amp; Econometrics,Accounting &amp; Finance,Mechanical &amp; Aerospace Engineering,Biological Sciences,Geography,Art, Performing Arts &amp; Design,Chemical Engineering,Medicine &amp; Dentistry,Agriculture &amp; Forestry,Physics &amp; Astronomy,Psychology,Electrical &amp; Electronic Engineering,Mathematics &amp; Statistics,Veterinary Science,Other Health,Civil Engineering,Communication &amp; Media Studies,General Engineering,Sport Science,Politics &amp; International Studies (incl Development Studies),Business &amp; Management,Architecture,History, Philosophy &amp; Theology,Sociology,Geology, Environmental, Earth &amp; Marine Sciences</t>
  </si>
  <si>
    <t>Arab Academy for Science, Technology and Maritime Transport</t>
  </si>
  <si>
    <t>Computer Science,Geology, Environmental, Earth &amp; Marine Sciences,General Engineering,Politics &amp; International Studies (incl Development Studies),History, Philosophy &amp; Theology,Chemical Engineering,Archaeology,Agriculture &amp; Forestry,Other Health,Economics &amp; Econometrics,Architecture,Communication &amp; Media Studies,Languages, Literature &amp; Linguistics,Civil Engineering,Medicine &amp; Dentistry,Mechanical &amp; Aerospace Engineering,Accounting &amp; Finance,Electrical &amp; Electronic Engineering,Law,Art, Performing Arts &amp; Design,Business &amp; Management</t>
  </si>
  <si>
    <t>Ariel University</t>
  </si>
  <si>
    <t>Biological Sciences,Mechanical &amp; Aerospace Engineering,Geology, Environmental, Earth &amp; Marine Sciences,Mathematics &amp; Statistics,Physics &amp; Astronomy,Archaeology,Psychology,Economics &amp; Econometrics,Architecture,Communication &amp; Media Studies,Chemistry,History, Philosophy &amp; Theology,Other Health,Business &amp; Management,Electrical &amp; Electronic Engineering,Computer Science,Politics &amp; International Studies (incl Development Studies),Medicine &amp; Dentistry,Chemical Engineering,Sociology,Accounting &amp; Finance,Education,Civil Engineering</t>
  </si>
  <si>
    <t>Assiut University</t>
  </si>
  <si>
    <t>Architecture,Chemical Engineering,Civil Engineering,Mathematics &amp; Statistics,General Engineering,Education,Languages, Literature &amp; Linguistics,Psychology,Mechanical &amp; Aerospace Engineering,Economics &amp; Econometrics,Chemistry,Communication &amp; Media Studies,Biological Sciences,Archaeology,Accounting &amp; Finance,Agriculture &amp; Forestry,History, Philosophy &amp; Theology,Medicine &amp; Dentistry,Physics &amp; Astronomy,Veterinary Science,Art, Performing Arts &amp; Design,Computer Science,Law,Politics &amp; International Studies (incl Development Studies),Business &amp; Management,Geology, Environmental, Earth &amp; Marine Sciences,Electrical &amp; Electronic Engineering,Geography,Sociology,Other Health,Sport Science</t>
  </si>
  <si>
    <t>AtatÃ¼rk University</t>
  </si>
  <si>
    <t>Education,Physics &amp; Astronomy,Geography,Mechanical &amp; Aerospace Engineering,Languages, Literature &amp; Linguistics,Economics &amp; Econometrics,Civil Engineering,Computer Science,Art, Performing Arts &amp; Design,Sport Science,Politics &amp; International Studies (incl Development Studies),Archaeology,Law,Communication &amp; Media Studies,Electrical &amp; Electronic Engineering,Chemistry,Business &amp; Management,Mathematics &amp; Statistics,Geology, Environmental, Earth &amp; Marine Sciences,Veterinary Science,Medicine &amp; Dentistry,Psychology,General Engineering,Sociology,Architecture,Agriculture &amp; Forestry,Chemical Engineering,Other Health,Accounting &amp; Finance,History, Philosophy &amp; Theology,Biological Sciences</t>
  </si>
  <si>
    <t>AtÄ±lÄ±m University</t>
  </si>
  <si>
    <t>AtÄ±lÄ±m University Atilim</t>
  </si>
  <si>
    <t>Languages, Literature &amp; Linguistics,Mechanical &amp; Aerospace Engineering,Communication &amp; Media Studies,Law,Computer Science,Business &amp; Management,Physics &amp; Astronomy,Architecture,General Engineering,Civil Engineering,Economics &amp; Econometrics,Mathematics &amp; Statistics,Accounting &amp; Finance,Chemical Engineering,Psychology,Electrical &amp; Electronic Engineering,Chemistry,Medicine &amp; Dentistry,Other Health,Politics &amp; International Studies (incl Development Studies)</t>
  </si>
  <si>
    <t>Austral University of Chile</t>
  </si>
  <si>
    <t>Archaeology,Chemistry,Communication &amp; Media Studies,Mechanical &amp; Aerospace Engineering,Mathematics &amp; Statistics,Medicine &amp; Dentistry,Geography,History, Philosophy &amp; Theology,Accounting &amp; Finance,Agriculture &amp; Forestry,Veterinary Science,Economics &amp; Econometrics,Law,Other Health,Electrical &amp; Electronic Engineering,Business &amp; Management,Languages, Literature &amp; Linguistics,General Engineering,Architecture,Art, Performing Arts &amp; Design,Geology, Environmental, Earth &amp; Marine Sciences,Education,Civil Engineering,Biological Sciences,Sport Science,Computer Science,Psychology</t>
  </si>
  <si>
    <t>Autonomous University of Sinaloa</t>
  </si>
  <si>
    <t>Autonomous University of Sinaloa Universidad Autonoma de Sinaloa UAS</t>
  </si>
  <si>
    <t>Geography,History, Philosophy &amp; Theology,Civil Engineering,Communication &amp; Media Studies,Accounting &amp; Finance,Veterinary Science,Mechanical &amp; Aerospace Engineering,Medicine &amp; Dentistry,Chemical Engineering,Electrical &amp; Electronic Engineering,Languages, Literature &amp; Linguistics,Politics &amp; International Studies (incl Development Studies),Physics &amp; Astronomy,Law,Education,Sociology,Economics &amp; Econometrics,Psychology,Geology, Environmental, Earth &amp; Marine Sciences,Archaeology,General Engineering,Computer Science,Architecture,Sport Science,Business &amp; Management,Agriculture &amp; Forestry,Chemistry,Other Health,Mathematics &amp; Statistics,Biological Sciences,Art, Performing Arts &amp; Design</t>
  </si>
  <si>
    <t>University of Babylon</t>
  </si>
  <si>
    <t>Chemistry,Economics &amp; Econometrics,Accounting &amp; Finance,Medicine &amp; Dentistry,Physics &amp; Astronomy,Mechanical &amp; Aerospace Engineering,Veterinary Science,Sport Science,Other Health,Computer Science,Agriculture &amp; Forestry,Business &amp; Management,Psychology,Mathematics &amp; Statistics,History, Philosophy &amp; Theology,Chemical Engineering,Law,Archaeology,Education,Art, Performing Arts &amp; Design,Languages, Literature &amp; Linguistics,Civil Engineering,Communication &amp; Media Studies,Sociology,Geology, Environmental, Earth &amp; Marine Sciences,Biological Sciences,Electrical &amp; Electronic Engineering,General Engineering,Geography</t>
  </si>
  <si>
    <t>Banasthali University</t>
  </si>
  <si>
    <t>Chemical Engineering,Psychology,Art, Performing Arts &amp; Design,Education,Biological Sciences,Economics &amp; Econometrics,Other Health,Physics &amp; Astronomy,Accounting &amp; Finance,History, Philosophy &amp; Theology,Business &amp; Management,Chemistry,Communication &amp; Media Studies,Electrical &amp; Electronic Engineering,Geography,Mathematics &amp; Statistics,Computer Science,Geology, Environmental, Earth &amp; Marine Sciences,Politics &amp; International Studies (incl Development Studies),Languages, Literature &amp; Linguistics,Sociology</t>
  </si>
  <si>
    <t>Bandung Institute of Technology (ITB)</t>
  </si>
  <si>
    <t>Art, Performing Arts &amp; Design,Chemical Engineering,Chemistry,General Engineering,Physics &amp; Astronomy,Accounting &amp; Finance,Computer Science,Mathematics &amp; Statistics,Law,Archaeology,Biological Sciences,Education,Languages, Literature &amp; Linguistics,Mechanical &amp; Aerospace Engineering,Sociology,Economics &amp; Econometrics,History, Philosophy &amp; Theology,Agriculture &amp; Forestry,Geology, Environmental, Earth &amp; Marine Sciences,Architecture,Veterinary Science,Politics &amp; International Studies (incl Development Studies),Business &amp; Management,Medicine &amp; Dentistry,Electrical &amp; Electronic Engineering,Geography,Civil Engineering,Sport Science,Psychology,Other Health,Communication &amp; Media Studies</t>
  </si>
  <si>
    <t>Bayero University</t>
  </si>
  <si>
    <t>Languages, Literature &amp; Linguistics,Geography,Biological Sciences,Architecture,Art, Performing Arts &amp; Design,Agriculture &amp; Forestry,History, Philosophy &amp; Theology,Civil Engineering,Mathematics &amp; Statistics,Sport Science,Geology, Environmental, Earth &amp; Marine Sciences,Law,Economics &amp; Econometrics,Other Health,Sociology,Chemistry,Accounting &amp; Finance,Physics &amp; Astronomy,Politics &amp; International Studies (incl Development Studies),Medicine &amp; Dentistry,Electrical &amp; Electronic Engineering,Communication &amp; Media Studies,Mechanical &amp; Aerospace Engineering,Education,Veterinary Science,General Engineering,Computer Science,Chemical Engineering,Business &amp; Management</t>
  </si>
  <si>
    <t>Belarusian State University</t>
  </si>
  <si>
    <t>Belarus</t>
  </si>
  <si>
    <t>Computer Science,Languages, Literature &amp; Linguistics,Chemistry,Art, Performing Arts &amp; Design,Physics &amp; Astronomy,Mathematics &amp; Statistics,History, Philosophy &amp; Theology,Sociology,Chemical Engineering,Geology, Environmental, Earth &amp; Marine Sciences,Business &amp; Management,Politics &amp; International Studies (incl Development Studies),Mechanical &amp; Aerospace Engineering,Biological Sciences,Electrical &amp; Electronic Engineering</t>
  </si>
  <si>
    <t>BezmiÃ¢lem Vakif University</t>
  </si>
  <si>
    <t>Sport Science,Other Health,Medicine &amp; Dentistry,Biological Sciences</t>
  </si>
  <si>
    <t>BINUS University</t>
  </si>
  <si>
    <t>Business &amp; Management,Politics &amp; International Studies (incl Development Studies),Law,Computer Science,Communication &amp; Media Studies,Mathematics &amp; Statistics,Education,Art, Performing Arts &amp; Design,Languages, Literature &amp; Linguistics,Psychology,Architecture,Electrical &amp; Electronic Engineering,Accounting &amp; Finance,Agriculture &amp; Forestry,General Engineering,Civil Engineering</t>
  </si>
  <si>
    <t>University of Botswana</t>
  </si>
  <si>
    <t>Botswana</t>
  </si>
  <si>
    <t>Mathematics &amp; Statistics,Mechanical &amp; Aerospace Engineering,Business &amp; Management,Archaeology,Sociology,Other Health,Physics &amp; Astronomy,Education,Biological Sciences,Economics &amp; Econometrics,Geography,Law,Chemistry,Art, Performing Arts &amp; Design,Politics &amp; International Studies (incl Development Studies),Civil Engineering,Chemical Engineering,General Engineering,Medicine &amp; Dentistry,Geology, Environmental, Earth &amp; Marine Sciences,Computer Science,Sport Science,Accounting &amp; Finance,Psychology,History, Philosophy &amp; Theology,Communication &amp; Media Studies,Electrical &amp; Electronic Engineering,Architecture,Languages, Literature &amp; Linguistics</t>
  </si>
  <si>
    <t>Botswana International University of Science and Technology (BIUST)</t>
  </si>
  <si>
    <t>Geology, Environmental, Earth &amp; Marine Sciences,Chemical Engineering,Biological Sciences,Mechanical &amp; Aerospace Engineering,General Engineering,Civil Engineering,Electrical &amp; Electronic Engineering,Computer Science,Physics &amp; Astronomy,Mathematics &amp; Statistics,Chemistry</t>
  </si>
  <si>
    <t>Instituto PolitÃ©cnico de BraganÃ§a</t>
  </si>
  <si>
    <t>Chemical Engineering,Psychology,Computer Science,Chemistry,Art, Performing Arts &amp; Design,Agriculture &amp; Forestry,Business &amp; Management,General Engineering,Communication &amp; Media Studies,Languages, Literature &amp; Linguistics,Biological Sciences,Accounting &amp; Finance,Medicine &amp; Dentistry,Sport Science,Civil Engineering,Education,Other Health,Veterinary Science,Mechanical &amp; Aerospace Engineering,Politics &amp; International Studies (incl Development Studies),Electrical &amp; Electronic Engineering,Geology, Environmental, Earth &amp; Marine Sciences</t>
  </si>
  <si>
    <t>University of BrasÃ­lia</t>
  </si>
  <si>
    <t>Communication &amp; Media Studies,Business &amp; Management,General Engineering,Economics &amp; Econometrics,History, Philosophy &amp; Theology,Chemical Engineering,Other Health,Mathematics &amp; Statistics,Civil Engineering,Languages, Literature &amp; Linguistics,Politics &amp; International Studies (incl Development Studies),Psychology,Mechanical &amp; Aerospace Engineering,Sport Science,Chemistry,Geography,Electrical &amp; Electronic Engineering,Veterinary Science,Art, Performing Arts &amp; Design,Biological Sciences,Physics &amp; Astronomy,Architecture,Sociology,Law,Agriculture &amp; Forestry,Computer Science,Education,Medicine &amp; Dentistry,Geology, Environmental, Earth &amp; Marine Sciences,Accounting &amp; Finance</t>
  </si>
  <si>
    <t>The British University in Egypt</t>
  </si>
  <si>
    <t>Mechanical &amp; Aerospace Engineering,Art, Performing Arts &amp; Design,Law,General Engineering,Electrical &amp; Electronic Engineering,Business &amp; Management,Chemical Engineering,Architecture,Economics &amp; Econometrics,Civil Engineering,Computer Science,Politics &amp; International Studies (incl Development Studies),Medicine &amp; Dentistry,Psychology,Languages, Literature &amp; Linguistics,Accounting &amp; Finance,Communication &amp; Media Studies</t>
  </si>
  <si>
    <t>B. S. Abdur Rahman Crescent Institute of Science and Technology</t>
  </si>
  <si>
    <t>Computer Science,Accounting &amp; Finance,Civil Engineering,Other Health,Chemistry,Architecture,Physics &amp; Astronomy,History, Philosophy &amp; Theology,Mathematics &amp; Statistics,Electrical &amp; Electronic Engineering,Business &amp; Management,Languages, Literature &amp; Linguistics,Biological Sciences,General Engineering,Politics &amp; International Studies (incl Development Studies),Mechanical &amp; Aerospace Engineering,Law,Art, Performing Arts &amp; Design,Chemical Engineering</t>
  </si>
  <si>
    <t>Bu-Ali Sina University</t>
  </si>
  <si>
    <t>Languages, Literature &amp; Linguistics,Sport Science,Business &amp; Management,Electrical &amp; Electronic Engineering,Geology, Environmental, Earth &amp; Marine Sciences,Art, Performing Arts &amp; Design,General Engineering,Biological Sciences,Education,Computer Science,Mathematics &amp; Statistics,Civil Engineering,Chemistry,Mechanical &amp; Aerospace Engineering,Physics &amp; Astronomy,History, Philosophy &amp; Theology,Agriculture &amp; Forestry,Politics &amp; International Studies (incl Development Studies),Archaeology,Veterinary Science,Psychology,Accounting &amp; Finance,Architecture,Sociology,Chemical Engineering,Law,Economics &amp; Econometrics</t>
  </si>
  <si>
    <t>Budapest University of Technology and Economics</t>
  </si>
  <si>
    <t>Architecture,Geology, Environmental, Earth &amp; Marine Sciences,Chemistry,General Engineering,Physics &amp; Astronomy,Mathematics &amp; Statistics,Economics &amp; Econometrics,Communication &amp; Media Studies,Electrical &amp; Electronic Engineering,Accounting &amp; Finance,Chemical Engineering,Computer Science,Education,Mechanical &amp; Aerospace Engineering,Business &amp; Management,Civil Engineering,Psychology</t>
  </si>
  <si>
    <t>University of Burgos</t>
  </si>
  <si>
    <t>Accounting &amp; Finance,Computer Science,Veterinary Science,Business &amp; Management,Mathematics &amp; Statistics,Electrical &amp; Electronic Engineering,Languages, Literature &amp; Linguistics,Civil Engineering,Architecture,Law,Education,Chemistry,General Engineering,Physics &amp; Astronomy,History, Philosophy &amp; Theology,Archaeology,Geology, Environmental, Earth &amp; Marine Sciences,Chemical Engineering,Politics &amp; International Studies (incl Development Studies),Biological Sciences,Communication &amp; Media Studies,Mechanical &amp; Aerospace Engineering,Art, Performing Arts &amp; Design,Sociology,Agriculture &amp; Forestry,Geography,Sport Science,Economics &amp; Econometrics,Other Health</t>
  </si>
  <si>
    <t>Cardiff Metropolitan University</t>
  </si>
  <si>
    <t>Architecture,Sport Science,Education,Other Health,Biological Sciences,Electrical &amp; Electronic Engineering,Accounting &amp; Finance,Business &amp; Management,Art, Performing Arts &amp; Design,Economics &amp; Econometrics,Sociology,Psychology,Languages, Literature &amp; Linguistics,Communication &amp; Media Studies,Law,Computer Science</t>
  </si>
  <si>
    <t>Universidad de Cartagena</t>
  </si>
  <si>
    <t>Mathematics &amp; Statistics,Accounting &amp; Finance,Other Health,Law,Biological Sciences,Medicine &amp; Dentistry,Politics &amp; International Studies (incl Development Studies),General Engineering,Economics &amp; Econometrics,Communication &amp; Media Studies,Chemistry,Civil Engineering,Languages, Literature &amp; Linguistics,History, Philosophy &amp; Theology,Computer Science,Education,Physics &amp; Astronomy,Chemical Engineering</t>
  </si>
  <si>
    <t>University of Carthage</t>
  </si>
  <si>
    <t>Accounting &amp; Finance,General Engineering,Communication &amp; Media Studies,Art, Performing Arts &amp; Design,Mechanical &amp; Aerospace Engineering,Civil Engineering,History, Philosophy &amp; Theology,Biological Sciences,Veterinary Science,Physics &amp; Astronomy,Sociology,Architecture,Law,Geography,Chemistry,Electrical &amp; Electronic Engineering,Psychology,Languages, Literature &amp; Linguistics,Economics &amp; Econometrics,Computer Science,Education,Mathematics &amp; Statistics,Agriculture &amp; Forestry,Politics &amp; International Studies (incl Development Studies),Geology, Environmental, Earth &amp; Marine Sciences,Business &amp; Management,Archaeology,Chemical Engineering</t>
  </si>
  <si>
    <t>Universidad CatÃ³lica San Antonio de Murcia (UCAM)</t>
  </si>
  <si>
    <t>History, Philosophy &amp; Theology,Education,Sport Science,Business &amp; Management,Politics &amp; International Studies (incl Development Studies),Electrical &amp; Electronic Engineering,Computer Science,Law,Civil Engineering,Languages, Literature &amp; Linguistics,Art, Performing Arts &amp; Design,Communication &amp; Media Studies,Architecture,Other Health,Psychology,Medicine &amp; Dentistry</t>
  </si>
  <si>
    <t>Chang Gung University of Science and Technology</t>
  </si>
  <si>
    <t>Biological Sciences,Education,Other Health</t>
  </si>
  <si>
    <t>University of Chester</t>
  </si>
  <si>
    <t>History, Philosophy &amp; Theology,Mathematics &amp; Statistics,Psychology,Other Health,Communication &amp; Media Studies,Economics &amp; Econometrics,Archaeology,Sport Science,Sociology,Computer Science,Geography,Languages, Literature &amp; Linguistics,Biological Sciences,Education,Art, Performing Arts &amp; Design,Physics &amp; Astronomy,Business &amp; Management,Electrical &amp; Electronic Engineering,Chemistry,Law,Chemical Engineering,Politics &amp; International Studies (incl Development Studies),Agriculture &amp; Forestry,Geology, Environmental, Earth &amp; Marine Sciences,Veterinary Science,Accounting &amp; Finance</t>
  </si>
  <si>
    <t>Chosun University</t>
  </si>
  <si>
    <t>History, Philosophy &amp; Theology,Civil Engineering,Law,Archaeology,Chemical Engineering,Education,Other Health,Geology, Environmental, Earth &amp; Marine Sciences,Languages, Literature &amp; Linguistics,Electrical &amp; Electronic Engineering,Chemistry,General Engineering,Mathematics &amp; Statistics,Architecture,Biological Sciences,Business &amp; Management,Computer Science,Politics &amp; International Studies (incl Development Studies),Art, Performing Arts &amp; Design,Sport Science,Accounting &amp; Finance,Medicine &amp; Dentistry,Physics &amp; Astronomy,Psychology,Mechanical &amp; Aerospace Engineering,Communication &amp; Media Studies,Economics &amp; Econometrics</t>
  </si>
  <si>
    <t>Christ University</t>
  </si>
  <si>
    <t>Psychology,Languages, Literature &amp; Linguistics,Communication &amp; Media Studies,Politics &amp; International Studies (incl Development Studies),Art, Performing Arts &amp; Design,Mathematics &amp; Statistics,Electrical &amp; Electronic Engineering,Business &amp; Management,Education,Biological Sciences,Chemical Engineering,Accounting &amp; Finance,Civil Engineering,Mechanical &amp; Aerospace Engineering,Economics &amp; Econometrics,General Engineering,Law,Computer Science,Sociology,Chemistry,History, Philosophy &amp; Theology,Architecture,Physics &amp; Astronomy</t>
  </si>
  <si>
    <t>Chungbuk National University</t>
  </si>
  <si>
    <t>Chungbuk National University CBNU</t>
  </si>
  <si>
    <t>Chemical Engineering,Mathematics &amp; Statistics,Business &amp; Management,Chemistry,Sociology,Psychology,Architecture,Art, Performing Arts &amp; Design,Economics &amp; Econometrics,Electrical &amp; Electronic Engineering,Agriculture &amp; Forestry,History, Philosophy &amp; Theology,Accounting &amp; Finance,Geography,Biological Sciences,Civil Engineering,Education,Sport Science,Politics &amp; International Studies (incl Development Studies),Other Health,Geology, Environmental, Earth &amp; Marine Sciences,Languages, Literature &amp; Linguistics,Law,Medicine &amp; Dentistry,Physics &amp; Astronomy,General Engineering,Computer Science,Archaeology,Veterinary Science,Mechanical &amp; Aerospace Engineering,Communication &amp; Media Studies</t>
  </si>
  <si>
    <t>Chung Shan Medical University</t>
  </si>
  <si>
    <t>Computer Science,Sociology,Languages, Literature &amp; Linguistics,Chemistry,Agriculture &amp; Forestry,Psychology,Biological Sciences,Medicine &amp; Dentistry,Other Health,Communication &amp; Media Studies,Business &amp; Management</t>
  </si>
  <si>
    <t>Cochin University of Science and Technology</t>
  </si>
  <si>
    <t>Physics &amp; Astronomy,Geology, Environmental, Earth &amp; Marine Sciences,Law,Computer Science,Business &amp; Management,Languages, Literature &amp; Linguistics,Economics &amp; Econometrics,Biological Sciences,Electrical &amp; Electronic Engineering,Mathematics &amp; Statistics,Chemistry</t>
  </si>
  <si>
    <t>University of ConcepciÃ³n</t>
  </si>
  <si>
    <t>Archaeology,Art, Performing Arts &amp; Design,Medicine &amp; Dentistry,Accounting &amp; Finance,Architecture,Business &amp; Management,Geography,Chemical Engineering,Other Health,Mathematics &amp; Statistics,General Engineering,Chemistry,Veterinary Science,History, Philosophy &amp; Theology,Civil Engineering,Sociology,Electrical &amp; Electronic Engineering,Computer Science,Politics &amp; International Studies (incl Development Studies),Psychology,Mechanical &amp; Aerospace Engineering,Physics &amp; Astronomy,Agriculture &amp; Forestry,Biological Sciences,Languages, Literature &amp; Linguistics,Law,Sport Science,Communication &amp; Media Studies,Education,Geology, Environmental, Earth &amp; Marine Sciences,Economics &amp; Econometrics</t>
  </si>
  <si>
    <t>University of Costa Rica</t>
  </si>
  <si>
    <t>Costa Rica</t>
  </si>
  <si>
    <t>Archaeology,Chemistry,Education,Computer Science,Mathematics &amp; Statistics,Business &amp; Management,Art, Performing Arts &amp; Design,Civil Engineering,Law,Architecture,Mechanical &amp; Aerospace Engineering,Politics &amp; International Studies (incl Development Studies),Languages, Literature &amp; Linguistics,Agriculture &amp; Forestry,Communication &amp; Media Studies,Medicine &amp; Dentistry,Physics &amp; Astronomy,Accounting &amp; Finance,Electrical &amp; Electronic Engineering,Geology, Environmental, Earth &amp; Marine Sciences,Economics &amp; Econometrics,Other Health,Chemical Engineering,Geography,History, Philosophy &amp; Theology,Biological Sciences,Sociology,General Engineering,Sport Science,Psychology</t>
  </si>
  <si>
    <t>Cukurova University</t>
  </si>
  <si>
    <t>Civil Engineering,Geology, Environmental, Earth &amp; Marine Sciences,Business &amp; Management,Languages, Literature &amp; Linguistics,Agriculture &amp; Forestry,Economics &amp; Econometrics,Medicine &amp; Dentistry,Communication &amp; Media Studies,Architecture,Mechanical &amp; Aerospace Engineering,Accounting &amp; Finance,Archaeology,Biological Sciences,Chemistry,History, Philosophy &amp; Theology,Politics &amp; International Studies (incl Development Studies),Art, Performing Arts &amp; Design,Electrical &amp; Electronic Engineering,Physics &amp; Astronomy,Other Health,Veterinary Science,Law,General Engineering,Mathematics &amp; Statistics,Psychology,Computer Science,Sport Science,Education</t>
  </si>
  <si>
    <t>Del Rosario University</t>
  </si>
  <si>
    <t>Art, Performing Arts &amp; Design,Law,History, Philosophy &amp; Theology,Politics &amp; International Studies (incl Development Studies),Geology, Environmental, Earth &amp; Marine Sciences,Architecture,Biological Sciences,Computer Science,Communication &amp; Media Studies,Languages, Literature &amp; Linguistics,Education,Psychology,General Engineering,Other Health,Electrical &amp; Electronic Engineering,Business &amp; Management,Economics &amp; Econometrics,Accounting &amp; Finance,Sociology,Medicine &amp; Dentistry</t>
  </si>
  <si>
    <t>University of Diyala</t>
  </si>
  <si>
    <t>Politics &amp; International Studies (incl Development Studies),Agriculture &amp; Forestry,Economics &amp; Econometrics,Sociology,Archaeology,History, Philosophy &amp; Theology,Mathematics &amp; Statistics,Mechanical &amp; Aerospace Engineering,Art, Performing Arts &amp; Design,Psychology,Geology, Environmental, Earth &amp; Marine Sciences,Other Health,Business &amp; Management,Veterinary Science,Physics &amp; Astronomy,Architecture,Education,Electrical &amp; Electronic Engineering,Communication &amp; Media Studies,Accounting &amp; Finance,Computer Science,Chemical Engineering,Chemistry,Geography,Civil Engineering,General Engineering,Biological Sciences,Languages, Literature &amp; Linguistics,Sport Science,Medicine &amp; Dentistry,Law</t>
  </si>
  <si>
    <t>Dokuz EylÃ¼l University</t>
  </si>
  <si>
    <t>Education,Physics &amp; Astronomy,Geography,Art, Performing Arts &amp; Design,Languages, Literature &amp; Linguistics,Agriculture &amp; Forestry,Civil Engineering,History, Philosophy &amp; Theology,Medicine &amp; Dentistry,Sport Science,Electrical &amp; Electronic Engineering,Chemistry,Law,Economics &amp; Econometrics,General Engineering,Sociology,Mechanical &amp; Aerospace Engineering,Other Health,Computer Science,Mathematics &amp; Statistics,Architecture,Politics &amp; International Studies (incl Development Studies),Accounting &amp; Finance,Veterinary Science,Archaeology,Business &amp; Management,Geology, Environmental, Earth &amp; Marine Sciences,Biological Sciences,Psychology</t>
  </si>
  <si>
    <t>Dow University of Health Sciences</t>
  </si>
  <si>
    <t>Business &amp; Management,Psychology,Biological Sciences,Medicine &amp; Dentistry,Other Health</t>
  </si>
  <si>
    <t>Duzce University</t>
  </si>
  <si>
    <t>Computer Science,Communication &amp; Media Studies,Accounting &amp; Finance,Other Health,Chemistry,Archaeology,Mathematics &amp; Statistics,Languages, Literature &amp; Linguistics,Physics &amp; Astronomy,Architecture,Agriculture &amp; Forestry,Business &amp; Management,History, Philosophy &amp; Theology,Civil Engineering,Education,General Engineering,Biological Sciences,Psychology,Art, Performing Arts &amp; Design,Sport Science,Sociology,Medicine &amp; Dentistry,Geology, Environmental, Earth &amp; Marine Sciences,Economics &amp; Econometrics,Electrical &amp; Electronic Engineering,Politics &amp; International Studies (incl Development Studies)</t>
  </si>
  <si>
    <t>Universidade Eduardo Mondlane</t>
  </si>
  <si>
    <t>Mozambique</t>
  </si>
  <si>
    <t>Art, Performing Arts &amp; Design,Medicine &amp; Dentistry,Chemistry,Civil Engineering,Communication &amp; Media Studies,Archaeology,Physics &amp; Astronomy,Economics &amp; Econometrics,Chemical Engineering,Geology, Environmental, Earth &amp; Marine Sciences,Architecture,Veterinary Science,Geography,History, Philosophy &amp; Theology,Agriculture &amp; Forestry,Education,Mechanical &amp; Aerospace Engineering,Politics &amp; International Studies (incl Development Studies),Business &amp; Management,Electrical &amp; Electronic Engineering,Mathematics &amp; Statistics,Law,Computer Science,Sport Science,Accounting &amp; Finance,Languages, Literature &amp; Linguistics,Biological Sciences,Sociology,Psychology</t>
  </si>
  <si>
    <t>University of Education, Lahore</t>
  </si>
  <si>
    <t>Chemistry,Languages, Literature &amp; Linguistics,Business &amp; Management,Physics &amp; Astronomy,Economics &amp; Econometrics,Archaeology,Agriculture &amp; Forestry,Computer Science,Education,History, Philosophy &amp; Theology,Sport Science,Mathematics &amp; Statistics,Accounting &amp; Finance</t>
  </si>
  <si>
    <t>Ege University</t>
  </si>
  <si>
    <t>Business &amp; Management,Chemical Engineering,Agriculture &amp; Forestry,Electrical &amp; Electronic Engineering,History, Philosophy &amp; Theology,Other Health,Mathematics &amp; Statistics,Accounting &amp; Finance,Politics &amp; International Studies (incl Development Studies),Economics &amp; Econometrics,Chemistry,Archaeology,Biological Sciences,Mechanical &amp; Aerospace Engineering,Art, Performing Arts &amp; Design,Geology, Environmental, Earth &amp; Marine Sciences,Computer Science,Sociology,Education,Communication &amp; Media Studies,General Engineering,Languages, Literature &amp; Linguistics,Sport Science,Medicine &amp; Dentistry,Psychology,Physics &amp; Astronomy,Geography,Civil Engineering</t>
  </si>
  <si>
    <t>Ehime University</t>
  </si>
  <si>
    <t>Computer Science,Electrical &amp; Electronic Engineering,Education,Sociology,Psychology,Mathematics &amp; Statistics,History, Philosophy &amp; Theology,Biological Sciences,Accounting &amp; Finance,Business &amp; Management,Mechanical &amp; Aerospace Engineering,Physics &amp; Astronomy,Languages, Literature &amp; Linguistics,Art, Performing Arts &amp; Design,Chemistry,Economics &amp; Econometrics,Law,Geology, Environmental, Earth &amp; Marine Sciences,Civil Engineering,Medicine &amp; Dentistry,Politics &amp; International Studies (incl Development Studies),Geography,Agriculture &amp; Forestry,Communication &amp; Media Studies,Chemical Engineering,Other Health,General Engineering,Archaeology</t>
  </si>
  <si>
    <t>The University of Electro-Communications</t>
  </si>
  <si>
    <t>Mechanical &amp; Aerospace Engineering,Computer Science,Biological Sciences,Chemistry,Electrical &amp; Electronic Engineering,Business &amp; Management,Geology, Environmental, Earth &amp; Marine Sciences,Mathematics &amp; Statistics,Physics &amp; Astronomy,Chemical Engineering,Sport Science,General Engineering,Communication &amp; Media Studies</t>
  </si>
  <si>
    <t>Erciyes University</t>
  </si>
  <si>
    <t>Mathematics &amp; Statistics,Chemistry,Physics &amp; Astronomy,Biological Sciences,Agriculture &amp; Forestry,General Engineering,History, Philosophy &amp; Theology,Law,Communication &amp; Media Studies,Other Health,Art, Performing Arts &amp; Design,Electrical &amp; Electronic Engineering,Computer Science,Geology, Environmental, Earth &amp; Marine Sciences,Accounting &amp; Finance,Medicine &amp; Dentistry,Languages, Literature &amp; Linguistics,Sport Science,Civil Engineering,Architecture,Politics &amp; International Studies (incl Development Studies),Mechanical &amp; Aerospace Engineering,Chemical Engineering,Veterinary Science,Economics &amp; Econometrics,Sociology,Business &amp; Management,Education</t>
  </si>
  <si>
    <t>Escuela Superior PolitÃ©cnica del Litoral</t>
  </si>
  <si>
    <t>Communication &amp; Media Studies,General Engineering,Biological Sciences,Art, Performing Arts &amp; Design,Politics &amp; International Studies (incl Development Studies),Mechanical &amp; Aerospace Engineering,Civil Engineering,Accounting &amp; Finance,Mathematics &amp; Statistics,Electrical &amp; Electronic Engineering,Business &amp; Management,Economics &amp; Econometrics,Archaeology,Agriculture &amp; Forestry,Computer Science,Education,Geology, Environmental, Earth &amp; Marine Sciences,Languages, Literature &amp; Linguistics,Chemical Engineering</t>
  </si>
  <si>
    <t>Universidade do Estado do Rio de Janeiro (UERJ)</t>
  </si>
  <si>
    <t>Languages, Literature &amp; Linguistics,Chemical Engineering,Geography,History, Philosophy &amp; Theology,Biological Sciences,Law,Art, Performing Arts &amp; Design,Civil Engineering,Sociology,Other Health,Mathematics &amp; Statistics,General Engineering,Communication &amp; Media Studies,Accounting &amp; Finance,Computer Science,Chemistry,Business &amp; Management,Archaeology,Sport Science,Education,Electrical &amp; Electronic Engineering,Mechanical &amp; Aerospace Engineering,Politics &amp; International Studies (incl Development Studies),Architecture,Physics &amp; Astronomy,Psychology,Medicine &amp; Dentistry,Geology, Environmental, Earth &amp; Marine Sciences,Economics &amp; Econometrics</t>
  </si>
  <si>
    <t>Far Eastern Federal University</t>
  </si>
  <si>
    <t>Politics &amp; International Studies (incl Development Studies),History, Philosophy &amp; Theology,Computer Science,Mathematics &amp; Statistics,Education,Geography,Other Health,Medicine &amp; Dentistry,Business &amp; Management,Mechanical &amp; Aerospace Engineering,Languages, Literature &amp; Linguistics,Agriculture &amp; Forestry,Accounting &amp; Finance,Psychology,Civil Engineering,Architecture,Physics &amp; Astronomy,Electrical &amp; Electronic Engineering,Art, Performing Arts &amp; Design,Chemistry,Archaeology,Sport Science,Economics &amp; Econometrics,Law,Geology, Environmental, Earth &amp; Marine Sciences,General Engineering,Biological Sciences,Sociology,Communication &amp; Media Studies,Chemical Engineering</t>
  </si>
  <si>
    <t>Universidade Federal do ABC (UFABC)</t>
  </si>
  <si>
    <t>Politics &amp; International Studies (incl Development Studies),Biological Sciences,Chemistry,Mechanical &amp; Aerospace Engineering,Mathematics &amp; Statistics,Civil Engineering,Physics &amp; Astronomy,Geography,Electrical &amp; Electronic Engineering,General Engineering,Other Health,Education,History, Philosophy &amp; Theology,Sociology,Computer Science,Agriculture &amp; Forestry,Economics &amp; Econometrics</t>
  </si>
  <si>
    <t>Universidade Federal da Bahia</t>
  </si>
  <si>
    <t>Physics &amp; Astronomy,History, Philosophy &amp; Theology,Other Health,Sociology,Mathematics &amp; Statistics,Archaeology,Computer Science,Mechanical &amp; Aerospace Engineering,General Engineering,Sport Science,Electrical &amp; Electronic Engineering,Economics &amp; Econometrics,Communication &amp; Media Studies,Art, Performing Arts &amp; Design,Education,Veterinary Science,Medicine &amp; Dentistry,Politics &amp; International Studies (incl Development Studies),Geology, Environmental, Earth &amp; Marine Sciences,Chemical Engineering,Psychology,Geography,Languages, Literature &amp; Linguistics,Chemistry,Law,Accounting &amp; Finance,Biological Sciences,Civil Engineering,Business &amp; Management,Architecture</t>
  </si>
  <si>
    <t>Universidade Federal do CearÃ¡ (UFC)</t>
  </si>
  <si>
    <t>Civil Engineering,Politics &amp; International Studies (incl Development Studies),Mechanical &amp; Aerospace Engineering,Communication &amp; Media Studies,General Engineering,Chemistry,Psychology,Architecture,Biological Sciences,Law,History, Philosophy &amp; Theology,Agriculture &amp; Forestry,Mathematics &amp; Statistics,Accounting &amp; Finance,Art, Performing Arts &amp; Design,Computer Science,Veterinary Science,Sociology,Languages, Literature &amp; Linguistics,Other Health,Geology, Environmental, Earth &amp; Marine Sciences,Economics &amp; Econometrics,Electrical &amp; Electronic Engineering,Physics &amp; Astronomy,Education,Business &amp; Management,Medicine &amp; Dentistry,Sport Science,Chemical Engineering,Geography</t>
  </si>
  <si>
    <t>Federal University of EspÃ­rito Santo</t>
  </si>
  <si>
    <t>Politics &amp; International Studies (incl Development Studies),Chemical Engineering,Languages, Literature &amp; Linguistics,Mathematics &amp; Statistics,Civil Engineering,Chemistry,Electrical &amp; Electronic Engineering,Physics &amp; Astronomy,History, Philosophy &amp; Theology,Communication &amp; Media Studies,Education,Business &amp; Management,Sociology,Mechanical &amp; Aerospace Engineering,Art, Performing Arts &amp; Design,Architecture,Geography,Geology, Environmental, Earth &amp; Marine Sciences,Agriculture &amp; Forestry,Economics &amp; Econometrics,Sport Science,Other Health,Law,Psychology,Computer Science,Biological Sciences,Medicine &amp; Dentistry,Veterinary Science,Accounting &amp; Finance</t>
  </si>
  <si>
    <t>Federal University of GoiÃ¡s</t>
  </si>
  <si>
    <t>Mechanical &amp; Aerospace Engineering,Geology, Environmental, Earth &amp; Marine Sciences,Accounting &amp; Finance,Languages, Literature &amp; Linguistics,Chemical Engineering,Law,Computer Science,Mathematics &amp; Statistics,Economics &amp; Econometrics,Medicine &amp; Dentistry,Veterinary Science,Sociology,General Engineering,Physics &amp; Astronomy,Psychology,Art, Performing Arts &amp; Design,Civil Engineering,Geography,History, Philosophy &amp; Theology,Agriculture &amp; Forestry,Communication &amp; Media Studies,Other Health,Sport Science,Education,Architecture,Biological Sciences,Politics &amp; International Studies (incl Development Studies),Electrical &amp; Electronic Engineering,Chemistry,Business &amp; Management</t>
  </si>
  <si>
    <t>Federal University of Lavras</t>
  </si>
  <si>
    <t>History, Philosophy &amp; Theology,Agriculture &amp; Forestry,Civil Engineering,Mechanical &amp; Aerospace Engineering,Law,Mathematics &amp; Statistics,Business &amp; Management,Medicine &amp; Dentistry,Biological Sciences,Other Health,Chemistry,Computer Science,Physics &amp; Astronomy,Education,Veterinary Science,General Engineering,Sport Science,Languages, Literature &amp; Linguistics,Chemical Engineering</t>
  </si>
  <si>
    <t>Universidade Federal do ParanÃ¡ (UFPR)</t>
  </si>
  <si>
    <t>Education,Physics &amp; Astronomy,Chemistry,Medicine &amp; Dentistry,Electrical &amp; Electronic Engineering,Geography,Biological Sciences,Mathematics &amp; Statistics,Accounting &amp; Finance,Psychology,Mechanical &amp; Aerospace Engineering,Agriculture &amp; Forestry,Veterinary Science,Languages, Literature &amp; Linguistics,Sociology,Communication &amp; Media Studies,Economics &amp; Econometrics,Computer Science,Geology, Environmental, Earth &amp; Marine Sciences,General Engineering,Architecture,Sport Science,Chemical Engineering,History, Philosophy &amp; Theology,Law,Business &amp; Management,Civil Engineering,Art, Performing Arts &amp; Design,Other Health</t>
  </si>
  <si>
    <t>Federal University of Pernambuco</t>
  </si>
  <si>
    <t>Computer Science,Architecture,Mathematics &amp; Statistics,Geography,Medicine &amp; Dentistry,Sport Science,General Engineering,Sociology,Archaeology,Civil Engineering,Psychology,Other Health,Biological Sciences,Education,Electrical &amp; Electronic Engineering,Law,Languages, Literature &amp; Linguistics,Chemistry,Communication &amp; Media Studies,History, Philosophy &amp; Theology,Chemical Engineering,Geology, Environmental, Earth &amp; Marine Sciences,Politics &amp; International Studies (incl Development Studies),Economics &amp; Econometrics,Art, Performing Arts &amp; Design,Mechanical &amp; Aerospace Engineering,Physics &amp; Astronomy,Business &amp; Management,Accounting &amp; Finance</t>
  </si>
  <si>
    <t>Federal University of Rio Grande do Norte (UFRN)</t>
  </si>
  <si>
    <t>Art, Performing Arts &amp; Design,Civil Engineering,Sociology,Computer Science,Physics &amp; Astronomy,Accounting &amp; Finance,Electrical &amp; Electronic Engineering,Geology, Environmental, Earth &amp; Marine Sciences,General Engineering,Chemistry,Economics &amp; Econometrics,Languages, Literature &amp; Linguistics,Mechanical &amp; Aerospace Engineering,Communication &amp; Media Studies,Medicine &amp; Dentistry,Sport Science,Psychology,Chemical Engineering,Geography,History, Philosophy &amp; Theology,Agriculture &amp; Forestry,Law,Architecture,Biological Sciences,Education,Other Health,Mathematics &amp; Statistics,Business &amp; Management</t>
  </si>
  <si>
    <t>Federal University of Santa Maria</t>
  </si>
  <si>
    <t>Civil Engineering,Sport Science,Computer Science,Agriculture &amp; Forestry,Law,Mechanical &amp; Aerospace Engineering,Art, Performing Arts &amp; Design,Geography,History, Philosophy &amp; Theology,Economics &amp; Econometrics,Geology, Environmental, Earth &amp; Marine Sciences,Medicine &amp; Dentistry,Psychology,Biological Sciences,Communication &amp; Media Studies,Veterinary Science,Chemical Engineering,Physics &amp; Astronomy,Business &amp; Management,Languages, Literature &amp; Linguistics,Education,Sociology,Architecture,General Engineering,Mathematics &amp; Statistics,Politics &amp; International Studies (incl Development Studies),Accounting &amp; Finance,Other Health,Chemistry,Electrical &amp; Electronic Engineering</t>
  </si>
  <si>
    <t>Federal University of UberlÃ¢ndia</t>
  </si>
  <si>
    <t>Sociology,Physics &amp; Astronomy,Politics &amp; International Studies (incl Development Studies),Geology, Environmental, Earth &amp; Marine Sciences,General Engineering,Business &amp; Management,Geography,Other Health,Civil Engineering,Communication &amp; Media Studies,Mathematics &amp; Statistics,Medicine &amp; Dentistry,Economics &amp; Econometrics,Art, Performing Arts &amp; Design,Sport Science,Chemical Engineering,Architecture,Accounting &amp; Finance,Chemistry,Computer Science,Psychology,Agriculture &amp; Forestry,Electrical &amp; Electronic Engineering,History, Philosophy &amp; Theology,Education,Veterinary Science,Law,Languages, Literature &amp; Linguistics,Biological Sciences,Mechanical &amp; Aerospace Engineering</t>
  </si>
  <si>
    <t>Federal University of ViÃ§osa</t>
  </si>
  <si>
    <t>Architecture,Communication &amp; Media Studies,Medicine &amp; Dentistry,Sociology,Geography,Psychology,Other Health,Sport Science,Computer Science,Education,Veterinary Science,Chemical Engineering,Economics &amp; Econometrics,Geology, Environmental, Earth &amp; Marine Sciences,Business &amp; Management,History, Philosophy &amp; Theology,Electrical &amp; Electronic Engineering,Mechanical &amp; Aerospace Engineering,Agriculture &amp; Forestry,Accounting &amp; Finance,General Engineering,Art, Performing Arts &amp; Design,Mathematics &amp; Statistics,Languages, Literature &amp; Linguistics,Civil Engineering,Law,Chemistry,Physics &amp; Astronomy,Biological Sciences,Politics &amp; International Studies (incl Development Studies)</t>
  </si>
  <si>
    <t>Federico Santa MarÃ­a Technical University</t>
  </si>
  <si>
    <t>Business &amp; Management,Mechanical &amp; Aerospace Engineering,Chemistry,Architecture,Physics &amp; Astronomy,Electrical &amp; Electronic Engineering,Chemical Engineering,Mathematics &amp; Statistics,General Engineering,Accounting &amp; Finance,Computer Science,Economics &amp; Econometrics,Civil Engineering</t>
  </si>
  <si>
    <t>Feng Chia University</t>
  </si>
  <si>
    <t>History, Philosophy &amp; Theology,Geology, Environmental, Earth &amp; Marine Sciences,Sociology,General Engineering,Law,Computer Science,Chemical Engineering,Civil Engineering,Geography,Physics &amp; Astronomy,Accounting &amp; Finance,Electrical &amp; Electronic Engineering,Politics &amp; International Studies (incl Development Studies),Chemistry,Languages, Literature &amp; Linguistics,Mechanical &amp; Aerospace Engineering,Business &amp; Management,Art, Performing Arts &amp; Design,Mathematics &amp; Statistics,Architecture,Communication &amp; Media Studies,Economics &amp; Econometrics</t>
  </si>
  <si>
    <t>Ferhat Abbas SÃ©tif University 1</t>
  </si>
  <si>
    <t>Physics &amp; Astronomy,Economics &amp; Econometrics,Accounting &amp; Finance,Electrical &amp; Electronic Engineering,Other Health,Agriculture &amp; Forestry,Civil Engineering,Mechanical &amp; Aerospace Engineering,Architecture,Business &amp; Management,Chemical Engineering,Biological Sciences,Computer Science,Chemistry,General Engineering,Mathematics &amp; Statistics,Geology, Environmental, Earth &amp; Marine Sciences,Medicine &amp; Dentistry</t>
  </si>
  <si>
    <t>University of La Frontera</t>
  </si>
  <si>
    <t>Chemical Engineering,Mathematics &amp; Statistics,Electrical &amp; Electronic Engineering,Business &amp; Management,General Engineering,Communication &amp; Media Studies,Accounting &amp; Finance,Civil Engineering,Medicine &amp; Dentistry,Sociology,Computer Science,Veterinary Science,Education,Agriculture &amp; Forestry,Psychology</t>
  </si>
  <si>
    <t>Universitas Gadjah Mada</t>
  </si>
  <si>
    <t>Mechanical &amp; Aerospace Engineering,Veterinary Science,Psychology,Art, Performing Arts &amp; Design,Civil Engineering,Sociology,Medicine &amp; Dentistry,Mathematics &amp; Statistics,Economics &amp; Econometrics,History, Philosophy &amp; Theology,Biological Sciences,Law,Archaeology,Agriculture &amp; Forestry,Communication &amp; Media Studies,General Engineering,Geology, Environmental, Earth &amp; Marine Sciences,Accounting &amp; Finance,Architecture,Chemical Engineering,Geography,Computer Science,Physics &amp; Astronomy,Business &amp; Management,Languages, Literature &amp; Linguistics,Electrical &amp; Electronic Engineering,Politics &amp; International Studies (incl Development Studies),Other Health,Chemistry</t>
  </si>
  <si>
    <t>Gazi University</t>
  </si>
  <si>
    <t>Chemical Engineering,Languages, Literature &amp; Linguistics,Mechanical &amp; Aerospace Engineering,Electrical &amp; Electronic Engineering,Education,Biological Sciences,Other Health,Physics &amp; Astronomy,General Engineering,Chemistry,Civil Engineering,Medicine &amp; Dentistry,Mathematics &amp; Statistics,Geography,Computer Science,Architecture,Sport Science</t>
  </si>
  <si>
    <t>University of GdaÅ„sk</t>
  </si>
  <si>
    <t>Geography,Archaeology,Psychology,Languages, Literature &amp; Linguistics,Sociology,Mathematics &amp; Statistics,Accounting &amp; Finance,Geology, Environmental, Earth &amp; Marine Sciences,Economics &amp; Econometrics,Communication &amp; Media Studies,Computer Science,Chemistry,Law,History, Philosophy &amp; Theology,Politics &amp; International Studies (incl Development Studies),Biological Sciences,Education,Physics &amp; Astronomy,Business &amp; Management</t>
  </si>
  <si>
    <t>Gebze Technical University</t>
  </si>
  <si>
    <t>Biological Sciences,Accounting &amp; Finance,Chemistry,Economics &amp; Econometrics,Physics &amp; Astronomy,Mechanical &amp; Aerospace Engineering,Mathematics &amp; Statistics,Computer Science,Business &amp; Management,Architecture,Chemical Engineering,Geology, Environmental, Earth &amp; Marine Sciences,Electrical &amp; Electronic Engineering,Civil Engineering</t>
  </si>
  <si>
    <t>George Emil Palade University of Medicine, Pharmacy, Science, and Technology of Targu Mures</t>
  </si>
  <si>
    <t>Computer Science,Accounting &amp; Finance,Medicine &amp; Dentistry,Business &amp; Management,Languages, Literature &amp; Linguistics,Electrical &amp; Electronic Engineering,Economics &amp; Econometrics,Communication &amp; Media Studies,Mechanical &amp; Aerospace Engineering,History, Philosophy &amp; Theology,Law,General Engineering,Architecture,Politics &amp; International Studies (incl Development Studies),Sport Science,Other Health,Education</t>
  </si>
  <si>
    <t>Georgia Southern University</t>
  </si>
  <si>
    <t>Languages, Literature &amp; Linguistics,Biological Sciences,Psychology,Computer Science,Politics &amp; International Studies (incl Development Studies),Art, Performing Arts &amp; Design,Physics &amp; Astronomy,Sociology,History, Philosophy &amp; Theology,Mathematics &amp; Statistics,Geography,Mechanical &amp; Aerospace Engineering,Education,Electrical &amp; Electronic Engineering,Geology, Environmental, Earth &amp; Marine Sciences,Civil Engineering,Law,Sport Science,Business &amp; Management,Other Health,Chemistry,Accounting &amp; Finance,General Engineering,Communication &amp; Media Studies,Economics &amp; Econometrics</t>
  </si>
  <si>
    <t>German Jordanian University</t>
  </si>
  <si>
    <t>Geology, Environmental, Earth &amp; Marine Sciences,Architecture,Accounting &amp; Finance,Electrical &amp; Electronic Engineering,Art, Performing Arts &amp; Design,Chemical Engineering,Languages, Literature &amp; Linguistics,Computer Science,Economics &amp; Econometrics,General Engineering,Sociology,Mechanical &amp; Aerospace Engineering,Business &amp; Management,Civil Engineering</t>
  </si>
  <si>
    <t>Government College University Lahore</t>
  </si>
  <si>
    <t>Chemistry,Accounting &amp; Finance,Art, Performing Arts &amp; Design,Education,Veterinary Science,Mathematics &amp; Statistics,Economics &amp; Econometrics,Languages, Literature &amp; Linguistics,General Engineering,Sociology,Business &amp; Management,Biological Sciences,Geography,Agriculture &amp; Forestry,Law,Computer Science,Communication &amp; Media Studies,Sport Science,Psychology,History, Philosophy &amp; Theology,Politics &amp; International Studies (incl Development Studies),Geology, Environmental, Earth &amp; Marine Sciences,Physics &amp; Astronomy,Electrical &amp; Electronic Engineering</t>
  </si>
  <si>
    <t>University of Guilan</t>
  </si>
  <si>
    <t>Education,Electrical &amp; Electronic Engineering,Law,Agriculture &amp; Forestry,Languages, Literature &amp; Linguistics,Accounting &amp; Finance,Physics &amp; Astronomy,Art, Performing Arts &amp; Design,Geography,Geology, Environmental, Earth &amp; Marine Sciences,Computer Science,Chemical Engineering,History, Philosophy &amp; Theology,Civil Engineering,Sociology,Mechanical &amp; Aerospace Engineering,Biological Sciences,Sport Science,Mathematics &amp; Statistics,Economics &amp; Econometrics,Chemistry,Psychology,Architecture,Politics &amp; International Studies (incl Development Studies),General Engineering,Business &amp; Management</t>
  </si>
  <si>
    <t>Gunma University</t>
  </si>
  <si>
    <t>Computer Science,Medicine &amp; Dentistry,General Engineering,Other Health,Sociology,Mechanical &amp; Aerospace Engineering,Politics &amp; International Studies (incl Development Studies),Electrical &amp; Electronic Engineering,Communication &amp; Media Studies,Education,Chemical Engineering,Civil Engineering</t>
  </si>
  <si>
    <t>Guru Jambheshwar University of Science and Technology</t>
  </si>
  <si>
    <t>Business &amp; Management,Other Health,Geology, Environmental, Earth &amp; Marine Sciences,Mathematics &amp; Statistics,Communication &amp; Media Studies,Psychology,Languages, Literature &amp; Linguistics,Biological Sciences,Physics &amp; Astronomy,Economics &amp; Econometrics,Electrical &amp; Electronic Engineering,General Engineering,Civil Engineering,Mechanical &amp; Aerospace Engineering,Chemistry,Computer Science</t>
  </si>
  <si>
    <t>Gyeongsang National University</t>
  </si>
  <si>
    <t>Archaeology,Agriculture &amp; Forestry,Education,Art, Performing Arts &amp; Design,Civil Engineering,Geography,Electrical &amp; Electronic Engineering,Chemical Engineering,Sociology,General Engineering,Chemistry,Economics &amp; Econometrics,Other Health,Mathematics &amp; Statistics,Business &amp; Management,Medicine &amp; Dentistry,Geology, Environmental, Earth &amp; Marine Sciences,Accounting &amp; Finance,History, Philosophy &amp; Theology,Veterinary Science,Psychology,Computer Science,Biological Sciences,Communication &amp; Media Studies,Mechanical &amp; Aerospace Engineering,Politics &amp; International Studies (incl Development Studies),Languages, Literature &amp; Linguistics,Architecture,Physics &amp; Astronomy,Law</t>
  </si>
  <si>
    <t>Hallym University</t>
  </si>
  <si>
    <t>Electrical &amp; Electronic Engineering,Sociology,Politics &amp; International Studies (incl Development Studies),Computer Science,Art, Performing Arts &amp; Design,Biological Sciences,Accounting &amp; Finance,Languages, Literature &amp; Linguistics,Geology, Environmental, Earth &amp; Marine Sciences,Medicine &amp; Dentistry,Chemistry,Mathematics &amp; Statistics,Psychology,History, Philosophy &amp; Theology,Communication &amp; Media Studies,Economics &amp; Econometrics,General Engineering,Law,Other Health,Physics &amp; Astronomy,Sport Science,Business &amp; Management</t>
  </si>
  <si>
    <t>Halmstad University</t>
  </si>
  <si>
    <t>Business &amp; Management,Politics &amp; International Studies (incl Development Studies),Mechanical &amp; Aerospace Engineering,Sociology,Sport Science,Geology, Environmental, Earth &amp; Marine Sciences,Languages, Literature &amp; Linguistics,Biological Sciences,Accounting &amp; Finance,Computer Science,Electrical &amp; Electronic Engineering,Psychology,Other Health,Communication &amp; Media Studies,Civil Engineering,Education,General Engineering</t>
  </si>
  <si>
    <t>The Hashemite University</t>
  </si>
  <si>
    <t>Economics &amp; Econometrics,Agriculture &amp; Forestry,Other Health,Languages, Literature &amp; Linguistics,Chemistry,Computer Science,General Engineering,Mathematics &amp; Statistics,Architecture,Politics &amp; International Studies (incl Development Studies),Civil Engineering,Physics &amp; Astronomy,Geology, Environmental, Earth &amp; Marine Sciences,Electrical &amp; Electronic Engineering,Archaeology,Accounting &amp; Finance,Business &amp; Management,Mechanical &amp; Aerospace Engineering,Biological Sciences,Medicine &amp; Dentistry,Education,Sport Science</t>
  </si>
  <si>
    <t>UniversitÃ© Hassan II de Casablanca</t>
  </si>
  <si>
    <t>Chemical Engineering,Geography,History, Philosophy &amp; Theology,Civil Engineering,Mathematics &amp; Statistics,Communication &amp; Media Studies,Law,Medicine &amp; Dentistry,Mechanical &amp; Aerospace Engineering,Languages, Literature &amp; Linguistics,Electrical &amp; Electronic Engineering,Geology, Environmental, Earth &amp; Marine Sciences,Chemistry,Business &amp; Management,Sociology,General Engineering,Psychology,Computer Science,Politics &amp; International Studies (incl Development Studies),Biological Sciences,Education,Physics &amp; Astronomy,Archaeology,Sport Science,Accounting &amp; Finance,Economics &amp; Econometrics,Other Health,Art, Performing Arts &amp; Design</t>
  </si>
  <si>
    <t>UniversitÃ© Polytechnique Hauts-de-France</t>
  </si>
  <si>
    <t>Archaeology,Geography,Art, Performing Arts &amp; Design,Chemical Engineering,Computer Science,Law,Other Health,Sport Science,Architecture,Communication &amp; Media Studies,Economics &amp; Econometrics,Electrical &amp; Electronic Engineering,Education,History, Philosophy &amp; Theology,Physics &amp; Astronomy,Languages, Literature &amp; Linguistics,Mathematics &amp; Statistics,General Engineering,Accounting &amp; Finance,Mechanical &amp; Aerospace Engineering,Business &amp; Management</t>
  </si>
  <si>
    <t>Helwan University</t>
  </si>
  <si>
    <t>Electrical &amp; Electronic Engineering,Accounting &amp; Finance,Law,Sport Science,Mechanical &amp; Aerospace Engineering,Mathematics &amp; Statistics,Biological Sciences,Sociology,Geology, Environmental, Earth &amp; Marine Sciences,Art, Performing Arts &amp; Design,Business &amp; Management,Chemistry,Agriculture &amp; Forestry,Economics &amp; Econometrics,Medicine &amp; Dentistry,Civil Engineering,Education,History, Philosophy &amp; Theology,Architecture,Other Health,Communication &amp; Media Studies,Psychology,Politics &amp; International Studies (incl Development Studies),Physics &amp; Astronomy,Archaeology,Geography,Languages, Literature &amp; Linguistics,Computer Science,General Engineering,Chemical Engineering</t>
  </si>
  <si>
    <t>University of Hormozgan</t>
  </si>
  <si>
    <t>Agriculture &amp; Forestry,Psychology,Sport Science,Law,Mechanical &amp; Aerospace Engineering,Geology, Environmental, Earth &amp; Marine Sciences,Accounting &amp; Finance,Computer Science,Biological Sciences,Business &amp; Management,Mathematics &amp; Statistics,General Engineering,Civil Engineering,Education,Chemical Engineering,Geography,Physics &amp; Astronomy,Economics &amp; Econometrics,Languages, Literature &amp; Linguistics,Chemistry,Electrical &amp; Electronic Engineering,Sociology</t>
  </si>
  <si>
    <t>University of Hradec KrÃ¡lovÃ©</t>
  </si>
  <si>
    <t>Politics &amp; International Studies (incl Development Studies),Languages, Literature &amp; Linguistics,Education,Chemistry,Economics &amp; Econometrics,Biological Sciences,Archaeology,Business &amp; Management,Physics &amp; Astronomy,Accounting &amp; Finance,Other Health,History, Philosophy &amp; Theology,Sociology,Computer Science,Art, Performing Arts &amp; Design,Communication &amp; Media Studies</t>
  </si>
  <si>
    <t>Hungarian University of Agriculture and Life Sciences</t>
  </si>
  <si>
    <t>General Engineering,Biological Sciences,Agriculture &amp; Forestry,Computer Science,Economics &amp; Econometrics,Accounting &amp; Finance,Art, Performing Arts &amp; Design,Geology, Environmental, Earth &amp; Marine Sciences,Architecture,Mechanical &amp; Aerospace Engineering,Education,Business &amp; Management</t>
  </si>
  <si>
    <t>Hyogo Medical University</t>
  </si>
  <si>
    <t>Ibn TofaÃ¯l University</t>
  </si>
  <si>
    <t>Electrical &amp; Electronic Engineering,Chemical Engineering,Communication &amp; Media Studies,Computer Science,Physics &amp; Astronomy,Accounting &amp; Finance,Mechanical &amp; Aerospace Engineering,Geology, Environmental, Earth &amp; Marine Sciences,Art, Performing Arts &amp; Design,Biological Sciences,Law,Civil Engineering,Geography,Chemistry,Economics &amp; Econometrics,History, Philosophy &amp; Theology,Agriculture &amp; Forestry,Education,General Engineering,Politics &amp; International Studies (incl Development Studies),Languages, Literature &amp; Linguistics,Mathematics &amp; Statistics,Business &amp; Management,Sociology</t>
  </si>
  <si>
    <t>Ilam University</t>
  </si>
  <si>
    <t>Mechanical &amp; Aerospace Engineering,Chemistry,General Engineering,Physics &amp; Astronomy,Economics &amp; Econometrics,Architecture,Sport Science,Accounting &amp; Finance,Languages, Literature &amp; Linguistics,Chemical Engineering,Sociology,Biological Sciences,Psychology,Agriculture &amp; Forestry,Law,Computer Science,Mathematics &amp; Statistics,History, Philosophy &amp; Theology,Veterinary Science,Business &amp; Management,Electrical &amp; Electronic Engineering,Education,Civil Engineering,Geology, Environmental, Earth &amp; Marine Sciences</t>
  </si>
  <si>
    <t>Ilia State University</t>
  </si>
  <si>
    <t>Georgia</t>
  </si>
  <si>
    <t>Other Health,Law,History, Philosophy &amp; Theology,Mathematics &amp; Statistics,Chemistry,Communication &amp; Media Studies,Civil Engineering,Architecture,Sociology,Biological Sciences,Computer Science,Archaeology,Agriculture &amp; Forestry,Psychology,Accounting &amp; Finance,Medicine &amp; Dentistry,Languages, Literature &amp; Linguistics,Geology, Environmental, Earth &amp; Marine Sciences,Economics &amp; Econometrics,Physics &amp; Astronomy,Education,Business &amp; Management,Art, Performing Arts &amp; Design,General Engineering,Electrical &amp; Electronic Engineering,Politics &amp; International Studies (incl Development Studies)</t>
  </si>
  <si>
    <t>University of Ilorin</t>
  </si>
  <si>
    <t>Communication &amp; Media Studies,Other Health,Electrical &amp; Electronic Engineering,Art, Performing Arts &amp; Design,Geology, Environmental, Earth &amp; Marine Sciences,Education,Economics &amp; Econometrics,Biological Sciences,Medicine &amp; Dentistry,Psychology,Sociology,Agriculture &amp; Forestry,Politics &amp; International Studies (incl Development Studies),Chemical Engineering,Computer Science,Accounting &amp; Finance,Business &amp; Management,Geography,Architecture,Veterinary Science,Chemistry,History, Philosophy &amp; Theology,Physics &amp; Astronomy,Civil Engineering,Languages, Literature &amp; Linguistics,Mechanical &amp; Aerospace Engineering,Mathematics &amp; Statistics,General Engineering,Law</t>
  </si>
  <si>
    <t>Immanuel Kant Baltic Federal University</t>
  </si>
  <si>
    <t>Architecture,Computer Science,Sociology,Other Health,Politics &amp; International Studies (incl Development Studies),Electrical &amp; Electronic Engineering,Geology, Environmental, Earth &amp; Marine Sciences,Languages, Literature &amp; Linguistics,Civil Engineering,Chemistry,Education,History, Philosophy &amp; Theology,Mechanical &amp; Aerospace Engineering,Communication &amp; Media Studies,Economics &amp; Econometrics,Art, Performing Arts &amp; Design,Biological Sciences,Law,Archaeology,Chemical Engineering,Geography,Medicine &amp; Dentistry,Mathematics &amp; Statistics,Business &amp; Management,General Engineering,Psychology,Physics &amp; Astronomy,Accounting &amp; Finance</t>
  </si>
  <si>
    <t>Incheon National University</t>
  </si>
  <si>
    <t>Electrical &amp; Electronic Engineering,Business &amp; Management,Communication &amp; Media Studies,Art, Performing Arts &amp; Design,Sociology,Civil Engineering,General Engineering,Computer Science,Geology, Environmental, Earth &amp; Marine Sciences,Education,Chemistry,Sport Science,Economics &amp; Econometrics,Mathematics &amp; Statistics,Architecture,Biological Sciences,Politics &amp; International Studies (incl Development Studies),Languages, Literature &amp; Linguistics,Mechanical &amp; Aerospace Engineering,Law,Physics &amp; Astronomy,Accounting &amp; Finance,Chemical Engineering</t>
  </si>
  <si>
    <t>Indian Institute of Science Education and Research Bhopal</t>
  </si>
  <si>
    <t>Mathematics &amp; Statistics,Languages, Literature &amp; Linguistics,Chemistry,History, Philosophy &amp; Theology,Accounting &amp; Finance,Computer Science,Geology, Environmental, Earth &amp; Marine Sciences,Chemical Engineering,Economics &amp; Econometrics,Physics &amp; Astronomy,Biological Sciences,Electrical &amp; Electronic Engineering</t>
  </si>
  <si>
    <t>IPB University</t>
  </si>
  <si>
    <t>Mathematics &amp; Statistics,Economics &amp; Econometrics,Sociology,Civil Engineering,General Engineering,Physics &amp; Astronomy,Biological Sciences,Chemistry,Chemical Engineering,Agriculture &amp; Forestry,Veterinary Science,Geology, Environmental, Earth &amp; Marine Sciences,Communication &amp; Media Studies,Computer Science,Business &amp; Management</t>
  </si>
  <si>
    <t>I-Shou University</t>
  </si>
  <si>
    <t>Business &amp; Management,Medicine &amp; Dentistry,Physics &amp; Astronomy,Architecture,Economics &amp; Econometrics,Archaeology,Chemical Engineering,Languages, Literature &amp; Linguistics,Communication &amp; Media Studies,Computer Science,Biological Sciences,Other Health,Geography,Veterinary Science,Mechanical &amp; Aerospace Engineering,Sociology,Chemistry,Sport Science,General Engineering,Politics &amp; International Studies (incl Development Studies),Art, Performing Arts &amp; Design,Accounting &amp; Finance,Electrical &amp; Electronic Engineering,Civil Engineering,Geology, Environmental, Earth &amp; Marine Sciences,History, Philosophy &amp; Theology,Agriculture &amp; Forestry,Mathematics &amp; Statistics</t>
  </si>
  <si>
    <t>Istanbul Bilgi University</t>
  </si>
  <si>
    <t>Economics &amp; Econometrics,General Engineering,Politics &amp; International Studies (incl Development Studies),Mathematics &amp; Statistics,Languages, Literature &amp; Linguistics,Mechanical &amp; Aerospace Engineering,Other Health,Law,Sociology,History, Philosophy &amp; Theology,Psychology,Civil Engineering,Accounting &amp; Finance,Electrical &amp; Electronic Engineering,Communication &amp; Media Studies,Computer Science,Business &amp; Management,Art, Performing Arts &amp; Design,Architecture</t>
  </si>
  <si>
    <t>Istanbul Medeniyet University</t>
  </si>
  <si>
    <t>Languages, Literature &amp; Linguistics,Medicine &amp; Dentistry,Law,Art, Performing Arts &amp; Design,Computer Science,Sociology,Mathematics &amp; Statistics,Electrical &amp; Electronic Engineering,Psychology,Politics &amp; International Studies (incl Development Studies),Biological Sciences,Physics &amp; Astronomy,History, Philosophy &amp; Theology,Other Health,Education,Civil Engineering,Economics &amp; Econometrics,Business &amp; Management</t>
  </si>
  <si>
    <t>Ivan Franko National University of Lviv</t>
  </si>
  <si>
    <t>Electrical &amp; Electronic Engineering,Politics &amp; International Studies (incl Development Studies),Art, Performing Arts &amp; Design,Chemistry,Business &amp; Management,Archaeology,Communication &amp; Media Studies,History, Philosophy &amp; Theology,Psychology,Languages, Literature &amp; Linguistics,Geology, Environmental, Earth &amp; Marine Sciences,Economics &amp; Econometrics,Biological Sciences,Law,Physics &amp; Astronomy,Sociology,Computer Science,Geography,Chemical Engineering,Education,Mathematics &amp; Statistics,Accounting &amp; Finance</t>
  </si>
  <si>
    <t>Izmir Institute of Technology</t>
  </si>
  <si>
    <t>Physics &amp; Astronomy,Biological Sciences,Mathematics &amp; Statistics,Geology, Environmental, Earth &amp; Marine Sciences,Chemical Engineering,Chemistry,Business &amp; Management,General Engineering,Art, Performing Arts &amp; Design,Architecture,Electrical &amp; Electronic Engineering,Civil Engineering,Computer Science</t>
  </si>
  <si>
    <t>Jeju National University</t>
  </si>
  <si>
    <t>Jeju National University JNU Cheju Je ju NU</t>
  </si>
  <si>
    <t>Languages, Literature &amp; Linguistics,Mathematics &amp; Statistics,Accounting &amp; Finance,Computer Science,Communication &amp; Media Studies,Chemical Engineering,Chemistry,Business &amp; Management,Veterinary Science,History, Philosophy &amp; Theology,Physics &amp; Astronomy,Art, Performing Arts &amp; Design,Sport Science,Civil Engineering,Geology, Environmental, Earth &amp; Marine Sciences,Education,Mechanical &amp; Aerospace Engineering,Biological Sciences,Economics &amp; Econometrics,Architecture,Agriculture &amp; Forestry,Sociology,Other Health,Politics &amp; International Studies (incl Development Studies)</t>
  </si>
  <si>
    <t>Jiangsu Normal University</t>
  </si>
  <si>
    <t>Archaeology,Electrical &amp; Electronic Engineering,Psychology,Art, Performing Arts &amp; Design,General Engineering,Communication &amp; Media Studies,Computer Science,Physics &amp; Astronomy,Accounting &amp; Finance,Sport Science,Chemistry,Business &amp; Management,History, Philosophy &amp; Theology,Civil Engineering,Politics &amp; International Studies (incl Development Studies),Languages, Literature &amp; Linguistics,Mathematics &amp; Statistics,Geology, Environmental, Earth &amp; Marine Sciences,Economics &amp; Econometrics,Agriculture &amp; Forestry,Sociology,Mechanical &amp; Aerospace Engineering,Geography,Biological Sciences,Law,Chemical Engineering,Education</t>
  </si>
  <si>
    <t>The Jikei University School of Medicine</t>
  </si>
  <si>
    <t>The John Paul II Catholic University of Lublin</t>
  </si>
  <si>
    <t>Computer Science,Politics &amp; International Studies (incl Development Studies),Agriculture &amp; Forestry,Psychology,General Engineering,Other Health,Languages, Literature &amp; Linguistics,Law,Civil Engineering,Education,Art, Performing Arts &amp; Design,Communication &amp; Media Studies,Mathematics &amp; Statistics,Economics &amp; Econometrics,Biological Sciences,Business &amp; Management,History, Philosophy &amp; Theology,Sociology</t>
  </si>
  <si>
    <t>Kagawa University</t>
  </si>
  <si>
    <t>Other Health,Geography,Computer Science,Accounting &amp; Finance,Civil Engineering,Geology, Environmental, Earth &amp; Marine Sciences,Electrical &amp; Electronic Engineering,Economics &amp; Econometrics,Physics &amp; Astronomy,Business &amp; Management,Agriculture &amp; Forestry,General Engineering,Sociology,Chemistry,Mechanical &amp; Aerospace Engineering,Languages, Literature &amp; Linguistics,Communication &amp; Media Studies,Medicine &amp; Dentistry,Architecture,Chemical Engineering,Art, Performing Arts &amp; Design,Biological Sciences,Politics &amp; International Studies (incl Development Studies),Education,Mathematics &amp; Statistics,Law,Psychology,History, Philosophy &amp; Theology</t>
  </si>
  <si>
    <t>Kagoshima University</t>
  </si>
  <si>
    <t>Medicine &amp; Dentistry,Mathematics &amp; Statistics,Education,Archaeology,Biological Sciences,Business &amp; Management,Other Health,Mechanical &amp; Aerospace Engineering,Chemistry,Economics &amp; Econometrics,History, Philosophy &amp; Theology,Veterinary Science,Law,Art, Performing Arts &amp; Design,Electrical &amp; Electronic Engineering,Geology, Environmental, Earth &amp; Marine Sciences,Accounting &amp; Finance,General Engineering,Geography,Languages, Literature &amp; Linguistics,Agriculture &amp; Forestry,Psychology,Architecture,Chemical Engineering,Politics &amp; International Studies (incl Development Studies),Physics &amp; Astronomy,Computer Science,Sociology,Civil Engineering,Communication &amp; Media Studies</t>
  </si>
  <si>
    <t>Kangwon National University</t>
  </si>
  <si>
    <t>Kangwon National University Kangwon KNU Korea</t>
  </si>
  <si>
    <t>Chemical Engineering,Sociology,General Engineering,Chemistry,Other Health,Veterinary Science,Psychology,Architecture,Physics &amp; Astronomy,Accounting &amp; Finance,Languages, Literature &amp; Linguistics,Biological Sciences,Communication &amp; Media Studies,Art, Performing Arts &amp; Design,Mechanical &amp; Aerospace Engineering,Geology, Environmental, Earth &amp; Marine Sciences,Economics &amp; Econometrics,Computer Science,Agriculture &amp; Forestry,Business &amp; Management,Electrical &amp; Electronic Engineering,Mathematics &amp; Statistics,Law,Medicine &amp; Dentistry,Sport Science,Education,History, Philosophy &amp; Theology,Civil Engineering,Politics &amp; International Studies (incl Development Studies)</t>
  </si>
  <si>
    <t>KarabÃ¼k University</t>
  </si>
  <si>
    <t>Archaeology,History, Philosophy &amp; Theology,Medicine &amp; Dentistry,Sport Science,Computer Science,Geography,Chemistry,Physics &amp; Astronomy,Sociology,Civil Engineering,Electrical &amp; Electronic Engineering,Art, Performing Arts &amp; Design,Business &amp; Management,Other Health,Geology, Environmental, Earth &amp; Marine Sciences,Languages, Literature &amp; Linguistics,Agriculture &amp; Forestry,General Engineering,Politics &amp; International Studies (incl Development Studies),Accounting &amp; Finance,Communication &amp; Media Studies,Architecture,Mathematics &amp; Statistics,Economics &amp; Econometrics</t>
  </si>
  <si>
    <t>Karunya Institute of Technology and Sciences</t>
  </si>
  <si>
    <t>General Engineering,Sociology,Mechanical &amp; Aerospace Engineering,Physics &amp; Astronomy,Civil Engineering,Computer Science,Agriculture &amp; Forestry,Biological Sciences,Chemistry,Electrical &amp; Electronic Engineering,Business &amp; Management</t>
  </si>
  <si>
    <t>Kaunas University of Technology</t>
  </si>
  <si>
    <t>Other Health,Agriculture &amp; Forestry,Accounting &amp; Finance,History, Philosophy &amp; Theology,Physics &amp; Astronomy,General Engineering,Chemical Engineering,Architecture,Civil Engineering,Education,Mechanical &amp; Aerospace Engineering,Sociology,Art, Performing Arts &amp; Design,Chemistry,Computer Science,Geology, Environmental, Earth &amp; Marine Sciences,Languages, Literature &amp; Linguistics,Politics &amp; International Studies (incl Development Studies),Business &amp; Management,Electrical &amp; Electronic Engineering,Mathematics &amp; Statistics,Communication &amp; Media Studies,Economics &amp; Econometrics</t>
  </si>
  <si>
    <t>Kharazmi University</t>
  </si>
  <si>
    <t>Education,Chemistry,Biological Sciences,Mathematics &amp; Statistics,Civil Engineering,Physics &amp; Astronomy,Sport Science,History, Philosophy &amp; Theology,Geology, Environmental, Earth &amp; Marine Sciences,Economics &amp; Econometrics,Architecture,Electrical &amp; Electronic Engineering,Business &amp; Management,Accounting &amp; Finance,Mechanical &amp; Aerospace Engineering,Sociology,Languages, Literature &amp; Linguistics,Law,Psychology,Politics &amp; International Studies (incl Development Studies),General Engineering,Geography,Computer Science</t>
  </si>
  <si>
    <t>Kharkiv Aviation Institute</t>
  </si>
  <si>
    <t>Mechanical &amp; Aerospace Engineering,Electrical &amp; Electronic Engineering,Business &amp; Management,Psychology,Economics &amp; Econometrics,Computer Science,Law,Languages, Literature &amp; Linguistics,General Engineering,Accounting &amp; Finance</t>
  </si>
  <si>
    <t>Khon Kaen University</t>
  </si>
  <si>
    <t>Mechanical &amp; Aerospace Engineering,Other Health,Mathematics &amp; Statistics,Electrical &amp; Electronic Engineering,Politics &amp; International Studies (incl Development Studies),Medicine &amp; Dentistry,Physics &amp; Astronomy,Art, Performing Arts &amp; Design,Chemical Engineering,Law,Civil Engineering,Business &amp; Management,Architecture,Agriculture &amp; Forestry,Languages, Literature &amp; Linguistics,Veterinary Science,General Engineering,Education,Computer Science,Chemistry,Economics &amp; Econometrics,Geology, Environmental, Earth &amp; Marine Sciences</t>
  </si>
  <si>
    <t>Khulna University</t>
  </si>
  <si>
    <t>Architecture,Law,Agriculture &amp; Forestry,Art, Performing Arts &amp; Design,Sociology,Biological Sciences,Economics &amp; Econometrics,Electrical &amp; Electronic Engineering,Chemistry,Mathematics &amp; Statistics,Education,History, Philosophy &amp; Theology,Physics &amp; Astronomy,Business &amp; Management,Computer Science,Communication &amp; Media Studies,Politics &amp; International Studies (incl Development Studies),Languages, Literature &amp; Linguistics,Geology, Environmental, Earth &amp; Marine Sciences</t>
  </si>
  <si>
    <t>King Mongkut's University of Technology North Bangkok</t>
  </si>
  <si>
    <t>Business &amp; Management,Chemical Engineering,Art, Performing Arts &amp; Design,Civil Engineering,Communication &amp; Media Studies,Geology, Environmental, Earth &amp; Marine Sciences,Education,General Engineering,Economics &amp; Econometrics,Politics &amp; International Studies (incl Development Studies),Physics &amp; Astronomy,Mathematics &amp; Statistics,Sociology,Electrical &amp; Electronic Engineering,Accounting &amp; Finance,Architecture,Chemistry,Mechanical &amp; Aerospace Engineering,Languages, Literature &amp; Linguistics</t>
  </si>
  <si>
    <t>Kitasato University</t>
  </si>
  <si>
    <t>Medicine &amp; Dentistry,General Engineering,Veterinary Science,Computer Science,Other Health,Agriculture &amp; Forestry,Physics &amp; Astronomy,Chemistry,Biological Sciences</t>
  </si>
  <si>
    <t>KL University</t>
  </si>
  <si>
    <t>Electrical &amp; Electronic Engineering,Chemistry,Art, Performing Arts &amp; Design,Law,Architecture,Mathematics &amp; Statistics,Accounting &amp; Finance,Other Health,Communication &amp; Media Studies,Agriculture &amp; Forestry,Physics &amp; Astronomy,Business &amp; Management,History, Philosophy &amp; Theology,Geology, Environmental, Earth &amp; Marine Sciences,Civil Engineering,General Engineering,Economics &amp; Econometrics,Computer Science,Mechanical &amp; Aerospace Engineering,Languages, Literature &amp; Linguistics</t>
  </si>
  <si>
    <t>Kyoto Institute of Technology</t>
  </si>
  <si>
    <t>Art, Performing Arts &amp; Design,Architecture,Mechanical &amp; Aerospace Engineering,Biological Sciences,Electrical &amp; Electronic Engineering,Computer Science,Chemistry,Chemical Engineering,General Engineering</t>
  </si>
  <si>
    <t>Kyushu Institute of Technology (Kyutech)</t>
  </si>
  <si>
    <t>Computer Science,Biological Sciences,General Engineering,Physics &amp; Astronomy,Mechanical &amp; Aerospace Engineering,Civil Engineering,Chemical Engineering,Electrical &amp; Electronic Engineering,Mathematics &amp; Statistics</t>
  </si>
  <si>
    <t>University of Lethbridge</t>
  </si>
  <si>
    <t>Politics &amp; International Studies (incl Development Studies),Chemistry,Psychology,Archaeology,Mathematics &amp; Statistics,Business &amp; Management,Geography,Geology, Environmental, Earth &amp; Marine Sciences,Sociology,Biological Sciences,Accounting &amp; Finance,Art, Performing Arts &amp; Design,Other Health,Sport Science,Education,Economics &amp; Econometrics,Physics &amp; Astronomy,Languages, Literature &amp; Linguistics,Agriculture &amp; Forestry,Computer Science,History, Philosophy &amp; Theology</t>
  </si>
  <si>
    <t>Lodz University of Technology</t>
  </si>
  <si>
    <t>Chemical Engineering,Civil Engineering,Mechanical &amp; Aerospace Engineering,Business &amp; Management,Computer Science,Mathematics &amp; Statistics,General Engineering,Chemistry,Physics &amp; Astronomy,Biological Sciences,Electrical &amp; Electronic Engineering</t>
  </si>
  <si>
    <t>Universidad Loyola</t>
  </si>
  <si>
    <t>Politics &amp; International Studies (incl Development Studies),Communication &amp; Media Studies,Business &amp; Management,Accounting &amp; Finance,Law,Mathematics &amp; Statistics,Electrical &amp; Electronic Engineering,Education,Computer Science,General Engineering,Mechanical &amp; Aerospace Engineering,Psychology,Economics &amp; Econometrics</t>
  </si>
  <si>
    <t>LumiÃ¨re University, Lyon 2</t>
  </si>
  <si>
    <t>Mathematics &amp; Statistics,Psychology,Sociology,Languages, Literature &amp; Linguistics,Education,Art, Performing Arts &amp; Design,Politics &amp; International Studies (incl Development Studies),Archaeology,Accounting &amp; Finance,Communication &amp; Media Studies,Geography,Computer Science,Business &amp; Management,Law,History, Philosophy &amp; Theology,Economics &amp; Econometrics</t>
  </si>
  <si>
    <t>Universidade LusÃ³fona</t>
  </si>
  <si>
    <t>Sociology,Biological Sciences,Law,Business &amp; Management,Politics &amp; International Studies (incl Development Studies),Chemistry,Economics &amp; Econometrics,Veterinary Science,Art, Performing Arts &amp; Design,Architecture,Civil Engineering,Other Health,Communication &amp; Media Studies,Electrical &amp; Electronic Engineering,Computer Science,Psychology,Mathematics &amp; Statistics,Geology, Environmental, Earth &amp; Marine Sciences,Education,Sport Science,General Engineering,Accounting &amp; Finance</t>
  </si>
  <si>
    <t>Universiti Malaysia Perlis</t>
  </si>
  <si>
    <t>Chemical Engineering,Mathematics &amp; Statistics,Business &amp; Management,Civil Engineering,Electrical &amp; Electronic Engineering,General Engineering,Accounting &amp; Finance,Economics &amp; Econometrics,Languages, Literature &amp; Linguistics,Mechanical &amp; Aerospace Engineering,Communication &amp; Media Studies</t>
  </si>
  <si>
    <t>Manipal University Jaipur</t>
  </si>
  <si>
    <t>Law,Mechanical &amp; Aerospace Engineering,Communication &amp; Media Studies,Civil Engineering,Computer Science,Accounting &amp; Finance,Biological Sciences,Business &amp; Management,Economics &amp; Econometrics,Psychology,Electrical &amp; Electronic Engineering,General Engineering,History, Philosophy &amp; Theology,Physics &amp; Astronomy,Art, Performing Arts &amp; Design,Mathematics &amp; Statistics,Languages, Literature &amp; Linguistics,Chemistry,Architecture,Chemical Engineering</t>
  </si>
  <si>
    <t>University of Manouba</t>
  </si>
  <si>
    <t>History, Philosophy &amp; Theology,Languages, Literature &amp; Linguistics,Art, Performing Arts &amp; Design,Accounting &amp; Finance,Communication &amp; Media Studies,Veterinary Science,Geography,Education,Economics &amp; Econometrics,Sport Science,Business &amp; Management,Biological Sciences,Computer Science</t>
  </si>
  <si>
    <t>University of Maribor</t>
  </si>
  <si>
    <t>Geography,Communication &amp; Media Studies,Psychology,Civil Engineering,Mathematics &amp; Statistics,Electrical &amp; Electronic Engineering,Languages, Literature &amp; Linguistics,Sport Science,Law,Architecture,Other Health,Computer Science,Sociology,Economics &amp; Econometrics,General Engineering,Chemical Engineering,Chemistry,History, Philosophy &amp; Theology,Biological Sciences,Accounting &amp; Finance,Agriculture &amp; Forestry,Education,Medicine &amp; Dentistry,Business &amp; Management,Physics &amp; Astronomy,Mechanical &amp; Aerospace Engineering,Art, Performing Arts &amp; Design</t>
  </si>
  <si>
    <t>University of Marrakech Cadi Ayyad</t>
  </si>
  <si>
    <t>History, Philosophy &amp; Theology,Civil Engineering,Education,General Engineering,Sociology,Chemical Engineering,Law,Mathematics &amp; Statistics,Geography,Computer Science,Physics &amp; Astronomy,Accounting &amp; Finance,Electrical &amp; Electronic Engineering,Communication &amp; Media Studies,Business &amp; Management,Other Health,Geology, Environmental, Earth &amp; Marine Sciences,Economics &amp; Econometrics,Biological Sciences,Politics &amp; International Studies (incl Development Studies),Languages, Literature &amp; Linguistics,Agriculture &amp; Forestry,Psychology,Medicine &amp; Dentistry,Mechanical &amp; Aerospace Engineering,Chemistry</t>
  </si>
  <si>
    <t>University of Mauritius</t>
  </si>
  <si>
    <t>Mauritius</t>
  </si>
  <si>
    <t>Mechanical &amp; Aerospace Engineering,Agriculture &amp; Forestry,Communication &amp; Media Studies,Education,Sociology,Chemical Engineering,Languages, Literature &amp; Linguistics,Computer Science,Chemistry,Geology, Environmental, Earth &amp; Marine Sciences,General Engineering,Electrical &amp; Electronic Engineering,Mathematics &amp; Statistics,History, Philosophy &amp; Theology,Medicine &amp; Dentistry,Accounting &amp; Finance,Law,Biological Sciences,Civil Engineering,Psychology,Politics &amp; International Studies (incl Development Studies),Business &amp; Management,Other Health,Physics &amp; Astronomy,Economics &amp; Econometrics</t>
  </si>
  <si>
    <t>Medical University of Lublin</t>
  </si>
  <si>
    <t>Medical University of Silesia in Katowice</t>
  </si>
  <si>
    <t>Medical University of Sofia</t>
  </si>
  <si>
    <t>Bulgaria</t>
  </si>
  <si>
    <t>University of Medicine and Pharmacy of Craiova</t>
  </si>
  <si>
    <t>Mendel University in Brno</t>
  </si>
  <si>
    <t>Architecture,Education,Politics &amp; International Studies (incl Development Studies),Art, Performing Arts &amp; Design,Chemistry,Economics &amp; Econometrics,Biological Sciences,Agriculture &amp; Forestry,Business &amp; Management,Geography,Computer Science</t>
  </si>
  <si>
    <t>Metropolitan Autonomous University</t>
  </si>
  <si>
    <t>Languages, Literature &amp; Linguistics,Mathematics &amp; Statistics,Law,Architecture,Biological Sciences,Business &amp; Management,Art, Performing Arts &amp; Design,Chemical Engineering,Economics &amp; Econometrics,Medicine &amp; Dentistry,Veterinary Science,Other Health,Agriculture &amp; Forestry,Sociology,Electrical &amp; Electronic Engineering,Chemistry,Education,Computer Science,Civil Engineering,Politics &amp; International Studies (incl Development Studies),Mechanical &amp; Aerospace Engineering,Physics &amp; Astronomy,Geography,General Engineering,Geology, Environmental, Earth &amp; Marine Sciences,Psychology,History, Philosophy &amp; Theology,Communication &amp; Media Studies</t>
  </si>
  <si>
    <t>Mie University</t>
  </si>
  <si>
    <t>Chemical Engineering,Economics &amp; Econometrics,Politics &amp; International Studies (incl Development Studies),Geography,Mechanical &amp; Aerospace Engineering,Sociology,Architecture,Biological Sciences,Other Health,History, Philosophy &amp; Theology,Archaeology,Medicine &amp; Dentistry,Law,Electrical &amp; Electronic Engineering,General Engineering,Business &amp; Management,Accounting &amp; Finance,Agriculture &amp; Forestry,Computer Science,Geology, Environmental, Earth &amp; Marine Sciences,Education,Languages, Literature &amp; Linguistics</t>
  </si>
  <si>
    <t>Mohammed V University of Rabat</t>
  </si>
  <si>
    <t>Languages, Literature &amp; Linguistics,Art, Performing Arts &amp; Design,Computer Science,Geography,Economics &amp; Econometrics,History, Philosophy &amp; Theology,Biological Sciences,Psychology,Medicine &amp; Dentistry,Mathematics &amp; Statistics,Law,Mechanical &amp; Aerospace Engineering,Sociology,Other Health,Physics &amp; Astronomy,Chemical Engineering,Geology, Environmental, Earth &amp; Marine Sciences,Accounting &amp; Finance,Electrical &amp; Electronic Engineering,Communication &amp; Media Studies,Sport Science,Education,Civil Engineering,Politics &amp; International Studies (incl Development Studies),Business &amp; Management,General Engineering,Chemistry</t>
  </si>
  <si>
    <t>University of Monastir</t>
  </si>
  <si>
    <t>Mathematics &amp; Statistics,Chemical Engineering,Art, Performing Arts &amp; Design,Geology, Environmental, Earth &amp; Marine Sciences,General Engineering,Physics &amp; Astronomy,Architecture,Electrical &amp; Electronic Engineering,Accounting &amp; Finance,Medicine &amp; Dentistry,Chemistry,Computer Science,Business &amp; Management,Biological Sciences,Languages, Literature &amp; Linguistics,Education,Other Health,Economics &amp; Econometrics,Mechanical &amp; Aerospace Engineering</t>
  </si>
  <si>
    <t>Morgan State University</t>
  </si>
  <si>
    <t>Languages, Literature &amp; Linguistics,Geography,Economics &amp; Econometrics,Mathematics &amp; Statistics,Accounting &amp; Finance,Education,Art, Performing Arts &amp; Design,Chemistry,Architecture,Sociology,Civil Engineering,History, Philosophy &amp; Theology,General Engineering,Electrical &amp; Electronic Engineering,Physics &amp; Astronomy,Biological Sciences,Business &amp; Management,Psychology,Communication &amp; Media Studies,Other Health,Politics &amp; International Studies (incl Development Studies),Computer Science</t>
  </si>
  <si>
    <t>Moscow Aviation Institute</t>
  </si>
  <si>
    <t>Economics &amp; Econometrics,Chemical Engineering,Computer Science,Business &amp; Management,Physics &amp; Astronomy,Sociology,Mechanical &amp; Aerospace Engineering,General Engineering,Mathematics &amp; Statistics,Electrical &amp; Electronic Engineering,Politics &amp; International Studies (incl Development Studies)</t>
  </si>
  <si>
    <t>Moscow Power Engineering Institute</t>
  </si>
  <si>
    <t>Civil Engineering,Education,Art, Performing Arts &amp; Design,Physics &amp; Astronomy,Mechanical &amp; Aerospace Engineering,Business &amp; Management,Electrical &amp; Electronic Engineering,Sport Science,Languages, Literature &amp; Linguistics,Mathematics &amp; Statistics,Economics &amp; Econometrics,General Engineering,Chemistry,Computer Science,Chemical Engineering,Accounting &amp; Finance,History, Philosophy &amp; Theology,Communication &amp; Media Studies,Biological Sciences</t>
  </si>
  <si>
    <t>Multimedia University</t>
  </si>
  <si>
    <t>Art, Performing Arts &amp; Design,Business &amp; Management,General Engineering,Mechanical &amp; Aerospace Engineering,Economics &amp; Econometrics,Communication &amp; Media Studies,Law,Electrical &amp; Electronic Engineering,Computer Science,Accounting &amp; Finance</t>
  </si>
  <si>
    <t>Mutah University</t>
  </si>
  <si>
    <t>Art, Performing Arts &amp; Design,Sociology,Architecture,Geology, Environmental, Earth &amp; Marine Sciences,Biological Sciences,Economics &amp; Econometrics,Mechanical &amp; Aerospace Engineering,General Engineering,Chemistry,Law,Electrical &amp; Electronic Engineering,Archaeology,Mathematics &amp; Statistics,Other Health,Chemical Engineering,Geography,Physics &amp; Astronomy,Medicine &amp; Dentistry,Languages, Literature &amp; Linguistics,Education,Accounting &amp; Finance,Sport Science,Politics &amp; International Studies (incl Development Studies),Agriculture &amp; Forestry,Civil Engineering,Psychology,History, Philosophy &amp; Theology,Computer Science,Business &amp; Management</t>
  </si>
  <si>
    <t>Nagaoka University of Technology</t>
  </si>
  <si>
    <t>Chemical Engineering,Mechanical &amp; Aerospace Engineering,Electrical &amp; Electronic Engineering,General Engineering,Computer Science,Civil Engineering</t>
  </si>
  <si>
    <t>Nagasaki University</t>
  </si>
  <si>
    <t>Geology, Environmental, Earth &amp; Marine Sciences,Medicine &amp; Dentistry,Politics &amp; International Studies (incl Development Studies),Computer Science,Civil Engineering,Education,Sociology,Mechanical &amp; Aerospace Engineering,Economics &amp; Econometrics,Languages, Literature &amp; Linguistics,Chemical Engineering,General Engineering,Mathematics &amp; Statistics,Electrical &amp; Electronic Engineering,Business &amp; Management,Other Health,Communication &amp; Media Studies,Accounting &amp; Finance</t>
  </si>
  <si>
    <t>Nagoya Institute of Technology</t>
  </si>
  <si>
    <t>General Engineering,Communication &amp; Media Studies,Chemistry,Computer Science,Civil Engineering,Geology, Environmental, Earth &amp; Marine Sciences,Mechanical &amp; Aerospace Engineering,Biological Sciences,Business &amp; Management,Architecture,Physics &amp; Astronomy,Sport Science,Chemical Engineering,Electrical &amp; Electronic Engineering,Mathematics &amp; Statistics</t>
  </si>
  <si>
    <t>University of Nairobi</t>
  </si>
  <si>
    <t>Kenya</t>
  </si>
  <si>
    <t>Law,Mathematics &amp; Statistics,Business &amp; Management,Communication &amp; Media Studies,Languages, Literature &amp; Linguistics,Politics &amp; International Studies (incl Development Studies),Civil Engineering,Electrical &amp; Electronic Engineering,General Engineering,Education,Chemistry,Other Health,Art, Performing Arts &amp; Design,Sport Science,Computer Science,Accounting &amp; Finance,Geography,Mechanical &amp; Aerospace Engineering,Sociology,Chemical Engineering,Architecture,Agriculture &amp; Forestry,History, Philosophy &amp; Theology,Economics &amp; Econometrics,Geology, Environmental, Earth &amp; Marine Sciences,Physics &amp; Astronomy,Archaeology,Veterinary Science,Psychology,Medicine &amp; Dentistry,Biological Sciences</t>
  </si>
  <si>
    <t>University of Namibia</t>
  </si>
  <si>
    <t>Namibia</t>
  </si>
  <si>
    <t>Agriculture &amp; Forestry,Education,Accounting &amp; Finance,Geology, Environmental, Earth &amp; Marine Sciences,Business &amp; Management,Medicine &amp; Dentistry,Sociology,History, Philosophy &amp; Theology,Veterinary Science,Geography,Computer Science,Law,Chemistry,Languages, Literature &amp; Linguistics,Mathematics &amp; Statistics,Art, Performing Arts &amp; Design</t>
  </si>
  <si>
    <t>National Changhua University of Education</t>
  </si>
  <si>
    <t>Languages, Literature &amp; Linguistics,Mathematics &amp; Statistics,Education,Computer Science,Geography,Politics &amp; International Studies (incl Development Studies),Electrical &amp; Electronic Engineering,Geology, Environmental, Earth &amp; Marine Sciences,Physics &amp; Astronomy,Accounting &amp; Finance,Mechanical &amp; Aerospace Engineering,History, Philosophy &amp; Theology,Chemistry,Psychology,General Engineering,Art, Performing Arts &amp; Design,Biological Sciences,Sport Science,Business &amp; Management</t>
  </si>
  <si>
    <t>National Chin-Yi University of Technology</t>
  </si>
  <si>
    <t>Chemical Engineering,Languages, Literature &amp; Linguistics,Computer Science,Electrical &amp; Electronic Engineering,Business &amp; Management,General Engineering,Art, Performing Arts &amp; Design</t>
  </si>
  <si>
    <t>National Chung Cheng University</t>
  </si>
  <si>
    <t>Chemistry,Psychology,Other Health,History, Philosophy &amp; Theology,Business &amp; Management,Mechanical &amp; Aerospace Engineering,Computer Science,Sociology,Sport Science,Physics &amp; Astronomy,Economics &amp; Econometrics,Politics &amp; International Studies (incl Development Studies),Geology, Environmental, Earth &amp; Marine Sciences,Education,Biological Sciences,Accounting &amp; Finance,Languages, Literature &amp; Linguistics,Mathematics &amp; Statistics,Law,Communication &amp; Media Studies,General Engineering,Electrical &amp; Electronic Engineering,Chemical Engineering</t>
  </si>
  <si>
    <t>National University of Colombia</t>
  </si>
  <si>
    <t>Architecture,Veterinary Science,Sociology,Other Health,Mathematics &amp; Statistics,Accounting &amp; Finance,Art, Performing Arts &amp; Design,Chemical Engineering,Geology, Environmental, Earth &amp; Marine Sciences,Economics &amp; Econometrics,Medicine &amp; Dentistry,Biological Sciences,Business &amp; Management,History, Philosophy &amp; Theology,Computer Science,Physics &amp; Astronomy,Psychology,Civil Engineering,Law,Languages, Literature &amp; Linguistics,General Engineering,Communication &amp; Media Studies,Mechanical &amp; Aerospace Engineering,Geography,Agriculture &amp; Forestry,Politics &amp; International Studies (incl Development Studies),Electrical &amp; Electronic Engineering,Chemistry,Education</t>
  </si>
  <si>
    <t>National University of Distance Education (UNED)</t>
  </si>
  <si>
    <t>Languages, Literature &amp; Linguistics,Business &amp; Management,Education,Psychology,Chemistry,Geology, Environmental, Earth &amp; Marine Sciences,Mechanical &amp; Aerospace Engineering,Computer Science,Economics &amp; Econometrics,General Engineering,Sociology,Physics &amp; Astronomy,Law,Mathematics &amp; Statistics,Accounting &amp; Finance,Electrical &amp; Electronic Engineering,Politics &amp; International Studies (incl Development Studies),Geography,History, Philosophy &amp; Theology</t>
  </si>
  <si>
    <t>National Dong Hwa University</t>
  </si>
  <si>
    <t>National Dong Hwa University NDHU</t>
  </si>
  <si>
    <t>Mathematics &amp; Statistics,Business &amp; Management,Physics &amp; Astronomy,Chemistry,Geography,Art, Performing Arts &amp; Design,Languages, Literature &amp; Linguistics,Geology, Environmental, Earth &amp; Marine Sciences,Computer Science,Law,Psychology,Economics &amp; Econometrics,General Engineering,Communication &amp; Media Studies,Politics &amp; International Studies (incl Development Studies),Accounting &amp; Finance,Education,Sociology,Biological Sciences,Sport Science,Agriculture &amp; Forestry,Electrical &amp; Electronic Engineering,History, Philosophy &amp; Theology</t>
  </si>
  <si>
    <t>National Institute of Technology Srinagar</t>
  </si>
  <si>
    <t>Electrical &amp; Electronic Engineering,Mathematics &amp; Statistics,General Engineering,Mechanical &amp; Aerospace Engineering,Chemical Engineering,Civil Engineering,Chemistry,Computer Science</t>
  </si>
  <si>
    <t>National Kaohsiung University of Science and Technology</t>
  </si>
  <si>
    <t>Business &amp; Management,Law,Geology, Environmental, Earth &amp; Marine Sciences,Electrical &amp; Electronic Engineering,Art, Performing Arts &amp; Design,Chemistry,Mechanical &amp; Aerospace Engineering,Civil Engineering,Languages, Literature &amp; Linguistics,Accounting &amp; Finance,Chemical Engineering,General Engineering,Computer Science,Biological Sciences</t>
  </si>
  <si>
    <t>National Research University of Electronic Technology (MIET)</t>
  </si>
  <si>
    <t>Education,Art, Performing Arts &amp; Design,Biological Sciences,Politics &amp; International Studies (incl Development Studies),Business &amp; Management,Geology, Environmental, Earth &amp; Marine Sciences,History, Philosophy &amp; Theology,Law,General Engineering,Physics &amp; Astronomy,Languages, Literature &amp; Linguistics,Computer Science,Sociology,Chemical Engineering,Economics &amp; Econometrics,Chemistry,Electrical &amp; Electronic Engineering,Mathematics &amp; Statistics,Mechanical &amp; Aerospace Engineering,Accounting &amp; Finance,Civil Engineering</t>
  </si>
  <si>
    <t>National Taiwan Ocean University</t>
  </si>
  <si>
    <t>Civil Engineering,Communication &amp; Media Studies,Sociology,Chemistry,Biological Sciences,Veterinary Science,Electrical &amp; Electronic Engineering,Law,Medicine &amp; Dentistry,Sport Science,Computer Science,Other Health,Architecture,Mechanical &amp; Aerospace Engineering,Economics &amp; Econometrics,Psychology,Politics &amp; International Studies (incl Development Studies),Mathematics &amp; Statistics,Languages, Literature &amp; Linguistics,Physics &amp; Astronomy,General Engineering,Archaeology,Education,Geography,Agriculture &amp; Forestry,Business &amp; Management,Geology, Environmental, Earth &amp; Marine Sciences,Chemical Engineering,Art, Performing Arts &amp; Design,History, Philosophy &amp; Theology,Accounting &amp; Finance</t>
  </si>
  <si>
    <t>National Technical University Kharkiv Polytechnic Institute</t>
  </si>
  <si>
    <t>Economics &amp; Econometrics,Accounting &amp; Finance,Sociology,Civil Engineering,Sport Science,Art, Performing Arts &amp; Design,Geology, Environmental, Earth &amp; Marine Sciences,Psychology,Chemical Engineering,Communication &amp; Media Studies,Business &amp; Management,Languages, Literature &amp; Linguistics,Other Health,Mechanical &amp; Aerospace Engineering,Education,Chemistry,Physics &amp; Astronomy,Medicine &amp; Dentistry,Biological Sciences,Electrical &amp; Electronic Engineering,Computer Science,Mathematics &amp; Statistics,General Engineering</t>
  </si>
  <si>
    <t>National Technical University of Ukraine â€“ Igor Sikorsky Kyiv Polytechnic Institute</t>
  </si>
  <si>
    <t>Art, Performing Arts &amp; Design,Sociology,Other Health,Chemistry,Chemical Engineering,Education,Mathematics &amp; Statistics,Business &amp; Management,Electrical &amp; Electronic Engineering,Law,History, Philosophy &amp; Theology,Physics &amp; Astronomy,Communication &amp; Media Studies,Economics &amp; Econometrics,Languages, Literature &amp; Linguistics,Mechanical &amp; Aerospace Engineering,Computer Science,Biological Sciences,Psychology,General Engineering,Geology, Environmental, Earth &amp; Marine Sciences</t>
  </si>
  <si>
    <t>University of Nigeria Nsukka</t>
  </si>
  <si>
    <t>Languages, Literature &amp; Linguistics,Electrical &amp; Electronic Engineering,Geology, Environmental, Earth &amp; Marine Sciences,Art, Performing Arts &amp; Design,Mechanical &amp; Aerospace Engineering,Chemistry,Accounting &amp; Finance,Architecture,Veterinary Science,Psychology,Other Health,Mathematics &amp; Statistics,Politics &amp; International Studies (incl Development Studies),Economics &amp; Econometrics,General Engineering,Communication &amp; Media Studies,Archaeology,Agriculture &amp; Forestry,Law,History, Philosophy &amp; Theology,Sport Science,Business &amp; Management,Computer Science,Biological Sciences,Geography,Medicine &amp; Dentistry,Physics &amp; Astronomy,Education,Civil Engineering,Sociology</t>
  </si>
  <si>
    <t>Ochanomizu University</t>
  </si>
  <si>
    <t>Computer Science,Sociology,General Engineering,Education,Chemistry,Biological Sciences,Art, Performing Arts &amp; Design,Physics &amp; Astronomy,Languages, Literature &amp; Linguistics,Psychology,Civil Engineering,Geography,History, Philosophy &amp; Theology,Mathematics &amp; Statistics</t>
  </si>
  <si>
    <t>Oles Honchar Dnipro National University</t>
  </si>
  <si>
    <t>Business &amp; Management,General Engineering,Communication &amp; Media Studies,Economics &amp; Econometrics,Art, Performing Arts &amp; Design,Sport Science,Chemistry,Archaeology,Other Health,Education,Electrical &amp; Electronic Engineering,Geography,Computer Science,Mathematics &amp; Statistics,Languages, Literature &amp; Linguistics,Politics &amp; International Studies (incl Development Studies),History, Philosophy &amp; Theology,Mechanical &amp; Aerospace Engineering,Biological Sciences,Law,Accounting &amp; Finance,Sociology,Psychology,Geology, Environmental, Earth &amp; Marine Sciences,Physics &amp; Astronomy,Chemical Engineering</t>
  </si>
  <si>
    <t>Opole University of Technology</t>
  </si>
  <si>
    <t>Accounting &amp; Finance,General Engineering,Computer Science,Civil Engineering,Sport Science,Mechanical &amp; Aerospace Engineering,Electrical &amp; Electronic Engineering,Business &amp; Management</t>
  </si>
  <si>
    <t>University of Oradea</t>
  </si>
  <si>
    <t>Sociology,Medicine &amp; Dentistry,Mathematics &amp; Statistics,Electrical &amp; Electronic Engineering,Art, Performing Arts &amp; Design,Communication &amp; Media Studies,Agriculture &amp; Forestry,Business &amp; Management,Politics &amp; International Studies (incl Development Studies),Biological Sciences,Languages, Literature &amp; Linguistics,General Engineering,Geography,Civil Engineering,Psychology,Mechanical &amp; Aerospace Engineering,Education,Physics &amp; Astronomy,Computer Science,Accounting &amp; Finance,Sport Science,Economics &amp; Econometrics,Chemistry,Other Health,History, Philosophy &amp; Theology,Geology, Environmental, Earth &amp; Marine Sciences,Law,Architecture</t>
  </si>
  <si>
    <t>Osaka Metropolitan University</t>
  </si>
  <si>
    <t>Other Health,Mathematics &amp; Statistics,Accounting &amp; Finance,Architecture,Physics &amp; Astronomy,Medicine &amp; Dentistry,Communication &amp; Media Studies,History, Philosophy &amp; Theology,Computer Science,Geology, Environmental, Earth &amp; Marine Sciences,Law,Archaeology,Art, Performing Arts &amp; Design,Agriculture &amp; Forestry,Politics &amp; International Studies (incl Development Studies),Sociology,Languages, Literature &amp; Linguistics,Chemical Engineering,Sport Science,Mechanical &amp; Aerospace Engineering,Education,Business &amp; Management,Civil Engineering,Chemistry,Veterinary Science,Geography,General Engineering,Biological Sciences,Electrical &amp; Electronic Engineering,Economics &amp; Econometrics,Psychology</t>
  </si>
  <si>
    <t>Osmania University</t>
  </si>
  <si>
    <t>Geography,Politics &amp; International Studies (incl Development Studies),Chemistry,General Engineering,Chemical Engineering,History, Philosophy &amp; Theology,Law,Biological Sciences,Sport Science,Languages, Literature &amp; Linguistics,Business &amp; Management,Education,Civil Engineering,Geology, Environmental, Earth &amp; Marine Sciences,Communication &amp; Media Studies,Accounting &amp; Finance,Computer Science,Economics &amp; Econometrics,Mechanical &amp; Aerospace Engineering,Sociology,Electrical &amp; Electronic Engineering,Mathematics &amp; Statistics,Psychology,Physics &amp; Astronomy</t>
  </si>
  <si>
    <t>Paris Nanterre University</t>
  </si>
  <si>
    <t>Languages, Literature &amp; Linguistics,Education,History, Philosophy &amp; Theology,Art, Performing Arts &amp; Design,Geography,Politics &amp; International Studies (incl Development Studies),Archaeology,Psychology,Communication &amp; Media Studies,Economics &amp; Econometrics,Electrical &amp; Electronic Engineering,Sociology,Law,Sport Science,Mechanical &amp; Aerospace Engineering,Business &amp; Management,Accounting &amp; Finance</t>
  </si>
  <si>
    <t>University of Pau and Pays de lâ€™Adour</t>
  </si>
  <si>
    <t>Agriculture &amp; Forestry,Communication &amp; Media Studies,Electrical &amp; Electronic Engineering,Chemistry,Business &amp; Management,Languages, Literature &amp; Linguistics,Sport Science,Sociology,Civil Engineering,Politics &amp; International Studies (incl Development Studies),Mechanical &amp; Aerospace Engineering,Geology, Environmental, Earth &amp; Marine Sciences,Accounting &amp; Finance,Computer Science,Veterinary Science,Geography,Chemical Engineering,General Engineering,Physics &amp; Astronomy,Education,Art, Performing Arts &amp; Design,Biological Sciences,History, Philosophy &amp; Theology,Mathematics &amp; Statistics,Law</t>
  </si>
  <si>
    <t>Pavol Jozef Å afÃ¡rik University in KoÅ¡ice</t>
  </si>
  <si>
    <t>Geology, Environmental, Earth &amp; Marine Sciences,Computer Science,Languages, Literature &amp; Linguistics,Geography,Communication &amp; Media Studies,Mathematics &amp; Statistics,Other Health,History, Philosophy &amp; Theology,Politics &amp; International Studies (incl Development Studies),Education,Sociology,Biological Sciences,Psychology,Physics &amp; Astronomy,Law,Sport Science,Chemistry,Agriculture &amp; Forestry,Medicine &amp; Dentistry</t>
  </si>
  <si>
    <t>Persian Gulf University</t>
  </si>
  <si>
    <t>Biological Sciences,Mathematics &amp; Statistics,Electrical &amp; Electronic Engineering,Chemistry,Civil Engineering,Geology, Environmental, Earth &amp; Marine Sciences,Languages, Literature &amp; Linguistics,Physics &amp; Astronomy,Business &amp; Management,Mechanical &amp; Aerospace Engineering,Chemical Engineering,Computer Science,Economics &amp; Econometrics,Accounting &amp; Finance,Sport Science,General Engineering,Architecture,History, Philosophy &amp; Theology,Agriculture &amp; Forestry,Psychology</t>
  </si>
  <si>
    <t>University of the Philippines</t>
  </si>
  <si>
    <t>Languages, Literature &amp; Linguistics,Agriculture &amp; Forestry,Politics &amp; International Studies (incl Development Studies),Architecture,Biological Sciences,Business &amp; Management,Electrical &amp; Electronic Engineering,Chemistry,Accounting &amp; Finance,Archaeology,Veterinary Science,Economics &amp; Econometrics,Other Health,Chemical Engineering,Communication &amp; Media Studies,General Engineering,Physics &amp; Astronomy,Psychology,History, Philosophy &amp; Theology,Civil Engineering,Sociology,Medicine &amp; Dentistry,Sport Science,Education,Computer Science,Mathematics &amp; Statistics,Law,Art, Performing Arts &amp; Design,Mechanical &amp; Aerospace Engineering,Geology, Environmental, Earth &amp; Marine Sciences,Geography</t>
  </si>
  <si>
    <t>Pirogov Russian National Research Medical University</t>
  </si>
  <si>
    <t>Psychology,Biological Sciences,Medicine &amp; Dentistry,Sociology</t>
  </si>
  <si>
    <t>Polytechnic Institute of Porto</t>
  </si>
  <si>
    <t>Civil Engineering,Mechanical &amp; Aerospace Engineering,Electrical &amp; Electronic Engineering,Computer Science,Communication &amp; Media Studies,General Engineering,Languages, Literature &amp; Linguistics,Sport Science,Chemical Engineering,Education,Business &amp; Management,Accounting &amp; Finance,Art, Performing Arts &amp; Design,Other Health</t>
  </si>
  <si>
    <t>Pontifical Catholic University of Peru</t>
  </si>
  <si>
    <t>Mechanical &amp; Aerospace Engineering,Geography,Civil Engineering,Law,Electrical &amp; Electronic Engineering,Sociology,Mathematics &amp; Statistics,Psychology,Architecture,Chemistry,Economics &amp; Econometrics,Archaeology,Geology, Environmental, Earth &amp; Marine Sciences,Art, Performing Arts &amp; Design,Chemical Engineering,Education,Computer Science,General Engineering,Politics &amp; International Studies (incl Development Studies),Languages, Literature &amp; Linguistics,Communication &amp; Media Studies,Business &amp; Management,History, Philosophy &amp; Theology,Physics &amp; Astronomy,Accounting &amp; Finance</t>
  </si>
  <si>
    <t>Pontifical Catholic University of ValparaÃ­so</t>
  </si>
  <si>
    <t>Art, Performing Arts &amp; Design,Chemical Engineering,Psychology,History, Philosophy &amp; Theology,Civil Engineering,Business &amp; Management,General Engineering,Biological Sciences,Accounting &amp; Finance,Mechanical &amp; Aerospace Engineering,Communication &amp; Media Studies,Computer Science,Sport Science,Other Health,Chemistry,Education,Electrical &amp; Electronic Engineering,Mathematics &amp; Statistics,Law,Architecture,Geology, Environmental, Earth &amp; Marine Sciences,Sociology,Agriculture &amp; Forestry,Geography,Languages, Literature &amp; Linguistics,Physics &amp; Astronomy</t>
  </si>
  <si>
    <t>Pontifical Javeriana University</t>
  </si>
  <si>
    <t>Pontifical Javeriana University Pontifical Xavierian University</t>
  </si>
  <si>
    <t>Electrical &amp; Electronic Engineering,Art, Performing Arts &amp; Design,Computer Science,Psychology,Languages, Literature &amp; Linguistics,General Engineering,Mechanical &amp; Aerospace Engineering,Biological Sciences,Communication &amp; Media Studies,Business &amp; Management,Politics &amp; International Studies (incl Development Studies),Mathematics &amp; Statistics,Architecture,Sociology,Sport Science,Education,Geology, Environmental, Earth &amp; Marine Sciences,Medicine &amp; Dentistry,History, Philosophy &amp; Theology,Civil Engineering,Chemistry,Other Health,Economics &amp; Econometrics,Accounting &amp; Finance,Physics &amp; Astronomy,Law</t>
  </si>
  <si>
    <t>PontifÃ­cia Universidade CatÃ³lica do ParanÃ¡</t>
  </si>
  <si>
    <t>Agriculture &amp; Forestry,Architecture,Physics &amp; Astronomy,Biological Sciences,Computer Science,Economics &amp; Econometrics,Education,Electrical &amp; Electronic Engineering,Civil Engineering,Sociology,Mechanical &amp; Aerospace Engineering,Chemical Engineering,Communication &amp; Media Studies,Mathematics &amp; Statistics,General Engineering,Other Health,Psychology,Accounting &amp; Finance,Medicine &amp; Dentistry,Veterinary Science,Sport Science,Chemistry,Law,Business &amp; Management,Languages, Literature &amp; Linguistics,Art, Performing Arts &amp; Design,History, Philosophy &amp; Theology</t>
  </si>
  <si>
    <t>Port Said University</t>
  </si>
  <si>
    <t>Biological Sciences,Sociology,Languages, Literature &amp; Linguistics,Agriculture &amp; Forestry,Education,Chemical Engineering,Physics &amp; Astronomy,Medicine &amp; Dentistry,Other Health,Mathematics &amp; Statistics,Geography,Mechanical &amp; Aerospace Engineering,Geology, Environmental, Earth &amp; Marine Sciences,Business &amp; Management,Architecture,General Engineering,Communication &amp; Media Studies,Economics &amp; Econometrics,Civil Engineering,Accounting &amp; Finance,Computer Science,Politics &amp; International Studies (incl Development Studies),Sport Science,Psychology,History, Philosophy &amp; Theology,Electrical &amp; Electronic Engineering,Chemistry</t>
  </si>
  <si>
    <t>PoznaÅ„ University of Life Sciences</t>
  </si>
  <si>
    <t>General Engineering,Accounting &amp; Finance,Economics &amp; Econometrics,Civil Engineering,Biological Sciences,Agriculture &amp; Forestry,Veterinary Science</t>
  </si>
  <si>
    <t>Poznan University of Technology</t>
  </si>
  <si>
    <t>Chemical Engineering,Mechanical &amp; Aerospace Engineering,Computer Science,Physics &amp; Astronomy,Mathematics &amp; Statistics,Architecture,Electrical &amp; Electronic Engineering,Civil Engineering,Chemistry,Art, Performing Arts &amp; Design,Business &amp; Management,General Engineering</t>
  </si>
  <si>
    <t>Prince of Songkla University</t>
  </si>
  <si>
    <t>Electrical &amp; Electronic Engineering,Geology, Environmental, Earth &amp; Marine Sciences,Mechanical &amp; Aerospace Engineering,Physics &amp; Astronomy,Other Health,Mathematics &amp; Statistics,Business &amp; Management,Civil Engineering,Psychology,History, Philosophy &amp; Theology,General Engineering,Law,Accounting &amp; Finance,Art, Performing Arts &amp; Design,Biological Sciences,Sociology,Languages, Literature &amp; Linguistics,Agriculture &amp; Forestry,Geography,Computer Science,Communication &amp; Media Studies,Economics &amp; Econometrics,Architecture,Chemical Engineering,Education,Medicine &amp; Dentistry,Veterinary Science,Chemistry</t>
  </si>
  <si>
    <t>University of Puerto Rico</t>
  </si>
  <si>
    <t>Puerto Rico</t>
  </si>
  <si>
    <t>Economics &amp; Econometrics,Mathematics &amp; Statistics,Sociology,Languages, Literature &amp; Linguistics,Communication &amp; Media Studies,Law,Politics &amp; International Studies (incl Development Studies),Computer Science,Biological Sciences,General Engineering,Accounting &amp; Finance,Other Health,Art, Performing Arts &amp; Design,Medicine &amp; Dentistry,Education,Agriculture &amp; Forestry,History, Philosophy &amp; Theology,Chemistry,Psychology,Electrical &amp; Electronic Engineering,Chemical Engineering,Architecture,Civil Engineering,Geology, Environmental, Earth &amp; Marine Sciences,Business &amp; Management,Geography,Mechanical &amp; Aerospace Engineering</t>
  </si>
  <si>
    <t>Pukyong National University</t>
  </si>
  <si>
    <t>Computer Science,Mathematics &amp; Statistics,Accounting &amp; Finance,Other Health,Geology, Environmental, Earth &amp; Marine Sciences,Education,Civil Engineering,Sociology,History, Philosophy &amp; Theology,Agriculture &amp; Forestry,Business &amp; Management,Electrical &amp; Electronic Engineering,Communication &amp; Media Studies,Architecture,Chemistry,Languages, Literature &amp; Linguistics,Biological Sciences,Economics &amp; Econometrics,Art, Performing Arts &amp; Design,Chemical Engineering,Law,Mechanical &amp; Aerospace Engineering,Politics &amp; International Studies (incl Development Studies),General Engineering,Physics &amp; Astronomy,Psychology</t>
  </si>
  <si>
    <t>University of Qom</t>
  </si>
  <si>
    <t>Mechanical &amp; Aerospace Engineering,Physics &amp; Astronomy,Languages, Literature &amp; Linguistics,History, Philosophy &amp; Theology,Mathematics &amp; Statistics,Law,Economics &amp; Econometrics,Business &amp; Management,Architecture,Civil Engineering,Psychology,Geology, Environmental, Earth &amp; Marine Sciences,Communication &amp; Media Studies,Computer Science,Sport Science,Electrical &amp; Electronic Engineering,Chemical Engineering,Accounting &amp; Finance,Biological Sciences,Chemistry,General Engineering,Education</t>
  </si>
  <si>
    <t>University Rey Juan Carlos</t>
  </si>
  <si>
    <t>Chemical Engineering,Languages, Literature &amp; Linguistics,Communication &amp; Media Studies,Computer Science,Mechanical &amp; Aerospace Engineering,Business &amp; Management,Education,Medicine &amp; Dentistry,Law,Other Health,Sport Science,Politics &amp; International Studies (incl Development Studies),Electrical &amp; Electronic Engineering,History, Philosophy &amp; Theology,Geology, Environmental, Earth &amp; Marine Sciences,Economics &amp; Econometrics,Psychology,Mathematics &amp; Statistics,Art, Performing Arts &amp; Design,Accounting &amp; Finance,Architecture,General Engineering,Biological Sciences</t>
  </si>
  <si>
    <t>Rikkyo University</t>
  </si>
  <si>
    <t>Chemistry,Accounting &amp; Finance,Computer Science,Law,Archaeology,Economics &amp; Econometrics,Mathematics &amp; Statistics,Education,Physics &amp; Astronomy,Business &amp; Management,History, Philosophy &amp; Theology,Geography,Art, Performing Arts &amp; Design,Communication &amp; Media Studies,Other Health,Biological Sciences,Sociology,Languages, Literature &amp; Linguistics,Politics &amp; International Studies (incl Development Studies),Sport Science,Psychology</t>
  </si>
  <si>
    <t>Ritsumeikan University</t>
  </si>
  <si>
    <t>General Engineering,Sport Science,Architecture,Civil Engineering,Politics &amp; International Studies (incl Development Studies),Other Health,Geology, Environmental, Earth &amp; Marine Sciences,Accounting &amp; Finance,Art, Performing Arts &amp; Design,Agriculture &amp; Forestry,Law,Computer Science,Chemistry,Business &amp; Management,History, Philosophy &amp; Theology,Physics &amp; Astronomy,Education,Electrical &amp; Electronic Engineering,Mathematics &amp; Statistics,Psychology,Languages, Literature &amp; Linguistics,Biological Sciences,Communication &amp; Media Studies,Mechanical &amp; Aerospace Engineering,Sociology,Archaeology,Chemical Engineering,Geography,Economics &amp; Econometrics</t>
  </si>
  <si>
    <t>UniversitÃ© Saint-Joseph de Beyrouth</t>
  </si>
  <si>
    <t>Computer Science,Geology, Environmental, Earth &amp; Marine Sciences,Other Health,Physics &amp; Astronomy,Accounting &amp; Finance,Electrical &amp; Electronic Engineering,Chemical Engineering,Law,Civil Engineering,Communication &amp; Media Studies,General Engineering,Biological Sciences,Education,History, Philosophy &amp; Theology,Chemistry,Business &amp; Management,Art, Performing Arts &amp; Design,Mechanical &amp; Aerospace Engineering,Politics &amp; International Studies (incl Development Studies),Economics &amp; Econometrics,Languages, Literature &amp; Linguistics,Sociology,Architecture,Mathematics &amp; Statistics,Geography,Medicine &amp; Dentistry,Agriculture &amp; Forestry,Psychology</t>
  </si>
  <si>
    <t>Saitama Medical University</t>
  </si>
  <si>
    <t>Sakarya University</t>
  </si>
  <si>
    <t>Business &amp; Management,Languages, Literature &amp; Linguistics,Mathematics &amp; Statistics,Mechanical &amp; Aerospace Engineering,History, Philosophy &amp; Theology,Computer Science,Law,Sociology,Psychology,Physics &amp; Astronomy,Biological Sciences,Electrical &amp; Electronic Engineering,Civil Engineering,Politics &amp; International Studies (incl Development Studies),Architecture,Economics &amp; Econometrics,Education,Geography,Art, Performing Arts &amp; Design,Accounting &amp; Finance,Communication &amp; Media Studies,Medicine &amp; Dentistry,Chemistry</t>
  </si>
  <si>
    <t>Samara National Research University (Samara University)</t>
  </si>
  <si>
    <t>Psychology,Physics &amp; Astronomy,Mechanical &amp; Aerospace Engineering,Business &amp; Management,Education,General Engineering,Law,Economics &amp; Econometrics,Accounting &amp; Finance,Mathematics &amp; Statistics,Languages, Literature &amp; Linguistics,Communication &amp; Media Studies,Biological Sciences,Politics &amp; International Studies (incl Development Studies),History, Philosophy &amp; Theology,Sociology,Computer Science,Electrical &amp; Electronic Engineering,Chemistry</t>
  </si>
  <si>
    <t>Sapporo Medical University</t>
  </si>
  <si>
    <t>SASTRA University</t>
  </si>
  <si>
    <t>Computer Science,Civil Engineering,Electrical &amp; Electronic Engineering,Chemical Engineering,Mechanical &amp; Aerospace Engineering,Biological Sciences</t>
  </si>
  <si>
    <t>Sathyabama Institute of Science and Technology</t>
  </si>
  <si>
    <t>Computer Science,Other Health,Chemical Engineering,Mathematics &amp; Statistics,Physics &amp; Astronomy,Civil Engineering,Chemistry,Communication &amp; Media Studies,Medicine &amp; Dentistry,Architecture,Business &amp; Management,Electrical &amp; Electronic Engineering,Psychology,Art, Performing Arts &amp; Design,Mechanical &amp; Aerospace Engineering,General Engineering,Law,Biological Sciences</t>
  </si>
  <si>
    <t>Universitas Sebelas Maret</t>
  </si>
  <si>
    <t>Electrical &amp; Electronic Engineering,Politics &amp; International Studies (incl Development Studies),Medicine &amp; Dentistry,Sport Science,Business &amp; Management,History, Philosophy &amp; Theology,Agriculture &amp; Forestry,Communication &amp; Media Studies,Accounting &amp; Finance,Architecture,Biological Sciences,Law,Mechanical &amp; Aerospace Engineering,Geography,General Engineering,Physics &amp; Astronomy,Other Health,Mathematics &amp; Statistics,Education,Computer Science,Chemistry,Psychology,Languages, Literature &amp; Linguistics,Chemical Engineering,Geology, Environmental, Earth &amp; Marine Sciences,Economics &amp; Econometrics,Art, Performing Arts &amp; Design,Civil Engineering,Sociology</t>
  </si>
  <si>
    <t>SelÃ§uk University</t>
  </si>
  <si>
    <t>Architecture,Civil Engineering,Sociology,Other Health,Sport Science,Education,Art, Performing Arts &amp; Design,Electrical &amp; Electronic Engineering,Chemistry,General Engineering,Politics &amp; International Studies (incl Development Studies),Medicine &amp; Dentistry,Physics &amp; Astronomy,Business &amp; Management,Archaeology,Agriculture &amp; Forestry,Geography,Mechanical &amp; Aerospace Engineering,Communication &amp; Media Studies,History, Philosophy &amp; Theology,Veterinary Science,Psychology,Computer Science,Mathematics &amp; Statistics,Accounting &amp; Finance,Languages, Literature &amp; Linguistics,Biological Sciences,Law,Economics &amp; Econometrics</t>
  </si>
  <si>
    <t>Semnan University of Medical Sciences and Health Services</t>
  </si>
  <si>
    <t>Seoul National University of Science and Technology (SeoulTech)</t>
  </si>
  <si>
    <t>Chemistry,Chemical Engineering,Physics &amp; Astronomy,Computer Science,Other Health,Sport Science,Languages, Literature &amp; Linguistics,Politics &amp; International Studies (incl Development Studies),Biological Sciences,Communication &amp; Media Studies,Electrical &amp; Electronic Engineering,Mechanical &amp; Aerospace Engineering,Art, Performing Arts &amp; Design,General Engineering,Geology, Environmental, Earth &amp; Marine Sciences,Business &amp; Management,Civil Engineering,Economics &amp; Econometrics,Architecture,Mathematics &amp; Statistics</t>
  </si>
  <si>
    <t>University of La Serena</t>
  </si>
  <si>
    <t>Education,Medicine &amp; Dentistry,Civil Engineering,Communication &amp; Media Studies,Chemistry,Art, Performing Arts &amp; Design,Languages, Literature &amp; Linguistics,Physics &amp; Astronomy,Agriculture &amp; Forestry,Business &amp; Management,Architecture,Accounting &amp; Finance,Mathematics &amp; Statistics,Psychology,Law,General Engineering,Mechanical &amp; Aerospace Engineering,Computer Science</t>
  </si>
  <si>
    <t>Shahid Bahonar University of Kerman</t>
  </si>
  <si>
    <t>Computer Science,Biological Sciences,Psychology,Agriculture &amp; Forestry,Sociology,Chemical Engineering,Politics &amp; International Studies (incl Development Studies),Art, Performing Arts &amp; Design,Mechanical &amp; Aerospace Engineering,Geography,General Engineering,Chemistry,Accounting &amp; Finance,History, Philosophy &amp; Theology,Sport Science,Education,Civil Engineering,Geology, Environmental, Earth &amp; Marine Sciences,Architecture,Mathematics &amp; Statistics,Economics &amp; Econometrics,Electrical &amp; Electronic Engineering,Physics &amp; Astronomy,Business &amp; Management,Languages, Literature &amp; Linguistics,Veterinary Science,Law</t>
  </si>
  <si>
    <t>Shahid Sadoughi University of Medical Sciences</t>
  </si>
  <si>
    <t>Shahjalal University of Science and Technology</t>
  </si>
  <si>
    <t>Chemical Engineering,Sociology,History, Philosophy &amp; Theology,Biological Sciences,Architecture,Geology, Environmental, Earth &amp; Marine Sciences,Computer Science,Geography,Civil Engineering,Economics &amp; Econometrics,Languages, Literature &amp; Linguistics,Mathematics &amp; Statistics,Electrical &amp; Electronic Engineering,Politics &amp; International Studies (incl Development Studies),Agriculture &amp; Forestry,Physics &amp; Astronomy,General Engineering,Chemistry,Mechanical &amp; Aerospace Engineering,Business &amp; Management</t>
  </si>
  <si>
    <t>University of Shanghai for Science and Technology</t>
  </si>
  <si>
    <t>Civil Engineering,Communication &amp; Media Studies,Agriculture &amp; Forestry,Electrical &amp; Electronic Engineering,Chemistry,Mechanical &amp; Aerospace Engineering,Mathematics &amp; Statistics,Languages, Literature &amp; Linguistics,General Engineering,Sociology,Accounting &amp; Finance,Computer Science,Business &amp; Management,Art, Performing Arts &amp; Design,Physics &amp; Astronomy,Architecture,Chemical Engineering</t>
  </si>
  <si>
    <t>Shibaura Institute of Technology</t>
  </si>
  <si>
    <t>Shibaura Institute of Technology SHIBAURA Science Engineering</t>
  </si>
  <si>
    <t>Physics &amp; Astronomy,Geology, Environmental, Earth &amp; Marine Sciences,Architecture,Civil Engineering,Biological Sciences,Chemistry,General Engineering,Electrical &amp; Electronic Engineering,Chemical Engineering,Sport Science,Mathematics &amp; Statistics,Computer Science,Art, Performing Arts &amp; Design,Mechanical &amp; Aerospace Engineering</t>
  </si>
  <si>
    <t>Shiga University of Medical Science</t>
  </si>
  <si>
    <t>Showa University</t>
  </si>
  <si>
    <t>Silesian University of Technology</t>
  </si>
  <si>
    <t>Architecture,Chemical Engineering,Languages, Literature &amp; Linguistics,Business &amp; Management,Mathematics &amp; Statistics,Mechanical &amp; Aerospace Engineering,Computer Science,Chemistry,General Engineering,Electrical &amp; Electronic Engineering,Civil Engineering</t>
  </si>
  <si>
    <t>UniversitÃ© de Skikda</t>
  </si>
  <si>
    <t>History, Philosophy &amp; Theology,Biological Sciences,Psychology,Mechanical &amp; Aerospace Engineering,Law,Electrical &amp; Electronic Engineering,Geology, Environmental, Earth &amp; Marine Sciences,Education,Architecture,Physics &amp; Astronomy,Economics &amp; Econometrics,Civil Engineering,Politics &amp; International Studies (incl Development Studies),Computer Science,Communication &amp; Media Studies,Languages, Literature &amp; Linguistics,Mathematics &amp; Statistics,Business &amp; Management,Chemical Engineering,Sociology,General Engineering,Agriculture &amp; Forestry,Chemistry,Accounting &amp; Finance</t>
  </si>
  <si>
    <t>Slovak University of Agriculture in Nitra</t>
  </si>
  <si>
    <t>Biological Sciences,Business &amp; Management,Art, Performing Arts &amp; Design,Politics &amp; International Studies (incl Development Studies),Languages, Literature &amp; Linguistics,Geology, Environmental, Earth &amp; Marine Sciences,Agriculture &amp; Forestry,Chemistry,Economics &amp; Econometrics,Architecture,Communication &amp; Media Studies,Electrical &amp; Electronic Engineering,Sociology,General Engineering,Psychology,Civil Engineering,Accounting &amp; Finance,Computer Science,Education,Law</t>
  </si>
  <si>
    <t>Sohag University</t>
  </si>
  <si>
    <t>Civil Engineering,Communication &amp; Media Studies,Politics &amp; International Studies (incl Development Studies),Medicine &amp; Dentistry,Sociology,Education,Mechanical &amp; Aerospace Engineering,Geology, Environmental, Earth &amp; Marine Sciences,Business &amp; Management,Computer Science,Veterinary Science,History, Philosophy &amp; Theology,Biological Sciences,Geography,Languages, Literature &amp; Linguistics,Archaeology,Mathematics &amp; Statistics,Economics &amp; Econometrics,Architecture,Agriculture &amp; Forestry,Law,General Engineering,Physics &amp; Astronomy,Art, Performing Arts &amp; Design,Other Health,Sport Science,Accounting &amp; Finance,Electrical &amp; Electronic Engineering,Chemistry,Psychology</t>
  </si>
  <si>
    <t>Soonchunhyang University</t>
  </si>
  <si>
    <t>Mechanical &amp; Aerospace Engineering,Sociology,Languages, Literature &amp; Linguistics,Politics &amp; International Studies (incl Development Studies),Computer Science,Chemistry,Psychology,Other Health,Physics &amp; Astronomy,Accounting &amp; Finance,Chemical Engineering,Education,Medicine &amp; Dentistry,Mathematics &amp; Statistics,Architecture,Sport Science,Economics &amp; Econometrics,Art, Performing Arts &amp; Design,Biological Sciences,Law,General Engineering,Communication &amp; Media Studies,Electrical &amp; Electronic Engineering,Business &amp; Management</t>
  </si>
  <si>
    <t>Soongsil University</t>
  </si>
  <si>
    <t>Languages, Literature &amp; Linguistics,Mathematics &amp; Statistics,Accounting &amp; Finance,Biological Sciences,Law,Architecture,General Engineering,Psychology,History, Philosophy &amp; Theology,Physics &amp; Astronomy,Economics &amp; Econometrics,Computer Science,Communication &amp; Media Studies,Chemical Engineering,Politics &amp; International Studies (incl Development Studies),Electrical &amp; Electronic Engineering,Business &amp; Management,Art, Performing Arts &amp; Design,Chemistry,Sociology,Mechanical &amp; Aerospace Engineering,Education,Geology, Environmental, Earth &amp; Marine Sciences</t>
  </si>
  <si>
    <t>UniversitÃ© Sorbonne Nouvelle</t>
  </si>
  <si>
    <t>Art, Performing Arts &amp; Design,Communication &amp; Media Studies,Law,Education,Languages, Literature &amp; Linguistics,Sociology,Business &amp; Management,History, Philosophy &amp; Theology,Politics &amp; International Studies (incl Development Studies),Geography</t>
  </si>
  <si>
    <t>University of Sousse</t>
  </si>
  <si>
    <t>General Engineering,Art, Performing Arts &amp; Design,Archaeology,Electrical &amp; Electronic Engineering,Civil Engineering,History, Philosophy &amp; Theology,Geology, Environmental, Earth &amp; Marine Sciences,Architecture,Politics &amp; International Studies (incl Development Studies),Medicine &amp; Dentistry,Languages, Literature &amp; Linguistics,Communication &amp; Media Studies,Law,Geography,Chemical Engineering,Business &amp; Management,Agriculture &amp; Forestry,Sociology,Physics &amp; Astronomy,Mathematics &amp; Statistics,Economics &amp; Econometrics,Chemistry,Other Health,Accounting &amp; Finance,Mechanical &amp; Aerospace Engineering,Computer Science</t>
  </si>
  <si>
    <t>University of South China</t>
  </si>
  <si>
    <t>Business &amp; Management,Chemistry,Other Health,Sociology,Mathematics &amp; Statistics,History, Philosophy &amp; Theology,General Engineering,Chemical Engineering,Accounting &amp; Finance,Languages, Literature &amp; Linguistics,Mechanical &amp; Aerospace Engineering,Geology, Environmental, Earth &amp; Marine Sciences,Civil Engineering,Physics &amp; Astronomy,Communication &amp; Media Studies,Art, Performing Arts &amp; Design,Medicine &amp; Dentistry,Architecture,Electrical &amp; Electronic Engineering,Biological Sciences,Law,Economics &amp; Econometrics,Computer Science,Agriculture &amp; Forestry</t>
  </si>
  <si>
    <t>Southern Federal University</t>
  </si>
  <si>
    <t>History, Philosophy &amp; Theology,General Engineering,Communication &amp; Media Studies,Archaeology,Physics &amp; Astronomy,Psychology,Chemical Engineering,Sociology,Biological Sciences,Business &amp; Management,Art, Performing Arts &amp; Design,Mathematics &amp; Statistics,Accounting &amp; Finance,Languages, Literature &amp; Linguistics,Geology, Environmental, Earth &amp; Marine Sciences,Architecture,Chemistry,Education,Computer Science,Politics &amp; International Studies (incl Development Studies),Electrical &amp; Electronic Engineering,Geography,Mechanical &amp; Aerospace Engineering,Law,Economics &amp; Econometrics</t>
  </si>
  <si>
    <t>South Valley University</t>
  </si>
  <si>
    <t>Business &amp; Management,Chemical Engineering,History, Philosophy &amp; Theology,Psychology,General Engineering,Politics &amp; International Studies (incl Development Studies),Physics &amp; Astronomy,Economics &amp; Econometrics,Other Health,Sociology,Medicine &amp; Dentistry,Art, Performing Arts &amp; Design,Sport Science,Electrical &amp; Electronic Engineering,Chemistry,Biological Sciences,Accounting &amp; Finance,Communication &amp; Media Studies,Civil Engineering,Veterinary Science,Languages, Literature &amp; Linguistics,Computer Science,Geology, Environmental, Earth &amp; Marine Sciences,Education,Archaeology,Geography,Mathematics &amp; Statistics,Agriculture &amp; Forestry,Law,Mechanical &amp; Aerospace Engineering,Architecture</t>
  </si>
  <si>
    <t>Southwest Petroleum University</t>
  </si>
  <si>
    <t>Geology, Environmental, Earth &amp; Marine Sciences,Chemistry,Computer Science,Business &amp; Management,Law,General Engineering,Education,Mathematics &amp; Statistics</t>
  </si>
  <si>
    <t>University of Split</t>
  </si>
  <si>
    <t>Architecture,Sport Science,General Engineering,Economics &amp; Econometrics,Other Health,Chemistry,Education,Business &amp; Management,Law,Electrical &amp; Electronic Engineering,Chemical Engineering,Medicine &amp; Dentistry,Computer Science,Civil Engineering,Sociology,Politics &amp; International Studies (incl Development Studies),Communication &amp; Media Studies,Accounting &amp; Finance,Psychology,Agriculture &amp; Forestry,Languages, Literature &amp; Linguistics,Mathematics &amp; Statistics,Mechanical &amp; Aerospace Engineering,Art, Performing Arts &amp; Design,History, Philosophy &amp; Theology,Physics &amp; Astronomy,Biological Sciences</t>
  </si>
  <si>
    <t>Sri Venkateswara University</t>
  </si>
  <si>
    <t>Electrical &amp; Electronic Engineering,General Engineering,Art, Performing Arts &amp; Design,Economics &amp; Econometrics,Geology, Environmental, Earth &amp; Marine Sciences,Physics &amp; Astronomy,Sociology,Civil Engineering,Law,Chemistry,Business &amp; Management,Education,Languages, Literature &amp; Linguistics,Politics &amp; International Studies (incl Development Studies),Mathematics &amp; Statistics,Biological Sciences,Computer Science,Chemical Engineering,Archaeology,History, Philosophy &amp; Theology,Accounting &amp; Finance,Mechanical &amp; Aerospace Engineering,Psychology,Geography</t>
  </si>
  <si>
    <t>SRM Institute of Science and Technology</t>
  </si>
  <si>
    <t>SRM Institute of Science and Technology SRM Institute of Science and Technology SRMIST SRM University</t>
  </si>
  <si>
    <t>Mathematics &amp; Statistics,Psychology,Electrical &amp; Electronic Engineering,Agriculture &amp; Forestry,Physics &amp; Astronomy,History, Philosophy &amp; Theology,Geology, Environmental, Earth &amp; Marine Sciences,Other Health,Economics &amp; Econometrics,Computer Science,Civil Engineering,Sport Science,Languages, Literature &amp; Linguistics,Communication &amp; Media Studies,Medicine &amp; Dentistry,Education,Biological Sciences,Accounting &amp; Finance,Law,Chemistry,Chemical Engineering,Architecture,Politics &amp; International Studies (incl Development Studies),Mechanical &amp; Aerospace Engineering,Business &amp; Management</t>
  </si>
  <si>
    <t>Åžtefan cel Mare University of Suceava</t>
  </si>
  <si>
    <t>Sport Science,Law,Mathematics &amp; Statistics,Economics &amp; Econometrics,Languages, Literature &amp; Linguistics,Communication &amp; Media Studies,Geology, Environmental, Earth &amp; Marine Sciences,History, Philosophy &amp; Theology,Politics &amp; International Studies (incl Development Studies),Medicine &amp; Dentistry,Geography,Biological Sciences,Business &amp; Management,Electrical &amp; Electronic Engineering,Psychology,Agriculture &amp; Forestry,Accounting &amp; Finance,Mechanical &amp; Aerospace Engineering,Education,Computer Science,Sociology</t>
  </si>
  <si>
    <t>St Marianna University School of Medicine</t>
  </si>
  <si>
    <t>St Petersburg Electrotechnical University (LETI)</t>
  </si>
  <si>
    <t>Mechanical &amp; Aerospace Engineering,Electrical &amp; Electronic Engineering,Chemical Engineering,Computer Science,Business &amp; Management,Languages, Literature &amp; Linguistics,Communication &amp; Media Studies,General Engineering</t>
  </si>
  <si>
    <t>Universiti Sultan Zainal Abidin</t>
  </si>
  <si>
    <t>Biological Sciences,Sociology,Medicine &amp; Dentistry,Sport Science,Education,Computer Science,Physics &amp; Astronomy,Economics &amp; Econometrics,Chemical Engineering,Geology, Environmental, Earth &amp; Marine Sciences,Languages, Literature &amp; Linguistics,General Engineering,Chemistry,Accounting &amp; Finance,Art, Performing Arts &amp; Design,Electrical &amp; Electronic Engineering,Psychology,Agriculture &amp; Forestry,Law,History, Philosophy &amp; Theology,Veterinary Science,Communication &amp; Media Studies,Other Health,Mathematics &amp; Statistics,Business &amp; Management,Mechanical &amp; Aerospace Engineering,Politics &amp; International Studies (incl Development Studies)</t>
  </si>
  <si>
    <t>University of Sunderland</t>
  </si>
  <si>
    <t>Business &amp; Management,Mechanical &amp; Aerospace Engineering,Psychology,Other Health,Biological Sciences,Law,Electrical &amp; Electronic Engineering,Languages, Literature &amp; Linguistics,Computer Science,Communication &amp; Media Studies,Sociology,General Engineering,Medicine &amp; Dentistry,Education,Accounting &amp; Finance,Sport Science,Art, Performing Arts &amp; Design</t>
  </si>
  <si>
    <t>Suranaree University of Technology</t>
  </si>
  <si>
    <t>Suranaree University of Technology Suranaree University of Technology Thiland SUT</t>
  </si>
  <si>
    <t>Chemistry,Other Health,Sport Science,Mechanical &amp; Aerospace Engineering,Business &amp; Management,Languages, Literature &amp; Linguistics,Agriculture &amp; Forestry,Mathematics &amp; Statistics,General Engineering,Biological Sciences,Physics &amp; Astronomy,Electrical &amp; Electronic Engineering,Geology, Environmental, Earth &amp; Marine Sciences,Medicine &amp; Dentistry,Chemical Engineering,Civil Engineering,Communication &amp; Media Studies</t>
  </si>
  <si>
    <t>Universitas Syiah Kuala</t>
  </si>
  <si>
    <t>Agriculture &amp; Forestry,Sociology,Computer Science,Mathematics &amp; Statistics,Business &amp; Management,Psychology,Medicine &amp; Dentistry,Communication &amp; Media Studies,Chemical Engineering,Economics &amp; Econometrics,Geology, Environmental, Earth &amp; Marine Sciences,Geography,Civil Engineering,Education,Languages, Literature &amp; Linguistics,Chemistry,Law,General Engineering,Physics &amp; Astronomy,Politics &amp; International Studies (incl Development Studies),Mechanical &amp; Aerospace Engineering,Biological Sciences,Architecture,Electrical &amp; Electronic Engineering,Veterinary Science,Accounting &amp; Finance</t>
  </si>
  <si>
    <t>University of Talca</t>
  </si>
  <si>
    <t>Electrical &amp; Electronic Engineering,Psychology,Languages, Literature &amp; Linguistics,Medicine &amp; Dentistry,Law,General Engineering,Art, Performing Arts &amp; Design,Business &amp; Management,History, Philosophy &amp; Theology,Education,Computer Science,Sociology,Agriculture &amp; Forestry,Other Health,Architecture,Civil Engineering,Accounting &amp; Finance,Mechanical &amp; Aerospace Engineering,Economics &amp; Econometrics,Mathematics &amp; Statistics,Biological Sciences</t>
  </si>
  <si>
    <t>Tamkang University</t>
  </si>
  <si>
    <t>Mathematics &amp; Statistics,Languages, Literature &amp; Linguistics,Economics &amp; Econometrics,Politics &amp; International Studies (incl Development Studies),Other Health,History, Philosophy &amp; Theology,Communication &amp; Media Studies,Geology, Environmental, Earth &amp; Marine Sciences,Physics &amp; Astronomy,Architecture,Chemical Engineering,General Engineering,Education,Mechanical &amp; Aerospace Engineering,Business &amp; Management,Sociology,Psychology,Civil Engineering,Computer Science,Electrical &amp; Electronic Engineering,Accounting &amp; Finance,Chemistry</t>
  </si>
  <si>
    <t>University of TarapacÃ¡</t>
  </si>
  <si>
    <t>Agriculture &amp; Forestry,Architecture,Biological Sciences,Mechanical &amp; Aerospace Engineering,Economics &amp; Econometrics,Law,Electrical &amp; Electronic Engineering,Medicine &amp; Dentistry,Geography,History, Philosophy &amp; Theology,Communication &amp; Media Studies,Chemistry,Computer Science,Education,Business &amp; Management,Physics &amp; Astronomy,Chemical Engineering,Civil Engineering,Languages, Literature &amp; Linguistics,Mathematics &amp; Statistics,Archaeology,Other Health,Psychology,Accounting &amp; Finance,Art, Performing Arts &amp; Design,Sport Science</t>
  </si>
  <si>
    <t>Taras Shevchenko National University of Kyiv</t>
  </si>
  <si>
    <t>Electrical &amp; Electronic Engineering,Computer Science,Medicine &amp; Dentistry,Business &amp; Management,Accounting &amp; Finance,Art, Performing Arts &amp; Design,Sociology,Languages, Literature &amp; Linguistics,Geology, Environmental, Earth &amp; Marine Sciences,Communication &amp; Media Studies,Archaeology,Mathematics &amp; Statistics,Law,Chemistry,Other Health,Biological Sciences,Economics &amp; Econometrics,Education,Agriculture &amp; Forestry,Geography,Psychology,Chemical Engineering,Physics &amp; Astronomy,Politics &amp; International Studies (incl Development Studies),History, Philosophy &amp; Theology</t>
  </si>
  <si>
    <t>Technical University of Cluj-Napoca</t>
  </si>
  <si>
    <t>Chemistry,Architecture,Civil Engineering,Languages, Literature &amp; Linguistics,Computer Science,Mechanical &amp; Aerospace Engineering,Geology, Environmental, Earth &amp; Marine Sciences,Communication &amp; Media Studies,Education,General Engineering,Mathematics &amp; Statistics,Business &amp; Management,Biological Sciences,Electrical &amp; Electronic Engineering,History, Philosophy &amp; Theology,Economics &amp; Econometrics,Physics &amp; Astronomy</t>
  </si>
  <si>
    <t>Technical University of Crete</t>
  </si>
  <si>
    <t>Geology, Environmental, Earth &amp; Marine Sciences,Computer Science,Accounting &amp; Finance,General Engineering,Mathematics &amp; Statistics,Physics &amp; Astronomy,Chemical Engineering,Economics &amp; Econometrics,Chemistry,Mechanical &amp; Aerospace Engineering,Electrical &amp; Electronic Engineering,Architecture,Business &amp; Management</t>
  </si>
  <si>
    <t>Technical University of KoÅ¡ice</t>
  </si>
  <si>
    <t>Mechanical &amp; Aerospace Engineering,General Engineering,Art, Performing Arts &amp; Design,Geology, Environmental, Earth &amp; Marine Sciences,Civil Engineering,Accounting &amp; Finance,Architecture,Economics &amp; Econometrics,Electrical &amp; Electronic Engineering,Business &amp; Management,Computer Science</t>
  </si>
  <si>
    <t>University of Technology of CompiÃ¨gne</t>
  </si>
  <si>
    <t>General Engineering,Computer Science,Electrical &amp; Electronic Engineering,Biological Sciences,Mechanical &amp; Aerospace Engineering</t>
  </si>
  <si>
    <t>Universiti Teknikal Malaysia Melaka</t>
  </si>
  <si>
    <t>Business &amp; Management,Electrical &amp; Electronic Engineering,Computer Science,Mechanical &amp; Aerospace Engineering</t>
  </si>
  <si>
    <t>Institut Teknologi Sepuluh Nopember</t>
  </si>
  <si>
    <t>Geology, Environmental, Earth &amp; Marine Sciences,Biological Sciences,Computer Science,Politics &amp; International Studies (incl Development Studies),Civil Engineering,Physics &amp; Astronomy,Art, Performing Arts &amp; Design,Mathematics &amp; Statistics,Mechanical &amp; Aerospace Engineering,Architecture,Chemical Engineering,Electrical &amp; Electronic Engineering,Business &amp; Management,General Engineering,Chemistry</t>
  </si>
  <si>
    <t>University of Texas Rio Grande Valley</t>
  </si>
  <si>
    <t>Electrical &amp; Electronic Engineering,Geology, Environmental, Earth &amp; Marine Sciences,Computer Science,Sport Science,Geography,Medicine &amp; Dentistry,Mathematics &amp; Statistics,Accounting &amp; Finance,Art, Performing Arts &amp; Design,General Engineering,Politics &amp; International Studies (incl Development Studies),Mechanical &amp; Aerospace Engineering,Communication &amp; Media Studies,Business &amp; Management,Civil Engineering,Chemistry,Languages, Literature &amp; Linguistics,Chemical Engineering,Sociology,Archaeology,Physics &amp; Astronomy,Economics &amp; Econometrics,History, Philosophy &amp; Theology,Agriculture &amp; Forestry,Education,Other Health,Biological Sciences,Psychology</t>
  </si>
  <si>
    <t>Tezpur University</t>
  </si>
  <si>
    <t>Law,Mathematics &amp; Statistics,Mechanical &amp; Aerospace Engineering,Business &amp; Management,Communication &amp; Media Studies,Languages, Literature &amp; Linguistics,Civil Engineering,Art, Performing Arts &amp; Design,Sociology,Electrical &amp; Electronic Engineering,Geology, Environmental, Earth &amp; Marine Sciences,Physics &amp; Astronomy,Biological Sciences,Accounting &amp; Finance,Computer Science,Education,Chemistry</t>
  </si>
  <si>
    <t>Thammasat University</t>
  </si>
  <si>
    <t>Other Health,History, Philosophy &amp; Theology,Agriculture &amp; Forestry,Accounting &amp; Finance,Mechanical &amp; Aerospace Engineering,Communication &amp; Media Studies,Education,Computer Science,Geology, Environmental, Earth &amp; Marine Sciences,Architecture,Physics &amp; Astronomy,Sociology,General Engineering,Chemistry,Art, Performing Arts &amp; Design,Civil Engineering,Politics &amp; International Studies (incl Development Studies),Psychology,Medicine &amp; Dentistry,Biological Sciences,Law,Languages, Literature &amp; Linguistics,Electrical &amp; Electronic Engineering,Chemical Engineering,Sport Science,Business &amp; Management,Mathematics &amp; Statistics,Economics &amp; Econometrics,Geography</t>
  </si>
  <si>
    <t>Thiagarajar College of Engineering</t>
  </si>
  <si>
    <t>Civil Engineering,Mechanical &amp; Aerospace Engineering,General Engineering,Architecture,Electrical &amp; Electronic Engineering</t>
  </si>
  <si>
    <t>Toho University</t>
  </si>
  <si>
    <t>Physics &amp; Astronomy,Other Health,Medicine &amp; Dentistry,Geology, Environmental, Earth &amp; Marine Sciences,Chemistry,Biological Sciences,Mathematics &amp; Statistics,Computer Science</t>
  </si>
  <si>
    <t>Tokai University</t>
  </si>
  <si>
    <t>Chemical Engineering,Architecture,Biological Sciences,Law,Art, Performing Arts &amp; Design,Politics &amp; International Studies (incl Development Studies),Other Health,Sport Science,Economics &amp; Econometrics,Electrical &amp; Electronic Engineering,Communication &amp; Media Studies,Psychology,History, Philosophy &amp; Theology,Medicine &amp; Dentistry,Physics &amp; Astronomy,Accounting &amp; Finance,Languages, Literature &amp; Linguistics,Mechanical &amp; Aerospace Engineering,Chemistry,Business &amp; Management,Archaeology,Agriculture &amp; Forestry,Geography,Computer Science,Mathematics &amp; Statistics,Civil Engineering,Veterinary Science,Sociology,General Engineering,Geology, Environmental, Earth &amp; Marine Sciences,Education</t>
  </si>
  <si>
    <t>Tokushima University</t>
  </si>
  <si>
    <t>Mechanical &amp; Aerospace Engineering,General Engineering,Civil Engineering,Agriculture &amp; Forestry,Medicine &amp; Dentistry,Languages, Literature &amp; Linguistics,History, Philosophy &amp; Theology,Biological Sciences,Chemical Engineering,Other Health,Art, Performing Arts &amp; Design,Electrical &amp; Electronic Engineering</t>
  </si>
  <si>
    <t>Tokyo University of Marine Science and Technology</t>
  </si>
  <si>
    <t>Mechanical &amp; Aerospace Engineering,Geology, Environmental, Earth &amp; Marine Sciences,Biological Sciences</t>
  </si>
  <si>
    <t>Tokyo University of Science</t>
  </si>
  <si>
    <t>Tokyo University of Science tus rikadai tokyo</t>
  </si>
  <si>
    <t>Mathematics &amp; Statistics,Biological Sciences,Geology, Environmental, Earth &amp; Marine Sciences,Civil Engineering,Architecture,Other Health,Physics &amp; Astronomy,Accounting &amp; Finance,Economics &amp; Econometrics,General Engineering,Mechanical &amp; Aerospace Engineering,Computer Science,Chemical Engineering,Chemistry,Electrical &amp; Electronic Engineering,Business &amp; Management</t>
  </si>
  <si>
    <t>Tomas Bata University in ZlÃ­n</t>
  </si>
  <si>
    <t>Computer Science,Communication &amp; Media Studies,Economics &amp; Econometrics,Mechanical &amp; Aerospace Engineering,Education,Agriculture &amp; Forestry,Other Health,Geology, Environmental, Earth &amp; Marine Sciences,Accounting &amp; Finance,Chemistry,General Engineering,Business &amp; Management,Electrical &amp; Electronic Engineering,Languages, Literature &amp; Linguistics,Chemical Engineering,Art, Performing Arts &amp; Design</t>
  </si>
  <si>
    <t>University of Toyama</t>
  </si>
  <si>
    <t>Economics &amp; Econometrics,Education,Chemistry,Sociology,Languages, Literature &amp; Linguistics,Geography,Politics &amp; International Studies (incl Development Studies),Chemical Engineering,Art, Performing Arts &amp; Design,Other Health,Communication &amp; Media Studies,Civil Engineering,Business &amp; Management,Computer Science,Mathematics &amp; Statistics,Electrical &amp; Electronic Engineering,Accounting &amp; Finance,Medicine &amp; Dentistry,History, Philosophy &amp; Theology,Biological Sciences,Archaeology,Architecture,Mechanical &amp; Aerospace Engineering,Sport Science,General Engineering,Law,Geology, Environmental, Earth &amp; Marine Sciences,Physics &amp; Astronomy,Psychology</t>
  </si>
  <si>
    <t>Transilvania University of BraÈ™ov</t>
  </si>
  <si>
    <t>Computer Science,Mathematics &amp; Statistics,Art, Performing Arts &amp; Design,Communication &amp; Media Studies,Electrical &amp; Electronic Engineering,Accounting &amp; Finance,General Engineering,Languages, Literature &amp; Linguistics,Law,Sociology,Medicine &amp; Dentistry,Sport Science,Mechanical &amp; Aerospace Engineering,Agriculture &amp; Forestry,Business &amp; Management,Civil Engineering,Education,Psychology</t>
  </si>
  <si>
    <t>Tribhuvan University</t>
  </si>
  <si>
    <t>Nepal</t>
  </si>
  <si>
    <t>Other Health,Geology, Environmental, Earth &amp; Marine Sciences,Architecture,Education,Civil Engineering,Chemical Engineering,Law,Mathematics &amp; Statistics,Economics &amp; Econometrics,Electrical &amp; Electronic Engineering,Medicine &amp; Dentistry,Psychology,Art, Performing Arts &amp; Design,Biological Sciences,Computer Science,Mechanical &amp; Aerospace Engineering,Sport Science,Veterinary Science,Accounting &amp; Finance,History, Philosophy &amp; Theology,Agriculture &amp; Forestry,Communication &amp; Media Studies,General Engineering,Archaeology,Physics &amp; Astronomy,Business &amp; Management,Languages, Literature &amp; Linguistics,Sociology,Politics &amp; International Studies (incl Development Studies),Geography,Chemistry</t>
  </si>
  <si>
    <t>Tunghai University</t>
  </si>
  <si>
    <t>Law,Art, Performing Arts &amp; Design,Architecture,Computer Science,Chemistry,Mechanical &amp; Aerospace Engineering,Geology, Environmental, Earth &amp; Marine Sciences,Chemical Engineering,Politics &amp; International Studies (incl Development Studies),History, Philosophy &amp; Theology,Biological Sciences,Languages, Literature &amp; Linguistics,Mathematics &amp; Statistics,Sociology,Electrical &amp; Electronic Engineering,Accounting &amp; Finance,Business &amp; Management,Education,Physics &amp; Astronomy,Sport Science,Economics &amp; Econometrics</t>
  </si>
  <si>
    <t>University of Tunis</t>
  </si>
  <si>
    <t>General Engineering,Education,Art, Performing Arts &amp; Design,Sociology,Electrical &amp; Electronic Engineering,Business &amp; Management,Mechanical &amp; Aerospace Engineering,Physics &amp; Astronomy,Civil Engineering,Economics &amp; Econometrics,Architecture,Geography,History, Philosophy &amp; Theology,Psychology,Computer Science,Communication &amp; Media Studies,Archaeology,Accounting &amp; Finance,Languages, Literature &amp; Linguistics,Mathematics &amp; Statistics</t>
  </si>
  <si>
    <t>Tzu Chi University</t>
  </si>
  <si>
    <t>Tzu Chi University TzuChi Ci Ji</t>
  </si>
  <si>
    <t>History, Philosophy &amp; Theology,Education,Psychology,Communication &amp; Media Studies,Other Health,Biological Sciences,Politics &amp; International Studies (incl Development Studies),Languages, Literature &amp; Linguistics,Computer Science,Sociology,Sport Science,Medicine &amp; Dentistry,Business &amp; Management</t>
  </si>
  <si>
    <t>UNIR â€“ International University of La Rioja</t>
  </si>
  <si>
    <t>History, Philosophy &amp; Theology,Business &amp; Management,General Engineering,Law,Education,Politics &amp; International Studies (incl Development Studies),Computer Science,Economics &amp; Econometrics,Other Health,Accounting &amp; Finance,Languages, Literature &amp; Linguistics,Psychology,Art, Performing Arts &amp; Design,Mathematics &amp; Statistics,Communication &amp; Media Studies</t>
  </si>
  <si>
    <t>Unisinos University</t>
  </si>
  <si>
    <t>Geology, Environmental, Earth &amp; Marine Sciences,Biological Sciences,Education,Law,Civil Engineering,History, Philosophy &amp; Theology,Art, Performing Arts &amp; Design,General Engineering,Electrical &amp; Electronic Engineering,Business &amp; Management,Economics &amp; Econometrics,Computer Science,Other Health,Communication &amp; Media Studies,Medicine &amp; Dentistry,Chemical Engineering,Languages, Literature &amp; Linguistics,Politics &amp; International Studies (incl Development Studies),Sociology,Accounting &amp; Finance,Physics &amp; Astronomy,Sport Science,Psychology,Architecture,Mechanical &amp; Aerospace Engineering,Mathematics &amp; Statistics</t>
  </si>
  <si>
    <t>Universiti Tun Hussein Onn Malaysia (UTHM)</t>
  </si>
  <si>
    <t>Geography,Chemistry,Chemical Engineering,Mathematics &amp; Statistics,Education,Civil Engineering,Agriculture &amp; Forestry,Computer Science,Business &amp; Management,Sociology,Mechanical &amp; Aerospace Engineering,Geology, Environmental, Earth &amp; Marine Sciences,Electrical &amp; Electronic Engineering,Biological Sciences,Architecture,Physics &amp; Astronomy,General Engineering</t>
  </si>
  <si>
    <t>University of Valladolid</t>
  </si>
  <si>
    <t>History, Philosophy &amp; Theology,Mathematics &amp; Statistics,Business &amp; Management,Computer Science,Law,General Engineering,Education,Archaeology,Sport Science,Economics &amp; Econometrics,Medicine &amp; Dentistry,Agriculture &amp; Forestry,Communication &amp; Media Studies,Physics &amp; Astronomy,Accounting &amp; Finance,Mechanical &amp; Aerospace Engineering,Other Health,Politics &amp; International Studies (incl Development Studies),Architecture,Chemical Engineering,Geography,Languages, Literature &amp; Linguistics,Chemistry,Electrical &amp; Electronic Engineering,Sociology</t>
  </si>
  <si>
    <t>Veltech University</t>
  </si>
  <si>
    <t>Veltech University Vel Tech VelTech University Veltech Dr.RR &amp;amp; Dr.SR University</t>
  </si>
  <si>
    <t>Languages, Literature &amp; Linguistics,Business &amp; Management,General Engineering,Accounting &amp; Finance,Computer Science,Chemistry,Communication &amp; Media Studies,Civil Engineering,Physics &amp; Astronomy,Mechanical &amp; Aerospace Engineering,Electrical &amp; Electronic Engineering,Mathematics &amp; Statistics,Law</t>
  </si>
  <si>
    <t>University of Venda</t>
  </si>
  <si>
    <t>Sociology,Law,Computer Science,Accounting &amp; Finance,Communication &amp; Media Studies,Physics &amp; Astronomy,Sport Science,General Engineering,Mathematics &amp; Statistics,Other Health,Politics &amp; International Studies (incl Development Studies),Business &amp; Management,Geology, Environmental, Earth &amp; Marine Sciences,Education,Economics &amp; Econometrics,History, Philosophy &amp; Theology,Geography,Psychology,Agriculture &amp; Forestry,Languages, Literature &amp; Linguistics,Chemistry,Biological Sciences</t>
  </si>
  <si>
    <t>Vietnam National University, Hanoi</t>
  </si>
  <si>
    <t>Vietnam National University, Hanoi VNU</t>
  </si>
  <si>
    <t>Languages, Literature &amp; Linguistics,Mathematics &amp; Statistics,General Engineering,Psychology,Biological Sciences,Civil Engineering,Art, Performing Arts &amp; Design,Sociology,Law,Mechanical &amp; Aerospace Engineering,Computer Science,Politics &amp; International Studies (incl Development Studies),Medicine &amp; Dentistry,Education,Communication &amp; Media Studies,Physics &amp; Astronomy,Chemical Engineering,Economics &amp; Econometrics,Business &amp; Management,Sport Science,Geography,Electrical &amp; Electronic Engineering,History, Philosophy &amp; Theology,Chemistry,Agriculture &amp; Forestry,Accounting &amp; Finance,Geology, Environmental, Earth &amp; Marine Sciences</t>
  </si>
  <si>
    <t>Vilnius Gediminas Technical University (Vilnius Tech)</t>
  </si>
  <si>
    <t>Electrical &amp; Electronic Engineering,Art, Performing Arts &amp; Design,Other Health,Geology, Environmental, Earth &amp; Marine Sciences,Mathematics &amp; Statistics,Chemical Engineering,Mechanical &amp; Aerospace Engineering,Business &amp; Management,Accounting &amp; Finance,General Engineering,Civil Engineering,Economics &amp; Econometrics,Computer Science,Architecture,Physics &amp; Astronomy,Communication &amp; Media Studies</t>
  </si>
  <si>
    <t>Visvesvaraya National Institute of Technology, Nagpur</t>
  </si>
  <si>
    <t>V.N. Karazin Kharkiv National University</t>
  </si>
  <si>
    <t>Biological Sciences,Law,Medicine &amp; Dentistry,Chemistry,Accounting &amp; Finance,Agriculture &amp; Forestry,Sociology,Economics &amp; Econometrics,Other Health,Communication &amp; Media Studies,Archaeology,Physics &amp; Astronomy,Education,Mechanical &amp; Aerospace Engineering,Business &amp; Management,Languages, Literature &amp; Linguistics,Mathematics &amp; Statistics,Psychology,History, Philosophy &amp; Theology,Geology, Environmental, Earth &amp; Marine Sciences,Computer Science,Politics &amp; International Studies (incl Development Studies),Sport Science,Geography</t>
  </si>
  <si>
    <t>Volgograd State University</t>
  </si>
  <si>
    <t>Sociology,Education,Law,Politics &amp; International Studies (incl Development Studies),Mathematics &amp; Statistics,Languages, Literature &amp; Linguistics,General Engineering,Chemical Engineering,Business &amp; Management,Geology, Environmental, Earth &amp; Marine Sciences,Biological Sciences,Geography,Accounting &amp; Finance,Computer Science,Electrical &amp; Electronic Engineering,Economics &amp; Econometrics,History, Philosophy &amp; Theology,Psychology,Architecture,Communication &amp; Media Studies,Physics &amp; Astronomy</t>
  </si>
  <si>
    <t>VSB - Technical University of Ostrava</t>
  </si>
  <si>
    <t>Mechanical &amp; Aerospace Engineering,Accounting &amp; Finance,Civil Engineering,Architecture,Physics &amp; Astronomy,Chemical Engineering,Mathematics &amp; Statistics,Economics &amp; Econometrics,General Engineering,Computer Science,Chemistry,Electrical &amp; Electronic Engineering,Business &amp; Management,Geology, Environmental, Earth &amp; Marine Sciences</t>
  </si>
  <si>
    <t>Vytautas Magnus University</t>
  </si>
  <si>
    <t>Education,History, Philosophy &amp; Theology,Agriculture &amp; Forestry,Psychology,Law,Sociology,Languages, Literature &amp; Linguistics,General Engineering,Architecture,Communication &amp; Media Studies,Computer Science,Politics &amp; International Studies (incl Development Studies),Biological Sciences,Business &amp; Management,Art, Performing Arts &amp; Design,Economics &amp; Econometrics,Accounting &amp; Finance,Mathematics &amp; Statistics</t>
  </si>
  <si>
    <t>Walailak University</t>
  </si>
  <si>
    <t>Walailak University Walailak University Thailand</t>
  </si>
  <si>
    <t>Architecture,Veterinary Science,Politics &amp; International Studies (incl Development Studies),Agriculture &amp; Forestry,Communication &amp; Media Studies,Civil Engineering,Business &amp; Management,Mechanical &amp; Aerospace Engineering,Law,Languages, Literature &amp; Linguistics,Biological Sciences,Chemical Engineering,Geology, Environmental, Earth &amp; Marine Sciences,Electrical &amp; Electronic Engineering,Chemistry,Economics &amp; Econometrics,Medicine &amp; Dentistry,Sport Science,Other Health,Mathematics &amp; Statistics,Computer Science,Physics &amp; Astronomy,Accounting &amp; Finance</t>
  </si>
  <si>
    <t>Warsaw University of Life Sciences â€“ SGGW</t>
  </si>
  <si>
    <t>Computer Science,Other Health,Agriculture &amp; Forestry,Biological Sciences,General Engineering,Accounting &amp; Finance,Veterinary Science,Economics &amp; Econometrics,Civil Engineering,Sociology,Architecture,Education,Business &amp; Management</t>
  </si>
  <si>
    <t>Warsaw University of Technology</t>
  </si>
  <si>
    <t>Chemistry,General Engineering,Civil Engineering,Mathematics &amp; Statistics,Business &amp; Management,Physics &amp; Astronomy,Electrical &amp; Electronic Engineering,Mechanical &amp; Aerospace Engineering,Economics &amp; Econometrics,Computer Science,Chemical Engineering,Architecture,Geology, Environmental, Earth &amp; Marine Sciences</t>
  </si>
  <si>
    <t>University of West Bohemia</t>
  </si>
  <si>
    <t>Architecture,Sociology,General Engineering,Biological Sciences,Accounting &amp; Finance,Languages, Literature &amp; Linguistics,Sport Science,Economics &amp; Econometrics,Other Health,Geology, Environmental, Earth &amp; Marine Sciences,Business &amp; Management,Electrical &amp; Electronic Engineering,Politics &amp; International Studies (incl Development Studies),Civil Engineering,Law,Art, Performing Arts &amp; Design,Mechanical &amp; Aerospace Engineering,Communication &amp; Media Studies,Computer Science,Mathematics &amp; Statistics,Geography,History, Philosophy &amp; Theology,Chemistry,Psychology,Archaeology,Physics &amp; Astronomy,Education</t>
  </si>
  <si>
    <t>University of Western Macedonia</t>
  </si>
  <si>
    <t>Art, Performing Arts &amp; Design,Electrical &amp; Electronic Engineering,Accounting &amp; Finance,Agriculture &amp; Forestry,Geology, Environmental, Earth &amp; Marine Sciences,Mathematics &amp; Statistics,Computer Science,Communication &amp; Media Studies,General Engineering,Business &amp; Management,Mechanical &amp; Aerospace Engineering,Other Health,Psychology,Chemical Engineering,Economics &amp; Econometrics,Education</t>
  </si>
  <si>
    <t>West University of TimiÅŸoara</t>
  </si>
  <si>
    <t>Sport Science,Geography,Communication &amp; Media Studies,History, Philosophy &amp; Theology,Geology, Environmental, Earth &amp; Marine Sciences,Accounting &amp; Finance,Physics &amp; Astronomy,Business &amp; Management,Art, Performing Arts &amp; Design,Politics &amp; International Studies (incl Development Studies),Languages, Literature &amp; Linguistics,Chemistry,Economics &amp; Econometrics,Mathematics &amp; Statistics,Education,Biological Sciences,Law,Archaeology,Computer Science,Psychology,Other Health,Sociology</t>
  </si>
  <si>
    <t>WrocÅ‚aw University of Environmental and Life Sciences</t>
  </si>
  <si>
    <t>Geology, Environmental, Earth &amp; Marine Sciences,Veterinary Science,Biological Sciences,Agriculture &amp; Forestry,Geography,Civil Engineering,Mechanical &amp; Aerospace Engineering</t>
  </si>
  <si>
    <t>WrocÅ‚aw University of Science and Technology</t>
  </si>
  <si>
    <t>Business &amp; Management,General Engineering,Architecture,Mathematics &amp; Statistics,Chemistry,Physics &amp; Astronomy,Geology, Environmental, Earth &amp; Marine Sciences,Civil Engineering,Medicine &amp; Dentistry,Electrical &amp; Electronic Engineering,Computer Science,Other Health,Chemical Engineering,Biological Sciences,Mechanical &amp; Aerospace Engineering</t>
  </si>
  <si>
    <t>Wuhan Textile University</t>
  </si>
  <si>
    <t>Languages, Literature &amp; Linguistics,Sociology,Electrical &amp; Electronic Engineering,General Engineering,Computer Science,Art, Performing Arts &amp; Design,Geology, Environmental, Earth &amp; Marine Sciences,Chemical Engineering,Economics &amp; Econometrics,Business &amp; Management,Communication &amp; Media Studies</t>
  </si>
  <si>
    <t>Xiangtan University</t>
  </si>
  <si>
    <t>History, Philosophy &amp; Theology,Chemistry,Economics &amp; Econometrics,Art, Performing Arts &amp; Design,Physics &amp; Astronomy,Sociology,Mechanical &amp; Aerospace Engineering,Communication &amp; Media Studies,Civil Engineering,Accounting &amp; Finance,Electrical &amp; Electronic Engineering,Chemical Engineering,Languages, Literature &amp; Linguistics,Politics &amp; International Studies (incl Development Studies),General Engineering,Geology, Environmental, Earth &amp; Marine Sciences,Business &amp; Management,Mathematics &amp; Statistics,Law,Computer Science</t>
  </si>
  <si>
    <t>Xuzhou Medical University</t>
  </si>
  <si>
    <t>Medicine &amp; Dentistry,Other Health,Computer Science,Biological Sciences</t>
  </si>
  <si>
    <t>Yamagata University</t>
  </si>
  <si>
    <t>Sociology,Law,Electrical &amp; Electronic Engineering,Geology, Environmental, Earth &amp; Marine Sciences,Archaeology,Geography,Politics &amp; International Studies (incl Development Studies),Sport Science,Medicine &amp; Dentistry,Art, Performing Arts &amp; Design,Education,Economics &amp; Econometrics,Communication &amp; Media Studies,Computer Science,Psychology,Agriculture &amp; Forestry,Mathematics &amp; Statistics,Languages, Literature &amp; Linguistics,Architecture,Business &amp; Management,Chemical Engineering,General Engineering,Other Health,Physics &amp; Astronomy,Accounting &amp; Finance,Civil Engineering,Chemistry,Mechanical &amp; Aerospace Engineering,Biological Sciences,History, Philosophy &amp; Theology</t>
  </si>
  <si>
    <t>Yamaguchi University</t>
  </si>
  <si>
    <t>Geology, Environmental, Earth &amp; Marine Sciences,Chemistry,Medicine &amp; Dentistry,Politics &amp; International Studies (incl Development Studies),Art, Performing Arts &amp; Design,Civil Engineering,Archaeology,Business &amp; Management,Other Health,Mechanical &amp; Aerospace Engineering,History, Philosophy &amp; Theology,Sociology,Physics &amp; Astronomy,Mathematics &amp; Statistics,Education,Economics &amp; Econometrics,Languages, Literature &amp; Linguistics,Electrical &amp; Electronic Engineering,Law,Accounting &amp; Finance,Biological Sciences,Psychology,Geography,Communication &amp; Media Studies,Veterinary Science,Sport Science,Chemical Engineering,General Engineering,Agriculture &amp; Forestry,Computer Science</t>
  </si>
  <si>
    <t>University of Yamanashi</t>
  </si>
  <si>
    <t>Mathematics &amp; Statistics,Biological Sciences,Chemistry,Education,Psychology,Physics &amp; Astronomy,Other Health,Computer Science,Medicine &amp; Dentistry,General Engineering,Civil Engineering,History, Philosophy &amp; Theology,Business &amp; Management,Languages, Literature &amp; Linguistics,Mechanical &amp; Aerospace Engineering,Politics &amp; International Studies (incl Development Studies),Agriculture &amp; Forestry,Economics &amp; Econometrics,Art, Performing Arts &amp; Design,Chemical Engineering,Electrical &amp; Electronic Engineering,Geography,Geology, Environmental, Earth &amp; Marine Sciences</t>
  </si>
  <si>
    <t>Yarmouk University</t>
  </si>
  <si>
    <t>Geology, Environmental, Earth &amp; Marine Sciences,General Engineering,Mechanical &amp; Aerospace Engineering,Geography,Art, Performing Arts &amp; Design,Politics &amp; International Studies (incl Development Studies),Archaeology,Sociology,History, Philosophy &amp; Theology,Civil Engineering,Sport Science,Business &amp; Management,Accounting &amp; Finance,Biological Sciences,Electrical &amp; Electronic Engineering,Other Health,Architecture,Communication &amp; Media Studies,Law,Chemistry,Languages, Literature &amp; Linguistics,Computer Science,Mathematics &amp; Statistics,Psychology,Physics &amp; Astronomy,Economics &amp; Econometrics,Medicine &amp; Dentistry,Education</t>
  </si>
  <si>
    <t>Yasouj University</t>
  </si>
  <si>
    <t>Geography,Mathematics &amp; Statistics,Mechanical &amp; Aerospace Engineering,Politics &amp; International Studies (incl Development Studies),History, Philosophy &amp; Theology,Sociology,Electrical &amp; Electronic Engineering,Economics &amp; Econometrics,Psychology,Computer Science,Chemical Engineering,Law,Languages, Literature &amp; Linguistics,Chemistry,General Engineering,Physics &amp; Astronomy,Agriculture &amp; Forestry,Education,Civil Engineering,Biological Sciences</t>
  </si>
  <si>
    <t>Yokohama National University</t>
  </si>
  <si>
    <t>Electrical &amp; Electronic Engineering,Languages, Literature &amp; Linguistics,General Engineering,Geology, Environmental, Earth &amp; Marine Sciences,Sport Science,Biological Sciences,Economics &amp; Econometrics,Mathematics &amp; Statistics,Business &amp; Management,Agriculture &amp; Forestry,Art, Performing Arts &amp; Design,History, Philosophy &amp; Theology,Accounting &amp; Finance,Law,Computer Science,Communication &amp; Media Studies,Education,Physics &amp; Astronomy,Mechanical &amp; Aerospace Engineering,Civil Engineering,Psychology,Chemistry,Sociology,Architecture,Geography,Chemical Engineering,Politics &amp; International Studies (incl Development Studies)</t>
  </si>
  <si>
    <t>Yuan Ze University</t>
  </si>
  <si>
    <t>Art, Performing Arts &amp; Design,Biological Sciences,General Engineering,Languages, Literature &amp; Linguistics,Business &amp; Management,Computer Science,Accounting &amp; Finance,Mechanical &amp; Aerospace Engineering,Other Health,Sociology,Communication &amp; Media Studies,Chemical Engineering,Electrical &amp; Electronic Engineering</t>
  </si>
  <si>
    <t>Yuriy Fedkovych Chernivtsi National University</t>
  </si>
  <si>
    <t>History, Philosophy &amp; Theology,Mathematics &amp; Statistics,Psychology,Archaeology,Sport Science,Business &amp; Management,Geology, Environmental, Earth &amp; Marine Sciences,Computer Science,Chemistry,Accounting &amp; Finance,Art, Performing Arts &amp; Design,Agriculture &amp; Forestry,Sociology,Languages, Literature &amp; Linguistics,Biological Sciences,Law,Electrical &amp; Electronic Engineering,Geography,General Engineering,Politics &amp; International Studies (incl Development Studies),Architecture,Physics &amp; Astronomy,Economics &amp; Econometrics,Civil Engineering,Education</t>
  </si>
  <si>
    <t>University of Zambia</t>
  </si>
  <si>
    <t>Zambia</t>
  </si>
  <si>
    <t>Art, Performing Arts &amp; Design,Law,Economics &amp; Econometrics,Veterinary Science,Geology, Environmental, Earth &amp; Marine Sciences,History, Philosophy &amp; Theology,Physics &amp; Astronomy,Geography,Chemistry,Accounting &amp; Finance,Psychology,Biological Sciences,Mechanical &amp; Aerospace Engineering,Electrical &amp; Electronic Engineering,Computer Science,Communication &amp; Media Studies,Other Health,Civil Engineering,Business &amp; Management,Languages, Literature &amp; Linguistics,Education,Mathematics &amp; Statistics,Medicine &amp; Dentistry,Sport Science,Sociology,Agriculture &amp; Forestry,General Engineering,Politics &amp; International Studies (incl Development Studies)</t>
  </si>
  <si>
    <t>University of Zanjan</t>
  </si>
  <si>
    <t>Architecture,Chemistry,Mechanical &amp; Aerospace Engineering,Mathematics &amp; Statistics,History, Philosophy &amp; Theology,Biological Sciences,Electrical &amp; Electronic Engineering,Geology, Environmental, Earth &amp; Marine Sciences,Chemical Engineering,Law,Civil Engineering,Agriculture &amp; Forestry,Business &amp; Management,Computer Science,Physics &amp; Astronomy,Sport Science,Art, Performing Arts &amp; Design,Geography,Economics &amp; Econometrics,Languages, Literature &amp; Linguistics,Psychology,Accounting &amp; Finance</t>
  </si>
  <si>
    <t>Zanjan University of Medical Sciences</t>
  </si>
  <si>
    <t>Other Health,Psychology,Geology, Environmental, Earth &amp; Marine Sciences,Medicine &amp; Dentistry,Chemistry,Biological Sciences,Chemical Engineering</t>
  </si>
  <si>
    <t>Zhejiang Chinese Medical University</t>
  </si>
  <si>
    <t>Computer Science,Other Health,Business &amp; Management,Medicine &amp; Dentistry,History, Philosophy &amp; Theology,Biological Sciences</t>
  </si>
  <si>
    <t>University of Zimbabwe</t>
  </si>
  <si>
    <t>Zimbabwe</t>
  </si>
  <si>
    <t>Business &amp; Management,Mathematics &amp; Statistics,General Engineering,Civil Engineering,Education,Mechanical &amp; Aerospace Engineering,Physics &amp; Astronomy,Geology, Environmental, Earth &amp; Marine Sciences,Medicine &amp; Dentistry,Other Health,Art, Performing Arts &amp; Design,Biological Sciences,Computer Science,Chemistry,Accounting &amp; Finance,Psychology,Economics &amp; Econometrics,Communication &amp; Media Studies,Archaeology,Languages, Literature &amp; Linguistics,Geography,Chemical Engineering,Electrical &amp; Electronic Engineering,Veterinary Science,Politics &amp; International Studies (incl Development Studies),History, Philosophy &amp; Theology,Agriculture &amp; Forestry,Architecture,Sociology,Law</t>
  </si>
  <si>
    <t>1501+</t>
  </si>
  <si>
    <t>UniversitÃ© 8 Mai 1945 Guelma</t>
  </si>
  <si>
    <t>9.7â€“22.7</t>
  </si>
  <si>
    <t>Psychology,Communication &amp; Media Studies,Physics &amp; Astronomy,Architecture,Mechanical &amp; Aerospace Engineering,Biological Sciences,Languages, Literature &amp; Linguistics,Economics &amp; Econometrics,Chemical Engineering,History, Philosophy &amp; Theology,Computer Science,Law,Agriculture &amp; Forestry,Mathematics &amp; Statistics,General Engineering,Art, Performing Arts &amp; Design,Civil Engineering,Accounting &amp; Finance,Electrical &amp; Electronic Engineering,Sociology,Chemistry,Geology, Environmental, Earth &amp; Marine Sciences,Archaeology,Business &amp; Management</t>
  </si>
  <si>
    <t>University Abdelhamid Ibn Badis Mostaganem</t>
  </si>
  <si>
    <t>General Engineering,Civil Engineering,Business &amp; Management,Biological Sciences,Art, Performing Arts &amp; Design,Chemistry,Economics &amp; Econometrics,Law,Sport Science,Languages, Literature &amp; Linguistics,Communication &amp; Media Studies,Accounting &amp; Finance,Computer Science,Electrical &amp; Electronic Engineering,Sociology,Psychology,Mathematics &amp; Statistics,Architecture,Agriculture &amp; Forestry</t>
  </si>
  <si>
    <t>Abdelmalek EssaÃ¢di University</t>
  </si>
  <si>
    <t>General Engineering,Chemistry,Law,Business &amp; Management,Mathematics &amp; Statistics,Geography,Chemical Engineering,History, Philosophy &amp; Theology,Mechanical &amp; Aerospace Engineering,Sport Science,Communication &amp; Media Studies,Medicine &amp; Dentistry,Agriculture &amp; Forestry,Computer Science,Electrical &amp; Electronic Engineering,Politics &amp; International Studies (incl Development Studies),Physics &amp; Astronomy,Sociology,Art, Performing Arts &amp; Design,Civil Engineering,Economics &amp; Econometrics,Languages, Literature &amp; Linguistics,Biological Sciences,Geology, Environmental, Earth &amp; Marine Sciences,Education,Accounting &amp; Finance</t>
  </si>
  <si>
    <t>University of Abou Bekr BelkaÃ¯d Tlemcen</t>
  </si>
  <si>
    <t>Languages, Literature &amp; Linguistics,Biological Sciences,Business &amp; Management,Electrical &amp; Electronic Engineering,Chemistry,Art, Performing Arts &amp; Design,Civil Engineering,Mathematics &amp; Statistics,Accounting &amp; Finance,Agriculture &amp; Forestry,Veterinary Science,Mechanical &amp; Aerospace Engineering,Psychology,Archaeology,Sociology,Economics &amp; Econometrics,General Engineering,Education,History, Philosophy &amp; Theology,Physics &amp; Astronomy,Computer Science,Politics &amp; International Studies (incl Development Studies),Chemical Engineering,Law</t>
  </si>
  <si>
    <t>AcÄ±badem University</t>
  </si>
  <si>
    <t>Biological Sciences,Sociology,Other Health,Medicine &amp; Dentistry,General Engineering,Psychology</t>
  </si>
  <si>
    <t>Adelphi University</t>
  </si>
  <si>
    <t>Education,Languages, Literature &amp; Linguistics,Biological Sciences,Geology, Environmental, Earth &amp; Marine Sciences,Politics &amp; International Studies (incl Development Studies),Art, Performing Arts &amp; Design,Communication &amp; Media Studies,Physics &amp; Astronomy,Other Health,Computer Science,Sociology,Veterinary Science,Business &amp; Management,Accounting &amp; Finance,Law,Economics &amp; Econometrics,Chemistry,Medicine &amp; Dentistry,Mathematics &amp; Statistics,History, Philosophy &amp; Theology,Psychology,General Engineering,Sport Science</t>
  </si>
  <si>
    <t>Afe Babalola University</t>
  </si>
  <si>
    <t>Mathematics &amp; Statistics,Medicine &amp; Dentistry,Biological Sciences,Business &amp; Management,Other Health,Agriculture &amp; Forestry,Accounting &amp; Finance,Languages, Literature &amp; Linguistics,Electrical &amp; Electronic Engineering,Communication &amp; Media Studies,Chemical Engineering,Law,Sport Science,Art, Performing Arts &amp; Design,General Engineering,Geology, Environmental, Earth &amp; Marine Sciences,Computer Science,Physics &amp; Astronomy,Sociology,Mechanical &amp; Aerospace Engineering,Chemistry,Architecture,Civil Engineering,Economics &amp; Econometrics,Politics &amp; International Studies (incl Development Studies)</t>
  </si>
  <si>
    <t>Akita University</t>
  </si>
  <si>
    <t>Medicine &amp; Dentistry,Biological Sciences,Chemical Engineering,Sociology,Mathematics &amp; Statistics,Computer Science,Languages, Literature &amp; Linguistics,Electrical &amp; Electronic Engineering,Civil Engineering,Education,Economics &amp; Econometrics,Chemistry,Mechanical &amp; Aerospace Engineering,Accounting &amp; Finance,Geology, Environmental, Earth &amp; Marine Sciences,Politics &amp; International Studies (incl Development Studies)</t>
  </si>
  <si>
    <t>Aksaray University</t>
  </si>
  <si>
    <t>Computer Science,Veterinary Science,Psychology,Electrical &amp; Electronic Engineering,Chemistry,Law,Languages, Literature &amp; Linguistics,Civil Engineering,Geology, Environmental, Earth &amp; Marine Sciences,Other Health,Mathematics &amp; Statistics,Communication &amp; Media Studies,Mechanical &amp; Aerospace Engineering,Politics &amp; International Studies (incl Development Studies),Economics &amp; Econometrics,Art, Performing Arts &amp; Design,Medicine &amp; Dentistry,Chemical Engineering,Geography,Archaeology,Physics &amp; Astronomy,Education,General Engineering,Agriculture &amp; Forestry,Accounting &amp; Finance,History, Philosophy &amp; Theology,Biological Sciences,Sociology,Architecture,Sport Science,Business &amp; Management</t>
  </si>
  <si>
    <t>Alexandru Ioan Cuza University</t>
  </si>
  <si>
    <t>Economics &amp; Econometrics,Psychology,Languages, Literature &amp; Linguistics,Geography,Chemistry,Communication &amp; Media Studies,Politics &amp; International Studies (incl Development Studies),Accounting &amp; Finance,Archaeology,Biological Sciences,Sociology,Geology, Environmental, Earth &amp; Marine Sciences,Computer Science,Education,Mathematics &amp; Statistics,Business &amp; Management,Law,Physics &amp; Astronomy,History, Philosophy &amp; Theology,Sport Science</t>
  </si>
  <si>
    <t>Altai State University</t>
  </si>
  <si>
    <t>Agriculture &amp; Forestry,Communication &amp; Media Studies,Languages, Literature &amp; Linguistics,Mathematics &amp; Statistics,Archaeology,Physics &amp; Astronomy,Business &amp; Management,Computer Science,Geography,Electrical &amp; Electronic Engineering,Education,Civil Engineering,Chemistry,Accounting &amp; Finance,Chemical Engineering,Politics &amp; International Studies (incl Development Studies),History, Philosophy &amp; Theology,Sport Science,Law,Economics &amp; Econometrics,Art, Performing Arts &amp; Design,Biological Sciences,Sociology,General Engineering,Geology, Environmental, Earth &amp; Marine Sciences</t>
  </si>
  <si>
    <t>Alzahra University</t>
  </si>
  <si>
    <t>Sport Science,Mechanical &amp; Aerospace Engineering,Languages, Literature &amp; Linguistics,Sociology,Chemistry,Education,Computer Science,Mathematics &amp; Statistics,Business &amp; Management,Economics &amp; Econometrics,Biological Sciences,Art, Performing Arts &amp; Design,Law,Physics &amp; Astronomy,Electrical &amp; Electronic Engineering,Accounting &amp; Finance,History, Philosophy &amp; Theology,Psychology,Civil Engineering</t>
  </si>
  <si>
    <t>University of Anbar</t>
  </si>
  <si>
    <t>Sport Science,Economics &amp; Econometrics,Biological Sciences,Computer Science,Electrical &amp; Electronic Engineering,Languages, Literature &amp; Linguistics,Civil Engineering,Geography,Geology, Environmental, Earth &amp; Marine Sciences,Mechanical &amp; Aerospace Engineering,Politics &amp; International Studies (incl Development Studies),Law,Agriculture &amp; Forestry,Communication &amp; Media Studies,Chemical Engineering,General Engineering,Medicine &amp; Dentistry,Accounting &amp; Finance,Education,Mathematics &amp; Statistics,History, Philosophy &amp; Theology,Business &amp; Management,Chemistry,Physics &amp; Astronomy</t>
  </si>
  <si>
    <t>Universitas Andalas</t>
  </si>
  <si>
    <t>Universitas Andalas UNAND Universitas Andalas</t>
  </si>
  <si>
    <t>Veterinary Science,Accounting &amp; Finance,Agriculture &amp; Forestry,Economics &amp; Econometrics,Medicine &amp; Dentistry,Chemistry,Electrical &amp; Electronic Engineering,Communication &amp; Media Studies,Law,Mechanical &amp; Aerospace Engineering,Politics &amp; International Studies (incl Development Studies),General Engineering,Architecture,Biological Sciences,Computer Science,Physics &amp; Astronomy,History, Philosophy &amp; Theology,Mathematics &amp; Statistics,Other Health,Geology, Environmental, Earth &amp; Marine Sciences,Languages, Literature &amp; Linguistics,Civil Engineering,Sociology,Business &amp; Management</t>
  </si>
  <si>
    <t>University of the Andes, Venezuela</t>
  </si>
  <si>
    <t>Venezuela</t>
  </si>
  <si>
    <t>Architecture,Mathematics &amp; Statistics,Education,History, Philosophy &amp; Theology,Biological Sciences,Economics &amp; Econometrics,Mechanical &amp; Aerospace Engineering,Sport Science,Business &amp; Management,Politics &amp; International Studies (incl Development Studies),General Engineering,Other Health,Geology, Environmental, Earth &amp; Marine Sciences,Medicine &amp; Dentistry,Physics &amp; Astronomy,Law,Computer Science,Agriculture &amp; Forestry,Accounting &amp; Finance,Languages, Literature &amp; Linguistics,Chemical Engineering,Geography,Art, Performing Arts &amp; Design,Civil Engineering,Communication &amp; Media Studies,Electrical &amp; Electronic Engineering,Chemistry,Psychology</t>
  </si>
  <si>
    <t>Andhra University</t>
  </si>
  <si>
    <t>Art, Performing Arts &amp; Design,Physics &amp; Astronomy,Psychology,History, Philosophy &amp; Theology,Sport Science,Accounting &amp; Finance,Other Health,Biological Sciences,Law,General Engineering,Mathematics &amp; Statistics,Education,Computer Science,Politics &amp; International Studies (incl Development Studies),Civil Engineering,Sociology,Architecture,Chemistry,Business &amp; Management,Electrical &amp; Electronic Engineering,Geography,Languages, Literature &amp; Linguistics,Chemical Engineering,Geology, Environmental, Earth &amp; Marine Sciences,Mechanical &amp; Aerospace Engineering,Communication &amp; Media Studies</t>
  </si>
  <si>
    <t>Universidad AndrÃ©s Bello (UNAB)</t>
  </si>
  <si>
    <t>Sociology,Sport Science,Geology, Environmental, Earth &amp; Marine Sciences,Civil Engineering,Art, Performing Arts &amp; Design,Computer Science,Economics &amp; Econometrics,Other Health,Physics &amp; Astronomy,Communication &amp; Media Studies,Accounting &amp; Finance,Languages, Literature &amp; Linguistics,Veterinary Science,Medicine &amp; Dentistry,History, Philosophy &amp; Theology,Business &amp; Management,Biological Sciences,General Engineering,Architecture,Law,Chemistry,Psychology,Education</t>
  </si>
  <si>
    <t>Ankara University</t>
  </si>
  <si>
    <t>Accounting &amp; Finance,Other Health,Education,Electrical &amp; Electronic Engineering,Communication &amp; Media Studies,Languages, Literature &amp; Linguistics,Agriculture &amp; Forestry,Art, Performing Arts &amp; Design,Veterinary Science,General Engineering,Law,Medicine &amp; Dentistry,Physics &amp; Astronomy,Geography,History, Philosophy &amp; Theology,Chemistry,Sociology,Archaeology,Sport Science,Economics &amp; Econometrics,Mechanical &amp; Aerospace Engineering,Computer Science,Business &amp; Management,Biological Sciences,Geology, Environmental, Earth &amp; Marine Sciences,Architecture,Mathematics &amp; Statistics,Civil Engineering,Politics &amp; International Studies (incl Development Studies),Chemical Engineering,Psychology</t>
  </si>
  <si>
    <t>Ankara Yildirim Beyazit University</t>
  </si>
  <si>
    <t>Sport Science,Mechanical &amp; Aerospace Engineering,Other Health,Architecture,Law,Sociology,Medicine &amp; Dentistry,Computer Science,Archaeology,General Engineering,Civil Engineering,Electrical &amp; Electronic Engineering,Art, Performing Arts &amp; Design,Languages, Literature &amp; Linguistics,Politics &amp; International Studies (incl Development Studies),Mathematics &amp; Statistics,Psychology,Communication &amp; Media Studies,Economics &amp; Econometrics,Business &amp; Management,History, Philosophy &amp; Theology,Accounting &amp; Finance</t>
  </si>
  <si>
    <t>Annamalai University</t>
  </si>
  <si>
    <t>Electrical &amp; Electronic Engineering,Mathematics &amp; Statistics,General Engineering,Business &amp; Management,Chemistry,Veterinary Science,Accounting &amp; Finance,Geology, Environmental, Earth &amp; Marine Sciences,Agriculture &amp; Forestry,Sport Science,Mechanical &amp; Aerospace Engineering,Sociology,Other Health,Psychology,Art, Performing Arts &amp; Design,Computer Science,Politics &amp; International Studies (incl Development Studies),Education,Chemical Engineering,Economics &amp; Econometrics,Medicine &amp; Dentistry,Physics &amp; Astronomy,Languages, Literature &amp; Linguistics,History, Philosophy &amp; Theology,Biological Sciences,Civil Engineering</t>
  </si>
  <si>
    <t>Antonio NariÃ±o University</t>
  </si>
  <si>
    <t>Antonio NariÃ±o University UAN Universidad Antonio NariÃ±o</t>
  </si>
  <si>
    <t>Other Health,Law,Electrical &amp; Electronic Engineering,Psychology,Art, Performing Arts &amp; Design,General Engineering,Physics &amp; Astronomy,Mathematics &amp; Statistics,Biological Sciences,Geology, Environmental, Earth &amp; Marine Sciences,Architecture,Veterinary Science,Economics &amp; Econometrics,Medicine &amp; Dentistry,Business &amp; Management,Computer Science,Education,Civil Engineering,Mechanical &amp; Aerospace Engineering,Accounting &amp; Finance</t>
  </si>
  <si>
    <t>Aoyama Gakuin University</t>
  </si>
  <si>
    <t>Chemical Engineering,Biological Sciences,Physics &amp; Astronomy,Sport Science,General Engineering,Computer Science,Geography,Education,Mechanical &amp; Aerospace Engineering,History, Philosophy &amp; Theology,Economics &amp; Econometrics,Communication &amp; Media Studies,Psychology,Art, Performing Arts &amp; Design,Mathematics &amp; Statistics,Chemistry,Politics &amp; International Studies (incl Development Studies),Sociology,Law,Geology, Environmental, Earth &amp; Marine Sciences,Electrical &amp; Electronic Engineering,Archaeology,Business &amp; Management,Accounting &amp; Finance,Languages, Literature &amp; Linguistics</t>
  </si>
  <si>
    <t>Arak University</t>
  </si>
  <si>
    <t>Computer Science,Physics &amp; Astronomy,Languages, Literature &amp; Linguistics,Mathematics &amp; Statistics,Education,Electrical &amp; Electronic Engineering,Chemistry,History, Philosophy &amp; Theology,Agriculture &amp; Forestry,Civil Engineering,Sociology,Art, Performing Arts &amp; Design,Biological Sciences,Business &amp; Management,General Engineering,Politics &amp; International Studies (incl Development Studies),Mechanical &amp; Aerospace Engineering,Law,Chemical Engineering,Psychology,Sport Science</t>
  </si>
  <si>
    <t>Universidad AutÃ³noma de Ciudad JuÃ¡rez</t>
  </si>
  <si>
    <t>History, Philosophy &amp; Theology,General Engineering,Physics &amp; Astronomy,Economics &amp; Econometrics,Agriculture &amp; Forestry,Sociology,Other Health,Veterinary Science,Education,Languages, Literature &amp; Linguistics,Mechanical &amp; Aerospace Engineering,Geology, Environmental, Earth &amp; Marine Sciences,Medicine &amp; Dentistry,Sport Science,Accounting &amp; Finance,Civil Engineering,Communication &amp; Media Studies,Art, Performing Arts &amp; Design,Electrical &amp; Electronic Engineering,Mathematics &amp; Statistics,Business &amp; Management,Architecture,Biological Sciences,Law,Chemical Engineering,Politics &amp; International Studies (incl Development Studies),Computer Science,Chemistry,Psychology</t>
  </si>
  <si>
    <t>Universidad AutÃ³noma de Coahuila</t>
  </si>
  <si>
    <t>Accounting &amp; Finance,Electrical &amp; Electronic Engineering,Education,Business &amp; Management,Sociology,Economics &amp; Econometrics,Biological Sciences,Psychology,Mechanical &amp; Aerospace Engineering,Art, Performing Arts &amp; Design,Chemical Engineering,Communication &amp; Media Studies,Architecture,Mathematics &amp; Statistics,Computer Science,General Engineering,Civil Engineering,Chemistry,Medicine &amp; Dentistry,Politics &amp; International Studies (incl Development Studies),Other Health,Geology, Environmental, Earth &amp; Marine Sciences,Law,Physics &amp; Astronomy,History, Philosophy &amp; Theology,Languages, Literature &amp; Linguistics</t>
  </si>
  <si>
    <t>Universidad AutÃ³noma del Estado de Hidalgo</t>
  </si>
  <si>
    <t>Other Health,Chemistry,Medicine &amp; Dentistry,Veterinary Science,Psychology,Computer Science,Mathematics &amp; Statistics,Accounting &amp; Finance,Languages, Literature &amp; Linguistics,Biological Sciences,Business &amp; Management,Mechanical &amp; Aerospace Engineering,Physics &amp; Astronomy,Education,History, Philosophy &amp; Theology,Chemical Engineering,Sociology,Architecture,Civil Engineering,Law,General Engineering,Communication &amp; Media Studies,Art, Performing Arts &amp; Design,Agriculture &amp; Forestry,Politics &amp; International Studies (incl Development Studies),Economics &amp; Econometrics,Electrical &amp; Electronic Engineering,Geology, Environmental, Earth &amp; Marine Sciences</t>
  </si>
  <si>
    <t>Universidad AutÃ³noma del Estado de Mexico (UAEMex)</t>
  </si>
  <si>
    <t>Civil Engineering,Electrical &amp; Electronic Engineering,Sport Science,Chemistry,Geography,Agriculture &amp; Forestry,Other Health,Psychology,History, Philosophy &amp; Theology,Archaeology,Sociology,Physics &amp; Astronomy,Veterinary Science,Business &amp; Management,Mechanical &amp; Aerospace Engineering,Communication &amp; Media Studies,Biological Sciences,Politics &amp; International Studies (incl Development Studies),Education,Architecture,Economics &amp; Econometrics,Art, Performing Arts &amp; Design,Law,Mathematics &amp; Statistics,Medicine &amp; Dentistry,Accounting &amp; Finance,Geology, Environmental, Earth &amp; Marine Sciences,Chemical Engineering,Languages, Literature &amp; Linguistics,General Engineering,Computer Science</t>
  </si>
  <si>
    <t>Universidad AutÃ³noma del Estado de Morelos</t>
  </si>
  <si>
    <t>Business &amp; Management,Languages, Literature &amp; Linguistics,Law,Electrical &amp; Electronic Engineering,Education,Chemical Engineering,Agriculture &amp; Forestry,History, Philosophy &amp; Theology,Architecture,Biological Sciences,Chemistry,Physics &amp; Astronomy,General Engineering,Art, Performing Arts &amp; Design,Medicine &amp; Dentistry,Psychology,Computer Science,Sport Science,Other Health,Geology, Environmental, Earth &amp; Marine Sciences,Accounting &amp; Finance,Mathematics &amp; Statistics,Economics &amp; Econometrics</t>
  </si>
  <si>
    <t>Universidad AutÃ³noma de Nuevo LeÃ³n (UANL)</t>
  </si>
  <si>
    <t>Architecture,Biological Sciences,Politics &amp; International Studies (incl Development Studies),Economics &amp; Econometrics,Languages, Literature &amp; Linguistics,Civil Engineering,Sociology,History, Philosophy &amp; Theology,Agriculture &amp; Forestry,Communication &amp; Media Studies,Other Health,Veterinary Science,Education,Electrical &amp; Electronic Engineering,Physics &amp; Astronomy,Business &amp; Management,Art, Performing Arts &amp; Design,Chemical Engineering,Geography,Computer Science,Mathematics &amp; Statistics,Psychology,General Engineering,Chemistry,Accounting &amp; Finance,Medicine &amp; Dentistry,Sport Science,Law,Mechanical &amp; Aerospace Engineering,Geology, Environmental, Earth &amp; Marine Sciences</t>
  </si>
  <si>
    <t>Universidad AutÃ³noma de QuerÃ©taro</t>
  </si>
  <si>
    <t>Psychology,Architecture,Languages, Literature &amp; Linguistics,Chemical Engineering,Mathematics &amp; Statistics,Chemistry,Computer Science,Communication &amp; Media Studies,Medicine &amp; Dentistry,Politics &amp; International Studies (incl Development Studies),Geography,Law,Veterinary Science,Physics &amp; Astronomy,Accounting &amp; Finance,Economics &amp; Econometrics,Art, Performing Arts &amp; Design,Civil Engineering,Agriculture &amp; Forestry,Biological Sciences,History, Philosophy &amp; Theology,Mechanical &amp; Aerospace Engineering,Sociology,Sport Science,Electrical &amp; Electronic Engineering,Business &amp; Management</t>
  </si>
  <si>
    <t>Universidad AutÃ³noma de YucatÃ¡n</t>
  </si>
  <si>
    <t>Psychology,Mechanical &amp; Aerospace Engineering,Architecture,Physics &amp; Astronomy,Other Health,Computer Science,Biological Sciences,Accounting &amp; Finance,Sport Science,Languages, Literature &amp; Linguistics,Chemical Engineering,Agriculture &amp; Forestry,Archaeology,Chemistry,History, Philosophy &amp; Theology,Politics &amp; International Studies (incl Development Studies),Economics &amp; Econometrics,Veterinary Science,Education,Civil Engineering,Law,Art, Performing Arts &amp; Design,Geology, Environmental, Earth &amp; Marine Sciences,General Engineering,Communication &amp; Media Studies,Business &amp; Management,Medicine &amp; Dentistry,Mathematics &amp; Statistics</t>
  </si>
  <si>
    <t>Autonomous University of Baja California</t>
  </si>
  <si>
    <t>Autonomous University of Baja California UABC Universidad AutÃ³noma de Baja California</t>
  </si>
  <si>
    <t>History, Philosophy &amp; Theology,Veterinary Science,Law,Languages, Literature &amp; Linguistics,Civil Engineering,Geology, Environmental, Earth &amp; Marine Sciences,Economics &amp; Econometrics,Other Health,Sport Science,Education,Medicine &amp; Dentistry,Mathematics &amp; Statistics,Business &amp; Management,Computer Science,Chemistry,Architecture,Chemical Engineering,Physics &amp; Astronomy,General Engineering,Biological Sciences,Psychology,Electrical &amp; Electronic Engineering,Sociology,Accounting &amp; Finance,Agriculture &amp; Forestry,Communication &amp; Media Studies,Art, Performing Arts &amp; Design,Mechanical &amp; Aerospace Engineering,Politics &amp; International Studies (incl Development Studies)</t>
  </si>
  <si>
    <t>Badji Mokhtar University â€“ Annaba</t>
  </si>
  <si>
    <t>Electrical &amp; Electronic Engineering,Geology, Environmental, Earth &amp; Marine Sciences,Architecture,Languages, Literature &amp; Linguistics,Biological Sciences,Accounting &amp; Finance,General Engineering,Sociology,Civil Engineering,Politics &amp; International Studies (incl Development Studies),Mathematics &amp; Statistics,Psychology,Sport Science,Education,Mechanical &amp; Aerospace Engineering,Communication &amp; Media Studies,History, Philosophy &amp; Theology,Chemical Engineering,Business &amp; Management,Computer Science,Physics &amp; Astronomy,Chemistry,Law,Economics &amp; Econometrics</t>
  </si>
  <si>
    <t>University of Baghdad</t>
  </si>
  <si>
    <t>Education,Art, Performing Arts &amp; Design,Veterinary Science,Other Health,Agriculture &amp; Forestry,Physics &amp; Astronomy,Economics &amp; Econometrics,Chemical Engineering,Geography,Mechanical &amp; Aerospace Engineering,Politics &amp; International Studies (incl Development Studies),Biological Sciences,Chemistry,Accounting &amp; Finance,Languages, Literature &amp; Linguistics,Civil Engineering,Geology, Environmental, Earth &amp; Marine Sciences,History, Philosophy &amp; Theology,Archaeology,Electrical &amp; Electronic Engineering,General Engineering,Business &amp; Management,Law,Sociology,Architecture,Sport Science,Communication &amp; Media Studies,Computer Science,Psychology,Mathematics &amp; Statistics,Medicine &amp; Dentistry</t>
  </si>
  <si>
    <t>Baku State University</t>
  </si>
  <si>
    <t>Azerbaijan</t>
  </si>
  <si>
    <t>Languages, Literature &amp; Linguistics,Civil Engineering,Education,General Engineering,Mathematics &amp; Statistics,Business &amp; Management,History, Philosophy &amp; Theology,Chemistry,Archaeology,Physics &amp; Astronomy,Psychology,Agriculture &amp; Forestry,Law,Mechanical &amp; Aerospace Engineering,Politics &amp; International Studies (incl Development Studies),Economics &amp; Econometrics,Biological Sciences,Sociology,Computer Science,Geology, Environmental, Earth &amp; Marine Sciences,Chemical Engineering,Geography,Electrical &amp; Electronic Engineering,Communication &amp; Media Studies,Accounting &amp; Finance</t>
  </si>
  <si>
    <t>BaÅŸkent University</t>
  </si>
  <si>
    <t>Agriculture &amp; Forestry,Economics &amp; Econometrics,Civil Engineering,Business &amp; Management,Politics &amp; International Studies (incl Development Studies),Electrical &amp; Electronic Engineering,Mechanical &amp; Aerospace Engineering,Sport Science,Accounting &amp; Finance,Languages, Literature &amp; Linguistics,Law,Medicine &amp; Dentistry,Education,Computer Science,Communication &amp; Media Studies,Art, Performing Arts &amp; Design,Architecture,Psychology,Biological Sciences,Other Health,Sociology</t>
  </si>
  <si>
    <t>University of Basrah</t>
  </si>
  <si>
    <t>Mechanical &amp; Aerospace Engineering,Mathematics &amp; Statistics,Law,Languages, Literature &amp; Linguistics,Electrical &amp; Electronic Engineering,Geology, Environmental, Earth &amp; Marine Sciences,Economics &amp; Econometrics,Biological Sciences,Sociology,Architecture,Agriculture &amp; Forestry,Education,History, Philosophy &amp; Theology,Civil Engineering,Business &amp; Management,Art, Performing Arts &amp; Design,Physics &amp; Astronomy,Psychology,Medicine &amp; Dentistry,Chemical Engineering,Communication &amp; Media Studies,General Engineering,Other Health,Chemistry,Politics &amp; International Studies (incl Development Studies),Computer Science,Sport Science,Accounting &amp; Finance,Veterinary Science,Geography</t>
  </si>
  <si>
    <t>University of Batna 2</t>
  </si>
  <si>
    <t>Civil Engineering,Other Health,Mathematics &amp; Statistics,Geography,Computer Science,Biological Sciences,General Engineering,Medicine &amp; Dentistry,Education,Languages, Literature &amp; Linguistics,Geology, Environmental, Earth &amp; Marine Sciences,Mechanical &amp; Aerospace Engineering,Sport Science</t>
  </si>
  <si>
    <t>University of BÃ©jaÃ¯a</t>
  </si>
  <si>
    <t>History, Philosophy &amp; Theology,Communication &amp; Media Studies,Biological Sciences,Law,Geology, Environmental, Earth &amp; Marine Sciences,Physics &amp; Astronomy,Psychology,Mechanical &amp; Aerospace Engineering,Civil Engineering,Accounting &amp; Finance,Languages, Literature &amp; Linguistics,Computer Science,Economics &amp; Econometrics,Chemistry,Agriculture &amp; Forestry,Architecture,Electrical &amp; Electronic Engineering,Mathematics &amp; Statistics,General Engineering,Medicine &amp; Dentistry,Sociology,Sport Science,Other Health,Chemical Engineering,Business &amp; Management</t>
  </si>
  <si>
    <t>Belgorod State National Research University</t>
  </si>
  <si>
    <t>General Engineering,Education,History, Philosophy &amp; Theology,Mathematics &amp; Statistics,Politics &amp; International Studies (incl Development Studies),Chemical Engineering,Business &amp; Management,Medicine &amp; Dentistry,Sociology,Physics &amp; Astronomy,Law,Chemistry,Accounting &amp; Finance,Languages, Literature &amp; Linguistics,Biological Sciences,Psychology,Other Health,Communication &amp; Media Studies,Geology, Environmental, Earth &amp; Marine Sciences,Economics &amp; Econometrics,Computer Science,Geography</t>
  </si>
  <si>
    <t>BenemÃ©rita Universidad AutÃ³noma de Puebla</t>
  </si>
  <si>
    <t>Medicine &amp; Dentistry,Biological Sciences,Languages, Literature &amp; Linguistics,Veterinary Science,Electrical &amp; Electronic Engineering,Mathematics &amp; Statistics,Business &amp; Management,Art, Performing Arts &amp; Design,Mechanical &amp; Aerospace Engineering,Chemistry,Architecture,Chemical Engineering,Sociology,Economics &amp; Econometrics,History, Philosophy &amp; Theology,Sport Science,Psychology,Other Health,Agriculture &amp; Forestry,Communication &amp; Media Studies,General Engineering,Physics &amp; Astronomy,Accounting &amp; Finance,Civil Engineering,Law,Computer Science,Geology, Environmental, Earth &amp; Marine Sciences,Politics &amp; International Studies (incl Development Studies),Education</t>
  </si>
  <si>
    <t>University of Benin</t>
  </si>
  <si>
    <t>Sociology,Physics &amp; Astronomy,Accounting &amp; Finance,Mechanical &amp; Aerospace Engineering,Geography,Electrical &amp; Electronic Engineering,Psychology,Chemistry,Agriculture &amp; Forestry,Politics &amp; International Studies (incl Development Studies),Computer Science,Civil Engineering,Education,Other Health,Medicine &amp; Dentistry,Geology, Environmental, Earth &amp; Marine Sciences,Communication &amp; Media Studies,Veterinary Science,Business &amp; Management,Chemical Engineering,Biological Sciences,Art, Performing Arts &amp; Design,Architecture,Languages, Literature &amp; Linguistics,Economics &amp; Econometrics,Law,History, Philosophy &amp; Theology,Sport Science,Mathematics &amp; Statistics</t>
  </si>
  <si>
    <t>Bernardo Oâ€™Higgins University</t>
  </si>
  <si>
    <t>Communication &amp; Media Studies,Politics &amp; International Studies (incl Development Studies),Economics &amp; Econometrics,Chemistry,History, Philosophy &amp; Theology,Mathematics &amp; Statistics,General Engineering,Other Health,Medicine &amp; Dentistry,Accounting &amp; Finance,Law,Biological Sciences,Geography,Physics &amp; Astronomy,Veterinary Science,Computer Science,Civil Engineering,Geology, Environmental, Earth &amp; Marine Sciences,Psychology,Languages, Literature &amp; Linguistics,Sport Science,Chemical Engineering,Business &amp; Management,Education</t>
  </si>
  <si>
    <t>Bharath Institute of Higher Education and Research</t>
  </si>
  <si>
    <t>Mechanical &amp; Aerospace Engineering,Law,Architecture,Civil Engineering,Other Health,Medicine &amp; Dentistry,Chemistry,Languages, Literature &amp; Linguistics,Mathematics &amp; Statistics,Computer Science,Electrical &amp; Electronic Engineering,Physics &amp; Astronomy,Agriculture &amp; Forestry,General Engineering</t>
  </si>
  <si>
    <t>Bharati Vidyapeeth University</t>
  </si>
  <si>
    <t>General Engineering,Law,Medicine &amp; Dentistry,Chemistry,Art, Performing Arts &amp; Design,Civil Engineering,Economics &amp; Econometrics,Chemical Engineering,Computer Science,Business &amp; Management,History, Philosophy &amp; Theology,Electrical &amp; Electronic Engineering,Sociology,Other Health,Biological Sciences,Mechanical &amp; Aerospace Engineering,Architecture,Geology, Environmental, Earth &amp; Marine Sciences,Agriculture &amp; Forestry</t>
  </si>
  <si>
    <t>Bialystok University of Technology</t>
  </si>
  <si>
    <t>Mechanical &amp; Aerospace Engineering,Architecture,Civil Engineering,Mathematics &amp; Statistics,Electrical &amp; Electronic Engineering,General Engineering,Art, Performing Arts &amp; Design,Business &amp; Management,Other Health,Agriculture &amp; Forestry,Computer Science</t>
  </si>
  <si>
    <t>Bilecik Åžeyh Edebali University</t>
  </si>
  <si>
    <t>Computer Science,Mathematics &amp; Statistics,Art, Performing Arts &amp; Design,Mechanical &amp; Aerospace Engineering,Business &amp; Management,History, Philosophy &amp; Theology,Biological Sciences,Chemical Engineering,Economics &amp; Econometrics,Civil Engineering,Geography,Languages, Literature &amp; Linguistics,Agriculture &amp; Forestry,Archaeology,Chemistry,Other Health,Physics &amp; Astronomy,Electrical &amp; Electronic Engineering,Accounting &amp; Finance,Medicine &amp; Dentistry,Politics &amp; International Studies (incl Development Studies)</t>
  </si>
  <si>
    <t>University of BÃ­o-BÃ­o</t>
  </si>
  <si>
    <t>Physics &amp; Astronomy,Architecture,Chemistry,Business &amp; Management,General Engineering,Civil Engineering,Computer Science,Accounting &amp; Finance,Geology, Environmental, Earth &amp; Marine Sciences,Other Health,Geography,Chemical Engineering,Biological Sciences,Mathematics &amp; Statistics,Psychology,History, Philosophy &amp; Theology,Communication &amp; Media Studies,Electrical &amp; Electronic Engineering,Mechanical &amp; Aerospace Engineering,Sociology</t>
  </si>
  <si>
    <t>University of Birjand</t>
  </si>
  <si>
    <t>Computer Science,Art, Performing Arts &amp; Design,Languages, Literature &amp; Linguistics</t>
  </si>
  <si>
    <t>University of Biskra</t>
  </si>
  <si>
    <t>Business &amp; Management,General Engineering,Psychology,Economics &amp; Econometrics,Architecture,Education,Biological Sciences,Physics &amp; Astronomy,Mechanical &amp; Aerospace Engineering,Accounting &amp; Finance,Mathematics &amp; Statistics,Electrical &amp; Electronic Engineering,Politics &amp; International Studies (incl Development Studies),History, Philosophy &amp; Theology,Chemical Engineering,Civil Engineering,Languages, Literature &amp; Linguistics,Chemistry,Sociology,Agriculture &amp; Forestry,Communication &amp; Media Studies,Computer Science,Sport Science,Law</t>
  </si>
  <si>
    <t>Blida 1 University</t>
  </si>
  <si>
    <t>Veterinary Science,Agriculture &amp; Forestry,Civil Engineering,Computer Science,Architecture,Mathematics &amp; Statistics,General Engineering,Physics &amp; Astronomy,Other Health,Chemical Engineering,Chemistry,Mechanical &amp; Aerospace Engineering,Electrical &amp; Electronic Engineering,Biological Sciences,Medicine &amp; Dentistry</t>
  </si>
  <si>
    <t>Bolu Abant Izzet Baysal University</t>
  </si>
  <si>
    <t>Mechanical &amp; Aerospace Engineering,Sociology,Computer Science,Psychology,Civil Engineering,Communication &amp; Media Studies,Languages, Literature &amp; Linguistics,Chemical Engineering,Chemistry,Medicine &amp; Dentistry,Agriculture &amp; Forestry,Education,Art, Performing Arts &amp; Design,Sport Science,Politics &amp; International Studies (incl Development Studies),Other Health,Mathematics &amp; Statistics,Accounting &amp; Finance,Economics &amp; Econometrics,Electrical &amp; Electronic Engineering,Geology, Environmental, Earth &amp; Marine Sciences,Architecture,Biological Sciences,Law,History, Philosophy &amp; Theology,Physics &amp; Astronomy,Business &amp; Management</t>
  </si>
  <si>
    <t>Bozok University</t>
  </si>
  <si>
    <t>Sociology,Civil Engineering,Accounting &amp; Finance,Computer Science,Agriculture &amp; Forestry,Languages, Literature &amp; Linguistics,Mechanical &amp; Aerospace Engineering,Law,Communication &amp; Media Studies,Business &amp; Management,Other Health,Architecture,Veterinary Science,Archaeology,Medicine &amp; Dentistry,Politics &amp; International Studies (incl Development Studies),Biological Sciences,Physics &amp; Astronomy,History, Philosophy &amp; Theology,Economics &amp; Econometrics,Electrical &amp; Electronic Engineering,Chemistry,General Engineering,Education,Sport Science,Geology, Environmental, Earth &amp; Marine Sciences,Mathematics &amp; Statistics</t>
  </si>
  <si>
    <t>University of Brawijaya</t>
  </si>
  <si>
    <t>Education,Medicine &amp; Dentistry,Mathematics &amp; Statistics,Accounting &amp; Finance,Art, Performing Arts &amp; Design,Communication &amp; Media Studies,Civil Engineering,Chemical Engineering,Sociology,Other Health,Chemistry,Business &amp; Management,Mechanical &amp; Aerospace Engineering,Veterinary Science,Computer Science,Physics &amp; Astronomy,Economics &amp; Econometrics,Electrical &amp; Electronic Engineering,Agriculture &amp; Forestry,Law,Architecture,Politics &amp; International Studies (incl Development Studies),Languages, Literature &amp; Linguistics,Geology, Environmental, Earth &amp; Marine Sciences,Psychology,General Engineering,Biological Sciences,Geography</t>
  </si>
  <si>
    <t>Burapha University</t>
  </si>
  <si>
    <t>Medicine &amp; Dentistry,Civil Engineering,Law,Electrical &amp; Electronic Engineering,Politics &amp; International Studies (incl Development Studies),General Engineering,Mathematics &amp; Statistics,Economics &amp; Econometrics,Computer Science,Chemical Engineering,Geography,Agriculture &amp; Forestry,Psychology,Mechanical &amp; Aerospace Engineering,Geology, Environmental, Earth &amp; Marine Sciences,Art, Performing Arts &amp; Design,Biological Sciences,Sociology,Sport Science,Education,Other Health,Physics &amp; Astronomy,Chemistry,Accounting &amp; Finance,Languages, Literature &amp; Linguistics,Veterinary Science,Business &amp; Management</t>
  </si>
  <si>
    <t>Bursa Technical University</t>
  </si>
  <si>
    <t>Chemistry,Mechanical &amp; Aerospace Engineering,Sociology,Politics &amp; International Studies (incl Development Studies),Psychology,Agriculture &amp; Forestry,Mathematics &amp; Statistics,Economics &amp; Econometrics,Languages, Literature &amp; Linguistics,Civil Engineering,Physics &amp; Astronomy,Electrical &amp; Electronic Engineering,Business &amp; Management,Biological Sciences,Computer Science,General Engineering,Geology, Environmental, Earth &amp; Marine Sciences,Chemical Engineering,Architecture</t>
  </si>
  <si>
    <t>Bursa UludaÄŸ University</t>
  </si>
  <si>
    <t>History, Philosophy &amp; Theology,Architecture,Chemical Engineering,Geology, Environmental, Earth &amp; Marine Sciences,Economics &amp; Econometrics,Electrical &amp; Electronic Engineering,Sociology,Law,Art, Performing Arts &amp; Design,Civil Engineering,Politics &amp; International Studies (incl Development Studies),Geography,Medicine &amp; Dentistry,Mathematics &amp; Statistics,Languages, Literature &amp; Linguistics,Biological Sciences,Other Health,Sport Science,Psychology,Archaeology,Chemistry,General Engineering,Veterinary Science,Education,Computer Science,Physics &amp; Astronomy,Business &amp; Management,Agriculture &amp; Forestry,Accounting &amp; Finance</t>
  </si>
  <si>
    <t>University of Caldas</t>
  </si>
  <si>
    <t>Accounting &amp; Finance,Business &amp; Management,Medicine &amp; Dentistry,Other Health,Art, Performing Arts &amp; Design,Law,Mathematics &amp; Statistics,Languages, Literature &amp; Linguistics,Sport Science,General Engineering,Agriculture &amp; Forestry,Geology, Environmental, Earth &amp; Marine Sciences,Sociology,Chemistry,Computer Science,Mechanical &amp; Aerospace Engineering,Education,Biological Sciences,Veterinary Science,History, Philosophy &amp; Theology,Electrical &amp; Electronic Engineering,Politics &amp; International Studies (incl Development Studies)</t>
  </si>
  <si>
    <t>Ã‡ankÄ±rÄ± Karatekin University</t>
  </si>
  <si>
    <t>Chemical Engineering,Geography,Architecture,Veterinary Science,Medicine &amp; Dentistry,Agriculture &amp; Forestry,Education,Art, Performing Arts &amp; Design,Civil Engineering,Psychology,Other Health,Physics &amp; Astronomy,Law,History, Philosophy &amp; Theology,Biological Sciences,Geology, Environmental, Earth &amp; Marine Sciences,Accounting &amp; Finance,Computer Science,Mathematics &amp; Statistics,Mechanical &amp; Aerospace Engineering,Sociology,Languages, Literature &amp; Linguistics,Electrical &amp; Electronic Engineering,Politics &amp; International Studies (incl Development Studies),General Engineering,Chemistry,Economics &amp; Econometrics,Business &amp; Management</t>
  </si>
  <si>
    <t>Catholic University of BrasÃ­lia</t>
  </si>
  <si>
    <t>Geology, Environmental, Earth &amp; Marine Sciences,Geography,Languages, Literature &amp; Linguistics,Civil Engineering,Mathematics &amp; Statistics,Medicine &amp; Dentistry,Other Health,Communication &amp; Media Studies,Law,Accounting &amp; Finance,Psychology,Computer Science,Politics &amp; International Studies (incl Development Studies),Physics &amp; Astronomy,Electrical &amp; Electronic Engineering,General Engineering,History, Philosophy &amp; Theology,Business &amp; Management,Biological Sciences,Sport Science,Veterinary Science,Architecture,Art, Performing Arts &amp; Design,Education,Economics &amp; Econometrics,Chemistry</t>
  </si>
  <si>
    <t>Catholic University of the North</t>
  </si>
  <si>
    <t>Other Health,Chemistry,History, Philosophy &amp; Theology,Agriculture &amp; Forestry,Education,Computer Science,Communication &amp; Media Studies,Civil Engineering,Economics &amp; Econometrics,Architecture,Physics &amp; Astronomy,Biological Sciences,Mathematics &amp; Statistics,Psychology,Medicine &amp; Dentistry,Geology, Environmental, Earth &amp; Marine Sciences,Accounting &amp; Finance,General Engineering,Law,Languages, Literature &amp; Linguistics,Chemical Engineering,Business &amp; Management</t>
  </si>
  <si>
    <t>Universidad CatÃ³lica del Maule</t>
  </si>
  <si>
    <t>Biological Sciences,Business &amp; Management,Veterinary Science,Medicine &amp; Dentistry,Architecture,General Engineering,History, Philosophy &amp; Theology,Other Health,Geology, Environmental, Earth &amp; Marine Sciences,Computer Science,Law,Mathematics &amp; Statistics,Sociology,Electrical &amp; Electronic Engineering,Accounting &amp; Finance,Civil Engineering,Psychology,Mechanical &amp; Aerospace Engineering,Agriculture &amp; Forestry,Sport Science,Education</t>
  </si>
  <si>
    <t>Universidad CatÃ³lica de la SantÃ­sima ConcepciÃ³n</t>
  </si>
  <si>
    <t>Electrical &amp; Electronic Engineering,Law,Languages, Literature &amp; Linguistics,Geology, Environmental, Earth &amp; Marine Sciences,Biological Sciences,Economics &amp; Econometrics,General Engineering,Education,Civil Engineering,Accounting &amp; Finance,History, Philosophy &amp; Theology,Chemistry,Computer Science,Sport Science,Business &amp; Management,Other Health,Sociology,Communication &amp; Media Studies,Medicine &amp; Dentistry,Mathematics &amp; Statistics</t>
  </si>
  <si>
    <t>University of Caxias do Sul</t>
  </si>
  <si>
    <t>Computer Science,Chemical Engineering,Education,Electrical &amp; Electronic Engineering,Sport Science,Geography,Architecture,Physics &amp; Astronomy,Accounting &amp; Finance,General Engineering,Veterinary Science,Law,Other Health,Agriculture &amp; Forestry,Politics &amp; International Studies (incl Development Studies),Art, Performing Arts &amp; Design,Civil Engineering,Communication &amp; Media Studies,Languages, Literature &amp; Linguistics,Biological Sciences,Sociology,History, Philosophy &amp; Theology,Geology, Environmental, Earth &amp; Marine Sciences,Business &amp; Management,Medicine &amp; Dentistry,Chemistry,Psychology,Mechanical &amp; Aerospace Engineering,Mathematics &amp; Statistics,Economics &amp; Econometrics</t>
  </si>
  <si>
    <t>CearÃ¡ State University</t>
  </si>
  <si>
    <t>Art, Performing Arts &amp; Design,Chemistry,Education,Archaeology,Agriculture &amp; Forestry,Business &amp; Management,Sport Science,Economics &amp; Econometrics,Veterinary Science,Psychology,Politics &amp; International Studies (incl Development Studies),Languages, Literature &amp; Linguistics,Mathematics &amp; Statistics,Accounting &amp; Finance,History, Philosophy &amp; Theology,Geology, Environmental, Earth &amp; Marine Sciences,Medicine &amp; Dentistry,Geography,Computer Science,Physics &amp; Astronomy,Other Health,Biological Sciences,Sociology</t>
  </si>
  <si>
    <t>Manisa Celal Bayar University</t>
  </si>
  <si>
    <t>General Engineering,Mathematics &amp; Statistics,Mechanical &amp; Aerospace Engineering,Politics &amp; International Studies (incl Development Studies),Electrical &amp; Electronic Engineering,Chemistry,Archaeology,Communication &amp; Media Studies,Medicine &amp; Dentistry,Biological Sciences,Education,Computer Science,Agriculture &amp; Forestry,Psychology,Languages, Literature &amp; Linguistics,Sport Science,Accounting &amp; Finance,Other Health,Physics &amp; Astronomy,Economics &amp; Econometrics,History, Philosophy &amp; Theology,Chemical Engineering,Geography,Art, Performing Arts &amp; Design,Civil Engineering,Sociology,Business &amp; Management</t>
  </si>
  <si>
    <t>Centro Federal de EducaÃ§Ã£o TecnolÃ³gica Celso Suckow da Fonseca (CEFET-RJ)</t>
  </si>
  <si>
    <t>Economics &amp; Econometrics,Business &amp; Management,Medicine &amp; Dentistry,Biological Sciences,Accounting &amp; Finance,History, Philosophy &amp; Theology,Mechanical &amp; Aerospace Engineering,Art, Performing Arts &amp; Design,Chemical Engineering,Mathematics &amp; Statistics,Education,Architecture,Computer Science,Sport Science,Other Health,Law,Agriculture &amp; Forestry,Languages, Literature &amp; Linguistics,Archaeology,Physics &amp; Astronomy,Politics &amp; International Studies (incl Development Studies),General Engineering,Geology, Environmental, Earth &amp; Marine Sciences,Psychology,Communication &amp; Media Studies,Civil Engineering,Electrical &amp; Electronic Engineering,Geography,Chemistry,Sociology,Veterinary Science</t>
  </si>
  <si>
    <t>CES University</t>
  </si>
  <si>
    <t>Chemistry,General Engineering,Geology, Environmental, Earth &amp; Marine Sciences,Business &amp; Management,Law,Other Health,Mathematics &amp; Statistics,Medicine &amp; Dentistry,Veterinary Science,Psychology,History, Philosophy &amp; Theology,Biological Sciences,Agriculture &amp; Forestry,Languages, Literature &amp; Linguistics</t>
  </si>
  <si>
    <t>Chaoyang University of Technology</t>
  </si>
  <si>
    <t>Mechanical &amp; Aerospace Engineering,Languages, Literature &amp; Linguistics,Education,Psychology,Business &amp; Management,Chemical Engineering,Accounting &amp; Finance,Architecture,Geology, Environmental, Earth &amp; Marine Sciences,Economics &amp; Econometrics,Art, Performing Arts &amp; Design,General Engineering,Other Health,Sport Science,Communication &amp; Media Studies,Chemistry,Civil Engineering,Computer Science,Mathematics &amp; Statistics,Sociology</t>
  </si>
  <si>
    <t>College of Charleston</t>
  </si>
  <si>
    <t>Electrical &amp; Electronic Engineering,Business &amp; Management,History, Philosophy &amp; Theology,Communication &amp; Media Studies,General Engineering,Politics &amp; International Studies (incl Development Studies),Art, Performing Arts &amp; Design,Biological Sciences,Sociology,Archaeology,Chemistry,Other Health,Psychology,Mathematics &amp; Statistics,Accounting &amp; Finance,Languages, Literature &amp; Linguistics,Geology, Environmental, Earth &amp; Marine Sciences,Computer Science,Education,Physics &amp; Astronomy,Economics &amp; Econometrics</t>
  </si>
  <si>
    <t>Chelyabinsk State University</t>
  </si>
  <si>
    <t>Biological Sciences,Physics &amp; Astronomy,Politics &amp; International Studies (incl Development Studies),Economics &amp; Econometrics,General Engineering,Communication &amp; Media Studies,Education,Business &amp; Management,Computer Science,Law,Mathematics &amp; Statistics,Chemistry,Agriculture &amp; Forestry,History, Philosophy &amp; Theology,Psychology,Languages, Literature &amp; Linguistics,Sociology</t>
  </si>
  <si>
    <t>Chiba Institute of Technology</t>
  </si>
  <si>
    <t>Mechanical &amp; Aerospace Engineering,Communication &amp; Media Studies,Architecture,Accounting &amp; Finance,Chemistry,Chemical Engineering,Electrical &amp; Electronic Engineering,Geology, Environmental, Earth &amp; Marine Sciences,Civil Engineering,General Engineering,Economics &amp; Econometrics,Art, Performing Arts &amp; Design,Biological Sciences,Computer Science,Business &amp; Management</t>
  </si>
  <si>
    <t>Chinese Culture University</t>
  </si>
  <si>
    <t>Art, Performing Arts &amp; Design,Mechanical &amp; Aerospace Engineering,Chemistry,Accounting &amp; Finance,Agriculture &amp; Forestry,Law,Other Health,Mathematics &amp; Statistics,Business &amp; Management,Computer Science,Veterinary Science,Education,Architecture,Sport Science,Politics &amp; International Studies (incl Development Studies),General Engineering,Physics &amp; Astronomy,Geography,Languages, Literature &amp; Linguistics,Civil Engineering,Communication &amp; Media Studies,History, Philosophy &amp; Theology,Chemical Engineering,Geology, Environmental, Earth &amp; Marine Sciences,Economics &amp; Econometrics,Medicine &amp; Dentistry,Electrical &amp; Electronic Engineering,Sociology,Biological Sciences,Psychology</t>
  </si>
  <si>
    <t>UniversitÃ© ChouaÃ¯b Doukkali</t>
  </si>
  <si>
    <t>Biological Sciences,Accounting &amp; Finance,Mathematics &amp; Statistics,Business &amp; Management,Computer Science,Education,Chemistry,Economics &amp; Econometrics,Civil Engineering,Agriculture &amp; Forestry,Languages, Literature &amp; Linguistics,Communication &amp; Media Studies,Archaeology,General Engineering,Physics &amp; Astronomy,Geography,Electrical &amp; Electronic Engineering,Sociology,History, Philosophy &amp; Theology,Geology, Environmental, Earth &amp; Marine Sciences,Mechanical &amp; Aerospace Engineering,Politics &amp; International Studies (incl Development Studies),Law</t>
  </si>
  <si>
    <t>Chubu University</t>
  </si>
  <si>
    <t>Architecture,Agriculture &amp; Forestry,Physics &amp; Astronomy,Education,Computer Science,Mathematics &amp; Statistics,Psychology,Chemical Engineering,Chemistry,Other Health,Sport Science,Archaeology,Sociology,Languages, Literature &amp; Linguistics,General Engineering,Geography,History, Philosophy &amp; Theology,Biological Sciences,Politics &amp; International Studies (incl Development Studies),Business &amp; Management,Mechanical &amp; Aerospace Engineering,Geology, Environmental, Earth &amp; Marine Sciences,Accounting &amp; Finance,Art, Performing Arts &amp; Design,Civil Engineering,Law,Electrical &amp; Electronic Engineering,Communication &amp; Media Studies</t>
  </si>
  <si>
    <t>Chuo University</t>
  </si>
  <si>
    <t>History, Philosophy &amp; Theology,Chemical Engineering,Business &amp; Management,Physics &amp; Astronomy,Psychology,Computer Science,Geology, Environmental, Earth &amp; Marine Sciences,Civil Engineering,Politics &amp; International Studies (incl Development Studies),Chemistry,Law,General Engineering,Biological Sciences,Accounting &amp; Finance,Mechanical &amp; Aerospace Engineering,Geography,Languages, Literature &amp; Linguistics,Mathematics &amp; Statistics,Education,Electrical &amp; Electronic Engineering,Sociology,Communication &amp; Media Studies,Economics &amp; Econometrics</t>
  </si>
  <si>
    <t>University of Colima</t>
  </si>
  <si>
    <t>Electrical &amp; Electronic Engineering,Geology, Environmental, Earth &amp; Marine Sciences,History, Philosophy &amp; Theology,Sport Science,Law,Art, Performing Arts &amp; Design,Biological Sciences,Languages, Literature &amp; Linguistics,Agriculture &amp; Forestry,Economics &amp; Econometrics,General Engineering,Veterinary Science,Education,Other Health,Physics &amp; Astronomy,Business &amp; Management,Architecture,Mathematics &amp; Statistics,Accounting &amp; Finance,Chemical Engineering,Communication &amp; Media Studies,Civil Engineering,Politics &amp; International Studies (incl Development Studies),Computer Science,Chemistry,Psychology</t>
  </si>
  <si>
    <t>Comillas Pontifical University</t>
  </si>
  <si>
    <t>Other Health,History, Philosophy &amp; Theology,Computer Science,Communication &amp; Media Studies,Law,Education,Economics &amp; Econometrics,Electrical &amp; Electronic Engineering,Geography,Business &amp; Management,Accounting &amp; Finance,Languages, Literature &amp; Linguistics,Politics &amp; International Studies (incl Development Studies),Psychology,Mechanical &amp; Aerospace Engineering,General Engineering,Sociology</t>
  </si>
  <si>
    <t>Communication University of China</t>
  </si>
  <si>
    <t>Politics &amp; International Studies (incl Development Studies),Languages, Literature &amp; Linguistics,Business &amp; Management,Electrical &amp; Electronic Engineering,Law,Art, Performing Arts &amp; Design,Communication &amp; Media Studies,Computer Science,Accounting &amp; Finance,Mathematics &amp; Statistics,Sociology,Economics &amp; Econometrics</t>
  </si>
  <si>
    <t>Cracow University of Technology</t>
  </si>
  <si>
    <t>Chemical Engineering,Geology, Environmental, Earth &amp; Marine Sciences,Architecture,Electrical &amp; Electronic Engineering,Mechanical &amp; Aerospace Engineering,Physics &amp; Astronomy,Mathematics &amp; Statistics,General Engineering,Civil Engineering,Computer Science</t>
  </si>
  <si>
    <t>University of Craiova</t>
  </si>
  <si>
    <t>General Engineering,Sociology,Mechanical &amp; Aerospace Engineering,Geography,Agriculture &amp; Forestry,Politics &amp; International Studies (incl Development Studies),Art, Performing Arts &amp; Design,Chemical Engineering,Chemistry,Economics &amp; Econometrics,History, Philosophy &amp; Theology,Physics &amp; Astronomy,Electrical &amp; Electronic Engineering,Geology, Environmental, Earth &amp; Marine Sciences,Accounting &amp; Finance,Languages, Literature &amp; Linguistics,Biological Sciences,Business &amp; Management,Civil Engineering,Education,Computer Science,Mathematics &amp; Statistics,Sport Science,Communication &amp; Media Studies</t>
  </si>
  <si>
    <t>Damghan University</t>
  </si>
  <si>
    <t>Biological Sciences,Civil Engineering,Physics &amp; Astronomy,Computer Science,Geography,Chemistry,Education,Mechanical &amp; Aerospace Engineering,Economics &amp; Econometrics,Geology, Environmental, Earth &amp; Marine Sciences,Electrical &amp; Electronic Engineering,Mathematics &amp; Statistics,Art, Performing Arts &amp; Design,Sport Science,Law,Languages, Literature &amp; Linguistics,Chemical Engineering</t>
  </si>
  <si>
    <t>University of Dar es Salaam</t>
  </si>
  <si>
    <t>Art, Performing Arts &amp; Design,Computer Science,Geology, Environmental, Earth &amp; Marine Sciences,Accounting &amp; Finance,History, Philosophy &amp; Theology,Electrical &amp; Electronic Engineering,Education,Architecture,Chemical Engineering,Law,Mechanical &amp; Aerospace Engineering,Sociology,Agriculture &amp; Forestry,Politics &amp; International Studies (incl Development Studies),Civil Engineering,Sport Science,Psychology,Archaeology,General Engineering,Chemistry,Economics &amp; Econometrics,Other Health,Mathematics &amp; Statistics,Business &amp; Management,Medicine &amp; Dentistry,Biological Sciences,Geography,Languages, Literature &amp; Linguistics,Communication &amp; Media Studies</t>
  </si>
  <si>
    <t>De La Salle University</t>
  </si>
  <si>
    <t>De La Salle University DLSU DeLaSalle</t>
  </si>
  <si>
    <t>Chemistry,Electrical &amp; Electronic Engineering,Business &amp; Management,Sociology,Physics &amp; Astronomy,Economics &amp; Econometrics,Psychology,Politics &amp; International Studies (incl Development Studies),Languages, Literature &amp; Linguistics,Chemical Engineering,Computer Science,Communication &amp; Media Studies,General Engineering,Mechanical &amp; Aerospace Engineering,Accounting &amp; Finance,History, Philosophy &amp; Theology,Biological Sciences,Civil Engineering,Education,Mathematics &amp; Statistics,Law</t>
  </si>
  <si>
    <t>University for Development Studies</t>
  </si>
  <si>
    <t>Physics &amp; Astronomy,Mechanical &amp; Aerospace Engineering,Archaeology,Economics &amp; Econometrics,Medicine &amp; Dentistry,Chemistry,Sport Science,Business &amp; Management,Other Health,General Engineering,Education,Electrical &amp; Electronic Engineering,Politics &amp; International Studies (incl Development Studies),Mathematics &amp; Statistics,Computer Science,Languages, Literature &amp; Linguistics,Chemical Engineering,Biological Sciences,Psychology,Veterinary Science,Agriculture &amp; Forestry,Communication &amp; Media Studies,History, Philosophy &amp; Theology,Geology, Environmental, Earth &amp; Marine Sciences,Civil Engineering,Art, Performing Arts &amp; Design,Architecture,Geography,Accounting &amp; Finance,Sociology</t>
  </si>
  <si>
    <t>Dicle University</t>
  </si>
  <si>
    <t>Electrical &amp; Electronic Engineering,Law,Languages, Literature &amp; Linguistics,Civil Engineering,Politics &amp; International Studies (incl Development Studies),Medicine &amp; Dentistry,Biological Sciences,Geography,Other Health,Chemistry,Psychology,Art, Performing Arts &amp; Design,Mathematics &amp; Statistics,Business &amp; Management,Mechanical &amp; Aerospace Engineering,Communication &amp; Media Studies,History, Philosophy &amp; Theology,Agriculture &amp; Forestry,Sociology,Archaeology,Sport Science,Accounting &amp; Finance,General Engineering,Physics &amp; Astronomy,Economics &amp; Econometrics,Architecture,Veterinary Science,Education</t>
  </si>
  <si>
    <t>Diponegoro University</t>
  </si>
  <si>
    <t>Veterinary Science,Civil Engineering,Mechanical &amp; Aerospace Engineering,Business &amp; Management,Communication &amp; Media Studies,General Engineering,Physics &amp; Astronomy,Electrical &amp; Electronic Engineering,History, Philosophy &amp; Theology,Accounting &amp; Finance,Languages, Literature &amp; Linguistics,Politics &amp; International Studies (incl Development Studies),Biological Sciences,Computer Science,Chemistry,Psychology,Architecture,Mathematics &amp; Statistics,Economics &amp; Econometrics,Geology, Environmental, Earth &amp; Marine Sciences,Other Health,Agriculture &amp; Forestry,Chemical Engineering,Medicine &amp; Dentistry,Law</t>
  </si>
  <si>
    <t>Dokkyo Medical University</t>
  </si>
  <si>
    <t>Medicine &amp; Dentistry,Sociology,Law,Biological Sciences,Psychology,Mathematics &amp; Statistics,Languages, Literature &amp; Linguistics,Geology, Environmental, Earth &amp; Marine Sciences,History, Philosophy &amp; Theology,Physics &amp; Astronomy,Other Health,Education,Chemistry,Art, Performing Arts &amp; Design,Sport Science,Communication &amp; Media Studies</t>
  </si>
  <si>
    <t>Doshisha University</t>
  </si>
  <si>
    <t>General Engineering,Mechanical &amp; Aerospace Engineering,Mathematics &amp; Statistics,Accounting &amp; Finance,Communication &amp; Media Studies,Chemistry,Geology, Environmental, Earth &amp; Marine Sciences,Sociology,Art, Performing Arts &amp; Design,Computer Science,Politics &amp; International Studies (incl Development Studies),Economics &amp; Econometrics,Chemical Engineering,Law,Education,Psychology,Electrical &amp; Electronic Engineering,Archaeology,Sport Science,History, Philosophy &amp; Theology,Languages, Literature &amp; Linguistics,Biological Sciences,Business &amp; Management</t>
  </si>
  <si>
    <t>Dumlupinar University</t>
  </si>
  <si>
    <t>Business &amp; Management,General Engineering,Sport Science,Education,Chemistry,Languages, Literature &amp; Linguistics,Mathematics &amp; Statistics,Accounting &amp; Finance,History, Philosophy &amp; Theology,Biological Sciences,Civil Engineering,Economics &amp; Econometrics,Sociology,Geology, Environmental, Earth &amp; Marine Sciences,Architecture,Archaeology,Physics &amp; Astronomy,Art, Performing Arts &amp; Design,Electrical &amp; Electronic Engineering</t>
  </si>
  <si>
    <t>Dunarea de Jos University of Galati</t>
  </si>
  <si>
    <t>Computer Science,Sport Science,Business &amp; Management,Mechanical &amp; Aerospace Engineering,Politics &amp; International Studies (incl Development Studies),Electrical &amp; Electronic Engineering,Mathematics &amp; Statistics,Veterinary Science,Other Health,Chemistry,Economics &amp; Econometrics,Art, Performing Arts &amp; Design,Agriculture &amp; Forestry,Sociology,General Engineering,Communication &amp; Media Studies,Civil Engineering,Geology, Environmental, Earth &amp; Marine Sciences,History, Philosophy &amp; Theology,Chemical Engineering,Accounting &amp; Finance,Languages, Literature &amp; Linguistics,Biological Sciences,Law,Medicine &amp; Dentistry,Physics &amp; Astronomy,Education</t>
  </si>
  <si>
    <t>EAFIT University</t>
  </si>
  <si>
    <t>Biological Sciences,Civil Engineering,Languages, Literature &amp; Linguistics,Psychology,Art, Performing Arts &amp; Design,Geology, Environmental, Earth &amp; Marine Sciences,Economics &amp; Econometrics,History, Philosophy &amp; Theology,Chemical Engineering,Mathematics &amp; Statistics,Mechanical &amp; Aerospace Engineering,Sociology,Business &amp; Management,Computer Science,Physics &amp; Astronomy,Accounting &amp; Finance,Politics &amp; International Studies (incl Development Studies),Law,General Engineering,Communication &amp; Media Studies</t>
  </si>
  <si>
    <t>El Bosque University</t>
  </si>
  <si>
    <t>Business &amp; Management,Electrical &amp; Electronic Engineering,Economics &amp; Econometrics,Politics &amp; International Studies (incl Development Studies),Accounting &amp; Finance,Sport Science,Mathematics &amp; Statistics,Law,Medicine &amp; Dentistry,Education,Communication &amp; Media Studies,Art, Performing Arts &amp; Design,General Engineering,Other Health,Geology, Environmental, Earth &amp; Marine Sciences,Architecture,History, Philosophy &amp; Theology,Languages, Literature &amp; Linguistics,Psychology,Biological Sciences</t>
  </si>
  <si>
    <t>Erzincan Binali YÄ±ldÄ±rÄ±m University</t>
  </si>
  <si>
    <t>History, Philosophy &amp; Theology,Sport Science,Sociology,Politics &amp; International Studies (incl Development Studies),Art, Performing Arts &amp; Design,Accounting &amp; Finance,Civil Engineering,Mechanical &amp; Aerospace Engineering,Chemistry,Economics &amp; Econometrics,Law,Business &amp; Management,Biological Sciences,Psychology,Computer Science,Mathematics &amp; Statistics,Medicine &amp; Dentistry,Geography,Other Health,Education,Languages, Literature &amp; Linguistics,Physics &amp; Astronomy,Electrical &amp; Electronic Engineering</t>
  </si>
  <si>
    <t>Escuela PolitÃ©cnica Nacional</t>
  </si>
  <si>
    <t>Electrical &amp; Electronic Engineering,Geology, Environmental, Earth &amp; Marine Sciences,Mathematics &amp; Statistics,Civil Engineering,Business &amp; Management,General Engineering,Agriculture &amp; Forestry,Physics &amp; Astronomy,Computer Science,Economics &amp; Econometrics,Chemical Engineering</t>
  </si>
  <si>
    <t>EskiÅŸehir Osmangazi University</t>
  </si>
  <si>
    <t>Architecture,Electrical &amp; Electronic Engineering,Sport Science,Law,Other Health,Agriculture &amp; Forestry,Politics &amp; International Studies (incl Development Studies),Accounting &amp; Finance,Medicine &amp; Dentistry,Chemistry,Economics &amp; Econometrics,General Engineering,Geology, Environmental, Earth &amp; Marine Sciences,Languages, Literature &amp; Linguistics,Chemical Engineering,Education,History, Philosophy &amp; Theology,Biological Sciences,Sociology,Art, Performing Arts &amp; Design,Civil Engineering,Physics &amp; Astronomy,Psychology,Mechanical &amp; Aerospace Engineering,Mathematics &amp; Statistics,Computer Science,Communication &amp; Media Studies,Business &amp; Management,Veterinary Science,Geography</t>
  </si>
  <si>
    <t>Universidade do Estado de Santa Catarina</t>
  </si>
  <si>
    <t>Chemical Engineering,Other Health,Mechanical &amp; Aerospace Engineering,Biological Sciences,Business &amp; Management,Education,Veterinary Science,History, Philosophy &amp; Theology,Electrical &amp; Electronic Engineering,Civil Engineering,Architecture,Geography,Accounting &amp; Finance,General Engineering,Economics &amp; Econometrics,Computer Science,Agriculture &amp; Forestry,Art, Performing Arts &amp; Design,Sport Science</t>
  </si>
  <si>
    <t>Universidade Estadual do Norte Fluminense Darcy Ribeiro</t>
  </si>
  <si>
    <t>Mathematics &amp; Statistics,Languages, Literature &amp; Linguistics,Chemistry,Computer Science,Veterinary Science,Physics &amp; Astronomy,Biological Sciences,Sociology,Civil Engineering,Geology, Environmental, Earth &amp; Marine Sciences,Mechanical &amp; Aerospace Engineering,Education</t>
  </si>
  <si>
    <t>Universidade Estadual de MaringÃ¡</t>
  </si>
  <si>
    <t>Other Health,Veterinary Science,Civil Engineering,Communication &amp; Media Studies,Economics &amp; Econometrics,Computer Science,Physics &amp; Astronomy,Architecture,Biological Sciences,History, Philosophy &amp; Theology,Agriculture &amp; Forestry,Geography,Languages, Literature &amp; Linguistics,Electrical &amp; Electronic Engineering,Chemistry,Law,Medicine &amp; Dentistry,Sport Science,General Engineering,Mathematics &amp; Statistics,Education,Art, Performing Arts &amp; Design,Chemical Engineering,Politics &amp; International Studies (incl Development Studies),Accounting &amp; Finance,Mechanical &amp; Aerospace Engineering,Sociology,Business &amp; Management,Psychology</t>
  </si>
  <si>
    <t>Universidade Estadual do Oeste do ParanÃ¡ (Unioeste)</t>
  </si>
  <si>
    <t>Electrical &amp; Electronic Engineering,Geology, Environmental, Earth &amp; Marine Sciences,Agriculture &amp; Forestry,Law,Computer Science,Mathematics &amp; Statistics,Medicine &amp; Dentistry,Biological Sciences,Accounting &amp; Finance,History, Philosophy &amp; Theology,Sport Science,Economics &amp; Econometrics,Civil Engineering,Sociology,General Engineering,Geography,Other Health,Veterinary Science,Business &amp; Management,Languages, Literature &amp; Linguistics,Chemical Engineering,Education,Mechanical &amp; Aerospace Engineering,Chemistry</t>
  </si>
  <si>
    <t>Federal University of Agriculture, Abeokuta</t>
  </si>
  <si>
    <t>Veterinary Science,Agriculture &amp; Forestry,General Engineering,Chemistry,Biological Sciences,Mathematics &amp; Statistics,Computer Science,Geology, Environmental, Earth &amp; Marine Sciences,Mechanical &amp; Aerospace Engineering,Business &amp; Management,Economics &amp; Econometrics,Civil Engineering,Physics &amp; Astronomy,Electrical &amp; Electronic Engineering,Communication &amp; Media Studies,Accounting &amp; Finance</t>
  </si>
  <si>
    <t>Universidade Federal de CiÃªncias da SaÃºde de Porto Alegre (UFCSPA)</t>
  </si>
  <si>
    <t>Physics &amp; Astronomy,Psychology,Biological Sciences,Business &amp; Management,Medicine &amp; Dentistry,Education,Other Health,Chemistry</t>
  </si>
  <si>
    <t>Federal University of ItajubÃ¡</t>
  </si>
  <si>
    <t>Electrical &amp; Electronic Engineering,Computer Science,Mechanical &amp; Aerospace Engineering,Chemical Engineering,Biological Sciences,Chemistry,Mathematics &amp; Statistics,Civil Engineering,Business &amp; Management,General Engineering,Physics &amp; Astronomy</t>
  </si>
  <si>
    <t>Universidade Federal de Juiz de Fora</t>
  </si>
  <si>
    <t>Chemistry,General Engineering,Psychology,Accounting &amp; Finance,Sociology,Medicine &amp; Dentistry,Veterinary Science,Law,Languages, Literature &amp; Linguistics,Mechanical &amp; Aerospace Engineering,Mathematics &amp; Statistics,Electrical &amp; Electronic Engineering,Business &amp; Management,History, Philosophy &amp; Theology,Physics &amp; Astronomy,Communication &amp; Media Studies,Biological Sciences,Education,Sport Science,Other Health,Civil Engineering,Geography,Art, Performing Arts &amp; Design,Computer Science,Architecture,Economics &amp; Econometrics</t>
  </si>
  <si>
    <t>Universidade Federal do MaranhÃ£o (UFMA)</t>
  </si>
  <si>
    <t>Art, Performing Arts &amp; Design,Chemical Engineering,Sociology,Civil Engineering,Education,Electrical &amp; Electronic Engineering,Biological Sciences,Geography,Mechanical &amp; Aerospace Engineering,Communication &amp; Media Studies,Psychology,Languages, Literature &amp; Linguistics,Mathematics &amp; Statistics,Economics &amp; Econometrics,Medicine &amp; Dentistry,Agriculture &amp; Forestry,Law,History, Philosophy &amp; Theology,Sport Science,Accounting &amp; Finance,General Engineering,Geology, Environmental, Earth &amp; Marine Sciences,Computer Science,Physics &amp; Astronomy,Other Health,Chemistry</t>
  </si>
  <si>
    <t>Federal University of Mato Grosso do Sul</t>
  </si>
  <si>
    <t>Civil Engineering,Sociology,Languages, Literature &amp; Linguistics,Biological Sciences,Economics &amp; Econometrics,General Engineering,Veterinary Science,Education,Art, Performing Arts &amp; Design,Chemical Engineering,Business &amp; Management,Medicine &amp; Dentistry,Communication &amp; Media Studies,History, Philosophy &amp; Theology,Electrical &amp; Electronic Engineering,Geography,Sport Science,Architecture,Chemistry,Agriculture &amp; Forestry,Accounting &amp; Finance,Computer Science,Physics &amp; Astronomy,Psychology,Other Health,Mathematics &amp; Statistics,Law</t>
  </si>
  <si>
    <t>Universidade Federal de Ouro Preto (UFOP)</t>
  </si>
  <si>
    <t>Electrical &amp; Electronic Engineering,Geology, Environmental, Earth &amp; Marine Sciences,General Engineering,Law,Mechanical &amp; Aerospace Engineering,Communication &amp; Media Studies,Civil Engineering,Physics &amp; Astronomy,Medicine &amp; Dentistry,Sociology,Art, Performing Arts &amp; Design,Biological Sciences,Education,Computer Science,Chemistry,History, Philosophy &amp; Theology,Sport Science,Business &amp; Management,Architecture,Mathematics &amp; Statistics,Economics &amp; Econometrics,Languages, Literature &amp; Linguistics,Geography</t>
  </si>
  <si>
    <t>Federal University of ParÃ¡</t>
  </si>
  <si>
    <t>Civil Engineering,Sociology,Chemistry,Archaeology,Biological Sciences,Communication &amp; Media Studies,Education,Business &amp; Management,Economics &amp; Econometrics,Accounting &amp; Finance,Chemical Engineering,Art, Performing Arts &amp; Design,Psychology,Architecture,Other Health,Physics &amp; Astronomy,General Engineering,Electrical &amp; Electronic Engineering,Geography,Mathematics &amp; Statistics,Sport Science,History, Philosophy &amp; Theology,Languages, Literature &amp; Linguistics,Medicine &amp; Dentistry,Law,Politics &amp; International Studies (incl Development Studies),Geology, Environmental, Earth &amp; Marine Sciences,Mechanical &amp; Aerospace Engineering,Computer Science,Veterinary Science,Agriculture &amp; Forestry</t>
  </si>
  <si>
    <t>Federal Rural University of Pernambuco</t>
  </si>
  <si>
    <t>History, Philosophy &amp; Theology,Mathematics &amp; Statistics,Agriculture &amp; Forestry,Business &amp; Management,Electrical &amp; Electronic Engineering,Physics &amp; Astronomy,Computer Science,Veterinary Science,Education,General Engineering,Sport Science,Biological Sciences,Mechanical &amp; Aerospace Engineering,Geology, Environmental, Earth &amp; Marine Sciences,Chemical Engineering,Sociology,Chemistry,Accounting &amp; Finance,Languages, Literature &amp; Linguistics,Civil Engineering,Economics &amp; Econometrics</t>
  </si>
  <si>
    <t>Universidade Federal Rural do Semi-Arido</t>
  </si>
  <si>
    <t>Law,Mathematics &amp; Statistics,Civil Engineering,Education,General Engineering,Electrical &amp; Electronic Engineering,Accounting &amp; Finance,Business &amp; Management,Architecture,Chemical Engineering,Veterinary Science,Chemistry,Computer Science,Biological Sciences,Languages, Literature &amp; Linguistics,Mechanical &amp; Aerospace Engineering,Physics &amp; Astronomy,Medicine &amp; Dentistry,Agriculture &amp; Forestry</t>
  </si>
  <si>
    <t>Universidade Federal de Sergipe</t>
  </si>
  <si>
    <t>Sociology,Geography,Medicine &amp; Dentistry,Sport Science,Politics &amp; International Studies (incl Development Studies),Business &amp; Management,Mathematics &amp; Statistics,Chemistry,Education,Archaeology,Civil Engineering,History, Philosophy &amp; Theology,Accounting &amp; Finance,General Engineering,Computer Science,Law,Psychology,Geology, Environmental, Earth &amp; Marine Sciences,Electrical &amp; Electronic Engineering,Agriculture &amp; Forestry,Chemical Engineering,Physics &amp; Astronomy,Economics &amp; Econometrics,Communication &amp; Media Studies,Veterinary Science,Architecture,Biological Sciences,Mechanical &amp; Aerospace Engineering,Other Health,Languages, Literature &amp; Linguistics,Art, Performing Arts &amp; Design</t>
  </si>
  <si>
    <t>Fluminense Federal University</t>
  </si>
  <si>
    <t>Chemistry,Economics &amp; Econometrics,General Engineering,Accounting &amp; Finance,Geology, Environmental, Earth &amp; Marine Sciences,Civil Engineering,Sociology,Computer Science,Physics &amp; Astronomy,Chemical Engineering,Politics &amp; International Studies (incl Development Studies),Electrical &amp; Electronic Engineering,Languages, Literature &amp; Linguistics,Architecture,Medicine &amp; Dentistry,Education,Sport Science,History, Philosophy &amp; Theology,Art, Performing Arts &amp; Design,Biological Sciences,Communication &amp; Media Studies,Law,Other Health,Mechanical &amp; Aerospace Engineering,Veterinary Science,Geography,Agriculture &amp; Forestry,Psychology,Mathematics &amp; Statistics,Business &amp; Management</t>
  </si>
  <si>
    <t>University of Fortaleza (UNIFOR)</t>
  </si>
  <si>
    <t>Art, Performing Arts &amp; Design,Medicine &amp; Dentistry,Psychology,Accounting &amp; Finance,Economics &amp; Econometrics,Law,General Engineering,Electrical &amp; Electronic Engineering,Other Health,Veterinary Science,Civil Engineering,Communication &amp; Media Studies,Sport Science,Architecture,Mechanical &amp; Aerospace Engineering,Computer Science,Business &amp; Management</t>
  </si>
  <si>
    <t>UniversitÃ© FrÃ¨res Mentouri Constantine 1</t>
  </si>
  <si>
    <t>Mathematics &amp; Statistics,Civil Engineering,Veterinary Science,Electrical &amp; Electronic Engineering,Chemistry,Biological Sciences,Chemical Engineering,General Engineering,Physics &amp; Astronomy,Languages, Literature &amp; Linguistics,Agriculture &amp; Forestry,Law,Geology, Environmental, Earth &amp; Marine Sciences,Mechanical &amp; Aerospace Engineering</t>
  </si>
  <si>
    <t>Universidad de las Fuerzas Armadas â€“ ESPE</t>
  </si>
  <si>
    <t>Civil Engineering,Economics &amp; Econometrics,Geology, Environmental, Earth &amp; Marine Sciences,Mathematics &amp; Statistics,Biological Sciences,Accounting &amp; Finance,Physics &amp; Astronomy,Education,Chemical Engineering,Business &amp; Management,Electrical &amp; Electronic Engineering,Agriculture &amp; Forestry,Geography,Computer Science,Mechanical &amp; Aerospace Engineering</t>
  </si>
  <si>
    <t>University of Fukui</t>
  </si>
  <si>
    <t>Education,Politics &amp; International Studies (incl Development Studies),General Engineering,Civil Engineering,Business &amp; Management,Other Health,Biological Sciences,Languages, Literature &amp; Linguistics,Physics &amp; Astronomy,Accounting &amp; Finance,Sociology,Medicine &amp; Dentistry,Chemistry,Chemical Engineering,Mechanical &amp; Aerospace Engineering,Electrical &amp; Electronic Engineering,Mathematics &amp; Statistics,Computer Science,Geology, Environmental, Earth &amp; Marine Sciences</t>
  </si>
  <si>
    <t>Fukuoka University</t>
  </si>
  <si>
    <t>Other Health,Economics &amp; Econometrics,Law,Chemistry,Sport Science,Psychology,Physics &amp; Astronomy,Mathematics &amp; Statistics,Accounting &amp; Finance,History, Philosophy &amp; Theology,Computer Science,Biological Sciences,Chemical Engineering,Business &amp; Management,Archaeology,Education,General Engineering,Geography,Politics &amp; International Studies (incl Development Studies),Mechanical &amp; Aerospace Engineering,Communication &amp; Media Studies,Medicine &amp; Dentistry,Civil Engineering,Languages, Literature &amp; Linguistics,Geology, Environmental, Earth &amp; Marine Sciences,Architecture,Sociology,Electrical &amp; Electronic Engineering</t>
  </si>
  <si>
    <t>UniversitÃ© de GabÃ¨s</t>
  </si>
  <si>
    <t>Other Health,Physics &amp; Astronomy,Languages, Literature &amp; Linguistics,Civil Engineering,Education,Architecture,Law,Agriculture &amp; Forestry,Accounting &amp; Finance,Mechanical &amp; Aerospace Engineering,Geology, Environmental, Earth &amp; Marine Sciences,Computer Science,Mathematics &amp; Statistics,History, Philosophy &amp; Theology,Sociology,Art, Performing Arts &amp; Design,Biological Sciences,Business &amp; Management,General Engineering,Chemical Engineering,Electrical &amp; Electronic Engineering,Chemistry,Economics &amp; Econometrics</t>
  </si>
  <si>
    <t>Gaziantep University</t>
  </si>
  <si>
    <t>Other Health,Civil Engineering,Business &amp; Management,History, Philosophy &amp; Theology,Chemistry,Economics &amp; Econometrics,Archaeology,Sociology,Sport Science,Accounting &amp; Finance,Architecture,Geography,Medicine &amp; Dentistry,Biological Sciences,Art, Performing Arts &amp; Design,Mechanical &amp; Aerospace Engineering,Communication &amp; Media Studies,Electrical &amp; Electronic Engineering,Law,General Engineering,Education,Languages, Literature &amp; Linguistics,Mathematics &amp; Statistics</t>
  </si>
  <si>
    <t>Georgian Technical University</t>
  </si>
  <si>
    <t>Archaeology,Chemical Engineering,Electrical &amp; Electronic Engineering,Law,Architecture,Geography,Mechanical &amp; Aerospace Engineering,Computer Science,General Engineering,Business &amp; Management,Sociology,Civil Engineering,Communication &amp; Media Studies,Economics &amp; Econometrics,Geology, Environmental, Earth &amp; Marine Sciences,Chemistry,Politics &amp; International Studies (incl Development Studies),Agriculture &amp; Forestry,Accounting &amp; Finance,Other Health,Biological Sciences,Art, Performing Arts &amp; Design</t>
  </si>
  <si>
    <t>German University in Cairo</t>
  </si>
  <si>
    <t>Biological Sciences,Civil Engineering,Mechanical &amp; Aerospace Engineering,Business &amp; Management,Communication &amp; Media Studies,Computer Science,General Engineering,Architecture,Economics &amp; Econometrics,Electrical &amp; Electronic Engineering,Accounting &amp; Finance,Other Health,Art, Performing Arts &amp; Design,Law</t>
  </si>
  <si>
    <t>Gheorghe Asachi Technical University of IaÅŸi</t>
  </si>
  <si>
    <t>Mechanical &amp; Aerospace Engineering,Chemical Engineering,Civil Engineering,Electrical &amp; Electronic Engineering,Architecture,General Engineering</t>
  </si>
  <si>
    <t>GITAM University</t>
  </si>
  <si>
    <t>Languages, Literature &amp; Linguistics,Business &amp; Management,Computer Science,Biological Sciences,Accounting &amp; Finance,Civil Engineering,Physics &amp; Astronomy,Mechanical &amp; Aerospace Engineering,Chemistry,History, Philosophy &amp; Theology,Law,Architecture,Mathematics &amp; Statistics,Economics &amp; Econometrics,Electrical &amp; Electronic Engineering,Communication &amp; Media Studies,Medicine &amp; Dentistry,Geology, Environmental, Earth &amp; Marine Sciences,Other Health,Psychology,Sociology</t>
  </si>
  <si>
    <t>Goa University</t>
  </si>
  <si>
    <t>Geology, Environmental, Earth &amp; Marine Sciences,Business &amp; Management,Economics &amp; Econometrics,Physics &amp; Astronomy,Mathematics &amp; Statistics,Politics &amp; International Studies (incl Development Studies),History, Philosophy &amp; Theology,Other Health,Languages, Literature &amp; Linguistics,Chemistry,Sociology,Computer Science,Accounting &amp; Finance,Biological Sciences</t>
  </si>
  <si>
    <t>Grigore T. Popa University of Medicine and Pharmacy</t>
  </si>
  <si>
    <t>Medicine &amp; Dentistry,General Engineering,Other Health</t>
  </si>
  <si>
    <t>University of Guadalajara</t>
  </si>
  <si>
    <t>University of Guadalajara Universidad de Guadalajara UdeG UDG</t>
  </si>
  <si>
    <t>Other Health,Veterinary Science,Business &amp; Management,Mechanical &amp; Aerospace Engineering,Sociology,Computer Science,Physics &amp; Astronomy,Education,Architecture,Sport Science,Geography,Biological Sciences,Geology, Environmental, Earth &amp; Marine Sciences,Economics &amp; Econometrics,Languages, Literature &amp; Linguistics,Agriculture &amp; Forestry,Politics &amp; International Studies (incl Development Studies),History, Philosophy &amp; Theology,General Engineering,Chemistry,Medicine &amp; Dentistry,Electrical &amp; Electronic Engineering,Mathematics &amp; Statistics,Psychology,Civil Engineering,Law,Art, Performing Arts &amp; Design,Chemical Engineering,Communication &amp; Media Studies,Accounting &amp; Finance</t>
  </si>
  <si>
    <t>University of Guanajuato</t>
  </si>
  <si>
    <t>Languages, Literature &amp; Linguistics,Accounting &amp; Finance,Art, Performing Arts &amp; Design,Electrical &amp; Electronic Engineering,Biological Sciences,History, Philosophy &amp; Theology,Agriculture &amp; Forestry,Geography,Geology, Environmental, Earth &amp; Marine Sciences,Politics &amp; International Studies (incl Development Studies),Civil Engineering,Sport Science,Psychology,Mathematics &amp; Statistics,Computer Science,Mechanical &amp; Aerospace Engineering,Education,Chemical Engineering,Law,General Engineering,Other Health,Architecture,Business &amp; Management,Physics &amp; Astronomy,Medicine &amp; Dentistry,Communication &amp; Media Studies,Veterinary Science,Sociology,Economics &amp; Econometrics,Chemistry</t>
  </si>
  <si>
    <t>Gubkin Russian State University of Oil and Gas</t>
  </si>
  <si>
    <t>Chemical Engineering,Electrical &amp; Electronic Engineering,General Engineering,Business &amp; Management,Physics &amp; Astronomy,Economics &amp; Econometrics,Geology, Environmental, Earth &amp; Marine Sciences,Mechanical &amp; Aerospace Engineering,Chemistry,Accounting &amp; Finance</t>
  </si>
  <si>
    <t>Hanoi University of Science and Technology</t>
  </si>
  <si>
    <t>Accounting &amp; Finance,Education,Mechanical &amp; Aerospace Engineering,Computer Science,Business &amp; Management,Economics &amp; Econometrics,Electrical &amp; Electronic Engineering,Languages, Literature &amp; Linguistics,Chemical Engineering,Physics &amp; Astronomy,Mathematics &amp; Statistics,Chemistry</t>
  </si>
  <si>
    <t>Hasanuddin University</t>
  </si>
  <si>
    <t>Civil Engineering,Geology, Environmental, Earth &amp; Marine Sciences,Medicine &amp; Dentistry,Agriculture &amp; Forestry</t>
  </si>
  <si>
    <t>UniversitÃ© Hassan 1er</t>
  </si>
  <si>
    <t>Biological Sciences,Chemical Engineering,General Engineering,Other Health,Business &amp; Management,Agriculture &amp; Forestry,Economics &amp; Econometrics,Electrical &amp; Electronic Engineering,Geology, Environmental, Earth &amp; Marine Sciences,Education,Politics &amp; International Studies (incl Development Studies),Civil Engineering,Mechanical &amp; Aerospace Engineering,Computer Science,Law,Sport Science,Physics &amp; Astronomy,Chemistry,Mathematics &amp; Statistics,Languages, Literature &amp; Linguistics,Accounting &amp; Finance</t>
  </si>
  <si>
    <t>Hassiba Benbouali University of Chlef</t>
  </si>
  <si>
    <t>Languages, Literature &amp; Linguistics,General Engineering,Chemistry,Civil Engineering,Sociology,Chemical Engineering,Geography,Architecture,Sport Science,History, Philosophy &amp; Theology,Accounting &amp; Finance,Biological Sciences,Communication &amp; Media Studies,Archaeology,Psychology,Mathematics &amp; Statistics,Electrical &amp; Electronic Engineering,Physics &amp; Astronomy,Geology, Environmental, Earth &amp; Marine Sciences,Economics &amp; Econometrics,Computer Science,Agriculture &amp; Forestry,Business &amp; Management,Politics &amp; International Studies (incl Development Studies),Law,Mechanical &amp; Aerospace Engineering</t>
  </si>
  <si>
    <t>University of Havana</t>
  </si>
  <si>
    <t>Cuba</t>
  </si>
  <si>
    <t>Geology, Environmental, Earth &amp; Marine Sciences,Languages, Literature &amp; Linguistics,Physics &amp; Astronomy,Mathematics &amp; Statistics,Sociology,Accounting &amp; Finance,History, Philosophy &amp; Theology,Education,Art, Performing Arts &amp; Design,Communication &amp; Media Studies,Business &amp; Management,Biological Sciences,Psychology,Computer Science,Law,Chemistry,Other Health,Geography,Economics &amp; Econometrics,Politics &amp; International Studies (incl Development Studies)</t>
  </si>
  <si>
    <t>Hellenic Open University</t>
  </si>
  <si>
    <t>Chemical Engineering,Law,Computer Science,Education,General Engineering,Accounting &amp; Finance,Art, Performing Arts &amp; Design,Physics &amp; Astronomy,Economics &amp; Econometrics,Other Health,Psychology,Communication &amp; Media Studies,History, Philosophy &amp; Theology,Civil Engineering,Languages, Literature &amp; Linguistics,Mathematics &amp; Statistics,Geology, Environmental, Earth &amp; Marine Sciences,Biological Sciences,Business &amp; Management,Mechanical &amp; Aerospace Engineering</t>
  </si>
  <si>
    <t>Herzen State Pedagogical University of Russia</t>
  </si>
  <si>
    <t>Languages, Literature &amp; Linguistics,Geology, Environmental, Earth &amp; Marine Sciences,Education,Geography,Politics &amp; International Studies (incl Development Studies),Communication &amp; Media Studies,Economics &amp; Econometrics,Art, Performing Arts &amp; Design,Physics &amp; Astronomy,Psychology,Business &amp; Management,History, Philosophy &amp; Theology,Law,Computer Science,Biological Sciences,Sociology,Chemistry,Other Health,Mathematics &amp; Statistics</t>
  </si>
  <si>
    <t>Hindustan Institute of Technology and Science</t>
  </si>
  <si>
    <t>Civil Engineering,Chemistry,Architecture,Sport Science,Sociology,Medicine &amp; Dentistry,Law,General Engineering,Art, Performing Arts &amp; Design,Languages, Literature &amp; Linguistics,Mathematics &amp; Statistics,Psychology,Computer Science,Economics &amp; Econometrics,Electrical &amp; Electronic Engineering,Agriculture &amp; Forestry,Other Health,Politics &amp; International Studies (incl Development Studies),Mechanical &amp; Aerospace Engineering,Business &amp; Management,History, Philosophy &amp; Theology,Communication &amp; Media Studies</t>
  </si>
  <si>
    <t>Hitit University</t>
  </si>
  <si>
    <t>Art, Performing Arts &amp; Design,General Engineering,Mechanical &amp; Aerospace Engineering,Medicine &amp; Dentistry,Physics &amp; Astronomy,Sport Science,Accounting &amp; Finance,History, Philosophy &amp; Theology,Education,Biological Sciences,Economics &amp; Econometrics,Other Health,Chemistry,Archaeology,Politics &amp; International Studies (incl Development Studies),Languages, Literature &amp; Linguistics,Mathematics &amp; Statistics,Electrical &amp; Electronic Engineering,Business &amp; Management,Chemical Engineering,Communication &amp; Media Studies</t>
  </si>
  <si>
    <t>Hosei University</t>
  </si>
  <si>
    <t>Computer Science,Psychology,Communication &amp; Media Studies,Electrical &amp; Electronic Engineering,Law,Civil Engineering,Languages, Literature &amp; Linguistics,Biological Sciences,Economics &amp; Econometrics,Politics &amp; International Studies (incl Development Studies),History, Philosophy &amp; Theology,Sociology,Business &amp; Management,Mechanical &amp; Aerospace Engineering,Accounting &amp; Finance,Sport Science,Architecture,Geography</t>
  </si>
  <si>
    <t>Hue University</t>
  </si>
  <si>
    <t>Chemical Engineering,Law,Economics &amp; Econometrics,Veterinary Science,Education,Medicine &amp; Dentistry</t>
  </si>
  <si>
    <t>University of Hyogo</t>
  </si>
  <si>
    <t>Business &amp; Management,Accounting &amp; Finance,History, Philosophy &amp; Theology,Mechanical &amp; Aerospace Engineering,Chemistry,Geology, Environmental, Earth &amp; Marine Sciences,Architecture,Agriculture &amp; Forestry,Economics &amp; Econometrics,Chemical Engineering,Other Health,Languages, Literature &amp; Linguistics,Physics &amp; Astronomy,Sport Science,Computer Science,General Engineering,Electrical &amp; Electronic Engineering,Sociology,Biological Sciences,Communication &amp; Media Studies,Mathematics &amp; Statistics</t>
  </si>
  <si>
    <t>Ibaraki University</t>
  </si>
  <si>
    <t>Archaeology,Sport Science,Education,Economics &amp; Econometrics,Medicine &amp; Dentistry,Mathematics &amp; Statistics,Psychology,Other Health,Sociology,Veterinary Science,Architecture,Agriculture &amp; Forestry,Communication &amp; Media Studies,Chemical Engineering,Geography,Languages, Literature &amp; Linguistics,Computer Science,Chemistry,Business &amp; Management,General Engineering,Biological Sciences,Law,Mechanical &amp; Aerospace Engineering,Geology, Environmental, Earth &amp; Marine Sciences,History, Philosophy &amp; Theology,Civil Engineering,Politics &amp; International Studies (incl Development Studies),Accounting &amp; Finance,Art, Performing Arts &amp; Design,Electrical &amp; Electronic Engineering,Physics &amp; Astronomy</t>
  </si>
  <si>
    <t>Universidad Industrial de Santander (UIS)</t>
  </si>
  <si>
    <t>Medicine &amp; Dentistry,Veterinary Science,Chemical Engineering,Economics &amp; Econometrics,Art, Performing Arts &amp; Design,Civil Engineering,Law,Languages, Literature &amp; Linguistics,Biological Sciences,Education,Mechanical &amp; Aerospace Engineering,Sociology,History, Philosophy &amp; Theology,Mathematics &amp; Statistics,Other Health,Chemistry,General Engineering,Physics &amp; Astronomy,Agriculture &amp; Forestry,Electrical &amp; Electronic Engineering,Geology, Environmental, Earth &amp; Marine Sciences</t>
  </si>
  <si>
    <t>Industrial University of Tyumen</t>
  </si>
  <si>
    <t>Chemistry,Art, Performing Arts &amp; Design,Chemical Engineering,Economics &amp; Econometrics,History, Philosophy &amp; Theology,Politics &amp; International Studies (incl Development Studies),Sociology,Computer Science,Business &amp; Management,Geology, Environmental, Earth &amp; Marine Sciences,Mathematics &amp; Statistics,Civil Engineering,Communication &amp; Media Studies,Architecture,Electrical &amp; Electronic Engineering,General Engineering</t>
  </si>
  <si>
    <t>InÃ¶nÃ¼ University</t>
  </si>
  <si>
    <t>History, Philosophy &amp; Theology,Civil Engineering,Accounting &amp; Finance,Medicine &amp; Dentistry,Physics &amp; Astronomy,Other Health,Business &amp; Management,Computer Science,Chemistry,Education,General Engineering,Sociology,Communication &amp; Media Studies,Mathematics &amp; Statistics,Economics &amp; Econometrics,Sport Science,Psychology,Art, Performing Arts &amp; Design,Electrical &amp; Electronic Engineering,Politics &amp; International Studies (incl Development Studies),Architecture,Archaeology,Languages, Literature &amp; Linguistics,Mechanical &amp; Aerospace Engineering,Geography,Chemical Engineering,Law</t>
  </si>
  <si>
    <t>Instituto PolitÃ©cnico Nacional (IPN)</t>
  </si>
  <si>
    <t>Mechanical &amp; Aerospace Engineering,Economics &amp; Econometrics,Architecture,Electrical &amp; Electronic Engineering,Chemical Engineering,Accounting &amp; Finance,Civil Engineering,General Engineering,Mathematics &amp; Statistics,Business &amp; Management,Physics &amp; Astronomy,Chemistry,Computer Science,Medicine &amp; Dentistry,Geology, Environmental, Earth &amp; Marine Sciences,Biological Sciences,Psychology</t>
  </si>
  <si>
    <t>International Hellenic University</t>
  </si>
  <si>
    <t>Electrical &amp; Electronic Engineering,Civil Engineering,Business &amp; Management,History, Philosophy &amp; Theology,Archaeology,Architecture,Law,Mechanical &amp; Aerospace Engineering,Education,Physics &amp; Astronomy,Art, Performing Arts &amp; Design,Politics &amp; International Studies (incl Development Studies),Geology, Environmental, Earth &amp; Marine Sciences,Other Health,Economics &amp; Econometrics,Chemistry,General Engineering,Computer Science,Agriculture &amp; Forestry,Biological Sciences,Accounting &amp; Finance</t>
  </si>
  <si>
    <t>Irkutsk National Research Technical University</t>
  </si>
  <si>
    <t>Chemical Engineering,Accounting &amp; Finance,Art, Performing Arts &amp; Design,Law,Languages, Literature &amp; Linguistics,Biological Sciences,Business &amp; Management,Civil Engineering,Chemistry,Sport Science,General Engineering,Mathematics &amp; Statistics,Economics &amp; Econometrics,Computer Science,Communication &amp; Media Studies,Electrical &amp; Electronic Engineering,Geology, Environmental, Earth &amp; Marine Sciences,Mechanical &amp; Aerospace Engineering,Politics &amp; International Studies (incl Development Studies),Architecture,Physics &amp; Astronomy</t>
  </si>
  <si>
    <t>Irkutsk State University</t>
  </si>
  <si>
    <t>Physics &amp; Astronomy,Languages, Literature &amp; Linguistics,Mathematics &amp; Statistics,Politics &amp; International Studies (incl Development Studies),Business &amp; Management,Chemical Engineering,Geography,Archaeology,Geology, Environmental, Earth &amp; Marine Sciences,Computer Science,Education,Biological Sciences,Economics &amp; Econometrics,Law,Communication &amp; Media Studies,History, Philosophy &amp; Theology,Psychology,Art, Performing Arts &amp; Design,Sociology,Chemistry</t>
  </si>
  <si>
    <t>Islamic University of Indonesia</t>
  </si>
  <si>
    <t>Architecture,Geology, Environmental, Earth &amp; Marine Sciences,Accounting &amp; Finance,Civil Engineering,Mechanical &amp; Aerospace Engineering,Education,Electrical &amp; Electronic Engineering,Communication &amp; Media Studies,Medicine &amp; Dentistry,Psychology,Computer Science,Law,History, Philosophy &amp; Theology,Politics &amp; International Studies (incl Development Studies),Business &amp; Management,Languages, Literature &amp; Linguistics,Chemistry,Economics &amp; Econometrics,Chemical Engineering,Other Health,Mathematics &amp; Statistics</t>
  </si>
  <si>
    <t>Istanbul AydÄ±n University</t>
  </si>
  <si>
    <t>Education,Economics &amp; Econometrics,Electrical &amp; Electronic Engineering,Physics &amp; Astronomy,History, Philosophy &amp; Theology,Medicine &amp; Dentistry,Accounting &amp; Finance,Business &amp; Management,Languages, Literature &amp; Linguistics,Art, Performing Arts &amp; Design,Civil Engineering,Computer Science,Other Health,Sociology,Mathematics &amp; Statistics,Law,General Engineering,Communication &amp; Media Studies,Psychology,Architecture,Politics &amp; International Studies (incl Development Studies),Sport Science</t>
  </si>
  <si>
    <t>Istanbul Medipol University</t>
  </si>
  <si>
    <t>Civil Engineering,Business &amp; Management,Architecture,Languages, Literature &amp; Linguistics,Education,Accounting &amp; Finance,Communication &amp; Media Studies,Medicine &amp; Dentistry,Computer Science,Politics &amp; International Studies (incl Development Studies),Law,Art, Performing Arts &amp; Design,Electrical &amp; Electronic Engineering,Other Health,Psychology</t>
  </si>
  <si>
    <t>Ivane Javakhishvili Tbilisi State University</t>
  </si>
  <si>
    <t>Politics &amp; International Studies (incl Development Studies),Computer Science,Medicine &amp; Dentistry,Law,Sociology,Business &amp; Management,Biological Sciences,Archaeology,Languages, Literature &amp; Linguistics,Chemistry,Communication &amp; Media Studies,Economics &amp; Econometrics,Education,Electrical &amp; Electronic Engineering,Other Health,Geography,Art, Performing Arts &amp; Design,History, Philosophy &amp; Theology,Mathematics &amp; Statistics,Geology, Environmental, Earth &amp; Marine Sciences,Accounting &amp; Finance,Physics &amp; Astronomy,Psychology</t>
  </si>
  <si>
    <t>Ivanovo State University of Chemistry and Technology</t>
  </si>
  <si>
    <t>Business &amp; Management,Computer Science,Electrical &amp; Electronic Engineering,Chemical Engineering,General Engineering,Chemistry</t>
  </si>
  <si>
    <t>Iwate University</t>
  </si>
  <si>
    <t>Electrical &amp; Electronic Engineering,Chemistry,Computer Science,Physics &amp; Astronomy,Law,Art, Performing Arts &amp; Design,Agriculture &amp; Forestry,Sociology,Languages, Literature &amp; Linguistics,Sport Science,Accounting &amp; Finance,Mechanical &amp; Aerospace Engineering,Geology, Environmental, Earth &amp; Marine Sciences,History, Philosophy &amp; Theology,Mathematics &amp; Statistics,Education,General Engineering,Biological Sciences,Geography,Chemical Engineering,Politics &amp; International Studies (incl Development Studies),Archaeology,Veterinary Science,Psychology,Civil Engineering,Communication &amp; Media Studies</t>
  </si>
  <si>
    <t>Izmir University of Economics</t>
  </si>
  <si>
    <t>General Engineering,Psychology,Mathematics &amp; Statistics,Computer Science,Communication &amp; Media Studies,Art, Performing Arts &amp; Design,Electrical &amp; Electronic Engineering,Law,Accounting &amp; Finance,Sociology,Civil Engineering,Economics &amp; Econometrics,Architecture,Politics &amp; International Studies (incl Development Studies),Other Health,Medicine &amp; Dentistry,Physics &amp; Astronomy,Languages, Literature &amp; Linguistics,Mechanical &amp; Aerospace Engineering,Business &amp; Management</t>
  </si>
  <si>
    <t>Jan Evangelista PurkynÄ› University</t>
  </si>
  <si>
    <t>Accounting &amp; Finance,Other Health,Mechanical &amp; Aerospace Engineering,Languages, Literature &amp; Linguistics,Biological Sciences,Geography,Art, Performing Arts &amp; Design,Business &amp; Management,Civil Engineering,History, Philosophy &amp; Theology,Archaeology,General Engineering,Chemistry,Physics &amp; Astronomy,Sociology,Mathematics &amp; Statistics,Computer Science,Politics &amp; International Studies (incl Development Studies),Sport Science,Geology, Environmental, Earth &amp; Marine Sciences,Economics &amp; Econometrics,Education</t>
  </si>
  <si>
    <t>Jan Kochanowski University in Kielce</t>
  </si>
  <si>
    <t>Computer Science,Economics &amp; Econometrics,Physics &amp; Astronomy,Geography,Accounting &amp; Finance,Art, Performing Arts &amp; Design,Medicine &amp; Dentistry,Communication &amp; Media Studies,Geology, Environmental, Earth &amp; Marine Sciences,Other Health,Politics &amp; International Studies (incl Development Studies),Education,History, Philosophy &amp; Theology,Sociology,Languages, Literature &amp; Linguistics,Law,Agriculture &amp; Forestry,Mathematics &amp; Statistics,Psychology,Sport Science,Business &amp; Management,Biological Sciences,Chemistry</t>
  </si>
  <si>
    <t>Jean Moulin University â€“ Lyon 3</t>
  </si>
  <si>
    <t>Geography,Politics &amp; International Studies (incl Development Studies),Geology, Environmental, Earth &amp; Marine Sciences,Business &amp; Management,Computer Science,History, Philosophy &amp; Theology,Education,Languages, Literature &amp; Linguistics,Archaeology,Law,Communication &amp; Media Studies,Art, Performing Arts &amp; Design,Accounting &amp; Finance</t>
  </si>
  <si>
    <t>Jember University</t>
  </si>
  <si>
    <t>Economics &amp; Econometrics,Mechanical &amp; Aerospace Engineering,Education,Other Health,Medicine &amp; Dentistry,Physics &amp; Astronomy,Accounting &amp; Finance,Computer Science,Sociology,Law,Chemistry,Chemical Engineering,Business &amp; Management,Politics &amp; International Studies (incl Development Studies),Geology, Environmental, Earth &amp; Marine Sciences,Languages, Literature &amp; Linguistics,Biological Sciences,Geography,Veterinary Science,General Engineering,Mathematics &amp; Statistics,Communication &amp; Media Studies,Civil Engineering,Agriculture &amp; Forestry,History, Philosophy &amp; Theology,Electrical &amp; Electronic Engineering</t>
  </si>
  <si>
    <t>Jianghan University</t>
  </si>
  <si>
    <t>Mechanical &amp; Aerospace Engineering,Languages, Literature &amp; Linguistics,Electrical &amp; Electronic Engineering,Business &amp; Management,Psychology,Chemistry,Architecture,Education,Other Health,Sport Science,Sociology,Computer Science,Biological Sciences,Accounting &amp; Finance,Mathematics &amp; Statistics,Law,General Engineering,Civil Engineering,Agriculture &amp; Forestry,Art, Performing Arts &amp; Design,Chemical Engineering,Communication &amp; Media Studies,History, Philosophy &amp; Theology,Medicine &amp; Dentistry</t>
  </si>
  <si>
    <t>University of Jijel</t>
  </si>
  <si>
    <t>Architecture,Geology, Environmental, Earth &amp; Marine Sciences,Electrical &amp; Electronic Engineering,Law,Sport Science,Sociology,Mechanical &amp; Aerospace Engineering,Economics &amp; Econometrics,Languages, Literature &amp; Linguistics,Mathematics &amp; Statistics,Psychology,Civil Engineering,Physics &amp; Astronomy,Business &amp; Management,Computer Science,Communication &amp; Media Studies,Biological Sciences,Chemistry,Chemical Engineering,Accounting &amp; Finance,General Engineering,Politics &amp; International Studies (incl Development Studies)</t>
  </si>
  <si>
    <t>Kanagawa University</t>
  </si>
  <si>
    <t>Law,Economics &amp; Econometrics,General Engineering,Electrical &amp; Electronic Engineering,Mathematics &amp; Statistics,Chemistry,Computer Science,Mechanical &amp; Aerospace Engineering,Physics &amp; Astronomy,Business &amp; Management,Sociology,Biological Sciences,Architecture,Psychology,Sport Science,Languages, Literature &amp; Linguistics,History, Philosophy &amp; Theology,Accounting &amp; Finance,Chemical Engineering</t>
  </si>
  <si>
    <t>Kanazawa Medical University</t>
  </si>
  <si>
    <t>Kansai University</t>
  </si>
  <si>
    <t>Chemical Engineering,Other Health,Biological Sciences,Accounting &amp; Finance,Archaeology,Electrical &amp; Electronic Engineering,Architecture,Psychology,Physics &amp; Astronomy,Art, Performing Arts &amp; Design,Sport Science,Computer Science,Mechanical &amp; Aerospace Engineering,Economics &amp; Econometrics,Chemistry,History, Philosophy &amp; Theology,Communication &amp; Media Studies,Sociology,Agriculture &amp; Forestry,Languages, Literature &amp; Linguistics,Law,Civil Engineering,Politics &amp; International Studies (incl Development Studies),Mathematics &amp; Statistics,General Engineering,Geology, Environmental, Earth &amp; Marine Sciences,Geography,Education,Business &amp; Management</t>
  </si>
  <si>
    <t>University of Karachi</t>
  </si>
  <si>
    <t>Accounting &amp; Finance,Agriculture &amp; Forestry,Law,Politics &amp; International Studies (incl Development Studies),Physics &amp; Astronomy,Other Health,Mathematics &amp; Statistics,Chemical Engineering,Communication &amp; Media Studies,Computer Science,Education,Sociology,Business &amp; Management,Sport Science,Languages, Literature &amp; Linguistics,Geology, Environmental, Earth &amp; Marine Sciences,Biological Sciences,Psychology,Architecture,History, Philosophy &amp; Theology,Geography,Veterinary Science,Economics &amp; Econometrics,Chemistry</t>
  </si>
  <si>
    <t>Karadeniz Technical University</t>
  </si>
  <si>
    <t>Economics &amp; Econometrics,Languages, Literature &amp; Linguistics,Physics &amp; Astronomy,Psychology,Chemistry,Accounting &amp; Finance,Mathematics &amp; Statistics,Agriculture &amp; Forestry,Computer Science,General Engineering,Medicine &amp; Dentistry,Sociology,Art, Performing Arts &amp; Design,Architecture,Chemical Engineering,Sport Science,History, Philosophy &amp; Theology,Business &amp; Management,Archaeology,Civil Engineering,Other Health,Biological Sciences,Mechanical &amp; Aerospace Engineering,Politics &amp; International Studies (incl Development Studies),Geology, Environmental, Earth &amp; Marine Sciences,Electrical &amp; Electronic Engineering</t>
  </si>
  <si>
    <t>UniversitÃ© Kasdi Merbah Ouargla</t>
  </si>
  <si>
    <t>General Engineering,Civil Engineering,Sociology,Computer Science,Mathematics &amp; Statistics,Law,Chemical Engineering,Communication &amp; Media Studies,Medicine &amp; Dentistry,Sport Science,Education,Electrical &amp; Electronic Engineering,Agriculture &amp; Forestry,Accounting &amp; Finance,History, Philosophy &amp; Theology,Geology, Environmental, Earth &amp; Marine Sciences,Business &amp; Management,Physics &amp; Astronomy,Chemistry,Economics &amp; Econometrics,Mechanical &amp; Aerospace Engineering,Politics &amp; International Studies (incl Development Studies),Languages, Literature &amp; Linguistics,Biological Sciences,Psychology</t>
  </si>
  <si>
    <t>Kasetsart University</t>
  </si>
  <si>
    <t>Computer Science,Physics &amp; Astronomy,Education,Archaeology,Biological Sciences,Law,Medicine &amp; Dentistry,Mechanical &amp; Aerospace Engineering,Politics &amp; International Studies (incl Development Studies),Economics &amp; Econometrics,Electrical &amp; Electronic Engineering,Geology, Environmental, Earth &amp; Marine Sciences,Accounting &amp; Finance,General Engineering,Sport Science,Geography,Languages, Literature &amp; Linguistics,Civil Engineering,Communication &amp; Media Studies,Architecture,Chemical Engineering,Chemistry,Other Health,Mathematics &amp; Statistics,Psychology,Art, Performing Arts &amp; Design,Agriculture &amp; Forestry,Sociology,History, Philosophy &amp; Theology,Veterinary Science,Business &amp; Management</t>
  </si>
  <si>
    <t>Kastamonu University</t>
  </si>
  <si>
    <t>Languages, Literature &amp; Linguistics,Education,Economics &amp; Econometrics,Communication &amp; Media Studies,Civil Engineering,Mechanical &amp; Aerospace Engineering,Politics &amp; International Studies (incl Development Studies),History, Philosophy &amp; Theology,Business &amp; Management,Accounting &amp; Finance,Medicine &amp; Dentistry,Biological Sciences,Agriculture &amp; Forestry,General Engineering,Chemistry,Sociology,Art, Performing Arts &amp; Design,Electrical &amp; Electronic Engineering,Psychology,Veterinary Science,Sport Science,Mathematics &amp; Statistics,Geology, Environmental, Earth &amp; Marine Sciences</t>
  </si>
  <si>
    <t>Kazan National Research Technical University</t>
  </si>
  <si>
    <t>Computer Science,General Engineering,Physics &amp; Astronomy,Sociology,Mechanical &amp; Aerospace Engineering,Electrical &amp; Electronic Engineering,Business &amp; Management</t>
  </si>
  <si>
    <t>Kazan National Research Technological University</t>
  </si>
  <si>
    <t>General Engineering,Chemical Engineering,Business &amp; Management</t>
  </si>
  <si>
    <t>Kazan State Medical University</t>
  </si>
  <si>
    <t>University of Kelaniya</t>
  </si>
  <si>
    <t>Art, Performing Arts &amp; Design,Chemistry,Biological Sciences,Psychology,Medicine &amp; Dentistry,Accounting &amp; Finance,Sport Science,Archaeology,Politics &amp; International Studies (incl Development Studies),Other Health,Languages, Literature &amp; Linguistics,Communication &amp; Media Studies,Physics &amp; Astronomy,Computer Science,Geography,History, Philosophy &amp; Theology,Sociology,Economics &amp; Econometrics,Mathematics &amp; Statistics,Business &amp; Management</t>
  </si>
  <si>
    <t>Kemerovo State University</t>
  </si>
  <si>
    <t>Electrical &amp; Electronic Engineering,Economics &amp; Econometrics,Medicine &amp; Dentistry,Accounting &amp; Finance,General Engineering,Law,Geology, Environmental, Earth &amp; Marine Sciences,Communication &amp; Media Studies,Physics &amp; Astronomy,Chemistry,Sport Science,Languages, Literature &amp; Linguistics,Architecture,Veterinary Science,Computer Science,Other Health,Education,Chemical Engineering,Psychology,Politics &amp; International Studies (incl Development Studies),Agriculture &amp; Forestry,Business &amp; Management,Geography,Biological Sciences,History, Philosophy &amp; Theology,Sociology,Mathematics &amp; Statistics,Archaeology</t>
  </si>
  <si>
    <t>University of Kerbala</t>
  </si>
  <si>
    <t>History, Philosophy &amp; Theology,Sport Science,Medicine &amp; Dentistry,Biological Sciences,Other Health,Mathematics &amp; Statistics,Economics &amp; Econometrics,Languages, Literature &amp; Linguistics,Veterinary Science,Business &amp; Management,Civil Engineering,Education,Agriculture &amp; Forestry,Law,Computer Science,Chemistry,Psychology,General Engineering,Geography,Electrical &amp; Electronic Engineering,Physics &amp; Astronomy,Mechanical &amp; Aerospace Engineering,Accounting &amp; Finance</t>
  </si>
  <si>
    <t>King Mongkutâ€™s Institute of Technology Ladkrabang</t>
  </si>
  <si>
    <t>Chemistry,Medicine &amp; Dentistry,Computer Science,Biological Sciences,Architecture,Civil Engineering,Languages, Literature &amp; Linguistics,Business &amp; Management,Electrical &amp; Electronic Engineering,Agriculture &amp; Forestry,General Engineering,Economics &amp; Econometrics,Education,Physics &amp; Astronomy,Mechanical &amp; Aerospace Engineering,Mathematics &amp; Statistics,Chemical Engineering,Art, Performing Arts &amp; Design</t>
  </si>
  <si>
    <t>Kirikkale University</t>
  </si>
  <si>
    <t>Veterinary Science,Accounting &amp; Finance,History, Philosophy &amp; Theology,Politics &amp; International Studies (incl Development Studies),Medicine &amp; Dentistry,Art, Performing Arts &amp; Design,Other Health,Physics &amp; Astronomy,Mathematics &amp; Statistics,Biological Sciences,Law,General Engineering,Economics &amp; Econometrics,Psychology,Architecture,Languages, Literature &amp; Linguistics,Communication &amp; Media Studies,Business &amp; Management,Chemistry,Sociology,Education,Agriculture &amp; Forestry,Sport Science,Electrical &amp; Electronic Engineering,Mechanical &amp; Aerospace Engineering,Civil Engineering,Computer Science</t>
  </si>
  <si>
    <t>KÄ±rÅŸehir Ahi Evran University</t>
  </si>
  <si>
    <t>History, Philosophy &amp; Theology,Education,Architecture,Business &amp; Management,Agriculture &amp; Forestry,Sport Science,Languages, Literature &amp; Linguistics,Economics &amp; Econometrics,Computer Science,Other Health,General Engineering,Biological Sciences,Medicine &amp; Dentistry,Art, Performing Arts &amp; Design</t>
  </si>
  <si>
    <t>Kocaeli University</t>
  </si>
  <si>
    <t>Languages, Literature &amp; Linguistics,Mechanical &amp; Aerospace Engineering,Geography,Art, Performing Arts &amp; Design,General Engineering,Biological Sciences,Psychology,Other Health,Sociology,Chemical Engineering,Mathematics &amp; Statistics,Business &amp; Management,History, Philosophy &amp; Theology,Civil Engineering,Physics &amp; Astronomy,Accounting &amp; Finance,Geology, Environmental, Earth &amp; Marine Sciences,Medicine &amp; Dentistry,Politics &amp; International Studies (incl Development Studies),Electrical &amp; Electronic Engineering,Chemistry,Archaeology,Agriculture &amp; Forestry,Communication &amp; Media Studies,Economics &amp; Econometrics,Computer Science,Law,Architecture,Sport Science,Education</t>
  </si>
  <si>
    <t>Kochi University</t>
  </si>
  <si>
    <t>Sociology,Computer Science,Psychology,Mathematics &amp; Statistics,Other Health,Geology, Environmental, Earth &amp; Marine Sciences,Law,Agriculture &amp; Forestry,Politics &amp; International Studies (incl Development Studies),Communication &amp; Media Studies,Biological Sciences,Medicine &amp; Dentistry,Physics &amp; Astronomy,Languages, Literature &amp; Linguistics,Education,Accounting &amp; Finance,History, Philosophy &amp; Theology,Chemistry,Business &amp; Management,Geography</t>
  </si>
  <si>
    <t>Kochi University of Technology</t>
  </si>
  <si>
    <t>Mechanical &amp; Aerospace Engineering,Sociology,Business &amp; Management,Architecture,Geology, Environmental, Earth &amp; Marine Sciences,Geography,Art, Performing Arts &amp; Design,Chemical Engineering,History, Philosophy &amp; Theology,Chemistry,Law,Computer Science,Physics &amp; Astronomy,General Engineering,Politics &amp; International Studies (incl Development Studies),Psychology,Languages, Literature &amp; Linguistics,Biological Sciences,Economics &amp; Econometrics,Other Health,Mathematics &amp; Statistics,Civil Engineering,Communication &amp; Media Studies,Education,Electrical &amp; Electronic Engineering,Agriculture &amp; Forestry,Accounting &amp; Finance</t>
  </si>
  <si>
    <t>Kogakuin University</t>
  </si>
  <si>
    <t>Kogakuin University KU KUTEï¼TOKYO</t>
  </si>
  <si>
    <t>Mechanical &amp; Aerospace Engineering,General Engineering,Chemistry,Art, Performing Arts &amp; Design,Physics &amp; Astronomy,Mathematics &amp; Statistics,Architecture,Geology, Environmental, Earth &amp; Marine Sciences,Chemical Engineering,Computer Science,Electrical &amp; Electronic Engineering</t>
  </si>
  <si>
    <t>Kookmin University</t>
  </si>
  <si>
    <t>History, Philosophy &amp; Theology,Physics &amp; Astronomy,Biological Sciences,Mathematics &amp; Statistics,Languages, Literature &amp; Linguistics,Accounting &amp; Finance,Architecture,Agriculture &amp; Forestry,Computer Science,Electrical &amp; Electronic Engineering,Chemical Engineering,Economics &amp; Econometrics,Chemistry,Communication &amp; Media Studies,Mechanical &amp; Aerospace Engineering,Business &amp; Management,Psychology,Education,Art, Performing Arts &amp; Design,Law,General Engineering,Civil Engineering,Politics &amp; International Studies (incl Development Studies),Sport Science,Sociology,Archaeology</t>
  </si>
  <si>
    <t>Universiti Kuala Lumpur</t>
  </si>
  <si>
    <t>Computer Science,Business &amp; Management,Biological Sciences,Medicine &amp; Dentistry,Economics &amp; Econometrics,General Engineering,Other Health,Accounting &amp; Finance,Chemical Engineering,Art, Performing Arts &amp; Design,Electrical &amp; Electronic Engineering,Mechanical &amp; Aerospace Engineering</t>
  </si>
  <si>
    <t>University of Kufa</t>
  </si>
  <si>
    <t>History, Philosophy &amp; Theology,Chemical Engineering,Politics &amp; International Studies (incl Development Studies),Languages, Literature &amp; Linguistics,Agriculture &amp; Forestry,Physics &amp; Astronomy,Business &amp; Management,Other Health,Sport Science,Law,Art, Performing Arts &amp; Design,Civil Engineering,Geology, Environmental, Earth &amp; Marine Sciences,Mechanical &amp; Aerospace Engineering,Chemistry,Accounting &amp; Finance,Architecture,Veterinary Science,Psychology,Electrical &amp; Electronic Engineering,Sociology,Economics &amp; Econometrics,Medicine &amp; Dentistry,Mathematics &amp; Statistics,Education,Computer Science,Communication &amp; Media Studies,Archaeology,Biological Sciences,Geography</t>
  </si>
  <si>
    <t>Kwansei Gakuin University</t>
  </si>
  <si>
    <t>Law,Economics &amp; Econometrics,Architecture,Physics &amp; Astronomy,General Engineering,Geology, Environmental, Earth &amp; Marine Sciences,Sport Science,Mechanical &amp; Aerospace Engineering,Education,History, Philosophy &amp; Theology,Computer Science,Accounting &amp; Finance,Chemical Engineering,Art, Performing Arts &amp; Design,Mathematics &amp; Statistics,Biological Sciences,Geography,Psychology,Communication &amp; Media Studies,Agriculture &amp; Forestry,Politics &amp; International Studies (incl Development Studies),Languages, Literature &amp; Linguistics,Sociology,Civil Engineering,Electrical &amp; Electronic Engineering,Chemistry,Business &amp; Management</t>
  </si>
  <si>
    <t>Kyoto Sangyo University</t>
  </si>
  <si>
    <t>Law,Agriculture &amp; Forestry,History, Philosophy &amp; Theology,Mathematics &amp; Statistics,Sociology,Physics &amp; Astronomy,General Engineering,Electrical &amp; Electronic Engineering,Business &amp; Management,Biological Sciences,Geography,Sport Science,Chemistry,Geology, Environmental, Earth &amp; Marine Sciences,Languages, Literature &amp; Linguistics,Archaeology,Veterinary Science,Other Health,Communication &amp; Media Studies,Politics &amp; International Studies (incl Development Studies),Computer Science,Economics &amp; Econometrics,Mechanical &amp; Aerospace Engineering,Accounting &amp; Finance,Art, Performing Arts &amp; Design</t>
  </si>
  <si>
    <t>Ladoke Akintola University of Technology</t>
  </si>
  <si>
    <t>Computer Science,Chemical Engineering,Business &amp; Management,Other Health,Biological Sciences,Mathematics &amp; Statistics,Agriculture &amp; Forestry,Physics &amp; Astronomy,Architecture,Mechanical &amp; Aerospace Engineering,Medicine &amp; Dentistry,Civil Engineering,Accounting &amp; Finance,Electrical &amp; Electronic Engineering,Geology, Environmental, Earth &amp; Marine Sciences,Chemistry</t>
  </si>
  <si>
    <t>University of Laghouat</t>
  </si>
  <si>
    <t>Agriculture &amp; Forestry,Law,History, Philosophy &amp; Theology,Mathematics &amp; Statistics,Mechanical &amp; Aerospace Engineering,Communication &amp; Media Studies,Architecture,Physics &amp; Astronomy,Accounting &amp; Finance,Languages, Literature &amp; Linguistics,Civil Engineering,Sociology,Electrical &amp; Electronic Engineering,Geology, Environmental, Earth &amp; Marine Sciences,Economics &amp; Econometrics,General Engineering,Biological Sciences,Business &amp; Management,Computer Science,Chemistry,Medicine &amp; Dentistry,Sport Science,Psychology,Chemical Engineering,Politics &amp; International Studies (incl Development Studies)</t>
  </si>
  <si>
    <t>Lagos State University</t>
  </si>
  <si>
    <t>Geology, Environmental, Earth &amp; Marine Sciences,Civil Engineering,Accounting &amp; Finance,Law,Computer Science,Agriculture &amp; Forestry,Medicine &amp; Dentistry,Chemistry,Geography,Biological Sciences,Mechanical &amp; Aerospace Engineering,Art, Performing Arts &amp; Design,History, Philosophy &amp; Theology,Sociology,Economics &amp; Econometrics,Languages, Literature &amp; Linguistics,Psychology,Electrical &amp; Electronic Engineering,Mathematics &amp; Statistics,Education,Chemical Engineering,Communication &amp; Media Studies,Business &amp; Management,Physics &amp; Astronomy,Architecture,Politics &amp; International Studies (incl Development Studies)</t>
  </si>
  <si>
    <t>Lahore College for Women University (LCWU)</t>
  </si>
  <si>
    <t>Mathematics &amp; Statistics,Electrical &amp; Electronic Engineering,Architecture,Computer Science,Languages, Literature &amp; Linguistics,Politics &amp; International Studies (incl Development Studies),Psychology,Sociology,Sport Science,Business &amp; Management,Physics &amp; Astronomy,Communication &amp; Media Studies,Economics &amp; Econometrics,Biological Sciences,Geography,Education,Other Health,Art, Performing Arts &amp; Design,Chemistry,Accounting &amp; Finance,Geology, Environmental, Earth &amp; Marine Sciences,History, Philosophy &amp; Theology</t>
  </si>
  <si>
    <t>University of Lampung</t>
  </si>
  <si>
    <t>Mechanical &amp; Aerospace Engineering,Agriculture &amp; Forestry,Other Health,Geology, Environmental, Earth &amp; Marine Sciences,Chemical Engineering,Medicine &amp; Dentistry,History, Philosophy &amp; Theology,Chemistry,Education,Politics &amp; International Studies (incl Development Studies),Sociology,Geography,Art, Performing Arts &amp; Design,Law,Computer Science,Physics &amp; Astronomy,Electrical &amp; Electronic Engineering,Civil Engineering,Economics &amp; Econometrics,Veterinary Science,Languages, Literature &amp; Linguistics,Communication &amp; Media Studies,Business &amp; Management,Mathematics &amp; Statistics,Accounting &amp; Finance,Biological Sciences,Architecture,General Engineering,Sport Science</t>
  </si>
  <si>
    <t>Latvia University of Life Sciences and Technologies</t>
  </si>
  <si>
    <t>Civil Engineering,Sociology,Computer Science,Mechanical &amp; Aerospace Engineering,Economics &amp; Econometrics,Agriculture &amp; Forestry,Architecture,Business &amp; Management,General Engineering,Veterinary Science,Electrical &amp; Electronic Engineering</t>
  </si>
  <si>
    <t>University of Life Sciences in Lublin</t>
  </si>
  <si>
    <t>Veterinary Science,Biological Sciences,Agriculture &amp; Forestry</t>
  </si>
  <si>
    <t>L.N. Gumilyov Eurasian National University</t>
  </si>
  <si>
    <t>L.N. Gumilyov Eurasian National University enu</t>
  </si>
  <si>
    <t>Agriculture &amp; Forestry,Politics &amp; International Studies (incl Development Studies),General Engineering,Geography,Architecture,Mathematics &amp; Statistics,Education,Art, Performing Arts &amp; Design,Mechanical &amp; Aerospace Engineering,Sociology,Electrical &amp; Electronic Engineering,Chemistry,Business &amp; Management,Chemical Engineering,Physics &amp; Astronomy,History, Philosophy &amp; Theology,Biological Sciences,Law,Languages, Literature &amp; Linguistics,Civil Engineering,Geology, Environmental, Earth &amp; Marine Sciences,Computer Science,Communication &amp; Media Studies,Economics &amp; Econometrics,Archaeology,Sport Science,Psychology,Accounting &amp; Finance</t>
  </si>
  <si>
    <t>Lobachevsky State University of Nizhni Novgorod</t>
  </si>
  <si>
    <t>Economics &amp; Econometrics,Mathematics &amp; Statistics,Art, Performing Arts &amp; Design,Chemistry,Education,History, Philosophy &amp; Theology,Psychology,Geology, Environmental, Earth &amp; Marine Sciences,Medicine &amp; Dentistry,Communication &amp; Media Studies,Chemical Engineering,Business &amp; Management,Languages, Literature &amp; Linguistics,Politics &amp; International Studies (incl Development Studies),Electrical &amp; Electronic Engineering,Other Health,Sociology,Biological Sciences,Computer Science,Law,Physics &amp; Astronomy,Accounting &amp; Finance,Sport Science</t>
  </si>
  <si>
    <t>University of Lodz</t>
  </si>
  <si>
    <t>University of Lodz Lodz</t>
  </si>
  <si>
    <t>Physics &amp; Astronomy,Politics &amp; International Studies (incl Development Studies),Languages, Literature &amp; Linguistics,Chemistry,Accounting &amp; Finance,Agriculture &amp; Forestry,Psychology,Sport Science,Education,Mathematics &amp; Statistics,Law,Biological Sciences,Business &amp; Management,Geology, Environmental, Earth &amp; Marine Sciences,Archaeology,Communication &amp; Media Studies,Economics &amp; Econometrics,Computer Science,Geography,History, Philosophy &amp; Theology,Sociology</t>
  </si>
  <si>
    <t>Londrina State University</t>
  </si>
  <si>
    <t>Agriculture &amp; Forestry,History, Philosophy &amp; Theology,Chemistry,Languages, Literature &amp; Linguistics,Business &amp; Management,Medicine &amp; Dentistry,Sociology,Accounting &amp; Finance,Education,Civil Engineering,Geology, Environmental, Earth &amp; Marine Sciences,Computer Science,Other Health,Mechanical &amp; Aerospace Engineering,Electrical &amp; Electronic Engineering,Chemical Engineering,Politics &amp; International Studies (incl Development Studies),Geography,Art, Performing Arts &amp; Design,Economics &amp; Econometrics,Psychology,Biological Sciences,Archaeology,Sport Science,Veterinary Science,Physics &amp; Astronomy,General Engineering,Architecture,Mathematics &amp; Statistics,Law,Communication &amp; Media Studies</t>
  </si>
  <si>
    <t>University of Los Lagos</t>
  </si>
  <si>
    <t>Accounting &amp; Finance,Politics &amp; International Studies (incl Development Studies),Architecture,Art, Performing Arts &amp; Design,Mathematics &amp; Statistics,Psychology,Geology, Environmental, Earth &amp; Marine Sciences,Computer Science,Biological Sciences,Languages, Literature &amp; Linguistics,Agriculture &amp; Forestry,Other Health,Business &amp; Management,Civil Engineering,Education,General Engineering,Sociology,Geography,Electrical &amp; Electronic Engineering,Law</t>
  </si>
  <si>
    <t>Lucian Blaga University of Sibiu</t>
  </si>
  <si>
    <t>Sociology,Other Health,Computer Science,Psychology,Physics &amp; Astronomy,Art, Performing Arts &amp; Design,Business &amp; Management,Communication &amp; Media Studies,Agriculture &amp; Forestry,Languages, Literature &amp; Linguistics,Mechanical &amp; Aerospace Engineering,Mathematics &amp; Statistics,Biological Sciences,Politics &amp; International Studies (incl Development Studies),Law,Medicine &amp; Dentistry,Economics &amp; Econometrics,Sport Science,Accounting &amp; Finance,General Engineering,Electrical &amp; Electronic Engineering,Education,Civil Engineering,History, Philosophy &amp; Theology</t>
  </si>
  <si>
    <t>University of Lucknow</t>
  </si>
  <si>
    <t>Biological Sciences,Accounting &amp; Finance,Economics &amp; Econometrics,Languages, Literature &amp; Linguistics,Physics &amp; Astronomy,Business &amp; Management,Geology, Environmental, Earth &amp; Marine Sciences,Civil Engineering,Electrical &amp; Electronic Engineering,History, Philosophy &amp; Theology,Chemistry,Geography,Law,Sociology,Mechanical &amp; Aerospace Engineering,Mathematics &amp; Statistics,Archaeology,Psychology,Education,Art, Performing Arts &amp; Design,Politics &amp; International Studies (incl Development Studies),General Engineering,Communication &amp; Media Studies,Computer Science</t>
  </si>
  <si>
    <t>University of Macerata (UNIMC)</t>
  </si>
  <si>
    <t>Art, Performing Arts &amp; Design,Accounting &amp; Finance,Mathematics &amp; Statistics,Economics &amp; Econometrics,Archaeology,Law,Politics &amp; International Studies (incl Development Studies),Languages, Literature &amp; Linguistics,Sociology,History, Philosophy &amp; Theology,Geography,Business &amp; Management,Communication &amp; Media Studies,Psychology,Education</t>
  </si>
  <si>
    <t>Mackenzie Presbyterian University</t>
  </si>
  <si>
    <t>Mackenzie Presbyterian University Universidade Presbiteriana Mackenzie MPU Mackenzie University</t>
  </si>
  <si>
    <t>Architecture,Mathematics &amp; Statistics,Business &amp; Management,Economics &amp; Econometrics,Computer Science,Mechanical &amp; Aerospace Engineering,Communication &amp; Media Studies,General Engineering,Chemistry,Art, Performing Arts &amp; Design,Electrical &amp; Electronic Engineering,Accounting &amp; Finance,Other Health,Biological Sciences,Psychology,Chemical Engineering,Education,History, Philosophy &amp; Theology,Languages, Literature &amp; Linguistics,Civil Engineering,Law</t>
  </si>
  <si>
    <t>Mahasarakham University</t>
  </si>
  <si>
    <t>Languages, Literature &amp; Linguistics,Geology, Environmental, Earth &amp; Marine Sciences,Electrical &amp; Electronic Engineering,Agriculture &amp; Forestry,Sociology,Architecture,Chemistry,Law,History, Philosophy &amp; Theology,Mathematics &amp; Statistics,Psychology,Art, Performing Arts &amp; Design,Veterinary Science,Accounting &amp; Finance,Civil Engineering,Politics &amp; International Studies (incl Development Studies),Other Health,Biological Sciences,Economics &amp; Econometrics,Mechanical &amp; Aerospace Engineering,Communication &amp; Media Studies,Education,Computer Science,Physics &amp; Astronomy,Geography,Medicine &amp; Dentistry,Sport Science,Business &amp; Management</t>
  </si>
  <si>
    <t>Universiti Malaysia Kelantan</t>
  </si>
  <si>
    <t>Sociology,Electrical &amp; Electronic Engineering,Geology, Environmental, Earth &amp; Marine Sciences,Economics &amp; Econometrics,History, Philosophy &amp; Theology,Archaeology,Biological Sciences,Chemistry,Communication &amp; Media Studies,Computer Science,Business &amp; Management,Physics &amp; Astronomy,Architecture,Agriculture &amp; Forestry,Accounting &amp; Finance,Chemical Engineering,Civil Engineering,Art, Performing Arts &amp; Design,Languages, Literature &amp; Linguistics,Mathematics &amp; Statistics,Medicine &amp; Dentistry,Veterinary Science,General Engineering</t>
  </si>
  <si>
    <t>Maria Curie-SkÅ‚odowska University (UMCS)</t>
  </si>
  <si>
    <t>Mathematics &amp; Statistics,Politics &amp; International Studies (incl Development Studies),Other Health,Geology, Environmental, Earth &amp; Marine Sciences,Languages, Literature &amp; Linguistics,Sociology,Psychology,History, Philosophy &amp; Theology,Physics &amp; Astronomy,Business &amp; Management,Geography,Art, Performing Arts &amp; Design,Chemistry,Education,Biological Sciences,Communication &amp; Media Studies,Law,Economics &amp; Econometrics,Sport Science,Computer Science,Archaeology,Accounting &amp; Finance</t>
  </si>
  <si>
    <t>Marmara University</t>
  </si>
  <si>
    <t>General Engineering,Chemical Engineering,Languages, Literature &amp; Linguistics,Geography,Mechanical &amp; Aerospace Engineering,Medicine &amp; Dentistry,Business &amp; Management,Other Health,Architecture,Art, Performing Arts &amp; Design,Psychology,Electrical &amp; Electronic Engineering,Sport Science,Sociology,Economics &amp; Econometrics,Communication &amp; Media Studies,Physics &amp; Astronomy,Accounting &amp; Finance,Education,Biological Sciences,Law,Chemistry,History, Philosophy &amp; Theology,Civil Engineering,Politics &amp; International Studies (incl Development Studies),Mathematics &amp; Statistics,Geology, Environmental, Earth &amp; Marine Sciences,Computer Science</t>
  </si>
  <si>
    <t>University of Mascara</t>
  </si>
  <si>
    <t>History, Philosophy &amp; Theology,Civil Engineering,Geography,Agriculture &amp; Forestry,Chemistry,Sociology,Mathematics &amp; Statistics,Electrical &amp; Electronic Engineering,Law,Computer Science,Communication &amp; Media Studies,Languages, Literature &amp; Linguistics,Mechanical &amp; Aerospace Engineering,Psychology,General Engineering,Accounting &amp; Finance,Biological Sciences,Economics &amp; Econometrics,Archaeology,Business &amp; Management</t>
  </si>
  <si>
    <t>Matej Bel University</t>
  </si>
  <si>
    <t>History, Philosophy &amp; Theology,Law,Mathematics &amp; Statistics,Business &amp; Management,Geology, Environmental, Earth &amp; Marine Sciences,Physics &amp; Astronomy,Education,Politics &amp; International Studies (incl Development Studies),Languages, Literature &amp; Linguistics,Chemistry,Accounting &amp; Finance</t>
  </si>
  <si>
    <t>Universidad Mayor</t>
  </si>
  <si>
    <t>Agriculture &amp; Forestry,Medicine &amp; Dentistry,Other Health,Accounting &amp; Finance,General Engineering,Geology, Environmental, Earth &amp; Marine Sciences,Veterinary Science,Architecture,Electrical &amp; Electronic Engineering,Art, Performing Arts &amp; Design,Business &amp; Management,Biological Sciences,Law,Computer Science,Languages, Literature &amp; Linguistics,Psychology,Sport Science,Civil Engineering,Education,Sociology</t>
  </si>
  <si>
    <t>Meiji University</t>
  </si>
  <si>
    <t>Architecture,Languages, Literature &amp; Linguistics,Chemical Engineering,Sociology,Mathematics &amp; Statistics,General Engineering,Economics &amp; Econometrics,Psychology,History, Philosophy &amp; Theology,Accounting &amp; Finance,Chemistry,Archaeology,Civil Engineering,Agriculture &amp; Forestry,Mechanical &amp; Aerospace Engineering,Business &amp; Management,Law,Physics &amp; Astronomy,Electrical &amp; Electronic Engineering,Communication &amp; Media Studies,Computer Science,Politics &amp; International Studies (incl Development Studies),Art, Performing Arts &amp; Design,Biological Sciences,Geography</t>
  </si>
  <si>
    <t>Meijo University</t>
  </si>
  <si>
    <t>Electrical &amp; Electronic Engineering,Geology, Environmental, Earth &amp; Marine Sciences,Agriculture &amp; Forestry,Computer Science,Chemistry,Other Health,Communication &amp; Media Studies,General Engineering,Law,Mechanical &amp; Aerospace Engineering,Business &amp; Management,Mathematics &amp; Statistics,Languages, Literature &amp; Linguistics,Civil Engineering,Accounting &amp; Finance,Chemical Engineering,Psychology,Biological Sciences,Economics &amp; Econometrics</t>
  </si>
  <si>
    <t>Mendeleev University of Chemical Technology</t>
  </si>
  <si>
    <t>Chemical Engineering,Agriculture &amp; Forestry,Chemistry</t>
  </si>
  <si>
    <t>Mâ€™Hamed Bougara University of BoumerdÃ¨s</t>
  </si>
  <si>
    <t>Chemical Engineering,Mechanical &amp; Aerospace Engineering,General Engineering,Mathematics &amp; Statistics,Geology, Environmental, Earth &amp; Marine Sciences,Politics &amp; International Studies (incl Development Studies),Law,Biological Sciences,Physics &amp; Astronomy,Electrical &amp; Electronic Engineering,Agriculture &amp; Forestry,Chemistry,Business &amp; Management,Civil Engineering,Sport Science,Languages, Literature &amp; Linguistics,Computer Science,Accounting &amp; Finance</t>
  </si>
  <si>
    <t>Middle Technical University</t>
  </si>
  <si>
    <t>Electrical &amp; Electronic Engineering,Accounting &amp; Finance,Other Health,Business &amp; Management,Art, Performing Arts &amp; Design,Mechanical &amp; Aerospace Engineering,Economics &amp; Econometrics,Agriculture &amp; Forestry,Education,Computer Science,Medicine &amp; Dentistry,Chemical Engineering,General Engineering,Biological Sciences,Law,Architecture,Civil Engineering</t>
  </si>
  <si>
    <t>Ming Chuan University</t>
  </si>
  <si>
    <t>Mathematics &amp; Statistics,Education,General Engineering,Art, Performing Arts &amp; Design,Sociology,Law,Architecture,Business &amp; Management,Computer Science,Accounting &amp; Finance,Biological Sciences,Psychology,Languages, Literature &amp; Linguistics,Economics &amp; Econometrics,Electrical &amp; Electronic Engineering</t>
  </si>
  <si>
    <t>MIREA - Russian Technological University</t>
  </si>
  <si>
    <t>Art, Performing Arts &amp; Design,Mathematics &amp; Statistics,Accounting &amp; Finance,Computer Science,Geology, Environmental, Earth &amp; Marine Sciences,Chemical Engineering,General Engineering,Chemistry,Physics &amp; Astronomy,Electrical &amp; Electronic Engineering,Business &amp; Management,Biological Sciences,Other Health,Sociology,Mechanical &amp; Aerospace Engineering,Economics &amp; Econometrics,History, Philosophy &amp; Theology,Law</t>
  </si>
  <si>
    <t>University of Miskolc</t>
  </si>
  <si>
    <t>Electrical &amp; Electronic Engineering,Education,General Engineering,Politics &amp; International Studies (incl Development Studies),Mechanical &amp; Aerospace Engineering,Chemistry,Law,Mathematics &amp; Statistics,Economics &amp; Econometrics,Geology, Environmental, Earth &amp; Marine Sciences,Business &amp; Management,History, Philosophy &amp; Theology,Chemical Engineering,Accounting &amp; Finance,Other Health,Sociology,Languages, Literature &amp; Linguistics,Physics &amp; Astronomy,Computer Science,Geography</t>
  </si>
  <si>
    <t>University of Miyazaki</t>
  </si>
  <si>
    <t>Computer Science,Chemical Engineering,Veterinary Science,General Engineering,Education,Mechanical &amp; Aerospace Engineering,Business &amp; Management,Civil Engineering,Electrical &amp; Electronic Engineering,Agriculture &amp; Forestry,Medicine &amp; Dentistry,Biological Sciences</t>
  </si>
  <si>
    <t>University Mohamed Boudiaf of Mâ€™Sila</t>
  </si>
  <si>
    <t>Electrical &amp; Electronic Engineering,Agriculture &amp; Forestry,Sociology,Mechanical &amp; Aerospace Engineering,Communication &amp; Media Studies,Business &amp; Management,Languages, Literature &amp; Linguistics,Geology, Environmental, Earth &amp; Marine Sciences,Mathematics &amp; Statistics,History, Philosophy &amp; Theology,Accounting &amp; Finance,Physics &amp; Astronomy,Law,Chemical Engineering,Economics &amp; Econometrics,Biological Sciences,Politics &amp; International Studies (incl Development Studies),Psychology,Civil Engineering,Chemistry,General Engineering,Computer Science,Sport Science</t>
  </si>
  <si>
    <t>UniversitÃ© Mohammed Premier</t>
  </si>
  <si>
    <t>Business &amp; Management,Computer Science,Chemistry,Languages, Literature &amp; Linguistics,Biological Sciences,Communication &amp; Media Studies,Geology, Environmental, Earth &amp; Marine Sciences,Law,Psychology,Mechanical &amp; Aerospace Engineering,Economics &amp; Econometrics,Accounting &amp; Finance,Civil Engineering,General Engineering,Physics &amp; Astronomy,Other Health,Sociology,Electrical &amp; Electronic Engineering,Mathematics &amp; Statistics</t>
  </si>
  <si>
    <t>University of Montenegro</t>
  </si>
  <si>
    <t>Montenegro</t>
  </si>
  <si>
    <t>Art, Performing Arts &amp; Design,Chemical Engineering,Geology, Environmental, Earth &amp; Marine Sciences,Business &amp; Management,Mathematics &amp; Statistics,Economics &amp; Econometrics,Physics &amp; Astronomy,Agriculture &amp; Forestry,Psychology,Accounting &amp; Finance,Architecture,Electrical &amp; Electronic Engineering,History, Philosophy &amp; Theology,Law,Education,Biological Sciences,Civil Engineering,Politics &amp; International Studies (incl Development Studies),General Engineering,Mechanical &amp; Aerospace Engineering,Sociology,Computer Science,Languages, Literature &amp; Linguistics,Communication &amp; Media Studies,Medicine &amp; Dentistry,Sport Science,Geography</t>
  </si>
  <si>
    <t>Moscow Polytechnic University</t>
  </si>
  <si>
    <t>Mathematics &amp; Statistics,Chemical Engineering,Mechanical &amp; Aerospace Engineering,Business &amp; Management,General Engineering,Accounting &amp; Finance,Electrical &amp; Electronic Engineering,Physics &amp; Astronomy,Civil Engineering,Architecture,Communication &amp; Media Studies,Computer Science,Economics &amp; Econometrics,Chemistry,Art, Performing Arts &amp; Design,Biological Sciences</t>
  </si>
  <si>
    <t>Moscow State University of Civil Engineering</t>
  </si>
  <si>
    <t>Architecture,Computer Science,Business &amp; Management,Civil Engineering</t>
  </si>
  <si>
    <t>University of Mosul</t>
  </si>
  <si>
    <t>Other Health,Sport Science,Sociology,Archaeology,Biological Sciences,Law,History, Philosophy &amp; Theology,Agriculture &amp; Forestry,Education,Architecture,Mathematics &amp; Statistics,Accounting &amp; Finance,Computer Science,Physics &amp; Astronomy,Psychology,General Engineering,Chemistry,Business &amp; Management,Medicine &amp; Dentistry,Veterinary Science,Politics &amp; International Studies (incl Development Studies),Mechanical &amp; Aerospace Engineering,Communication &amp; Media Studies,Languages, Literature &amp; Linguistics,Electrical &amp; Electronic Engineering,Geology, Environmental, Earth &amp; Marine Sciences,Economics &amp; Econometrics,Art, Performing Arts &amp; Design,Civil Engineering,Geography</t>
  </si>
  <si>
    <t>Moulay Ismail University</t>
  </si>
  <si>
    <t>Archaeology,Biological Sciences,Education,Mechanical &amp; Aerospace Engineering,Geography,Art, Performing Arts &amp; Design,Chemical Engineering,Politics &amp; International Studies (incl Development Studies),General Engineering,Physics &amp; Astronomy,Psychology,Civil Engineering,Sociology,Accounting &amp; Finance,Mathematics &amp; Statistics,Business &amp; Management,Computer Science,Chemistry,Economics &amp; Econometrics,History, Philosophy &amp; Theology,Communication &amp; Media Studies,Electrical &amp; Electronic Engineering,Geology, Environmental, Earth &amp; Marine Sciences,Languages, Literature &amp; Linguistics,Agriculture &amp; Forestry,Law</t>
  </si>
  <si>
    <t>UniversitÃ© Mouloud Mammeri de Tizi-Ouzou</t>
  </si>
  <si>
    <t>Architecture,Economics &amp; Econometrics,Languages, Literature &amp; Linguistics,Mathematics &amp; Statistics,Law,Physics &amp; Astronomy,Geology, Environmental, Earth &amp; Marine Sciences,Politics &amp; International Studies (incl Development Studies),Communication &amp; Media Studies,Accounting &amp; Finance,General Engineering,Electrical &amp; Electronic Engineering,Business &amp; Management,Medicine &amp; Dentistry,Agriculture &amp; Forestry,Civil Engineering,Psychology,Chemistry,Sociology,Education,Computer Science,Biological Sciences,History, Philosophy &amp; Theology</t>
  </si>
  <si>
    <t>Muroran Institute of Technology</t>
  </si>
  <si>
    <t>Muroran Institute of Technology Muroran IT Hokkaido Japan</t>
  </si>
  <si>
    <t>Civil Engineering,Mechanical &amp; Aerospace Engineering,Electrical &amp; Electronic Engineering,Chemical Engineering,General Engineering,Computer Science</t>
  </si>
  <si>
    <t>Mustansiriyah University</t>
  </si>
  <si>
    <t>Computer Science,Veterinary Science,Education,Medicine &amp; Dentistry,Agriculture &amp; Forestry,Geography,Languages, Literature &amp; Linguistics,Civil Engineering,Physics &amp; Astronomy,Psychology,Chemical Engineering,Geology, Environmental, Earth &amp; Marine Sciences,Economics &amp; Econometrics,Electrical &amp; Electronic Engineering,Law,Accounting &amp; Finance,Archaeology,Biological Sciences,Politics &amp; International Studies (incl Development Studies),History, Philosophy &amp; Theology,Mechanical &amp; Aerospace Engineering,Communication &amp; Media Studies,Other Health,Mathematics &amp; Statistics,Business &amp; Management,Art, Performing Arts &amp; Design,General Engineering,Chemistry,Architecture,Sport Science,Sociology</t>
  </si>
  <si>
    <t>University of Mysore</t>
  </si>
  <si>
    <t>Geology, Environmental, Earth &amp; Marine Sciences,Languages, Literature &amp; Linguistics,Mathematics &amp; Statistics,Education,Business &amp; Management,Architecture,Sociology,History, Philosophy &amp; Theology,Sport Science,Art, Performing Arts &amp; Design,Politics &amp; International Studies (incl Development Studies),Communication &amp; Media Studies,Law,Computer Science,Accounting &amp; Finance,Physics &amp; Astronomy,Economics &amp; Econometrics,Geography,Chemistry,Agriculture &amp; Forestry,Psychology,Archaeology,Biological Sciences</t>
  </si>
  <si>
    <t>Universidad Nacional del Litoral</t>
  </si>
  <si>
    <t>Argentina</t>
  </si>
  <si>
    <t>History, Philosophy &amp; Theology,Geography,Architecture,Geology, Environmental, Earth &amp; Marine Sciences,Accounting &amp; Finance,Economics &amp; Econometrics,Communication &amp; Media Studies,Agriculture &amp; Forestry,Physics &amp; Astronomy,Medicine &amp; Dentistry,Politics &amp; International Studies (incl Development Studies),Business &amp; Management,General Engineering,Mathematics &amp; Statistics,Biological Sciences,Art, Performing Arts &amp; Design,Other Health,Chemical Engineering,Sociology,Computer Science,Law,Veterinary Science,Education,Chemistry,Sport Science,Languages, Literature &amp; Linguistics</t>
  </si>
  <si>
    <t>Nara Womenâ€™s University</t>
  </si>
  <si>
    <t>Computer Science,Other Health,Biological Sciences,Geography,Sport Science,Chemistry,Architecture,Sociology,Chemical Engineering,Civil Engineering,Electrical &amp; Electronic Engineering,Art, Performing Arts &amp; Design,Physics &amp; Astronomy,Archaeology,Agriculture &amp; Forestry,Mathematics &amp; Statistics,Geology, Environmental, Earth &amp; Marine Sciences,Communication &amp; Media Studies,Languages, Literature &amp; Linguistics,General Engineering,Education,Psychology,History, Philosophy &amp; Theology</t>
  </si>
  <si>
    <t>Naresuan University</t>
  </si>
  <si>
    <t>Other Health,General Engineering,Business &amp; Management,Electrical &amp; Electronic Engineering,Economics &amp; Econometrics,Computer Science,Civil Engineering,Chemistry,Accounting &amp; Finance,Sport Science,Mechanical &amp; Aerospace Engineering,Geography,Architecture,History, Philosophy &amp; Theology,Sociology,Veterinary Science,Geology, Environmental, Earth &amp; Marine Sciences,Mathematics &amp; Statistics,Chemical Engineering,Physics &amp; Astronomy,Agriculture &amp; Forestry,Law,Psychology,Communication &amp; Media Studies,Education,Politics &amp; International Studies (incl Development Studies),Medicine &amp; Dentistry,Languages, Literature &amp; Linguistics,Biological Sciences,Art, Performing Arts &amp; Design</t>
  </si>
  <si>
    <t>National Aviation University</t>
  </si>
  <si>
    <t>History, Philosophy &amp; Theology,Mathematics &amp; Statistics,Geology, Environmental, Earth &amp; Marine Sciences,Accounting &amp; Finance,Electrical &amp; Electronic Engineering,Geography,Languages, Literature &amp; Linguistics,Biological Sciences,Chemistry,Economics &amp; Econometrics,Art, Performing Arts &amp; Design,Agriculture &amp; Forestry,Psychology,General Engineering,Communication &amp; Media Studies,Chemical Engineering,Law,Architecture,Physics &amp; Astronomy,Business &amp; Management,Computer Science,Politics &amp; International Studies (incl Development Studies),Civil Engineering,Education,Mechanical &amp; Aerospace Engineering,Sociology</t>
  </si>
  <si>
    <t>National Chiayi University</t>
  </si>
  <si>
    <t>Civil Engineering,Computer Science,Mathematics &amp; Statistics,Languages, Literature &amp; Linguistics,Chemistry,Electrical &amp; Electronic Engineering,Business &amp; Management,Biological Sciences,Art, Performing Arts &amp; Design,Agriculture &amp; Forestry,Mechanical &amp; Aerospace Engineering,Accounting &amp; Finance,Veterinary Science,Economics &amp; Econometrics,History, Philosophy &amp; Theology,Physics &amp; Astronomy,General Engineering,Education</t>
  </si>
  <si>
    <t>National Chi Nan University</t>
  </si>
  <si>
    <t>Sociology,Languages, Literature &amp; Linguistics,Business &amp; Management,Computer Science,Psychology,Chemical Engineering,History, Philosophy &amp; Theology,Accounting &amp; Finance,Civil Engineering,Economics &amp; Econometrics,Chemistry,Electrical &amp; Electronic Engineering,Politics &amp; International Studies (incl Development Studies),General Engineering,Education</t>
  </si>
  <si>
    <t>National University of CÃ³rdoba</t>
  </si>
  <si>
    <t>Politics &amp; International Studies (incl Development Studies),Electrical &amp; Electronic Engineering,Sociology,Agriculture &amp; Forestry,Geography,Chemical Engineering,Computer Science,Law,Communication &amp; Media Studies,Archaeology,Chemistry,General Engineering,Architecture,Accounting &amp; Finance,Geology, Environmental, Earth &amp; Marine Sciences,Mechanical &amp; Aerospace Engineering,Education,Physics &amp; Astronomy,Civil Engineering,Psychology,Biological Sciences,Art, Performing Arts &amp; Design,Medicine &amp; Dentistry,Languages, Literature &amp; Linguistics,Economics &amp; Econometrics,Other Health,Business &amp; Management,Mathematics &amp; Statistics,History, Philosophy &amp; Theology</t>
  </si>
  <si>
    <t>National University of Costa Rica</t>
  </si>
  <si>
    <t>Medicine &amp; Dentistry,Psychology,Mathematics &amp; Statistics,Politics &amp; International Studies (incl Development Studies),Art, Performing Arts &amp; Design,Physics &amp; Astronomy,Veterinary Science,Education,Sociology,Computer Science,Geology, Environmental, Earth &amp; Marine Sciences,Chemistry,Languages, Literature &amp; Linguistics,History, Philosophy &amp; Theology,Business &amp; Management,Agriculture &amp; Forestry,Geography,Economics &amp; Econometrics,Biological Sciences,Other Health</t>
  </si>
  <si>
    <t>National Formosa University</t>
  </si>
  <si>
    <t>Languages, Literature &amp; Linguistics,Biological Sciences,Art, Performing Arts &amp; Design,Electrical &amp; Electronic Engineering,Agriculture &amp; Forestry,Mechanical &amp; Aerospace Engineering,Accounting &amp; Finance,Business &amp; Management,General Engineering</t>
  </si>
  <si>
    <t>National Ilan University</t>
  </si>
  <si>
    <t>History, Philosophy &amp; Theology,Geography,Chemistry,General Engineering,Agriculture &amp; Forestry,Computer Science,Geology, Environmental, Earth &amp; Marine Sciences,Business &amp; Management,Physics &amp; Astronomy,Accounting &amp; Finance,Other Health,Psychology,Architecture,Sport Science,Economics &amp; Econometrics,Communication &amp; Media Studies,Civil Engineering,Politics &amp; International Studies (incl Development Studies),Electrical &amp; Electronic Engineering,Sociology,Mathematics &amp; Statistics,Chemical Engineering,Biological Sciences,Mechanical &amp; Aerospace Engineering,Languages, Literature &amp; Linguistics,Art, Performing Arts &amp; Design</t>
  </si>
  <si>
    <t>National University of Kaohsiung</t>
  </si>
  <si>
    <t>Sport Science,Business &amp; Management,Geology, Environmental, Earth &amp; Marine Sciences,Civil Engineering,Mathematics &amp; Statistics,Economics &amp; Econometrics,Biological Sciences,Physics &amp; Astronomy,Chemistry,Chemical Engineering,Electrical &amp; Electronic Engineering,Law,Computer Science,Accounting &amp; Finance,Architecture,Languages, Literature &amp; Linguistics,Art, Performing Arts &amp; Design</t>
  </si>
  <si>
    <t>National University of Life and Environmental Sciences of Ukraine</t>
  </si>
  <si>
    <t>Chemical Engineering,Business &amp; Management,History, Philosophy &amp; Theology,Biological Sciences,Other Health,Veterinary Science,Accounting &amp; Finance,Languages, Literature &amp; Linguistics,Politics &amp; International Studies (incl Development Studies),Economics &amp; Econometrics,Architecture,Sport Science,Agriculture &amp; Forestry,Education,Civil Engineering,Law,Computer Science,Geology, Environmental, Earth &amp; Marine Sciences,Communication &amp; Media Studies,Mechanical &amp; Aerospace Engineering,Psychology</t>
  </si>
  <si>
    <t>National University of Medical Sciences (NUMS)</t>
  </si>
  <si>
    <t>Education,Biological Sciences,Medicine &amp; Dentistry,Other Health,Agriculture &amp; Forestry,Psychology</t>
  </si>
  <si>
    <t>National Research Saratov State University</t>
  </si>
  <si>
    <t>Chemical Engineering,Geology, Environmental, Earth &amp; Marine Sciences,Business &amp; Management,Geography,Biological Sciences,Communication &amp; Media Studies,Politics &amp; International Studies (incl Development Studies),Computer Science,Electrical &amp; Electronic Engineering,Art, Performing Arts &amp; Design,History, Philosophy &amp; Theology,Sociology,Chemistry,Accounting &amp; Finance,Mathematics &amp; Statistics,Languages, Literature &amp; Linguistics,Education,Physics &amp; Astronomy,Psychology</t>
  </si>
  <si>
    <t>National University of San MartÃ­n</t>
  </si>
  <si>
    <t>Other Health,Biological Sciences,Sociology,Architecture,Civil Engineering,Business &amp; Management,Physics &amp; Astronomy,Accounting &amp; Finance,Archaeology,Mathematics &amp; Statistics,Geology, Environmental, Earth &amp; Marine Sciences,History, Philosophy &amp; Theology,Sport Science,Economics &amp; Econometrics,General Engineering,Communication &amp; Media Studies,Languages, Literature &amp; Linguistics,Agriculture &amp; Forestry,Politics &amp; International Studies (incl Development Studies),Electrical &amp; Electronic Engineering,Art, Performing Arts &amp; Design,Mechanical &amp; Aerospace Engineering,Education,Computer Science,Chemistry</t>
  </si>
  <si>
    <t>National Taichung University of Science and Technology</t>
  </si>
  <si>
    <t>Languages, Literature &amp; Linguistics,Computer Science,Electrical &amp; Electronic Engineering,Art, Performing Arts &amp; Design,Other Health,Accounting &amp; Finance,Business &amp; Management,Mathematics &amp; Statistics</t>
  </si>
  <si>
    <t>National Taipei University</t>
  </si>
  <si>
    <t>Mathematics &amp; Statistics,Business &amp; Management,Law,Languages, Literature &amp; Linguistics,Accounting &amp; Finance,Economics &amp; Econometrics,History, Philosophy &amp; Theology,Communication &amp; Media Studies,Archaeology,Geography,Sociology,Politics &amp; International Studies (incl Development Studies),Computer Science,Architecture,Art, Performing Arts &amp; Design</t>
  </si>
  <si>
    <t>National United University</t>
  </si>
  <si>
    <t>Languages, Literature &amp; Linguistics,Chemical Engineering,Business &amp; Management,Electrical &amp; Electronic Engineering,Accounting &amp; Finance,Mechanical &amp; Aerospace Engineering,Computer Science,General Engineering,Architecture,Art, Performing Arts &amp; Design,Communication &amp; Media Studies,Civil Engineering</t>
  </si>
  <si>
    <t>NED University of Engineering and Technology</t>
  </si>
  <si>
    <t>Electrical &amp; Electronic Engineering,Accounting &amp; Finance,Civil Engineering,History, Philosophy &amp; Theology,Geology, Environmental, Earth &amp; Marine Sciences,Politics &amp; International Studies (incl Development Studies),Chemical Engineering,Mechanical &amp; Aerospace Engineering,Business &amp; Management,Architecture,Physics &amp; Astronomy,General Engineering,Economics &amp; Econometrics,Chemistry,Computer Science,Mathematics &amp; Statistics</t>
  </si>
  <si>
    <t>Universitas Negeri Surabaya</t>
  </si>
  <si>
    <t>Computer Science,Psychology,Education,Economics &amp; Econometrics,Civil Engineering,Languages, Literature &amp; Linguistics,Art, Performing Arts &amp; Design,History, Philosophy &amp; Theology,Physics &amp; Astronomy,Mathematics &amp; Statistics,Geography,Chemistry,Electrical &amp; Electronic Engineering,Biological Sciences,Accounting &amp; Finance,Business &amp; Management,Sociology,Law,Mechanical &amp; Aerospace Engineering,Communication &amp; Media Studies,Sport Science</t>
  </si>
  <si>
    <t>Nizhny Novgorod State Technical University</t>
  </si>
  <si>
    <t>Mechanical &amp; Aerospace Engineering,Business &amp; Management,Economics &amp; Econometrics,Computer Science,Geology, Environmental, Earth &amp; Marine Sciences,Chemical Engineering,Communication &amp; Media Studies,Electrical &amp; Electronic Engineering,General Engineering,Chemistry</t>
  </si>
  <si>
    <t>Nnamdi Azikiwe University</t>
  </si>
  <si>
    <t>Geography,Agriculture &amp; Forestry,General Engineering,Languages, Literature &amp; Linguistics,Sociology,Law,Art, Performing Arts &amp; Design,Chemical Engineering,Economics &amp; Econometrics,Mathematics &amp; Statistics,Electrical &amp; Electronic Engineering,Computer Science,Business &amp; Management,History, Philosophy &amp; Theology,Sport Science,Medicine &amp; Dentistry,Psychology,Physics &amp; Astronomy,Mechanical &amp; Aerospace Engineering,Civil Engineering,Chemistry,Communication &amp; Media Studies,Politics &amp; International Studies (incl Development Studies),Other Health,Geology, Environmental, Earth &amp; Marine Sciences,Accounting &amp; Finance,Education,Architecture,Biological Sciences</t>
  </si>
  <si>
    <t>North-Caucasus Federal University</t>
  </si>
  <si>
    <t>Accounting &amp; Finance,Languages, Literature &amp; Linguistics,Psychology,Economics &amp; Econometrics,History, Philosophy &amp; Theology,Mathematics &amp; Statistics,Biological Sciences,Law,Education,Sport Science,Agriculture &amp; Forestry,Geology, Environmental, Earth &amp; Marine Sciences,Geography,Other Health,General Engineering,Computer Science,Politics &amp; International Studies (incl Development Studies),Electrical &amp; Electronic Engineering,Chemical Engineering,Sociology,Civil Engineering,Chemistry,Physics &amp; Astronomy,Medicine &amp; Dentistry,Communication &amp; Media Studies,Business &amp; Management</t>
  </si>
  <si>
    <t>University of the North, Colombia</t>
  </si>
  <si>
    <t>University of the North, Colombia Universidad del Norte UNINORTE</t>
  </si>
  <si>
    <t>Archaeology,Biological Sciences,Chemistry,Geology, Environmental, Earth &amp; Marine Sciences,Physics &amp; Astronomy,Art, Performing Arts &amp; Design,Education,Electrical &amp; Electronic Engineering,Law,Other Health,Accounting &amp; Finance,Politics &amp; International Studies (incl Development Studies),Economics &amp; Econometrics,Communication &amp; Media Studies,Psychology,Business &amp; Management,Medicine &amp; Dentistry,Civil Engineering,Architecture,Mathematics &amp; Statistics,History, Philosophy &amp; Theology,Computer Science,Languages, Literature &amp; Linguistics,Mechanical &amp; Aerospace Engineering</t>
  </si>
  <si>
    <t>North-Eastern Federal University</t>
  </si>
  <si>
    <t>Mechanical &amp; Aerospace Engineering,General Engineering,Geology, Environmental, Earth &amp; Marine Sciences,Economics &amp; Econometrics,Architecture,Mathematics &amp; Statistics,Art, Performing Arts &amp; Design,Medicine &amp; Dentistry,Psychology,History, Philosophy &amp; Theology,Biological Sciences,Education,Computer Science,Sociology,Civil Engineering,Veterinary Science,Chemistry,Archaeology,Accounting &amp; Finance,Business &amp; Management,Agriculture &amp; Forestry,Chemical Engineering,Sport Science,Communication &amp; Media Studies,Languages, Literature &amp; Linguistics,Physics &amp; Astronomy,Other Health,Electrical &amp; Electronic Engineering,Politics &amp; International Studies (incl Development Studies),Geography,Law</t>
  </si>
  <si>
    <t>Northern (Arctic) Federal University named after M.V. Lomonosov</t>
  </si>
  <si>
    <t>General Engineering,Electrical &amp; Electronic Engineering,Chemistry,Computer Science,Law,Geology, Environmental, Earth &amp; Marine Sciences,Architecture,Psychology,Geography,Politics &amp; International Studies (incl Development Studies),Archaeology,Communication &amp; Media Studies,Languages, Literature &amp; Linguistics,Economics &amp; Econometrics,Other Health,Sociology,Civil Engineering,Sport Science,Chemical Engineering,Education,Accounting &amp; Finance,Physics &amp; Astronomy,Mathematics &amp; Statistics,Mechanical &amp; Aerospace Engineering,Biological Sciences,Agriculture &amp; Forestry,History, Philosophy &amp; Theology,Business &amp; Management</t>
  </si>
  <si>
    <t>North-Western State Medical University named after I.I. Mechnikov</t>
  </si>
  <si>
    <t>Nosov Magnitogorsk State Technical University</t>
  </si>
  <si>
    <t>Electrical &amp; Electronic Engineering,Sociology,Architecture,Education,Accounting &amp; Finance,Mechanical &amp; Aerospace Engineering,Languages, Literature &amp; Linguistics,Computer Science,Mathematics &amp; Statistics,Chemistry,Civil Engineering,Physics &amp; Astronomy,History, Philosophy &amp; Theology,Chemical Engineering,Communication &amp; Media Studies,Business &amp; Management,General Engineering</t>
  </si>
  <si>
    <t>Universidade Nove de Julho (Uninove)</t>
  </si>
  <si>
    <t>Archaeology,Other Health,Biological Sciences,Law,Mechanical &amp; Aerospace Engineering,Chemistry,Geography,Computer Science,Physics &amp; Astronomy,Art, Performing Arts &amp; Design,Electrical &amp; Electronic Engineering,Geology, Environmental, Earth &amp; Marine Sciences,Medicine &amp; Dentistry,Sport Science,Sociology,History, Philosophy &amp; Theology,Civil Engineering,Communication &amp; Media Studies,Economics &amp; Econometrics,Languages, Literature &amp; Linguistics,Chemical Engineering,Politics &amp; International Studies (incl Development Studies),Accounting &amp; Finance,General Engineering,Veterinary Science,Psychology,Architecture,Agriculture &amp; Forestry,Education,Mathematics &amp; Statistics,Business &amp; Management</t>
  </si>
  <si>
    <t>University of Novi Sad</t>
  </si>
  <si>
    <t>Mathematics &amp; Statistics,Chemical Engineering,Other Health,Agriculture &amp; Forestry,Electrical &amp; Electronic Engineering,Law,History, Philosophy &amp; Theology,Geography,Biological Sciences,Languages, Literature &amp; Linguistics,Communication &amp; Media Studies,Education,Chemistry,Accounting &amp; Finance,Medicine &amp; Dentistry,Architecture,Civil Engineering,Sport Science,Business &amp; Management,General Engineering,Art, Performing Arts &amp; Design,Computer Science,Veterinary Science,Psychology,Sociology,Economics &amp; Econometrics,Mechanical &amp; Aerospace Engineering,Physics &amp; Astronomy</t>
  </si>
  <si>
    <t>Novosibirsk State Technical University</t>
  </si>
  <si>
    <t>Mechanical &amp; Aerospace Engineering,Chemical Engineering,Languages, Literature &amp; Linguistics,General Engineering,Physics &amp; Astronomy,Electrical &amp; Electronic Engineering,Politics &amp; International Studies (incl Development Studies),Accounting &amp; Finance,Communication &amp; Media Studies,Sociology,Psychology,Mathematics &amp; Statistics,Computer Science,Business &amp; Management,Economics &amp; Econometrics,Chemistry</t>
  </si>
  <si>
    <t>Nueva Granada Military University</t>
  </si>
  <si>
    <t>Medicine &amp; Dentistry,Economics &amp; Econometrics,Politics &amp; International Studies (incl Development Studies),Education,Biological Sciences,Law,Business &amp; Management,Civil Engineering,General Engineering,Accounting &amp; Finance,Computer Science,Electrical &amp; Electronic Engineering</t>
  </si>
  <si>
    <t>Obafemi Awolowo University</t>
  </si>
  <si>
    <t>Chemical Engineering,Agriculture &amp; Forestry,Geography,Languages, Literature &amp; Linguistics,Biological Sciences,Business &amp; Management,Civil Engineering,Sociology,Other Health,Chemistry,Accounting &amp; Finance,Architecture,Physics &amp; Astronomy,Geology, Environmental, Earth &amp; Marine Sciences,Economics &amp; Econometrics,Art, Performing Arts &amp; Design,Mechanical &amp; Aerospace Engineering,Communication &amp; Media Studies,History, Philosophy &amp; Theology,Computer Science,Politics &amp; International Studies (incl Development Studies),Electrical &amp; Electronic Engineering,Law,Medicine &amp; Dentistry,Mathematics &amp; Statistics,Education,Psychology</t>
  </si>
  <si>
    <t>Ogarev Mordovia State University</t>
  </si>
  <si>
    <t>Electrical &amp; Electronic Engineering,Chemical Engineering,Sociology,Medicine &amp; Dentistry,Chemistry,History, Philosophy &amp; Theology,Physics &amp; Astronomy,Economics &amp; Econometrics,General Engineering,Politics &amp; International Studies (incl Development Studies),Law,Other Health,Mathematics &amp; Statistics,Psychology,Architecture,Geology, Environmental, Earth &amp; Marine Sciences,Business &amp; Management,Computer Science,Communication &amp; Media Studies,Civil Engineering,Agriculture &amp; Forestry,Geography,Art, Performing Arts &amp; Design,Mechanical &amp; Aerospace Engineering,Veterinary Science,Languages, Literature &amp; Linguistics,Biological Sciences,Accounting &amp; Finance</t>
  </si>
  <si>
    <t>Oita University</t>
  </si>
  <si>
    <t>Mechanical &amp; Aerospace Engineering,Computer Science,Physics &amp; Astronomy,Chemistry,Electrical &amp; Electronic Engineering,Economics &amp; Econometrics,Other Health,Geology, Environmental, Earth &amp; Marine Sciences,Medicine &amp; Dentistry,Sociology,Education,Psychology,Architecture,Business &amp; Management,Mathematics &amp; Statistics</t>
  </si>
  <si>
    <t>NiÄŸde Ã–mer Halisdemir University</t>
  </si>
  <si>
    <t>Business &amp; Management,Geology, Environmental, Earth &amp; Marine Sciences,Electrical &amp; Electronic Engineering,Sport Science,Communication &amp; Media Studies,Geography,Agriculture &amp; Forestry,Architecture,Archaeology,Other Health,Psychology,History, Philosophy &amp; Theology,Medicine &amp; Dentistry,Accounting &amp; Finance,Biological Sciences,General Engineering,Physics &amp; Astronomy,Politics &amp; International Studies (incl Development Studies),Civil Engineering,Computer Science,Languages, Literature &amp; Linguistics,Sociology,Economics &amp; Econometrics,Mathematics &amp; Statistics,Chemistry,Art, Performing Arts &amp; Design,Education</t>
  </si>
  <si>
    <t>Omsk State Technical University</t>
  </si>
  <si>
    <t>Communication &amp; Media Studies,Mechanical &amp; Aerospace Engineering,General Engineering,Mathematics &amp; Statistics,Business &amp; Management,Economics &amp; Econometrics,Chemical Engineering,Civil Engineering,Languages, Literature &amp; Linguistics,Computer Science,Geology, Environmental, Earth &amp; Marine Sciences,Psychology,History, Philosophy &amp; Theology,Chemistry,Sport Science,Art, Performing Arts &amp; Design,Electrical &amp; Electronic Engineering,Biological Sciences,Physics &amp; Astronomy,Archaeology,Sociology</t>
  </si>
  <si>
    <t>Ondokuz Mayis University</t>
  </si>
  <si>
    <t>Languages, Literature &amp; Linguistics,Electrical &amp; Electronic Engineering,Mathematics &amp; Statistics,Business &amp; Management,Other Health,Biological Sciences,Psychology,Architecture,Sport Science,Politics &amp; International Studies (incl Development Studies),Medicine &amp; Dentistry,Chemistry,Accounting &amp; Finance,Mechanical &amp; Aerospace Engineering,Geology, Environmental, Earth &amp; Marine Sciences,Computer Science,Chemical Engineering,Education,History, Philosophy &amp; Theology,Veterinary Science,Sociology,Archaeology,Agriculture &amp; Forestry,Geography,Art, Performing Arts &amp; Design,General Engineering,Communication &amp; Media Studies,Economics &amp; Econometrics,Civil Engineering,Physics &amp; Astronomy,Law</t>
  </si>
  <si>
    <t>Oran 1 University</t>
  </si>
  <si>
    <t>General Engineering,Medicine &amp; Dentistry,Computer Science,Chemistry,Physics &amp; Astronomy,Biological Sciences,Languages, Literature &amp; Linguistics</t>
  </si>
  <si>
    <t>Ordu University</t>
  </si>
  <si>
    <t>Biological Sciences,Sport Science,Psychology,Other Health,Economics &amp; Econometrics,Chemistry,Accounting &amp; Finance,Geology, Environmental, Earth &amp; Marine Sciences,Physics &amp; Astronomy,Medicine &amp; Dentistry,Agriculture &amp; Forestry,Sociology,Mathematics &amp; Statistics,History, Philosophy &amp; Theology,Communication &amp; Media Studies,Languages, Literature &amp; Linguistics,Art, Performing Arts &amp; Design,Business &amp; Management,General Engineering,Education</t>
  </si>
  <si>
    <t>Osaka Institute of Technology</t>
  </si>
  <si>
    <t>Electrical &amp; Electronic Engineering,Business &amp; Management,Art, Performing Arts &amp; Design,Geology, Environmental, Earth &amp; Marine Sciences,Law,Computer Science,Chemical Engineering,Mechanical &amp; Aerospace Engineering,Civil Engineering,Biological Sciences,Architecture,Mathematics &amp; Statistics</t>
  </si>
  <si>
    <t>Osaka Medical and Pharmaceutical University</t>
  </si>
  <si>
    <t>University of Ostrava</t>
  </si>
  <si>
    <t>Agriculture &amp; Forestry,Mathematics &amp; Statistics,Computer Science,Politics &amp; International Studies (incl Development Studies),Medicine &amp; Dentistry,Biological Sciences,Communication &amp; Media Studies,Geology, Environmental, Earth &amp; Marine Sciences,Physics &amp; Astronomy,Other Health,Art, Performing Arts &amp; Design,Geography,Psychology,History, Philosophy &amp; Theology,Sociology,Education,Chemistry,Sport Science,Languages, Literature &amp; Linguistics</t>
  </si>
  <si>
    <t>Ovidius University of ConstanÈ›a</t>
  </si>
  <si>
    <t>Languages, Literature &amp; Linguistics,Geography,Other Health,Chemistry,Medicine &amp; Dentistry,Mathematics &amp; Statistics,History, Philosophy &amp; Theology,Sociology,Mechanical &amp; Aerospace Engineering,Business &amp; Management,Art, Performing Arts &amp; Design,Sport Science,Computer Science,Education,Biological Sciences,Accounting &amp; Finance,Civil Engineering,Law,Agriculture &amp; Forestry,Psychology</t>
  </si>
  <si>
    <t>Universitas Padjadjaran</t>
  </si>
  <si>
    <t>Languages, Literature &amp; Linguistics,Chemistry,Psychology,Architecture,Mathematics &amp; Statistics,Business &amp; Management,Medicine &amp; Dentistry,Communication &amp; Media Studies,Art, Performing Arts &amp; Design,Biological Sciences,Geography,Veterinary Science,Education,Archaeology,Physics &amp; Astronomy,Agriculture &amp; Forestry,Politics &amp; International Studies (incl Development Studies),Economics &amp; Econometrics,Computer Science,Geology, Environmental, Earth &amp; Marine Sciences,History, Philosophy &amp; Theology,Sport Science,Law,Other Health,Sociology,Accounting &amp; Finance</t>
  </si>
  <si>
    <t>Pamukkale University</t>
  </si>
  <si>
    <t>Languages, Literature &amp; Linguistics,Mathematics &amp; Statistics,Art, Performing Arts &amp; Design,Business &amp; Management,Physics &amp; Astronomy,Computer Science,Civil Engineering,Psychology,Other Health,Electrical &amp; Electronic Engineering,Archaeology,Biological Sciences,Accounting &amp; Finance,Geology, Environmental, Earth &amp; Marine Sciences,Veterinary Science,Agriculture &amp; Forestry,Communication &amp; Media Studies,General Engineering,Sport Science,Mechanical &amp; Aerospace Engineering,Law,History, Philosophy &amp; Theology,Medicine &amp; Dentistry,Chemical Engineering,Education,Sociology,Politics &amp; International Studies (incl Development Studies),Architecture,Chemistry,Geography,Economics &amp; Econometrics</t>
  </si>
  <si>
    <t>Universidad Panamericana (UP)</t>
  </si>
  <si>
    <t>Architecture,Computer Science,Communication &amp; Media Studies,Education,Medicine &amp; Dentistry,History, Philosophy &amp; Theology,Business &amp; Management,Mechanical &amp; Aerospace Engineering,Economics &amp; Econometrics,Psychology,Electrical &amp; Electronic Engineering,General Engineering,Other Health,Civil Engineering,Politics &amp; International Studies (incl Development Studies),Mathematics &amp; Statistics,Accounting &amp; Finance,Art, Performing Arts &amp; Design,Sociology,Law</t>
  </si>
  <si>
    <t>University of Pannonia</t>
  </si>
  <si>
    <t>Computer Science,Geology, Environmental, Earth &amp; Marine Sciences,Mechanical &amp; Aerospace Engineering,Psychology,Chemical Engineering,Economics &amp; Econometrics,Politics &amp; International Studies (incl Development Studies),Communication &amp; Media Studies,Electrical &amp; Electronic Engineering,Business &amp; Management,Chemistry,Sport Science,General Engineering,Accounting &amp; Finance,Languages, Literature &amp; Linguistics,Education</t>
  </si>
  <si>
    <t>University of Pardubice</t>
  </si>
  <si>
    <t>General Engineering,Geology, Environmental, Earth &amp; Marine Sciences,Mechanical &amp; Aerospace Engineering,Accounting &amp; Finance,Other Health,Mathematics &amp; Statistics,Electrical &amp; Electronic Engineering,Chemistry,History, Philosophy &amp; Theology,Physics &amp; Astronomy,Archaeology,Sport Science,Languages, Literature &amp; Linguistics,Chemical Engineering,Education,Computer Science,Sociology,Art, Performing Arts &amp; Design,Biological Sciences,Business &amp; Management,Civil Engineering,Economics &amp; Econometrics</t>
  </si>
  <si>
    <t>Pavlov First Saint Petersburg State Medical University</t>
  </si>
  <si>
    <t>Medicine &amp; Dentistry,Other Health,Psychology,Sport Science</t>
  </si>
  <si>
    <t>Payame Noor University</t>
  </si>
  <si>
    <t>Electrical &amp; Electronic Engineering,Biological Sciences,Psychology,Chemical Engineering,Sociology,Languages, Literature &amp; Linguistics,Agriculture &amp; Forestry,Law,Computer Science,Sport Science,Geography,Architecture,Communication &amp; Media Studies,Business &amp; Management,History, Philosophy &amp; Theology,Chemistry,Education,Art, Performing Arts &amp; Design,Civil Engineering,Politics &amp; International Studies (incl Development Studies),Mechanical &amp; Aerospace Engineering,Geology, Environmental, Earth &amp; Marine Sciences,Archaeology,Mathematics &amp; Statistics,Accounting &amp; Finance,General Engineering,Physics &amp; Astronomy</t>
  </si>
  <si>
    <t>Pedagogical and Technological University of Colombia</t>
  </si>
  <si>
    <t>General Engineering,Mathematics &amp; Statistics,Computer Science,Biological Sciences,Psychology,Art, Performing Arts &amp; Design,Chemistry,Economics &amp; Econometrics,Medicine &amp; Dentistry,Sport Science,Electrical &amp; Electronic Engineering,Chemical Engineering,Education,Languages, Literature &amp; Linguistics,Agriculture &amp; Forestry,History, Philosophy &amp; Theology,Veterinary Science,Business &amp; Management,Architecture,Law,Geography,Accounting &amp; Finance,Civil Engineering,Physics &amp; Astronomy</t>
  </si>
  <si>
    <t>University of the Peloponnese</t>
  </si>
  <si>
    <t>Art, Performing Arts &amp; Design,Sport Science,Electrical &amp; Electronic Engineering,Languages, Literature &amp; Linguistics,Agriculture &amp; Forestry,Archaeology,Mechanical &amp; Aerospace Engineering,Computer Science,Accounting &amp; Finance,Politics &amp; International Studies (incl Development Studies),Economics &amp; Econometrics,History, Philosophy &amp; Theology,Business &amp; Management,Education,Civil Engineering,Other Health,Sociology</t>
  </si>
  <si>
    <t>Universitas Pendidikan Indonesia</t>
  </si>
  <si>
    <t>Mechanical &amp; Aerospace Engineering,Sociology,Languages, Literature &amp; Linguistics,Communication &amp; Media Studies,Mathematics &amp; Statistics,Economics &amp; Econometrics,Art, Performing Arts &amp; Design,Sport Science,Psychology,Other Health,Geology, Environmental, Earth &amp; Marine Sciences,Electrical &amp; Electronic Engineering,Chemistry,History, Philosophy &amp; Theology,Civil Engineering,Education,Computer Science,Physics &amp; Astronomy,Accounting &amp; Finance,Architecture,Agriculture &amp; Forestry,Business &amp; Management,Biological Sciences,Geography</t>
  </si>
  <si>
    <t>Penza State University</t>
  </si>
  <si>
    <t>Electrical &amp; Electronic Engineering,Sport Science,History, Philosophy &amp; Theology,Communication &amp; Media Studies,Languages, Literature &amp; Linguistics,Geology, Environmental, Earth &amp; Marine Sciences,General Engineering,Mathematics &amp; Statistics,Economics &amp; Econometrics,Medicine &amp; Dentistry,Geography,Accounting &amp; Finance,Computer Science,Chemistry,Archaeology,Sociology,Art, Performing Arts &amp; Design,Biological Sciences,Law,Mechanical &amp; Aerospace Engineering,Physics &amp; Astronomy,Business &amp; Management,Other Health,Politics &amp; International Studies (incl Development Studies),Psychology,Education</t>
  </si>
  <si>
    <t>Perm National Research Polytechnic University</t>
  </si>
  <si>
    <t>History, Philosophy &amp; Theology,Geology, Environmental, Earth &amp; Marine Sciences,General Engineering,Sociology,Chemical Engineering,Communication &amp; Media Studies,Accounting &amp; Finance,Sport Science,Electrical &amp; Electronic Engineering,Civil Engineering,Chemistry,Languages, Literature &amp; Linguistics,Business &amp; Management,Politics &amp; International Studies (incl Development Studies),Computer Science,Mechanical &amp; Aerospace Engineering,Physics &amp; Astronomy,Mathematics &amp; Statistics,Art, Performing Arts &amp; Design</t>
  </si>
  <si>
    <t>Perm State University</t>
  </si>
  <si>
    <t>Biological Sciences,Business &amp; Management,Art, Performing Arts &amp; Design,Agriculture &amp; Forestry,Education,Mechanical &amp; Aerospace Engineering,Communication &amp; Media Studies,Languages, Literature &amp; Linguistics,Mathematics &amp; Statistics,Law,Economics &amp; Econometrics,Archaeology,Chemistry,Accounting &amp; Finance,Computer Science,Geography,History, Philosophy &amp; Theology,Sociology,Chemical Engineering,Geology, Environmental, Earth &amp; Marine Sciences,Physics &amp; Astronomy,Psychology,Electrical &amp; Electronic Engineering,Politics &amp; International Studies (incl Development Studies)</t>
  </si>
  <si>
    <t>University of Pernambuco</t>
  </si>
  <si>
    <t>Civil Engineering,Law,Languages, Literature &amp; Linguistics,Medicine &amp; Dentistry,Sport Science,Mechanical &amp; Aerospace Engineering,Computer Science,Accounting &amp; Finance,Education,Psychology,Biological Sciences,General Engineering,History, Philosophy &amp; Theology,Business &amp; Management,Electrical &amp; Electronic Engineering</t>
  </si>
  <si>
    <t>Universidad Peruana de Ciencias Aplicadas (UPC)</t>
  </si>
  <si>
    <t>Medicine &amp; Dentistry,Law,Computer Science,Education,Civil Engineering,Electrical &amp; Electronic Engineering,Other Health,Politics &amp; International Studies (incl Development Studies),Biological Sciences,Business &amp; Management,Architecture,Veterinary Science,Art, Performing Arts &amp; Design,Communication &amp; Media Studies,Accounting &amp; Finance,General Engineering,Psychology,Sport Science,Economics &amp; Econometrics</t>
  </si>
  <si>
    <t>University of Phayao</t>
  </si>
  <si>
    <t>Art, Performing Arts &amp; Design,Law,Agriculture &amp; Forestry,General Engineering,Politics &amp; International Studies (incl Development Studies),Business &amp; Management,Civil Engineering,Chemistry,Biological Sciences,Sociology,Economics &amp; Econometrics,Languages, Literature &amp; Linguistics,Computer Science,Other Health,Architecture,Veterinary Science,Mechanical &amp; Aerospace Engineering,Communication &amp; Media Studies,Mathematics &amp; Statistics,Geography,Accounting &amp; Finance,Medicine &amp; Dentistry,Education,Sport Science,Electrical &amp; Electronic Engineering,Physics &amp; Astronomy</t>
  </si>
  <si>
    <t>Universidad PolitÃ©cnica Salesiana</t>
  </si>
  <si>
    <t>Architecture,Politics &amp; International Studies (incl Development Studies),Psychology,Computer Science,Biological Sciences,Languages, Literature &amp; Linguistics,Geology, Environmental, Earth &amp; Marine Sciences,Accounting &amp; Finance,Art, Performing Arts &amp; Design,Mathematics &amp; Statistics,Civil Engineering,Business &amp; Management,Agriculture &amp; Forestry,Education,Other Health,Mechanical &amp; Aerospace Engineering,Sociology,Medicine &amp; Dentistry,Communication &amp; Media Studies,Law,History, Philosophy &amp; Theology,Sport Science,Economics &amp; Econometrics,Electrical &amp; Electronic Engineering,Veterinary Science</t>
  </si>
  <si>
    <t>Polytechnic University of Bucharest</t>
  </si>
  <si>
    <t>Mathematics &amp; Statistics,Civil Engineering,Chemical Engineering,Electrical &amp; Electronic Engineering,General Engineering,Mechanical &amp; Aerospace Engineering,Computer Science,Physics &amp; Astronomy</t>
  </si>
  <si>
    <t>Polytechnic University of TimiÅŸoara</t>
  </si>
  <si>
    <t>General Engineering,Mathematics &amp; Statistics,Civil Engineering,Communication &amp; Media Studies,Mechanical &amp; Aerospace Engineering,Computer Science,Electrical &amp; Electronic Engineering,Chemical Engineering,Art, Performing Arts &amp; Design,Business &amp; Management,Architecture</t>
  </si>
  <si>
    <t>Pontifical Catholic University of Minas Gerais</t>
  </si>
  <si>
    <t>Biological Sciences,Physics &amp; Astronomy,Architecture,Business &amp; Management,Sport Science,Art, Performing Arts &amp; Design,Languages, Literature &amp; Linguistics,History, Philosophy &amp; Theology,Geography,Veterinary Science,Computer Science,Education,Civil Engineering,Sociology,Electrical &amp; Electronic Engineering,Chemical Engineering,Law,Psychology,Economics &amp; Econometrics,Medicine &amp; Dentistry,General Engineering,Politics &amp; International Studies (incl Development Studies),Accounting &amp; Finance,Mechanical &amp; Aerospace Engineering,Mathematics &amp; Statistics,Other Health,Communication &amp; Media Studies</t>
  </si>
  <si>
    <t>Universidad Pontificia Bolivariana (UPB)</t>
  </si>
  <si>
    <t>Law,Chemical Engineering,Mechanical &amp; Aerospace Engineering,Architecture,Education,Communication &amp; Media Studies,Computer Science,Business &amp; Management,General Engineering,History, Philosophy &amp; Theology,Electrical &amp; Electronic Engineering,Politics &amp; International Studies (incl Development Studies),Medicine &amp; Dentistry,Psychology</t>
  </si>
  <si>
    <t>Pontificia Universidad CatÃ³lica del Ecuador</t>
  </si>
  <si>
    <t>Mechanical &amp; Aerospace Engineering,Business &amp; Management,History, Philosophy &amp; Theology,Communication &amp; Media Studies,Archaeology,Veterinary Science,Geography,Architecture,Biological Sciences,Sociology,Other Health,Geology, Environmental, Earth &amp; Marine Sciences,Education,Art, Performing Arts &amp; Design,Politics &amp; International Studies (incl Development Studies),Civil Engineering,Accounting &amp; Finance,Agriculture &amp; Forestry,Economics &amp; Econometrics,Languages, Literature &amp; Linguistics,Computer Science,Psychology,Medicine &amp; Dentistry,Chemistry,Law</t>
  </si>
  <si>
    <t>University of Port Harcourt</t>
  </si>
  <si>
    <t>Other Health,Electrical &amp; Electronic Engineering,Communication &amp; Media Studies,History, Philosophy &amp; Theology,Computer Science,Civil Engineering,Accounting &amp; Finance,Languages, Literature &amp; Linguistics,Chemistry,Business &amp; Management,Mechanical &amp; Aerospace Engineering,Geology, Environmental, Earth &amp; Marine Sciences,Art, Performing Arts &amp; Design,Mathematics &amp; Statistics,Psychology,General Engineering,Physics &amp; Astronomy,Education,Biological Sciences,Politics &amp; International Studies (incl Development Studies),Medicine &amp; Dentistry,Sport Science,Sociology,Chemical Engineering,Geography,Agriculture &amp; Forestry,Law,Economics &amp; Econometrics</t>
  </si>
  <si>
    <t>Prague University of Economics and Business</t>
  </si>
  <si>
    <t>Mathematics &amp; Statistics,Law,Business &amp; Management,Communication &amp; Media Studies,Economics &amp; Econometrics,Accounting &amp; Finance,Politics &amp; International Studies (incl Development Studies)</t>
  </si>
  <si>
    <t>University of Primorska</t>
  </si>
  <si>
    <t>Sport Science,Computer Science,Geography,Archaeology,Politics &amp; International Studies (incl Development Studies),Languages, Literature &amp; Linguistics,Biological Sciences,Agriculture &amp; Forestry,Education,Other Health,Art, Performing Arts &amp; Design,Mathematics &amp; Statistics,Civil Engineering,Business &amp; Management,Psychology,Geology, Environmental, Earth &amp; Marine Sciences,History, Philosophy &amp; Theology,Communication &amp; Media Studies</t>
  </si>
  <si>
    <t>University of Prishtina</t>
  </si>
  <si>
    <t>Kosovo</t>
  </si>
  <si>
    <t>Medicine &amp; Dentistry,Sport Science,Geography,Chemical Engineering,Computer Science,Physics &amp; Astronomy,History, Philosophy &amp; Theology,Archaeology,Accounting &amp; Finance,Biological Sciences,Sociology,Art, Performing Arts &amp; Design,Geology, Environmental, Earth &amp; Marine Sciences,Law,Other Health,Veterinary Science,Architecture,Languages, Literature &amp; Linguistics,Politics &amp; International Studies (incl Development Studies),Electrical &amp; Electronic Engineering,Business &amp; Management,Economics &amp; Econometrics,Mathematics &amp; Statistics,Agriculture &amp; Forestry,Mechanical &amp; Aerospace Engineering,Communication &amp; Media Studies,Psychology,Chemistry,Education,Civil Engineering</t>
  </si>
  <si>
    <t>Privolzhsky Research Medical University</t>
  </si>
  <si>
    <t>Medicine &amp; Dentistry,History, Philosophy &amp; Theology,Languages, Literature &amp; Linguistics,Physics &amp; Astronomy,Mathematics &amp; Statistics,Other Health,Psychology,Law,Economics &amp; Econometrics,Biological Sciences,Computer Science,Chemistry</t>
  </si>
  <si>
    <t>PSG College of Technology</t>
  </si>
  <si>
    <t>Electrical &amp; Electronic Engineering,Chemistry,Physics &amp; Astronomy,Business &amp; Management,Civil Engineering,Computer Science,General Engineering,Mathematics &amp; Statistics,Mechanical &amp; Aerospace Engineering</t>
  </si>
  <si>
    <t>Recep Tayyip ErdoÄŸan University</t>
  </si>
  <si>
    <t>General Engineering,Biological Sciences,Art, Performing Arts &amp; Design,Agriculture &amp; Forestry,Accounting &amp; Finance,Electrical &amp; Electronic Engineering,Civil Engineering,Politics &amp; International Studies (incl Development Studies),Languages, Literature &amp; Linguistics,Physics &amp; Astronomy,Law,Architecture,Mechanical &amp; Aerospace Engineering,Chemistry,Medicine &amp; Dentistry,Geology, Environmental, Earth &amp; Marine Sciences,Computer Science,Chemical Engineering,Education,History, Philosophy &amp; Theology,Mathematics &amp; Statistics,Economics &amp; Econometrics,Other Health,Sport Science,Business &amp; Management</t>
  </si>
  <si>
    <t>REVA University</t>
  </si>
  <si>
    <t>Biological Sciences,Chemistry,General Engineering,Law,Electrical &amp; Electronic Engineering,Languages, Literature &amp; Linguistics,Mechanical &amp; Aerospace Engineering,Business &amp; Management,Civil Engineering,Architecture,Art, Performing Arts &amp; Design,Accounting &amp; Finance,Physics &amp; Astronomy,Mathematics &amp; Statistics,History, Philosophy &amp; Theology</t>
  </si>
  <si>
    <t>Riga StradiÅ†Å¡ University</t>
  </si>
  <si>
    <t>Psychology,Sport Science,Biological Sciences,Sociology,Medicine &amp; Dentistry,Law,Communication &amp; Media Studies,Other Health,Politics &amp; International Studies (incl Development Studies),Business &amp; Management</t>
  </si>
  <si>
    <t>University of Rijeka</t>
  </si>
  <si>
    <t>Mechanical &amp; Aerospace Engineering,Accounting &amp; Finance,Mathematics &amp; Statistics,Medicine &amp; Dentistry,Education,Computer Science,Other Health,Law,Civil Engineering,Art, Performing Arts &amp; Design,Electrical &amp; Electronic Engineering,Physics &amp; Astronomy,Languages, Literature &amp; Linguistics,Biological Sciences,Business &amp; Management,Architecture,Economics &amp; Econometrics,History, Philosophy &amp; Theology,Psychology</t>
  </si>
  <si>
    <t>Russian Presidential Academy of National Economy and Public Administration</t>
  </si>
  <si>
    <t>Law,History, Philosophy &amp; Theology,Economics &amp; Econometrics,Psychology,Politics &amp; International Studies (incl Development Studies),Accounting &amp; Finance,Computer Science,Languages, Literature &amp; Linguistics,Sociology,Communication &amp; Media Studies,Business &amp; Management</t>
  </si>
  <si>
    <t>Russian State University for the Humanities</t>
  </si>
  <si>
    <t>Mathematics &amp; Statistics,Law,Communication &amp; Media Studies,Politics &amp; International Studies (incl Development Studies),Art, Performing Arts &amp; Design,Accounting &amp; Finance,Computer Science,Archaeology,Sociology,Languages, Literature &amp; Linguistics,Economics &amp; Econometrics,Psychology,Education,History, Philosophy &amp; Theology,Business &amp; Management</t>
  </si>
  <si>
    <t>R V College of Engineering</t>
  </si>
  <si>
    <t>R V College of Engineering RVCE R V College of Engineering India</t>
  </si>
  <si>
    <t>Civil Engineering,Computer Science,Electrical &amp; Electronic Engineering,Chemical Engineering,Mechanical &amp; Aerospace Engineering,General Engineering</t>
  </si>
  <si>
    <t>Ryukoku University</t>
  </si>
  <si>
    <t>Law,Accounting &amp; Finance,Electrical &amp; Electronic Engineering,Sociology,Education,Chemical Engineering,General Engineering,Geology, Environmental, Earth &amp; Marine Sciences,Archaeology,Economics &amp; Econometrics,Biological Sciences,Communication &amp; Media Studies,History, Philosophy &amp; Theology,Agriculture &amp; Forestry,Politics &amp; International Studies (incl Development Studies),Chemistry,Psychology,Mathematics &amp; Statistics,Sport Science,Mechanical &amp; Aerospace Engineering,Computer Science,Languages, Literature &amp; Linguistics,Business &amp; Management</t>
  </si>
  <si>
    <t>University of the Ryukyus</t>
  </si>
  <si>
    <t>Other Health,Physics &amp; Astronomy,Art, Performing Arts &amp; Design,Civil Engineering,Sociology,Archaeology,Chemical Engineering,Psychology,Electrical &amp; Electronic Engineering,Geology, Environmental, Earth &amp; Marine Sciences,Economics &amp; Econometrics,Architecture,Biological Sciences,Education,Computer Science,Sport Science,Law,History, Philosophy &amp; Theology,Mechanical &amp; Aerospace Engineering,Communication &amp; Media Studies,Business &amp; Management,General Engineering,Mathematics &amp; Statistics,Geography,Medicine &amp; Dentistry,Chemistry,Accounting &amp; Finance,Languages, Literature &amp; Linguistics,Agriculture &amp; Forestry,Politics &amp; International Studies (incl Development Studies)</t>
  </si>
  <si>
    <t>RzeszÃ³w University of Technology</t>
  </si>
  <si>
    <t>Electrical &amp; Electronic Engineering,Business &amp; Management,Mathematics &amp; Statistics,Physics &amp; Astronomy,Computer Science,Sociology,Civil Engineering,Architecture,Chemical Engineering,Biological Sciences,General Engineering,Chemistry,Mechanical &amp; Aerospace Engineering,Accounting &amp; Finance</t>
  </si>
  <si>
    <t>University of La Sabana</t>
  </si>
  <si>
    <t>Languages, Literature &amp; Linguistics,Other Health,Communication &amp; Media Studies,Politics &amp; International Studies (incl Development Studies),General Engineering,Computer Science,Mechanical &amp; Aerospace Engineering,Medicine &amp; Dentistry,Psychology,Geology, Environmental, Earth &amp; Marine Sciences,Business &amp; Management,Physics &amp; Astronomy,History, Philosophy &amp; Theology,Chemical Engineering,Civil Engineering,Education,Chemistry,Law,Economics &amp; Econometrics</t>
  </si>
  <si>
    <t>Saga University</t>
  </si>
  <si>
    <t>Agriculture &amp; Forestry,Chemistry,Medicine &amp; Dentistry,Mathematics &amp; Statistics,Education,Civil Engineering,Economics &amp; Econometrics,Other Health,Art, Performing Arts &amp; Design,Physics &amp; Astronomy,Mechanical &amp; Aerospace Engineering,Sociology,Business &amp; Management,General Engineering,Electrical &amp; Electronic Engineering,Accounting &amp; Finance,Chemical Engineering,Languages, Literature &amp; Linguistics,Biological Sciences</t>
  </si>
  <si>
    <t>Saitama University</t>
  </si>
  <si>
    <t>Electrical &amp; Electronic Engineering,Computer Science,Psychology,General Engineering,Mathematics &amp; Statistics,Sociology,Accounting &amp; Finance,Physics &amp; Astronomy,Chemical Engineering,Education,Archaeology,Art, Performing Arts &amp; Design,Biological Sciences,Law,Geography,Business &amp; Management,Economics &amp; Econometrics,Civil Engineering,Politics &amp; International Studies (incl Development Studies),History, Philosophy &amp; Theology,Languages, Literature &amp; Linguistics,Geology, Environmental, Earth &amp; Marine Sciences,Mechanical &amp; Aerospace Engineering,Communication &amp; Media Studies,Chemistry</t>
  </si>
  <si>
    <t>Samara State Technical University</t>
  </si>
  <si>
    <t>Languages, Literature &amp; Linguistics,Geology, Environmental, Earth &amp; Marine Sciences,Chemistry,Mechanical &amp; Aerospace Engineering,Education,Computer Science,Communication &amp; Media Studies,History, Philosophy &amp; Theology,Civil Engineering,Accounting &amp; Finance,Architecture,Art, Performing Arts &amp; Design,Physics &amp; Astronomy,General Engineering,Biological Sciences,Chemical Engineering,Electrical &amp; Electronic Engineering,Business &amp; Management,Mathematics &amp; Statistics,Economics &amp; Econometrics</t>
  </si>
  <si>
    <t>San SebastiÃ¡n University</t>
  </si>
  <si>
    <t>Sport Science,Veterinary Science,Medicine &amp; Dentistry,Law,Art, Performing Arts &amp; Design,Computer Science,Mathematics &amp; Statistics,Chemical Engineering,Accounting &amp; Finance,History, Philosophy &amp; Theology,Education,Psychology,Civil Engineering,General Engineering,Architecture,Biological Sciences</t>
  </si>
  <si>
    <t>University of Santiago, Chile (USACH)</t>
  </si>
  <si>
    <t>Other Health,Physics &amp; Astronomy,Education,Art, Performing Arts &amp; Design,Agriculture &amp; Forestry,Psychology,Computer Science,Law,Medicine &amp; Dentistry,Civil Engineering,Architecture,Chemical Engineering,Accounting &amp; Finance,Languages, Literature &amp; Linguistics,Sport Science,Business &amp; Management,Electrical &amp; Electronic Engineering,Communication &amp; Media Studies,History, Philosophy &amp; Theology,Mathematics &amp; Statistics,Economics &amp; Econometrics,General Engineering,Politics &amp; International Studies (incl Development Studies),Mechanical &amp; Aerospace Engineering,Chemistry,Biological Sciences</t>
  </si>
  <si>
    <t>University of Santo Tomas</t>
  </si>
  <si>
    <t>Law,Education,Mechanical &amp; Aerospace Engineering,Chemistry,Politics &amp; International Studies (incl Development Studies),Business &amp; Management,Medicine &amp; Dentistry,Geology, Environmental, Earth &amp; Marine Sciences,Languages, Literature &amp; Linguistics,Chemical Engineering,Economics &amp; Econometrics,Architecture,Communication &amp; Media Studies,Computer Science,Biological Sciences,General Engineering,Art, Performing Arts &amp; Design,Electrical &amp; Electronic Engineering,Accounting &amp; Finance,Civil Engineering,Physics &amp; Astronomy,Psychology,Mathematics &amp; Statistics,Other Health,History, Philosophy &amp; Theology,Sport Science,Sociology</t>
  </si>
  <si>
    <t>University of Sarajevo</t>
  </si>
  <si>
    <t>Bosnia and Herzegovina</t>
  </si>
  <si>
    <t>Languages, Literature &amp; Linguistics,Agriculture &amp; Forestry,Chemistry,Civil Engineering,Geography,Computer Science,Geology, Environmental, Earth &amp; Marine Sciences,Medicine &amp; Dentistry,Veterinary Science,Sociology,Business &amp; Management,Other Health,Mathematics &amp; Statistics,Accounting &amp; Finance,Art, Performing Arts &amp; Design,Sport Science,Politics &amp; International Studies (incl Development Studies),Archaeology,Mechanical &amp; Aerospace Engineering,Education,Architecture,Biological Sciences,Law,History, Philosophy &amp; Theology,Physics &amp; Astronomy,Psychology,Electrical &amp; Electronic Engineering,Communication &amp; Media Studies,Economics &amp; Econometrics</t>
  </si>
  <si>
    <t>Saratov State Medical University</t>
  </si>
  <si>
    <t>Satbayev University</t>
  </si>
  <si>
    <t>Electrical &amp; Electronic Engineering,Economics &amp; Econometrics,Business &amp; Management,General Engineering,Geology, Environmental, Earth &amp; Marine Sciences,Architecture,Mechanical &amp; Aerospace Engineering,Chemical Engineering,Civil Engineering,Art, Performing Arts &amp; Design,Biological Sciences,Computer Science</t>
  </si>
  <si>
    <t>University of Sciences and Technology Houari Boumediene</t>
  </si>
  <si>
    <t>Physics &amp; Astronomy,Architecture,General Engineering,Civil Engineering,Chemistry,Computer Science,Mathematics &amp; Statistics,Business &amp; Management,Other Health,Mechanical &amp; Aerospace Engineering,Biological Sciences,Geology, Environmental, Earth &amp; Marine Sciences</t>
  </si>
  <si>
    <t>University of Science and Technology of Oran Mohamed-Boudiaf</t>
  </si>
  <si>
    <t>Biological Sciences,General Engineering,Physics &amp; Astronomy,Computer Science,Veterinary Science,Mathematics &amp; Statistics,Mechanical &amp; Aerospace Engineering,Agriculture &amp; Forestry,Chemical Engineering,Sport Science,Electrical &amp; Electronic Engineering,Civil Engineering,Chemistry</t>
  </si>
  <si>
    <t>SGH Warsaw School of Economics</t>
  </si>
  <si>
    <t>Sociology,Politics &amp; International Studies (incl Development Studies),Mathematics &amp; Statistics,Geography,Communication &amp; Media Studies,Computer Science,Business &amp; Management,Law,Economics &amp; Econometrics,Accounting &amp; Finance</t>
  </si>
  <si>
    <t>Shahed University</t>
  </si>
  <si>
    <t>Civil Engineering,Art, Performing Arts &amp; Design,History, Philosophy &amp; Theology,Politics &amp; International Studies (incl Development Studies),Electrical &amp; Electronic Engineering,Business &amp; Management,Physics &amp; Astronomy,Computer Science,Languages, Literature &amp; Linguistics,Biological Sciences,Mathematics &amp; Statistics,Sociology,Psychology,Education,Other Health,Law,Medicine &amp; Dentistry,Agriculture &amp; Forestry,Sport Science</t>
  </si>
  <si>
    <t>Shimane University</t>
  </si>
  <si>
    <t>Shimane University Shimane Shimadai</t>
  </si>
  <si>
    <t>Sociology,Architecture,Chemical Engineering,Biological Sciences,Psychology,Education,Geography,Computer Science,Other Health,Languages, Literature &amp; Linguistics,Geology, Environmental, Earth &amp; Marine Sciences,Chemistry,Politics &amp; International Studies (incl Development Studies),Civil Engineering,Medicine &amp; Dentistry,Sport Science,Archaeology,Law,Agriculture &amp; Forestry,History, Philosophy &amp; Theology,Economics &amp; Econometrics,Art, Performing Arts &amp; Design,Physics &amp; Astronomy,General Engineering,Mechanical &amp; Aerospace Engineering,Mathematics &amp; Statistics,Electrical &amp; Electronic Engineering</t>
  </si>
  <si>
    <t>Shizuoka University</t>
  </si>
  <si>
    <t>Archaeology,Communication &amp; Media Studies,Electrical &amp; Electronic Engineering,Chemistry,Accounting &amp; Finance,Languages, Literature &amp; Linguistics,Sport Science,Economics &amp; Econometrics,Biological Sciences,Education,Chemical Engineering,Law,Agriculture &amp; Forestry,Sociology,History, Philosophy &amp; Theology,Mathematics &amp; Statistics,Mechanical &amp; Aerospace Engineering,Politics &amp; International Studies (incl Development Studies),General Engineering,Geology, Environmental, Earth &amp; Marine Sciences,Computer Science,Physics &amp; Astronomy,Business &amp; Management</t>
  </si>
  <si>
    <t>University of Shizuoka</t>
  </si>
  <si>
    <t>Other Health,Biological Sciences,Business &amp; Management,Agriculture &amp; Forestry,Politics &amp; International Studies (incl Development Studies)</t>
  </si>
  <si>
    <t>Reshetnev Siberian State University of Science and Technology</t>
  </si>
  <si>
    <t>Psychology,Languages, Literature &amp; Linguistics,Biological Sciences,Mechanical &amp; Aerospace Engineering,Chemical Engineering,Economics &amp; Econometrics,Civil Engineering,Communication &amp; Media Studies,History, Philosophy &amp; Theology,Physics &amp; Astronomy,Agriculture &amp; Forestry,Business &amp; Management,Electrical &amp; Electronic Engineering,Education,Computer Science,Mathematics &amp; Statistics,Architecture,Sociology,General Engineering</t>
  </si>
  <si>
    <t>Siberian State Medical University</t>
  </si>
  <si>
    <t>Biological Sciences,Chemistry,Languages, Literature &amp; Linguistics,Education,Medicine &amp; Dentistry,Economics &amp; Econometrics,Business &amp; Management,Sport Science,History, Philosophy &amp; Theology,Mathematics &amp; Statistics,Law,Psychology,Other Health,Sociology</t>
  </si>
  <si>
    <t>Sichuan University of Science and Engineering</t>
  </si>
  <si>
    <t>Mechanical &amp; Aerospace Engineering,Psychology,Business &amp; Management,Electrical &amp; Electronic Engineering,Civil Engineering,Chemistry,Languages, Literature &amp; Linguistics,Physics &amp; Astronomy,Economics &amp; Econometrics,Accounting &amp; Finance,Computer Science,Geology, Environmental, Earth &amp; Marine Sciences,Chemical Engineering,Law,Architecture,Mathematics &amp; Statistics,Art, Performing Arts &amp; Design,Biological Sciences,Education</t>
  </si>
  <si>
    <t>University of Silesia in Katowice</t>
  </si>
  <si>
    <t>History, Philosophy &amp; Theology,Geography,Politics &amp; International Studies (incl Development Studies),Mathematics &amp; Statistics,Computer Science,Education,Art, Performing Arts &amp; Design,Law,Biological Sciences,Sociology,Communication &amp; Media Studies,Geology, Environmental, Earth &amp; Marine Sciences,Psychology,Chemistry,Languages, Literature &amp; Linguistics,Physics &amp; Astronomy</t>
  </si>
  <si>
    <t>Silpakorn University</t>
  </si>
  <si>
    <t>Psychology,Archaeology,Biological Sciences,Architecture,Chemical Engineering,Business &amp; Management,Geography,Agriculture &amp; Forestry,Politics &amp; International Studies (incl Development Studies),Sport Science,Languages, Literature &amp; Linguistics,Chemistry,Education,Computer Science,General Engineering,Communication &amp; Media Studies,Other Health,Art, Performing Arts &amp; Design,Mathematics &amp; Statistics,History, Philosophy &amp; Theology,Veterinary Science,Electrical &amp; Electronic Engineering,Economics &amp; Econometrics,Accounting &amp; Finance,Geology, Environmental, Earth &amp; Marine Sciences,Physics &amp; Astronomy,Mechanical &amp; Aerospace Engineering,Sociology</t>
  </si>
  <si>
    <t>University of Sistan and Baluchestan</t>
  </si>
  <si>
    <t>History, Philosophy &amp; Theology,Physics &amp; Astronomy,Psychology,General Engineering,Agriculture &amp; Forestry,Sociology,Mechanical &amp; Aerospace Engineering,Geology, Environmental, Earth &amp; Marine Sciences,Education,Languages, Literature &amp; Linguistics,Biological Sciences,Economics &amp; Econometrics,Art, Performing Arts &amp; Design,Civil Engineering,Communication &amp; Media Studies,Architecture,Mathematics &amp; Statistics,Accounting &amp; Finance,Law,Computer Science,Chemical Engineering,Politics &amp; International Studies (incl Development Studies),Electrical &amp; Electronic Engineering,Sport Science,Geography,Archaeology,Chemistry,Business &amp; Management</t>
  </si>
  <si>
    <t>Sivas Cumhuriyet University</t>
  </si>
  <si>
    <t>Electrical &amp; Electronic Engineering,Other Health,Civil Engineering,Economics &amp; Econometrics,Languages, Literature &amp; Linguistics,Medicine &amp; Dentistry,Art, Performing Arts &amp; Design,Biological Sciences,Law,Agriculture &amp; Forestry,Mathematics &amp; Statistics,Communication &amp; Media Studies,Chemical Engineering,Education,Sociology,Architecture,Archaeology,Mechanical &amp; Aerospace Engineering,Accounting &amp; Finance,Chemistry,Physics &amp; Astronomy,Politics &amp; International Studies (incl Development Studies),Business &amp; Management,General Engineering,Geology, Environmental, Earth &amp; Marine Sciences,Computer Science,Psychology,History, Philosophy &amp; Theology,Sport Science,Veterinary Science,Geography</t>
  </si>
  <si>
    <t>Slovak University of Technology in Bratislava</t>
  </si>
  <si>
    <t>Electrical &amp; Electronic Engineering,Mechanical &amp; Aerospace Engineering,Mathematics &amp; Statistics,Chemistry,Biological Sciences,Geology, Environmental, Earth &amp; Marine Sciences,Civil Engineering,Computer Science,Politics &amp; International Studies (incl Development Studies),Economics &amp; Econometrics,Physics &amp; Astronomy,General Engineering,Art, Performing Arts &amp; Design,Architecture,Chemical Engineering,Business &amp; Management</t>
  </si>
  <si>
    <t>Sofia University</t>
  </si>
  <si>
    <t>Geology, Environmental, Earth &amp; Marine Sciences,Archaeology,Communication &amp; Media Studies,Languages, Literature &amp; Linguistics,Psychology,Chemistry,Chemical Engineering,Education,Law,Mathematics &amp; Statistics,Geography,Other Health,Accounting &amp; Finance,Physics &amp; Astronomy,Economics &amp; Econometrics,Business &amp; Management,Sociology,Politics &amp; International Studies (incl Development Studies),Biological Sciences,Medicine &amp; Dentistry,Computer Science,Art, Performing Arts &amp; Design,History, Philosophy &amp; Theology</t>
  </si>
  <si>
    <t>University of Sonora</t>
  </si>
  <si>
    <t>Architecture,Physics &amp; Astronomy,Economics &amp; Econometrics,General Engineering,Communication &amp; Media Studies,Computer Science,Chemistry,Electrical &amp; Electronic Engineering,Mathematics &amp; Statistics,Accounting &amp; Finance,Art, Performing Arts &amp; Design,Agriculture &amp; Forestry,Psychology,Medicine &amp; Dentistry,Veterinary Science,Business &amp; Management,Civil Engineering,Geology, Environmental, Earth &amp; Marine Sciences,Languages, Literature &amp; Linguistics,Biological Sciences,Law,History, Philosophy &amp; Theology,Chemical Engineering,Education,Other Health,Sport Science,Sociology</t>
  </si>
  <si>
    <t>Sophia University</t>
  </si>
  <si>
    <t>Sophia University sofia SU</t>
  </si>
  <si>
    <t>Physics &amp; Astronomy,Accounting &amp; Finance,Mathematics &amp; Statistics,Business &amp; Management,Biological Sciences,Psychology,Computer Science,Communication &amp; Media Studies,Electrical &amp; Electronic Engineering,Politics &amp; International Studies (incl Development Studies),History, Philosophy &amp; Theology,Geology, Environmental, Earth &amp; Marine Sciences,General Engineering,Sociology,Chemical Engineering,Education,Mechanical &amp; Aerospace Engineering,Law,Languages, Literature &amp; Linguistics,Chemistry,Economics &amp; Econometrics</t>
  </si>
  <si>
    <t>Southwest State University</t>
  </si>
  <si>
    <t>Electrical &amp; Electronic Engineering,Physics &amp; Astronomy,Languages, Literature &amp; Linguistics,Politics &amp; International Studies (incl Development Studies),Chemical Engineering,Economics &amp; Econometrics,Computer Science,Psychology,Civil Engineering,Architecture,Other Health,Chemistry,Business &amp; Management,Communication &amp; Media Studies,Accounting &amp; Finance,Geology, Environmental, Earth &amp; Marine Sciences,Mathematics &amp; Statistics,Sociology,Law,General Engineering,Mechanical &amp; Aerospace Engineering</t>
  </si>
  <si>
    <t>University of Sri Jayewardenepura</t>
  </si>
  <si>
    <t>Languages, Literature &amp; Linguistics,Agriculture &amp; Forestry,Law,History, Philosophy &amp; Theology,Mathematics &amp; Statistics,Business &amp; Management,Medicine &amp; Dentistry,Chemistry,Psychology,Archaeology,General Engineering,Communication &amp; Media Studies,Economics &amp; Econometrics,Other Health,Biological Sciences,Architecture,Art, Performing Arts &amp; Design,Chemical Engineering,Sociology,Civil Engineering,Politics &amp; International Studies (incl Development Studies),Computer Science,Physics &amp; Astronomy,Geography,Electrical &amp; Electronic Engineering,Sport Science,Accounting &amp; Finance,Mechanical &amp; Aerospace Engineering,Geology, Environmental, Earth &amp; Marine Sciences</t>
  </si>
  <si>
    <t>Srinakharinwirot University</t>
  </si>
  <si>
    <t>Chemistry,Politics &amp; International Studies (incl Development Studies),Art, Performing Arts &amp; Design,Chemical Engineering,Education,Medicine &amp; Dentistry,Sport Science,Psychology,Other Health,Agriculture &amp; Forestry,Geography,Biological Sciences,Business &amp; Management,Electrical &amp; Electronic Engineering,Mathematics &amp; Statistics,Accounting &amp; Finance,Computer Science,Geology, Environmental, Earth &amp; Marine Sciences,Economics &amp; Econometrics,History, Philosophy &amp; Theology,Mechanical &amp; Aerospace Engineering,Law,General Engineering,Physics &amp; Astronomy,Sociology,Languages, Literature &amp; Linguistics,Civil Engineering,Communication &amp; Media Studies</t>
  </si>
  <si>
    <t>Universitas Sriwijaya</t>
  </si>
  <si>
    <t>Civil Engineering,Chemical Engineering,Architecture,Communication &amp; Media Studies,Education,Biological Sciences,Psychology,Medicine &amp; Dentistry,Politics &amp; International Studies (incl Development Studies),Geology, Environmental, Earth &amp; Marine Sciences,Mathematics &amp; Statistics,Law,Languages, Literature &amp; Linguistics,Other Health,Computer Science,Economics &amp; Econometrics,Physics &amp; Astronomy,Accounting &amp; Finance,Agriculture &amp; Forestry,History, Philosophy &amp; Theology,Electrical &amp; Electronic Engineering,Business &amp; Management,Sociology,General Engineering,Chemistry,Mechanical &amp; Aerospace Engineering</t>
  </si>
  <si>
    <t>Saints Cyril and Methodius University in Skopje</t>
  </si>
  <si>
    <t>North Macedonia</t>
  </si>
  <si>
    <t>Chemistry,Art, Performing Arts &amp; Design,General Engineering,Politics &amp; International Studies (incl Development Studies),Law,Accounting &amp; Finance,Computer Science,Veterinary Science,Biological Sciences,Mechanical &amp; Aerospace Engineering,Physics &amp; Astronomy,Architecture,Psychology,Chemical Engineering,Business &amp; Management,Sport Science,Education,Languages, Literature &amp; Linguistics,Geography,Agriculture &amp; Forestry,History, Philosophy &amp; Theology,Medicine &amp; Dentistry,Archaeology,Electrical &amp; Electronic Engineering,Civil Engineering,Mathematics &amp; Statistics,Sociology</t>
  </si>
  <si>
    <t>State University of Bahia</t>
  </si>
  <si>
    <t>General Engineering,Politics &amp; International Studies (incl Development Studies),Civil Engineering,Chemistry,Architecture,Geography,Other Health,Mathematics &amp; Statistics,Law,Art, Performing Arts &amp; Design,History, Philosophy &amp; Theology,Veterinary Science,Sport Science,Business &amp; Management,Biological Sciences,Sociology,Agriculture &amp; Forestry,Communication &amp; Media Studies,Accounting &amp; Finance,Medicine &amp; Dentistry,Education,Economics &amp; Econometrics,Archaeology,Physics &amp; Astronomy,Psychology,Languages, Literature &amp; Linguistics,Computer Science,Geology, Environmental, Earth &amp; Marine Sciences</t>
  </si>
  <si>
    <t>State University of Malang</t>
  </si>
  <si>
    <t>History, Philosophy &amp; Theology,Physics &amp; Astronomy,Computer Science,Education,Electrical &amp; Electronic Engineering,Geography,Sport Science,Accounting &amp; Finance,General Engineering,Communication &amp; Media Studies,Art, Performing Arts &amp; Design,Mechanical &amp; Aerospace Engineering,Chemistry,Other Health,Biological Sciences,Economics &amp; Econometrics,Languages, Literature &amp; Linguistics,Mathematics &amp; Statistics,Business &amp; Management,Medicine &amp; Dentistry,Psychology,Civil Engineering,Sociology</t>
  </si>
  <si>
    <t>State University of Ponta Grossa</t>
  </si>
  <si>
    <t>Other Health,Communication &amp; Media Studies,Medicine &amp; Dentistry,Mathematics &amp; Statistics,Economics &amp; Econometrics,Agriculture &amp; Forestry,Law,Civil Engineering,Business &amp; Management,Languages, Literature &amp; Linguistics,Sociology,Accounting &amp; Finance,Computer Science,Sport Science,History, Philosophy &amp; Theology,Education,Chemistry,Biological Sciences,Geography,General Engineering,Physics &amp; Astronomy</t>
  </si>
  <si>
    <t>State University of Santa Cruz</t>
  </si>
  <si>
    <t>Mathematics &amp; Statistics,General Engineering,Languages, Literature &amp; Linguistics,Computer Science,Veterinary Science,Chemistry,Physics &amp; Astronomy,Economics &amp; Econometrics,Accounting &amp; Finance,Sociology,Mechanical &amp; Aerospace Engineering,Civil Engineering,Communication &amp; Media Studies,Education,Medicine &amp; Dentistry,Sport Science,Archaeology,Law,Biological Sciences,Geology, Environmental, Earth &amp; Marine Sciences,Art, Performing Arts &amp; Design,Agriculture &amp; Forestry,Other Health,Chemical Engineering,History, Philosophy &amp; Theology,Business &amp; Management,Geography,Electrical &amp; Electronic Engineering,Politics &amp; International Studies (incl Development Studies)</t>
  </si>
  <si>
    <t>SÃ¼leyman Demirel University</t>
  </si>
  <si>
    <t>Politics &amp; International Studies (incl Development Studies),Mechanical &amp; Aerospace Engineering,Psychology,Economics &amp; Econometrics,Chemical Engineering,Law,Geography,Archaeology,Medicine &amp; Dentistry,Communication &amp; Media Studies,Business &amp; Management,Physics &amp; Astronomy,Languages, Literature &amp; Linguistics,Sociology,Sport Science,Chemistry,Education,Other Health,History, Philosophy &amp; Theology,Art, Performing Arts &amp; Design,Accounting &amp; Finance,Biological Sciences,Computer Science,Mathematics &amp; Statistics,Civil Engineering,Architecture,Geology, Environmental, Earth &amp; Marine Sciences,Electrical &amp; Electronic Engineering</t>
  </si>
  <si>
    <t>UniversitÃ© Sultan Moulay Slimane</t>
  </si>
  <si>
    <t>Other Health,Agriculture &amp; Forestry,Languages, Literature &amp; Linguistics,Mechanical &amp; Aerospace Engineering,Chemistry,Law,Chemical Engineering,Education,Civil Engineering,Physics &amp; Astronomy,Psychology,Mathematics &amp; Statistics,Medicine &amp; Dentistry,Geography,Business &amp; Management,Computer Science,Sociology,History, Philosophy &amp; Theology,General Engineering,Economics &amp; Econometrics,Geology, Environmental, Earth &amp; Marine Sciences,Biological Sciences,Communication &amp; Media Studies,Accounting &amp; Finance,Electrical &amp; Electronic Engineering</t>
  </si>
  <si>
    <t>Universitas Sumatera Utara</t>
  </si>
  <si>
    <t>Sociology,General Engineering,Languages, Literature &amp; Linguistics,Art, Performing Arts &amp; Design,Medicine &amp; Dentistry,Physics &amp; Astronomy,Business &amp; Management,Chemical Engineering,Other Health,Civil Engineering,Accounting &amp; Finance,Communication &amp; Media Studies,Economics &amp; Econometrics,History, Philosophy &amp; Theology,Agriculture &amp; Forestry,Architecture,Politics &amp; International Studies (incl Development Studies),Chemistry,Computer Science,Law,Biological Sciences,Electrical &amp; Electronic Engineering,Mathematics &amp; Statistics,Mechanical &amp; Aerospace Engineering,Psychology</t>
  </si>
  <si>
    <t>SzÃ©chenyi IstvÃ¡n University</t>
  </si>
  <si>
    <t>Architecture,Law,Business &amp; Management,Other Health,Sport Science,Electrical &amp; Electronic Engineering,Accounting &amp; Finance,General Engineering,Education,Civil Engineering,Agriculture &amp; Forestry,Art, Performing Arts &amp; Design,Economics &amp; Econometrics,Mechanical &amp; Aerospace Engineering,Politics &amp; International Studies (incl Development Studies),Sociology,Computer Science</t>
  </si>
  <si>
    <t>Tamil Nadu Agricultural University</t>
  </si>
  <si>
    <t>Technical University of Liberec</t>
  </si>
  <si>
    <t>Art, Performing Arts &amp; Design,Civil Engineering,Mathematics &amp; Statistics,Electrical &amp; Electronic Engineering,Languages, Literature &amp; Linguistics,Mechanical &amp; Aerospace Engineering,General Engineering,Education,History, Philosophy &amp; Theology,Economics &amp; Econometrics,Computer Science,Chemistry,Other Health,Business &amp; Management,Chemical Engineering,Architecture,Physics &amp; Astronomy</t>
  </si>
  <si>
    <t>Technical University of Sofia</t>
  </si>
  <si>
    <t>Computer Science,Business &amp; Management,Civil Engineering,Education,Mathematics &amp; Statistics,General Engineering,Physics &amp; Astronomy,Electrical &amp; Electronic Engineering,Mechanical &amp; Aerospace Engineering</t>
  </si>
  <si>
    <t>Technological University of Pereira</t>
  </si>
  <si>
    <t>Civil Engineering,Accounting &amp; Finance,Other Health,Physics &amp; Astronomy,Computer Science,Agriculture &amp; Forestry,Business &amp; Management,History, Philosophy &amp; Theology,Biological Sciences,Communication &amp; Media Studies,Education,Medicine &amp; Dentistry,Electrical &amp; Electronic Engineering,Geology, Environmental, Earth &amp; Marine Sciences,Languages, Literature &amp; Linguistics,Veterinary Science,Economics &amp; Econometrics,Art, Performing Arts &amp; Design,Mechanical &amp; Aerospace Engineering,Sport Science,General Engineering,Mathematics &amp; Statistics,Chemistry</t>
  </si>
  <si>
    <t>Universidad TÃ©cnica Particular de Loja</t>
  </si>
  <si>
    <t>Economics &amp; Econometrics,Other Health,Mathematics &amp; Statistics,Sport Science,Law,Medicine &amp; Dentistry,Civil Engineering,Geology, Environmental, Earth &amp; Marine Sciences,Electrical &amp; Electronic Engineering,Biological Sciences,General Engineering,Accounting &amp; Finance,Art, Performing Arts &amp; Design,Chemistry,Computer Science,Communication &amp; Media Studies,History, Philosophy &amp; Theology,Business &amp; Management,Agriculture &amp; Forestry,Languages, Literature &amp; Linguistics,Psychology,Chemical Engineering,Education,Physics &amp; Astronomy,Architecture</t>
  </si>
  <si>
    <t>Universidade TecnolÃ³gica Federal do ParanÃ¡ (UTFPR)</t>
  </si>
  <si>
    <t>Chemical Engineering,Communication &amp; Media Studies,Electrical &amp; Electronic Engineering,Civil Engineering,Education,Agriculture &amp; Forestry,Art, Performing Arts &amp; Design,Chemistry,Mathematics &amp; Statistics,Geology, Environmental, Earth &amp; Marine Sciences,Mechanical &amp; Aerospace Engineering,General Engineering,Business &amp; Management,Accounting &amp; Finance,Architecture,Veterinary Science,Sport Science,Biological Sciences,Languages, Literature &amp; Linguistics,Computer Science,Physics &amp; Astronomy</t>
  </si>
  <si>
    <t>Teikyo University</t>
  </si>
  <si>
    <t>Medicine &amp; Dentistry,History, Philosophy &amp; Theology,Other Health,Mechanical &amp; Aerospace Engineering,Electrical &amp; Electronic Engineering,Education,Sport Science,Sociology,Psychology,Accounting &amp; Finance,Geography,Law,Communication &amp; Media Studies,General Engineering,Archaeology,Languages, Literature &amp; Linguistics,Computer Science,Economics &amp; Econometrics,Biological Sciences,Politics &amp; International Studies (incl Development Studies),Business &amp; Management</t>
  </si>
  <si>
    <t>Universiti Teknologi MARA</t>
  </si>
  <si>
    <t>Education,Business &amp; Management,Politics &amp; International Studies (incl Development Studies),Architecture,Accounting &amp; Finance,Biological Sciences,Electrical &amp; Electronic Engineering,Economics &amp; Econometrics,Art, Performing Arts &amp; Design,Mechanical &amp; Aerospace Engineering,Computer Science,Physics &amp; Astronomy,Sport Science,Sociology,General Engineering,Geology, Environmental, Earth &amp; Marine Sciences,History, Philosophy &amp; Theology,Geography,Communication &amp; Media Studies,Chemistry,Chemical Engineering,Veterinary Science,Medicine &amp; Dentistry,Languages, Literature &amp; Linguistics,Law,Other Health,Mathematics &amp; Statistics,Agriculture &amp; Forestry,Psychology,Civil Engineering</t>
  </si>
  <si>
    <t>Telkom University</t>
  </si>
  <si>
    <t>General Engineering,Art, Performing Arts &amp; Design,Computer Science,Electrical &amp; Electronic Engineering,Communication &amp; Media Studies,Business &amp; Management,Mechanical &amp; Aerospace Engineering,Accounting &amp; Finance,Architecture</t>
  </si>
  <si>
    <t>Temuco Catholic University</t>
  </si>
  <si>
    <t>Other Health,Sociology,Veterinary Science,Art, Performing Arts &amp; Design,Electrical &amp; Electronic Engineering,Business &amp; Management,Architecture,Biological Sciences,Agriculture &amp; Forestry,Law,Languages, Literature &amp; Linguistics,Geology, Environmental, Earth &amp; Marine Sciences,Accounting &amp; Finance,History, Philosophy &amp; Theology,Civil Engineering,Psychology,Computer Science,Mathematics &amp; Statistics,Archaeology,Politics &amp; International Studies (incl Development Studies),General Engineering,Education</t>
  </si>
  <si>
    <t>Tokat GaziosmanpaÅŸa University</t>
  </si>
  <si>
    <t>Art, Performing Arts &amp; Design,Computer Science,Mechanical &amp; Aerospace Engineering,Geography,Agriculture &amp; Forestry,Education,Electrical &amp; Electronic Engineering,Law,Other Health,Physics &amp; Astronomy,Languages, Literature &amp; Linguistics,Sport Science,Economics &amp; Econometrics,Civil Engineering,Politics &amp; International Studies (incl Development Studies),Biological Sciences,Accounting &amp; Finance,History, Philosophy &amp; Theology,Mathematics &amp; Statistics,Business &amp; Management,Medicine &amp; Dentistry,Chemistry</t>
  </si>
  <si>
    <t>Tokyo University of Agriculture</t>
  </si>
  <si>
    <t>Business &amp; Management,Biological Sciences,Sociology,Geography,Politics &amp; International Studies (incl Development Studies),Civil Engineering,Chemistry,Economics &amp; Econometrics,Agriculture &amp; Forestry,Geology, Environmental, Earth &amp; Marine Sciences</t>
  </si>
  <si>
    <t>Tokyo City University</t>
  </si>
  <si>
    <t>Business &amp; Management,Agriculture &amp; Forestry,Sociology,General Engineering,Other Health,Electrical &amp; Electronic Engineering,Geography,Mathematics &amp; Statistics,Mechanical &amp; Aerospace Engineering,Computer Science,Chemical Engineering,Politics &amp; International Studies (incl Development Studies),Geology, Environmental, Earth &amp; Marine Sciences,Chemistry,Communication &amp; Media Studies,Physics &amp; Astronomy,Psychology,Education,Architecture,Civil Engineering</t>
  </si>
  <si>
    <t>Tokyo Denki University</t>
  </si>
  <si>
    <t>Civil Engineering,General Engineering,Chemical Engineering,Electrical &amp; Electronic Engineering,Computer Science,Mechanical &amp; Aerospace Engineering</t>
  </si>
  <si>
    <t>Tomsk State University of Control Systems and Radioelectronics</t>
  </si>
  <si>
    <t>Sociology,Electrical &amp; Electronic Engineering,Business &amp; Management,Economics &amp; Econometrics,Law,General Engineering,Accounting &amp; Finance,Physics &amp; Astronomy,Mathematics &amp; Statistics</t>
  </si>
  <si>
    <t>Tottori University</t>
  </si>
  <si>
    <t>Sport Science,Law,Psychology,History, Philosophy &amp; Theology,Veterinary Science,Computer Science,Geography,Archaeology,Mathematics &amp; Statistics,Electrical &amp; Electronic Engineering,Biological Sciences,Accounting &amp; Finance,Education,Physics &amp; Astronomy,Other Health,Civil Engineering,Languages, Literature &amp; Linguistics,General Engineering,Politics &amp; International Studies (incl Development Studies),Agriculture &amp; Forestry,Sociology,Architecture,Communication &amp; Media Studies,Medicine &amp; Dentistry,Chemical Engineering,Economics &amp; Econometrics,Chemistry,Mechanical &amp; Aerospace Engineering,Business &amp; Management,Geology, Environmental, Earth &amp; Marine Sciences,Art, Performing Arts &amp; Design</t>
  </si>
  <si>
    <t>Toyama Prefectural University</t>
  </si>
  <si>
    <t>Civil Engineering,Physics &amp; Astronomy,Other Health,Computer Science,General Engineering,Electrical &amp; Electronic Engineering,Mathematics &amp; Statistics,Mechanical &amp; Aerospace Engineering,Chemical Engineering,Chemistry,Biological Sciences</t>
  </si>
  <si>
    <t>Toyo University</t>
  </si>
  <si>
    <t>Sport Science,Law,Chemistry,Archaeology,Civil Engineering,History, Philosophy &amp; Theology,General Engineering,Languages, Literature &amp; Linguistics,Geology, Environmental, Earth &amp; Marine Sciences,Business &amp; Management,Agriculture &amp; Forestry,Computer Science,Politics &amp; International Studies (incl Development Studies),Mechanical &amp; Aerospace Engineering,Accounting &amp; Finance,Geography,Electrical &amp; Electronic Engineering,Other Health,Mathematics &amp; Statistics,Chemical Engineering,Art, Performing Arts &amp; Design,Physics &amp; Astronomy,Communication &amp; Media Studies,Sociology,Architecture,Education,Economics &amp; Econometrics,Biological Sciences,Psychology</t>
  </si>
  <si>
    <t>Tula State University</t>
  </si>
  <si>
    <t>Civil Engineering,Education,Computer Science,Physics &amp; Astronomy,Psychology,History, Philosophy &amp; Theology,General Engineering,Sociology,Art, Performing Arts &amp; Design,Biological Sciences,Accounting &amp; Finance,Other Health,Chemistry,Electrical &amp; Electronic Engineering,Geology, Environmental, Earth &amp; Marine Sciences,Architecture,Communication &amp; Media Studies,Economics &amp; Econometrics,Medicine &amp; Dentistry,Mathematics &amp; Statistics,Law,Languages, Literature &amp; Linguistics,Chemical Engineering,Business &amp; Management,Mechanical &amp; Aerospace Engineering,Politics &amp; International Studies (incl Development Studies)</t>
  </si>
  <si>
    <t>Ufa University of Science and Technology</t>
  </si>
  <si>
    <t>History, Philosophy &amp; Theology,Chemistry,Mechanical &amp; Aerospace Engineering,Sociology,Computer Science,Communication &amp; Media Studies,Biological Sciences,Politics &amp; International Studies (incl Development Studies),Archaeology,Geology, Environmental, Earth &amp; Marine Sciences,Economics &amp; Econometrics,General Engineering,Geography,Mathematics &amp; Statistics,Psychology,Languages, Literature &amp; Linguistics,Chemical Engineering,Law,Other Health,Physics &amp; Astronomy,Accounting &amp; Finance,Electrical &amp; Electronic Engineering,Education,Business &amp; Management</t>
  </si>
  <si>
    <t>Ufa State Petroleum Technological University</t>
  </si>
  <si>
    <t>Computer Science,Communication &amp; Media Studies,General Engineering,Chemical Engineering,Electrical &amp; Electronic Engineering,Business &amp; Management,Politics &amp; International Studies (incl Development Studies),Art, Performing Arts &amp; Design,Economics &amp; Econometrics,Accounting &amp; Finance,Civil Engineering</t>
  </si>
  <si>
    <t>Universiti Malaysia Sabah (UMS)</t>
  </si>
  <si>
    <t>Art, Performing Arts &amp; Design,Agriculture &amp; Forestry,Sociology,Medicine &amp; Dentistry,Communication &amp; Media Studies,Mechanical &amp; Aerospace Engineering,Veterinary Science,Geography,Civil Engineering,Sport Science,Education,Languages, Literature &amp; Linguistics,Biological Sciences,Psychology,Electrical &amp; Electronic Engineering,Geology, Environmental, Earth &amp; Marine Sciences,Economics &amp; Econometrics,History, Philosophy &amp; Theology,Politics &amp; International Studies (incl Development Studies),Business &amp; Management,General Engineering,Chemistry,Other Health,Chemical Engineering,Mathematics &amp; Statistics,Accounting &amp; Finance,Computer Science,Physics &amp; Astronomy</t>
  </si>
  <si>
    <t>UÅŸak University</t>
  </si>
  <si>
    <t>Other Health,Computer Science,Languages, Literature &amp; Linguistics,Education,Business &amp; Management,Politics &amp; International Studies (incl Development Studies),Sociology,Sport Science,Civil Engineering,History, Philosophy &amp; Theology,General Engineering,Economics &amp; Econometrics,Medicine &amp; Dentistry,Geography,Agriculture &amp; Forestry,Art, Performing Arts &amp; Design,Biological Sciences,Mathematics &amp; Statistics,Archaeology,Accounting &amp; Finance,Psychology,Architecture,Electrical &amp; Electronic Engineering,Communication &amp; Media Studies</t>
  </si>
  <si>
    <t>Utsunomiya University</t>
  </si>
  <si>
    <t>General Engineering,Art, Performing Arts &amp; Design,Biological Sciences,Psychology,Civil Engineering,Mathematics &amp; Statistics,Law,Chemical Engineering,Communication &amp; Media Studies,Architecture,Chemistry,Education,Computer Science,Agriculture &amp; Forestry,Sociology,Languages, Literature &amp; Linguistics,Sport Science,Mechanical &amp; Aerospace Engineering,Physics &amp; Astronomy,Geography,Electrical &amp; Electronic Engineering,Geology, Environmental, Earth &amp; Marine Sciences,History, Philosophy &amp; Theology,Politics &amp; International Studies (incl Development Studies)</t>
  </si>
  <si>
    <t>Uzhhorod National University</t>
  </si>
  <si>
    <t>Archaeology,Business &amp; Management,Electrical &amp; Electronic Engineering,Physics &amp; Astronomy,Economics &amp; Econometrics,Law,Sociology,Chemistry,General Engineering,Geology, Environmental, Earth &amp; Marine Sciences,Psychology,Other Health,Civil Engineering,Communication &amp; Media Studies,Accounting &amp; Finance,Computer Science,Agriculture &amp; Forestry,Mechanical &amp; Aerospace Engineering,Geography,Mathematics &amp; Statistics,Languages, Literature &amp; Linguistics,History, Philosophy &amp; Theology,Sport Science,Education,Chemical Engineering,Biological Sciences,Medicine &amp; Dentistry,Politics &amp; International Studies (incl Development Studies)</t>
  </si>
  <si>
    <t>Universidad del Valle</t>
  </si>
  <si>
    <t>History, Philosophy &amp; Theology,Mechanical &amp; Aerospace Engineering,Communication &amp; Media Studies,Sport Science,Politics &amp; International Studies (incl Development Studies),Other Health,Mathematics &amp; Statistics,Accounting &amp; Finance,Architecture,Chemical Engineering,Geography,Medicine &amp; Dentistry,Biological Sciences,Sociology,Computer Science,Agriculture &amp; Forestry,Business &amp; Management,General Engineering,Chemistry,Economics &amp; Econometrics,Languages, Literature &amp; Linguistics,Physics &amp; Astronomy,Psychology,Art, Performing Arts &amp; Design,Electrical &amp; Electronic Engineering,Geology, Environmental, Earth &amp; Marine Sciences,Civil Engineering,Education</t>
  </si>
  <si>
    <t>University of ValparaÃ­so</t>
  </si>
  <si>
    <t>Biological Sciences,Psychology,General Engineering,Physics &amp; Astronomy,Sociology,Art, Performing Arts &amp; Design,Geology, Environmental, Earth &amp; Marine Sciences,Computer Science,Business &amp; Management,Medicine &amp; Dentistry,Education,Other Health,Law,Mathematics &amp; Statistics,Architecture,Chemistry,Civil Engineering,Accounting &amp; Finance</t>
  </si>
  <si>
    <t>Van YÃ¼zÃ¼ncÃ¼ Yil University</t>
  </si>
  <si>
    <t>Archaeology,Veterinary Science,Law,History, Philosophy &amp; Theology,Civil Engineering,Geography,Medicine &amp; Dentistry,Sport Science,Accounting &amp; Finance,General Engineering,Mathematics &amp; Statistics,Psychology,Electrical &amp; Electronic Engineering,Geology, Environmental, Earth &amp; Marine Sciences,Business &amp; Management,Architecture,Mechanical &amp; Aerospace Engineering,Physics &amp; Astronomy,Education,Languages, Literature &amp; Linguistics,Chemical Engineering,Politics &amp; International Studies (incl Development Studies),Art, Performing Arts &amp; Design,Agriculture &amp; Forestry,Sociology,Other Health,Biological Sciences,Communication &amp; Media Studies,Computer Science,Chemistry,Economics &amp; Econometrics</t>
  </si>
  <si>
    <t>Instituto PolitÃ©cnico de Viana do Castelo</t>
  </si>
  <si>
    <t>Electrical &amp; Electronic Engineering,Accounting &amp; Finance,Geology, Environmental, Earth &amp; Marine Sciences,Veterinary Science,Art, Performing Arts &amp; Design,Biological Sciences,Computer Science,Education,Civil Engineering,Mechanical &amp; Aerospace Engineering,Sociology,Agriculture &amp; Forestry,Other Health,Business &amp; Management,Sport Science</t>
  </si>
  <si>
    <t>Vietnam National University (Ho Chi Minh City)</t>
  </si>
  <si>
    <t>Vietnam National University (Ho Chi Minh City) VNUHCM VNU-HCM VNU HCM</t>
  </si>
  <si>
    <t>Computer Science,Geology, Environmental, Earth &amp; Marine Sciences,Agriculture &amp; Forestry,Sociology,Medicine &amp; Dentistry,Civil Engineering,Geography,Economics &amp; Econometrics,Other Health,Communication &amp; Media Studies,Languages, Literature &amp; Linguistics,General Engineering,Sport Science,Psychology,Art, Performing Arts &amp; Design,Chemical Engineering,Physics &amp; Astronomy,Business &amp; Management,Architecture,Electrical &amp; Electronic Engineering,Chemistry,Education,History, Philosophy &amp; Theology,Veterinary Science,Law,Biological Sciences,Politics &amp; International Studies (incl Development Studies),Archaeology,Mechanical &amp; Aerospace Engineering,Mathematics &amp; Statistics,Accounting &amp; Finance</t>
  </si>
  <si>
    <t>Vignanâ€™s Foundation for Science, Technology and Research</t>
  </si>
  <si>
    <t>Computer Science,Law,Electrical &amp; Electronic Engineering,Physics &amp; Astronomy,Agriculture &amp; Forestry,Civil Engineering,Chemistry,Mechanical &amp; Aerospace Engineering,Business &amp; Management,Chemical Engineering,Mathematics &amp; Statistics,Biological Sciences</t>
  </si>
  <si>
    <t>V.I. Vernadsky Crimean Federal University (Vernadsky CFU)</t>
  </si>
  <si>
    <t>Geography,Business &amp; Management,Physics &amp; Astronomy,Psychology,Economics &amp; Econometrics,Mathematics &amp; Statistics,Architecture,Electrical &amp; Electronic Engineering,Communication &amp; Media Studies,Geology, Environmental, Earth &amp; Marine Sciences,Agriculture &amp; Forestry,General Engineering,Biological Sciences,Chemistry,Medicine &amp; Dentistry,Education,Veterinary Science,Civil Engineering,Law,Languages, Literature &amp; Linguistics,Archaeology,Other Health,Art, Performing Arts &amp; Design,Computer Science,Sport Science,Accounting &amp; Finance,History, Philosophy &amp; Theology,Politics &amp; International Studies (incl Development Studies),Sociology</t>
  </si>
  <si>
    <t>Volgograd State Technical University</t>
  </si>
  <si>
    <t>Architecture,Economics &amp; Econometrics,Civil Engineering,Computer Science,General Engineering,Mechanical &amp; Aerospace Engineering,Accounting &amp; Finance,Chemical Engineering,Electrical &amp; Electronic Engineering,Art, Performing Arts &amp; Design,Business &amp; Management,Physics &amp; Astronomy</t>
  </si>
  <si>
    <t>Voronezh State University</t>
  </si>
  <si>
    <t>Other Health,Sociology,Archaeology,Politics &amp; International Studies (incl Development Studies),Economics &amp; Econometrics,Mathematics &amp; Statistics,Education,Biological Sciences,Psychology,Chemical Engineering,Law,History, Philosophy &amp; Theology,Chemistry,Business &amp; Management,Languages, Literature &amp; Linguistics,Geology, Environmental, Earth &amp; Marine Sciences,Electrical &amp; Electronic Engineering,Geography,Physics &amp; Astronomy,Accounting &amp; Finance,Computer Science,Communication &amp; Media Studies</t>
  </si>
  <si>
    <t>Voronezh State Technical University</t>
  </si>
  <si>
    <t>Archaeology,Mechanical &amp; Aerospace Engineering,General Engineering,Computer Science,Accounting &amp; Finance,History, Philosophy &amp; Theology,Civil Engineering,Chemical Engineering,Biological Sciences,Electrical &amp; Electronic Engineering,Economics &amp; Econometrics,Architecture,Other Health,Communication &amp; Media Studies,Business &amp; Management</t>
  </si>
  <si>
    <t>University of Warmia and Mazury in Olsztyn</t>
  </si>
  <si>
    <t>Veterinary Science,Electrical &amp; Electronic Engineering,Art, Performing Arts &amp; Design,Politics &amp; International Studies (incl Development Studies),Education,Mechanical &amp; Aerospace Engineering,Geology, Environmental, Earth &amp; Marine Sciences,Agriculture &amp; Forestry,Biological Sciences,General Engineering,Computer Science,Other Health,Physics &amp; Astronomy,History, Philosophy &amp; Theology,Communication &amp; Media Studies,Sport Science,Medicine &amp; Dentistry,Business &amp; Management,Architecture,Law,Economics &amp; Econometrics,Mathematics &amp; Statistics,Chemistry,Psychology,Languages, Literature &amp; Linguistics,Sociology,Accounting &amp; Finance</t>
  </si>
  <si>
    <t>University of West Attica</t>
  </si>
  <si>
    <t>Agriculture &amp; Forestry,Other Health,Business &amp; Management,General Engineering,Art, Performing Arts &amp; Design,Education,Architecture,Electrical &amp; Electronic Engineering,Accounting &amp; Finance,Computer Science,Civil Engineering,Mechanical &amp; Aerospace Engineering</t>
  </si>
  <si>
    <t>Yanshan University</t>
  </si>
  <si>
    <t>Languages, Literature &amp; Linguistics,Mathematics &amp; Statistics,Architecture,Sport Science,Civil Engineering,Accounting &amp; Finance,Biological Sciences,Business &amp; Management,Art, Performing Arts &amp; Design,Physics &amp; Astronomy,Computer Science,Chemistry,Mechanical &amp; Aerospace Engineering,Economics &amp; Econometrics,Electrical &amp; Electronic Engineering,Politics &amp; International Studies (incl Development Studies),General Engineering,Geology, Environmental, Earth &amp; Marine Sciences,Chemical Engineering</t>
  </si>
  <si>
    <t>Yeditepe University</t>
  </si>
  <si>
    <t>Mechanical &amp; Aerospace Engineering,Economics &amp; Econometrics,Biological Sciences,Business &amp; Management,General Engineering,Sociology,Medicine &amp; Dentistry,Physics &amp; Astronomy,History, Philosophy &amp; Theology,Mathematics &amp; Statistics,Accounting &amp; Finance,Computer Science,Politics &amp; International Studies (incl Development Studies),Art, Performing Arts &amp; Design,Civil Engineering,Law,Architecture,Electrical &amp; Electronic Engineering,Psychology,Other Health,Communication &amp; Media Studies,Languages, Literature &amp; Linguistics,Chemical Engineering,Education</t>
  </si>
  <si>
    <t>Yerevan State University</t>
  </si>
  <si>
    <t>Armenia</t>
  </si>
  <si>
    <t>History, Philosophy &amp; Theology,Business &amp; Management,Archaeology,Computer Science,Geology, Environmental, Earth &amp; Marine Sciences,Geography,Mathematics &amp; Statistics,Politics &amp; International Studies (incl Development Studies),Other Health,Economics &amp; Econometrics,Accounting &amp; Finance,Biological Sciences,Psychology,Chemistry,Languages, Literature &amp; Linguistics,Sociology,Education,Law,Physics &amp; Astronomy,Communication &amp; Media Studies</t>
  </si>
  <si>
    <t>Universitas Negeri Yogyakarta</t>
  </si>
  <si>
    <t>Mathematics &amp; Statistics,General Engineering,Communication &amp; Media Studies,Geography,Computer Science,Chemistry,History, Philosophy &amp; Theology,Accounting &amp; Finance,Electrical &amp; Electronic Engineering,Psychology,Biological Sciences,Sociology,Geology, Environmental, Earth &amp; Marine Sciences,Law,Business &amp; Management,Sport Science,Economics &amp; Econometrics,Art, Performing Arts &amp; Design,Physics &amp; Astronomy,Education,Architecture,Civil Engineering,Politics &amp; International Studies (incl Development Studies),Mechanical &amp; Aerospace Engineering,Languages, Literature &amp; Linguistics</t>
  </si>
  <si>
    <t>Zonguldak BÃ¼lent Ecevit University</t>
  </si>
  <si>
    <t>Electrical &amp; Electronic Engineering,Medicine &amp; Dentistry,Mathematics &amp; Statistics,Physics &amp; Astronomy,Mechanical &amp; Aerospace Engineering,Psychology,Geology, Environmental, Earth &amp; Marine Sciences,Computer Science,Politics &amp; International Studies (incl Development Studies),Geography,Business &amp; Management,Chemical Engineering,Accounting &amp; Finance,Sociology,Veterinary Science,Other Health,Chemistry,Biological Sciences,History, Philosophy &amp; Theology,General Engineering,Sport Science,Economics &amp; Econometrics,Education,Languages, Literature &amp; Linguistics,Civil Engineering,Art, Performing Arts &amp; Design,Agriculture &amp; Forestry,Archaeology,Communication &amp; Media Studies</t>
  </si>
  <si>
    <t>Reporter</t>
  </si>
  <si>
    <t>Abbes Laghrour University of Khenchala</t>
  </si>
  <si>
    <t>Languages, Literature &amp; Linguistics,Chemical Engineering,Economics &amp; Econometrics,Computer Science,Politics &amp; International Studies (incl Development Studies),General Engineering,Sociology,Mathematics &amp; Statistics,Business &amp; Management,Agriculture &amp; Forestry,Psychology,Biological Sciences,Law,Civil Engineering,Accounting &amp; Finance,Physics &amp; Astronomy,History, Philosophy &amp; Theology,Chemistry,Electrical &amp; Electronic Engineering,Communication &amp; Media Studies</t>
  </si>
  <si>
    <t>Abbottabad University of Science and Technology</t>
  </si>
  <si>
    <t>Computer Science,Business &amp; Management,Mathematics &amp; Statistics,Agriculture &amp; Forestry,Psychology,Physics &amp; Astronomy,Chemistry,Biological Sciences,Economics &amp; Econometrics,Languages, Literature &amp; Linguistics,Veterinary Science,General Engineering,Geology, Environmental, Earth &amp; Marine Sciences,Sociology,Other Health</t>
  </si>
  <si>
    <t>Abdelhafid Boussouf University Center of Mila</t>
  </si>
  <si>
    <t>Geology, Environmental, Earth &amp; Marine Sciences,Languages, Literature &amp; Linguistics,General Engineering,Economics &amp; Econometrics,Mathematics &amp; Statistics,Civil Engineering,Business &amp; Management,Law,Biological Sciences,Electrical &amp; Electronic Engineering,Mechanical &amp; Aerospace Engineering,Accounting &amp; Finance,Computer Science</t>
  </si>
  <si>
    <t>Abdullah GÃ¼l University</t>
  </si>
  <si>
    <t>Biological Sciences,Physics &amp; Astronomy,Politics &amp; International Studies (incl Development Studies),Computer Science,Chemical Engineering,Architecture,Business &amp; Management,Economics &amp; Econometrics,Accounting &amp; Finance,Mechanical &amp; Aerospace Engineering,General Engineering,Mathematics &amp; Statistics,Electrical &amp; Electronic Engineering,Chemistry,Psychology,Civil Engineering,Sociology</t>
  </si>
  <si>
    <t>Abertay University</t>
  </si>
  <si>
    <t>Other Health,Business &amp; Management,Art, Performing Arts &amp; Design,Geology, Environmental, Earth &amp; Marine Sciences,Sociology,Computer Science,Sport Science,Agriculture &amp; Forestry,Civil Engineering,Accounting &amp; Finance,Chemistry,Biological Sciences,Law,Psychology,General Engineering</t>
  </si>
  <si>
    <t>Abia State University</t>
  </si>
  <si>
    <t>Languages, Literature &amp; Linguistics,Mathematics &amp; Statistics,Medicine &amp; Dentistry,Economics &amp; Econometrics,Physics &amp; Astronomy,Other Health,Electrical &amp; Electronic Engineering,Communication &amp; Media Studies,Computer Science,Politics &amp; International Studies (incl Development Studies),Business &amp; Management,Accounting &amp; Finance,Architecture,Sociology,Geography,Biological Sciences,History, Philosophy &amp; Theology,Education,Agriculture &amp; Forestry,Law,Civil Engineering,Chemistry,Mechanical &amp; Aerospace Engineering</t>
  </si>
  <si>
    <t>Abrar University</t>
  </si>
  <si>
    <t>Somalia</t>
  </si>
  <si>
    <t>Agriculture &amp; Forestry,Veterinary Science,Computer Science,Other Health,Medicine &amp; Dentistry,Civil Engineering,Economics &amp; Econometrics</t>
  </si>
  <si>
    <t>Ada Kent University</t>
  </si>
  <si>
    <t>Other Health,Education,Languages, Literature &amp; Linguistics,Medicine &amp; Dentistry,Psychology,Law</t>
  </si>
  <si>
    <t>Adventist University of Central Africa</t>
  </si>
  <si>
    <t>Rwanda</t>
  </si>
  <si>
    <t>Languages, Literature &amp; Linguistics,Business &amp; Management,Economics &amp; Econometrics,Accounting &amp; Finance,History, Philosophy &amp; Theology,Computer Science,Geography,Other Health,Sociology,Medicine &amp; Dentistry</t>
  </si>
  <si>
    <t>AECC University College</t>
  </si>
  <si>
    <t>Sport Science,Psychology,Other Health</t>
  </si>
  <si>
    <t>University Center of Aflou</t>
  </si>
  <si>
    <t>Law,Sociology,History, Philosophy &amp; Theology,Economics &amp; Econometrics,Art, Performing Arts &amp; Design,Psychology,Computer Science,Mathematics &amp; Statistics,Politics &amp; International Studies (incl Development Studies),Business &amp; Management,Education,Languages, Literature &amp; Linguistics,Accounting &amp; Finance</t>
  </si>
  <si>
    <t>University of Agronomic Sciences and Veterinary Medicine of Bucharest</t>
  </si>
  <si>
    <t>Agriculture &amp; Forestry,Business &amp; Management,Veterinary Science,Civil Engineering,Biological Sciences</t>
  </si>
  <si>
    <t>Universitas Ahmad Dahlan</t>
  </si>
  <si>
    <t>Accounting &amp; Finance,Economics &amp; Econometrics,Electrical &amp; Electronic Engineering,Chemistry,Physics &amp; Astronomy,Communication &amp; Media Studies,Chemical Engineering,Psychology,Languages, Literature &amp; Linguistics,Computer Science,Law,Mathematics &amp; Statistics,Business &amp; Management,Biological Sciences,Other Health,Medicine &amp; Dentistry,Education</t>
  </si>
  <si>
    <t>University of Ahmed Draia</t>
  </si>
  <si>
    <t>Computer Science,Sociology,Chemistry,Physics &amp; Astronomy,Accounting &amp; Finance,Chemical Engineering,History, Philosophy &amp; Theology,Communication &amp; Media Studies,Mathematics &amp; Statistics,Biological Sciences,Business &amp; Management,Languages, Literature &amp; Linguistics,Electrical &amp; Electronic Engineering,Law,General Engineering,Civil Engineering,Economics &amp; Econometrics</t>
  </si>
  <si>
    <t>Aichi Prefectural University</t>
  </si>
  <si>
    <t>Languages, Literature &amp; Linguistics,Psychology,Other Health,History, Philosophy &amp; Theology,Education,Communication &amp; Media Studies,Sociology,Computer Science,Geography</t>
  </si>
  <si>
    <t>UniversitÃ© dâ€™Ain TÃ©mouchent</t>
  </si>
  <si>
    <t>Civil Engineering,Law,Electrical &amp; Electronic Engineering,Business &amp; Management,Biological Sciences,Agriculture &amp; Forestry,Communication &amp; Media Studies,Mechanical &amp; Aerospace Engineering,Sociology,Computer Science,Economics &amp; Econometrics,Physics &amp; Astronomy,Languages, Literature &amp; Linguistics,Chemistry,Mathematics &amp; Statistics,Chemical Engineering,Accounting &amp; Finance</t>
  </si>
  <si>
    <t>Ajeenkya DY Patil University</t>
  </si>
  <si>
    <t>Art, Performing Arts &amp; Design,Psychology,Biological Sciences,Communication &amp; Media Studies,Economics &amp; Econometrics,Languages, Literature &amp; Linguistics,Accounting &amp; Finance,Other Health,Law,Architecture,Business &amp; Management,Politics &amp; International Studies (incl Development Studies),Mechanical &amp; Aerospace Engineering,Computer Science</t>
  </si>
  <si>
    <t>Ajman University</t>
  </si>
  <si>
    <t>Communication &amp; Media Studies,Other Health,Electrical &amp; Electronic Engineering,Sociology,Architecture,Mechanical &amp; Aerospace Engineering,Education,Medicine &amp; Dentistry,Law,Civil Engineering,Business &amp; Management,Computer Science,Accounting &amp; Finance,General Engineering,Psychology</t>
  </si>
  <si>
    <t>Akhmet Yassawi University</t>
  </si>
  <si>
    <t>Business &amp; Management,Languages, Literature &amp; Linguistics,Agriculture &amp; Forestry,Sport Science,Chemistry,Accounting &amp; Finance,Geography,Electrical &amp; Electronic Engineering,Medicine &amp; Dentistry,Mathematics &amp; Statistics,Art, Performing Arts &amp; Design,History, Philosophy &amp; Theology,Physics &amp; Astronomy,Computer Science,Sociology,General Engineering,Law,Communication &amp; Media Studies,Education,Politics &amp; International Studies (incl Development Studies),Economics &amp; Econometrics,Biological Sciences</t>
  </si>
  <si>
    <t>Akita Prefectural University</t>
  </si>
  <si>
    <t>Agriculture &amp; Forestry,Psychology,Electrical &amp; Electronic Engineering,Sociology,Computer Science,Chemistry,Accounting &amp; Finance,History, Philosophy &amp; Theology,Communication &amp; Media Studies,Mechanical &amp; Aerospace Engineering,Geology, Environmental, Earth &amp; Marine Sciences,Economics &amp; Econometrics,Biological Sciences,Law,Languages, Literature &amp; Linguistics,Sport Science,Business &amp; Management,General Engineering,Physics &amp; Astronomy,Chemical Engineering,Education,Architecture,Mathematics &amp; Statistics</t>
  </si>
  <si>
    <t>Akli Mohand Oulhadj Bouira University</t>
  </si>
  <si>
    <t>Chemical Engineering,Physics &amp; Astronomy,Veterinary Science,Education,History, Philosophy &amp; Theology,Mechanical &amp; Aerospace Engineering,Chemistry,Civil Engineering,Geology, Environmental, Earth &amp; Marine Sciences,Accounting &amp; Finance,Electrical &amp; Electronic Engineering,Mathematics &amp; Statistics,Psychology,Computer Science,Politics &amp; International Studies (incl Development Studies),Economics &amp; Econometrics,Languages, Literature &amp; Linguistics,Sociology,Biological Sciences,Law,Agriculture &amp; Forestry,Sport Science,General Engineering,Communication &amp; Media Studies,Business &amp; Management</t>
  </si>
  <si>
    <t>Akwa Ibom State University</t>
  </si>
  <si>
    <t>Art, Performing Arts &amp; Design,Mathematics &amp; Statistics,Economics &amp; Econometrics,Mechanical &amp; Aerospace Engineering,Communication &amp; Media Studies,History, Philosophy &amp; Theology,Physics &amp; Astronomy,Business &amp; Management,Chemical Engineering,Politics &amp; International Studies (incl Development Studies),Languages, Literature &amp; Linguistics,Agriculture &amp; Forestry,General Engineering,Geology, Environmental, Earth &amp; Marine Sciences,Civil Engineering,Education,Electrical &amp; Electronic Engineering,Computer Science,Biological Sciences,Sociology,Chemistry,Accounting &amp; Finance</t>
  </si>
  <si>
    <t>Al-Ahliyya Amman University</t>
  </si>
  <si>
    <t>Medicine &amp; Dentistry,Communication &amp; Media Studies,Other Health,Education,Sport Science,Business &amp; Management,Architecture,Chemistry,Electrical &amp; Electronic Engineering,Politics &amp; International Studies (incl Development Studies),Languages, Literature &amp; Linguistics,Physics &amp; Astronomy,Civil Engineering,Law,Computer Science,Mathematics &amp; Statistics,Accounting &amp; Finance,Art, Performing Arts &amp; Design,Agriculture &amp; Forestry,Psychology</t>
  </si>
  <si>
    <t>Al Ain University</t>
  </si>
  <si>
    <t>Mechanical &amp; Aerospace Engineering,Languages, Literature &amp; Linguistics,Agriculture &amp; Forestry,Politics &amp; International Studies (incl Development Studies),History, Philosophy &amp; Theology,General Engineering,Business &amp; Management,Art, Performing Arts &amp; Design,Sport Science,Physics &amp; Astronomy,Other Health,Law,Economics &amp; Econometrics,Education,Electrical &amp; Electronic Engineering,Architecture,Computer Science,Accounting &amp; Finance,Psychology,Geology, Environmental, Earth &amp; Marine Sciences,Veterinary Science,Geography,Civil Engineering,Sociology,Archaeology,Communication &amp; Media Studies,Chemical Engineering,Chemistry,Biological Sciences,Medicine &amp; Dentistry,Mathematics &amp; Statistics</t>
  </si>
  <si>
    <t>Al Akhawayn University</t>
  </si>
  <si>
    <t>Politics &amp; International Studies (incl Development Studies),Computer Science,Communication &amp; Media Studies,Geology, Environmental, Earth &amp; Marine Sciences,Business &amp; Management,Sociology,Civil Engineering,General Engineering</t>
  </si>
  <si>
    <t>Al al-Bayt University</t>
  </si>
  <si>
    <t>Sport Science,Chemistry,Accounting &amp; Finance,Politics &amp; International Studies (incl Development Studies),Mathematics &amp; Statistics,Psychology,Architecture,Geography,Civil Engineering,History, Philosophy &amp; Theology,Geology, Environmental, Earth &amp; Marine Sciences,Languages, Literature &amp; Linguistics,Law,Business &amp; Management,Physics &amp; Astronomy,Education,Computer Science</t>
  </si>
  <si>
    <t>Al-Ayen University</t>
  </si>
  <si>
    <t>General Engineering,Sport Science,Medicine &amp; Dentistry,Other Health,Computer Science</t>
  </si>
  <si>
    <t>Al-Baha University</t>
  </si>
  <si>
    <t>Computer Science,Other Health,Physics &amp; Astronomy,Biological Sciences,Art, Performing Arts &amp; Design,Business &amp; Management,Mechanical &amp; Aerospace Engineering,Accounting &amp; Finance,Architecture,Civil Engineering,Languages, Literature &amp; Linguistics,Law,Electrical &amp; Electronic Engineering,Medicine &amp; Dentistry,Chemistry,Mathematics &amp; Statistics</t>
  </si>
  <si>
    <t>Al-Bayan University</t>
  </si>
  <si>
    <t>Politics &amp; International Studies (incl Development Studies),Law,Economics &amp; Econometrics,Medicine &amp; Dentistry,General Engineering,Accounting &amp; Finance,Biological Sciences,Other Health,Business &amp; Management</t>
  </si>
  <si>
    <t>Albaydha University</t>
  </si>
  <si>
    <t>Yemen</t>
  </si>
  <si>
    <t>Biological Sciences,Other Health,Chemistry,Mathematics &amp; Statistics,Computer Science,Education,Languages, Literature &amp; Linguistics,Accounting &amp; Finance,Agriculture &amp; Forestry</t>
  </si>
  <si>
    <t>Al-Esraa University College</t>
  </si>
  <si>
    <t>Architecture,Politics &amp; International Studies (incl Development Studies),Accounting &amp; Finance,Sport Science,Economics &amp; Econometrics,Veterinary Science,Art, Performing Arts &amp; Design,Mechanical &amp; Aerospace Engineering,Education,Chemistry,Civil Engineering,Other Health,Mathematics &amp; Statistics,Computer Science,Biological Sciences,General Engineering,Business &amp; Management,Communication &amp; Media Studies,Law,Languages, Literature &amp; Linguistics,Electrical &amp; Electronic Engineering,Medicine &amp; Dentistry</t>
  </si>
  <si>
    <t>Alex Ekwueme Federal University Ndufu-Alike</t>
  </si>
  <si>
    <t>Physics &amp; Astronomy,Architecture,Economics &amp; Econometrics,Languages, Literature &amp; Linguistics,Chemistry,Medicine &amp; Dentistry,Art, Performing Arts &amp; Design,Electrical &amp; Electronic Engineering,Mathematics &amp; Statistics,Law,Chemical Engineering,Agriculture &amp; Forestry,Other Health,Psychology,Sociology,Accounting &amp; Finance,Communication &amp; Media Studies,Mechanical &amp; Aerospace Engineering,Geography,Business &amp; Management,Civil Engineering,Geology, Environmental, Earth &amp; Marine Sciences,Education,Biological Sciences,Computer Science</t>
  </si>
  <si>
    <t>Al-Farabi University College</t>
  </si>
  <si>
    <t>Architecture,Civil Engineering,Biological Sciences,Communication &amp; Media Studies,Electrical &amp; Electronic Engineering,Chemical Engineering,Accounting &amp; Finance,Art, Performing Arts &amp; Design,Law,Medicine &amp; Dentistry,Other Health</t>
  </si>
  <si>
    <t>Al-Furat Al-Awsat Technical University</t>
  </si>
  <si>
    <t>General Engineering,Economics &amp; Econometrics,Civil Engineering,Other Health,Physics &amp; Astronomy,Mathematics &amp; Statistics,Biological Sciences,Computer Science,Accounting &amp; Finance,Law,Electrical &amp; Electronic Engineering,Business &amp; Management,Veterinary Science,Medicine &amp; Dentistry,Art, Performing Arts &amp; Design,Mechanical &amp; Aerospace Engineering,Agriculture &amp; Forestry</t>
  </si>
  <si>
    <t>University of Algiers 1</t>
  </si>
  <si>
    <t>Other Health,Languages, Literature &amp; Linguistics,Geology, Environmental, Earth &amp; Marine Sciences,Mathematics &amp; Statistics,Law,Medicine &amp; Dentistry,History, Philosophy &amp; Theology,Physics &amp; Astronomy,Architecture,Biological Sciences,Computer Science,Chemistry,Sociology</t>
  </si>
  <si>
    <t>Algiers 2 University</t>
  </si>
  <si>
    <t>Psychology,History, Philosophy &amp; Theology,Archaeology,Communication &amp; Media Studies,Sociology,Art, Performing Arts &amp; Design,Education,Languages, Literature &amp; Linguistics</t>
  </si>
  <si>
    <t>University of Algiers 3</t>
  </si>
  <si>
    <t>Communication &amp; Media Studies,Sport Science,Business &amp; Management,Accounting &amp; Finance,Economics &amp; Econometrics</t>
  </si>
  <si>
    <t>University of Al-Hamdaniya</t>
  </si>
  <si>
    <t>Geography,History, Philosophy &amp; Theology,Sport Science,Languages, Literature &amp; Linguistics,Psychology,Physics &amp; Astronomy,Business &amp; Management,Computer Science,Accounting &amp; Finance,Mathematics &amp; Statistics</t>
  </si>
  <si>
    <t>Al-Hussein Bin Talal University</t>
  </si>
  <si>
    <t>Physics &amp; Astronomy,Mathematics &amp; Statistics,Archaeology,Business &amp; Management,Education,Civil Engineering,Chemistry,Sociology,Politics &amp; International Studies (incl Development Studies),General Engineering,Law,Chemical Engineering,Economics &amp; Econometrics,Accounting &amp; Finance,Electrical &amp; Electronic Engineering,Computer Science,Other Health,Psychology,Geography,History, Philosophy &amp; Theology,Languages, Literature &amp; Linguistics,Biological Sciences,Mechanical &amp; Aerospace Engineering,Geology, Environmental, Earth &amp; Marine Sciences</t>
  </si>
  <si>
    <t>Alisher Navoâ€™i Tashkent State University of Uzbek Language and Literature</t>
  </si>
  <si>
    <t>Uzbekistan</t>
  </si>
  <si>
    <t>Sociology,Computer Science,Languages, Literature &amp; Linguistics,Communication &amp; Media Studies,Education</t>
  </si>
  <si>
    <t>Al-Janad University for Science and Technology</t>
  </si>
  <si>
    <t>Other Health,Languages, Literature &amp; Linguistics,Law,Medicine &amp; Dentistry,Architecture,Business &amp; Management,Computer Science,Civil Engineering,Accounting &amp; Finance</t>
  </si>
  <si>
    <t>University of Alkafeel</t>
  </si>
  <si>
    <t>Other Health,Medicine &amp; Dentistry,Computer Science,General Engineering,Law</t>
  </si>
  <si>
    <t>Al-Karkh University of Science</t>
  </si>
  <si>
    <t>Other Health,Biological Sciences,Geology, Environmental, Earth &amp; Marine Sciences</t>
  </si>
  <si>
    <t>Al-Kitab University</t>
  </si>
  <si>
    <t>Education,Other Health,General Engineering,Medicine &amp; Dentistry,Economics &amp; Econometrics,Mathematics &amp; Statistics,Electrical &amp; Electronic Engineering,Accounting &amp; Finance,Law,Politics &amp; International Studies (incl Development Studies),Business &amp; Management,Biological Sciences,Sport Science,Languages, Literature &amp; Linguistics,Computer Science,Geology, Environmental, Earth &amp; Marine Sciences</t>
  </si>
  <si>
    <t>AlMaarefa University</t>
  </si>
  <si>
    <t>Computer Science,Medicine &amp; Dentistry,Other Health</t>
  </si>
  <si>
    <t>Al-Maarif University College</t>
  </si>
  <si>
    <t>Civil Engineering,Medicine &amp; Dentistry,Sport Science,Law,Languages, Literature &amp; Linguistics,Computer Science,Education,Electrical &amp; Electronic Engineering,Accounting &amp; Finance</t>
  </si>
  <si>
    <t>Al-Manara College for Medical Sciences</t>
  </si>
  <si>
    <t>Almaty Technological University</t>
  </si>
  <si>
    <t>Accounting &amp; Finance,Art, Performing Arts &amp; Design,Biological Sciences,Business &amp; Management,General Engineering,Computer Science,Mechanical &amp; Aerospace Engineering,Mathematics &amp; Statistics,Chemical Engineering</t>
  </si>
  <si>
    <t>Almazov National Medical Research Centre</t>
  </si>
  <si>
    <t>Al-Mustaqbal University</t>
  </si>
  <si>
    <t>Chemical Engineering,Law,Mechanical &amp; Aerospace Engineering,Medicine &amp; Dentistry,Electrical &amp; Electronic Engineering,Business &amp; Management,General Engineering,Languages, Literature &amp; Linguistics,Civil Engineering,Sport Science,Accounting &amp; Finance,Communication &amp; Media Studies,Other Health,Archaeology</t>
  </si>
  <si>
    <t>Al-Muthanna University</t>
  </si>
  <si>
    <t>Business &amp; Management,Sport Science,Accounting &amp; Finance,Veterinary Science,Electrical &amp; Electronic Engineering,Education,Chemistry,Mathematics &amp; Statistics,Chemical Engineering,Civil Engineering,Medicine &amp; Dentistry,Languages, Literature &amp; Linguistics,Biological Sciences,Law</t>
  </si>
  <si>
    <t>Al-Nisour University College</t>
  </si>
  <si>
    <t>Other Health,Languages, Literature &amp; Linguistics,Law,Business &amp; Management,Electrical &amp; Electronic Engineering,Sport Science</t>
  </si>
  <si>
    <t>Al-Noor University College</t>
  </si>
  <si>
    <t>Other Health,Civil Engineering,Languages, Literature &amp; Linguistics,Medicine &amp; Dentistry,Law,Sport Science,General Engineering</t>
  </si>
  <si>
    <t>Al-Qalam University College</t>
  </si>
  <si>
    <t>Electrical &amp; Electronic Engineering,Law,Civil Engineering,Computer Science,Medicine &amp; Dentistry,Business &amp; Management,Other Health,Languages, Literature &amp; Linguistics,History, Philosophy &amp; Theology,Sport Science</t>
  </si>
  <si>
    <t>Al-Qasim Green University</t>
  </si>
  <si>
    <t>Geology, Environmental, Earth &amp; Marine Sciences,General Engineering,Agriculture &amp; Forestry,Veterinary Science,Sport Science,Biological Sciences,Civil Engineering</t>
  </si>
  <si>
    <t>Al-Quds University</t>
  </si>
  <si>
    <t>Medicine &amp; Dentistry,Biological Sciences,Business &amp; Management,Art, Performing Arts &amp; Design,Other Health,Agriculture &amp; Forestry,Communication &amp; Media Studies,Economics &amp; Econometrics,General Engineering,Sociology,Electrical &amp; Electronic Engineering,Geography,Computer Science,Chemistry,Accounting &amp; Finance,History, Philosophy &amp; Theology,Politics &amp; International Studies (incl Development Studies),Archaeology,Mechanical &amp; Aerospace Engineering,Geology, Environmental, Earth &amp; Marine Sciences,Architecture,Mathematics &amp; Statistics,Law,Physics &amp; Astronomy,Education,Languages, Literature &amp; Linguistics,Sport Science,Psychology</t>
  </si>
  <si>
    <t>Al-Rafidain University College</t>
  </si>
  <si>
    <t>Medicine &amp; Dentistry,General Engineering,Civil Engineering,Business &amp; Management,Accounting &amp; Finance,Computer Science,Law,Electrical &amp; Electronic Engineering</t>
  </si>
  <si>
    <t>Al Safwa University College</t>
  </si>
  <si>
    <t>Other Health,Business &amp; Management,Sport Science,Medicine &amp; Dentistry,Art, Performing Arts &amp; Design,Law,Biological Sciences,Accounting &amp; Finance,Computer Science</t>
  </si>
  <si>
    <t>AltÄ±nbaÅŸ University</t>
  </si>
  <si>
    <t>Architecture,Mechanical &amp; Aerospace Engineering,Business &amp; Management,Communication &amp; Media Studies,Politics &amp; International Studies (incl Development Studies),Other Health,Economics &amp; Econometrics,Civil Engineering,Electrical &amp; Electronic Engineering,Law,Medicine &amp; Dentistry,Art, Performing Arts &amp; Design,Computer Science,Accounting &amp; Finance,Sociology,Psychology</t>
  </si>
  <si>
    <t>Altoosi University College</t>
  </si>
  <si>
    <t>Other Health,Education,Languages, Literature &amp; Linguistics,Law,History, Philosophy &amp; Theology</t>
  </si>
  <si>
    <t>Al Turath University</t>
  </si>
  <si>
    <t>Accounting &amp; Finance,Languages, Literature &amp; Linguistics,Art, Performing Arts &amp; Design,Law,Medicine &amp; Dentistry,Civil Engineering,Other Health,Biological Sciences,Computer Science,Sport Science,Business &amp; Management,Communication &amp; Media Studies,History, Philosophy &amp; Theology</t>
  </si>
  <si>
    <t>Al-Zaytoonah University of Jordan</t>
  </si>
  <si>
    <t>Education,Physics &amp; Astronomy,Accounting &amp; Finance,Computer Science,Electrical &amp; Electronic Engineering,Other Health,Civil Engineering,Mathematics &amp; Statistics,Economics &amp; Econometrics,Business &amp; Management,Architecture,Mechanical &amp; Aerospace Engineering,Languages, Literature &amp; Linguistics,Law</t>
  </si>
  <si>
    <t>American University in the Emirates (AUE)</t>
  </si>
  <si>
    <t>Art, Performing Arts &amp; Design,Business &amp; Management,Communication &amp; Media Studies,Accounting &amp; Finance,Law,Politics &amp; International Studies (incl Development Studies),Computer Science,Economics &amp; Econometrics,Education</t>
  </si>
  <si>
    <t>American University in Dubai</t>
  </si>
  <si>
    <t>Communication &amp; Media Studies,Psychology,Other Health,Education,Languages, Literature &amp; Linguistics,Mathematics &amp; Statistics,Business &amp; Management,Civil Engineering,Accounting &amp; Finance,General Engineering,Sociology,Mechanical &amp; Aerospace Engineering,Art, Performing Arts &amp; Design,Chemistry,History, Philosophy &amp; Theology,Biological Sciences,Economics &amp; Econometrics,Electrical &amp; Electronic Engineering,Politics &amp; International Studies (incl Development Studies),Architecture,Geography</t>
  </si>
  <si>
    <t>American International University â€“ Bangladesh</t>
  </si>
  <si>
    <t>Languages, Literature &amp; Linguistics,Communication &amp; Media Studies,Politics &amp; International Studies (incl Development Studies),General Engineering,Other Health,Law,Computer Science,Economics &amp; Econometrics,Electrical &amp; Electronic Engineering,Business &amp; Management,Accounting &amp; Finance,Architecture</t>
  </si>
  <si>
    <t>American University of Madaba</t>
  </si>
  <si>
    <t>Business &amp; Management,Other Health,Accounting &amp; Finance,Electrical &amp; Electronic Engineering,Biological Sciences,Computer Science,Architecture,Languages, Literature &amp; Linguistics,Mechanical &amp; Aerospace Engineering,Art, Performing Arts &amp; Design</t>
  </si>
  <si>
    <t>American University of Ras Al Khaimah</t>
  </si>
  <si>
    <t>Biological Sciences,Chemical Engineering,Mechanical &amp; Aerospace Engineering,Architecture,Business &amp; Management,Communication &amp; Media Studies,Civil Engineering,Electrical &amp; Electronic Engineering,Education,Computer Science,Accounting &amp; Finance,General Engineering</t>
  </si>
  <si>
    <t>Amity University, Chhattisgarh</t>
  </si>
  <si>
    <t>Physics &amp; Astronomy,Sociology,Architecture,Mathematics &amp; Statistics,Law,Electrical &amp; Electronic Engineering,Biological Sciences,Communication &amp; Media Studies,Economics &amp; Econometrics,Computer Science,Languages, Literature &amp; Linguistics,Psychology,Business &amp; Management,Civil Engineering,Mechanical &amp; Aerospace Engineering,Accounting &amp; Finance,Chemistry</t>
  </si>
  <si>
    <t>Amity University, Gurugram</t>
  </si>
  <si>
    <t>Economics &amp; Econometrics,Law,Accounting &amp; Finance,Art, Performing Arts &amp; Design,Physics &amp; Astronomy,Mathematics &amp; Statistics,Computer Science,History, Philosophy &amp; Theology,Geology, Environmental, Earth &amp; Marine Sciences,Languages, Literature &amp; Linguistics,Chemistry,Other Health,Mechanical &amp; Aerospace Engineering,General Engineering,Architecture,Biological Sciences,Psychology,Politics &amp; International Studies (incl Development Studies),Electrical &amp; Electronic Engineering,Civil Engineering,Business &amp; Management,Communication &amp; Media Studies</t>
  </si>
  <si>
    <t>Amity University, Gwalior</t>
  </si>
  <si>
    <t>Communication &amp; Media Studies,Electrical &amp; Electronic Engineering,Accounting &amp; Finance,Mechanical &amp; Aerospace Engineering,Economics &amp; Econometrics,Architecture,Psychology,Other Health,Chemistry,Civil Engineering,Computer Science,Languages, Literature &amp; Linguistics,Mathematics &amp; Statistics,Business &amp; Management,Biological Sciences,Law,Politics &amp; International Studies (incl Development Studies),Physics &amp; Astronomy,Agriculture &amp; Forestry,History, Philosophy &amp; Theology</t>
  </si>
  <si>
    <t>Amity University Rajasthan, Jaipur</t>
  </si>
  <si>
    <t>Civil Engineering,Communication &amp; Media Studies,Business &amp; Management,Art, Performing Arts &amp; Design,Computer Science,Economics &amp; Econometrics,Architecture,Electrical &amp; Electronic Engineering,Chemistry,Psychology,Law,General Engineering,Chemical Engineering,Mathematics &amp; Statistics,Biological Sciences,Accounting &amp; Finance,Physics &amp; Astronomy,Languages, Literature &amp; Linguistics,Mechanical &amp; Aerospace Engineering,History, Philosophy &amp; Theology,Geology, Environmental, Earth &amp; Marine Sciences</t>
  </si>
  <si>
    <t>Amity University, Mumbai</t>
  </si>
  <si>
    <t>Languages, Literature &amp; Linguistics,Physics &amp; Astronomy,Economics &amp; Econometrics,Biological Sciences,Mathematics &amp; Statistics,Architecture,Law,Civil Engineering,Sociology,General Engineering,Communication &amp; Media Studies,Computer Science,Chemistry,Geology, Environmental, Earth &amp; Marine Sciences,Business &amp; Management,Electrical &amp; Electronic Engineering,Politics &amp; International Studies (incl Development Studies),Accounting &amp; Finance,Mechanical &amp; Aerospace Engineering,Psychology</t>
  </si>
  <si>
    <t>AnÃ¡huac University</t>
  </si>
  <si>
    <t>Electrical &amp; Electronic Engineering,History, Philosophy &amp; Theology,Education,Law,Economics &amp; Econometrics,Civil Engineering,Accounting &amp; Finance,General Engineering,Communication &amp; Media Studies,Mathematics &amp; Statistics,Medicine &amp; Dentistry,Architecture,Sport Science,Art, Performing Arts &amp; Design,Psychology,Other Health,Business &amp; Management,Chemical Engineering,Languages, Literature &amp; Linguistics,Politics &amp; International Studies (incl Development Studies),Mechanical &amp; Aerospace Engineering</t>
  </si>
  <si>
    <t>Andijan Machine-Building Institute</t>
  </si>
  <si>
    <t>Economics &amp; Econometrics,Mechanical &amp; Aerospace Engineering,Computer Science,Electrical &amp; Electronic Engineering,General Engineering</t>
  </si>
  <si>
    <t>Andijan State University</t>
  </si>
  <si>
    <t>Computer Science,Biological Sciences,Sociology,Languages, Literature &amp; Linguistics,Agriculture &amp; Forestry,Psychology,Physics &amp; Astronomy,Chemistry,Mathematics &amp; Statistics,Art, Performing Arts &amp; Design,Geography,Education,History, Philosophy &amp; Theology,Business &amp; Management,Sport Science</t>
  </si>
  <si>
    <t>Andijan State Medical Institute</t>
  </si>
  <si>
    <t>Other Health,Education,Sport Science,Medicine &amp; Dentistry</t>
  </si>
  <si>
    <t>Andijan State Pedagogical Institute (ASPI)</t>
  </si>
  <si>
    <t>Chemistry,Chemical Engineering,History, Philosophy &amp; Theology,Law,Physics &amp; Astronomy,Mathematics &amp; Statistics,Sport Science,Education,Languages, Literature &amp; Linguistics,Geography,Biological Sciences,Art, Performing Arts &amp; Design,Archaeology,Psychology,Computer Science</t>
  </si>
  <si>
    <t>AndrÃ©s Bello Catholic University (UCAB)</t>
  </si>
  <si>
    <t>Sociology,Civil Engineering,Computer Science,Education,Communication &amp; Media Studies,General Engineering,Architecture,Accounting &amp; Finance,History, Philosophy &amp; Theology,Psychology,Languages, Literature &amp; Linguistics,Law,Business &amp; Management</t>
  </si>
  <si>
    <t>Anglo-American University</t>
  </si>
  <si>
    <t>Politics &amp; International Studies (incl Development Studies),Art, Performing Arts &amp; Design,Business &amp; Management,Communication &amp; Media Studies,History, Philosophy &amp; Theology,Languages, Literature &amp; Linguistics</t>
  </si>
  <si>
    <t>Ankara Science University</t>
  </si>
  <si>
    <t>Law,Communication &amp; Media Studies,Languages, Literature &amp; Linguistics,Art, Performing Arts &amp; Design,General Engineering,Computer Science,Business &amp; Management,Politics &amp; International Studies (incl Development Studies),Architecture,Psychology,Electrical &amp; Electronic Engineering</t>
  </si>
  <si>
    <t>Applied Science Private University</t>
  </si>
  <si>
    <t>Business &amp; Management,Civil Engineering,Art, Performing Arts &amp; Design,Politics &amp; International Studies (incl Development Studies),Electrical &amp; Electronic Engineering,Other Health,Law,Chemistry,Communication &amp; Media Studies,Accounting &amp; Finance,Languages, Literature &amp; Linguistics,Computer Science,Mechanical &amp; Aerospace Engineering</t>
  </si>
  <si>
    <t>Arab American University</t>
  </si>
  <si>
    <t>Other Health,Biological Sciences,Psychology,Mechanical &amp; Aerospace Engineering,Law,Computer Science,Politics &amp; International Studies (incl Development Studies),General Engineering,Communication &amp; Media Studies,Economics &amp; Econometrics,Art, Performing Arts &amp; Design,Geology, Environmental, Earth &amp; Marine Sciences,Accounting &amp; Finance,Civil Engineering,Sociology,Business &amp; Management,Languages, Literature &amp; Linguistics,Physics &amp; Astronomy,Architecture,Mathematics &amp; Statistics,Electrical &amp; Electronic Engineering,Chemistry,Medicine &amp; Dentistry,Sport Science,Education</t>
  </si>
  <si>
    <t>Arabian Gulf University</t>
  </si>
  <si>
    <t>Bahrain</t>
  </si>
  <si>
    <t>Agriculture &amp; Forestry,Other Health,Computer Science,Medicine &amp; Dentistry,Business &amp; Management,Biological Sciences,Geology, Environmental, Earth &amp; Marine Sciences,Education</t>
  </si>
  <si>
    <t>Arab Open University</t>
  </si>
  <si>
    <t>Business &amp; Management,Languages, Literature &amp; Linguistics,Education,Communication &amp; Media Studies,Accounting &amp; Finance,Computer Science,Law</t>
  </si>
  <si>
    <t>Arkin University of Creative Arts and Design (ARUCAD)</t>
  </si>
  <si>
    <t>Architecture,Communication &amp; Media Studies,Archaeology,Art, Performing Arts &amp; Design</t>
  </si>
  <si>
    <t>Armenian State Pedagogical University</t>
  </si>
  <si>
    <t>Languages, Literature &amp; Linguistics,Education,Biological Sciences,Communication &amp; Media Studies,Computer Science,Other Health,Art, Performing Arts &amp; Design,Geography,Physics &amp; Astronomy,Sociology,Mathematics &amp; Statistics,Psychology,History, Philosophy &amp; Theology,Chemistry</t>
  </si>
  <si>
    <t>Arts University Bournemouth</t>
  </si>
  <si>
    <t>Art, Performing Arts &amp; Design,Architecture</t>
  </si>
  <si>
    <t>University of the Arts London</t>
  </si>
  <si>
    <t>Communication &amp; Media Studies,Architecture,Other Health,Computer Science,Art, Performing Arts &amp; Design,Psychology,Business &amp; Management</t>
  </si>
  <si>
    <t>Arts University Plymouth</t>
  </si>
  <si>
    <t>Art, Performing Arts &amp; Design,Computer Science,Communication &amp; Media Studies</t>
  </si>
  <si>
    <t>Arturo Prat University</t>
  </si>
  <si>
    <t>Business &amp; Management,General Engineering,Medicine &amp; Dentistry,Civil Engineering,Biological Sciences,Other Health,Law,Agriculture &amp; Forestry,Education,Geology, Environmental, Earth &amp; Marine Sciences,Computer Science,Architecture,Psychology,Sociology,Languages, Literature &amp; Linguistics,Electrical &amp; Electronic Engineering</t>
  </si>
  <si>
    <t>Asahi University</t>
  </si>
  <si>
    <t>Medicine &amp; Dentistry,Law,Accounting &amp; Finance,Business &amp; Management,Other Health</t>
  </si>
  <si>
    <t>Asfendiyarov Kazakh National Medical University</t>
  </si>
  <si>
    <t>Medicine &amp; Dentistry,Business &amp; Management,Other Health</t>
  </si>
  <si>
    <t>Ashikaga University</t>
  </si>
  <si>
    <t>Computer Science,Civil Engineering,Architecture,Other Health,Electrical &amp; Electronic Engineering,Mechanical &amp; Aerospace Engineering</t>
  </si>
  <si>
    <t>Ashur University</t>
  </si>
  <si>
    <t>Law,Civil Engineering,Mechanical &amp; Aerospace Engineering,General Engineering,Business &amp; Management,Medicine &amp; Dentistry,Other Health</t>
  </si>
  <si>
    <t>Atyrau University</t>
  </si>
  <si>
    <t>Chemistry,Archaeology,Geology, Environmental, Earth &amp; Marine Sciences,Biological Sciences,Computer Science,Mathematics &amp; Statistics,Business &amp; Management,Accounting &amp; Finance,Art, Performing Arts &amp; Design,Geography,Psychology</t>
  </si>
  <si>
    <t>Audencia</t>
  </si>
  <si>
    <t>Economics &amp; Econometrics,Accounting &amp; Finance,Business &amp; Management,Communication &amp; Media Studies</t>
  </si>
  <si>
    <t>Austral University</t>
  </si>
  <si>
    <t>Psychology,Business &amp; Management,Medicine &amp; Dentistry,Communication &amp; Media Studies,Other Health,Law,General Engineering,Politics &amp; International Studies (incl Development Studies),Education</t>
  </si>
  <si>
    <t>Autonomous University of Chiapas</t>
  </si>
  <si>
    <t>Computer Science,Veterinary Science,Art, Performing Arts &amp; Design,Sociology,Agriculture &amp; Forestry,Physics &amp; Astronomy,Communication &amp; Media Studies,Geology, Environmental, Earth &amp; Marine Sciences,Civil Engineering,Biological Sciences,Other Health,Education,Chemistry,Languages, Literature &amp; Linguistics,Business &amp; Management,Accounting &amp; Finance,Law,Architecture,Medicine &amp; Dentistry,Mathematics &amp; Statistics,Economics &amp; Econometrics,History, Philosophy &amp; Theology</t>
  </si>
  <si>
    <t>Azerbaijan University of Architecture and Construction</t>
  </si>
  <si>
    <t>Electrical &amp; Electronic Engineering,Computer Science,Architecture,Economics &amp; Econometrics,Civil Engineering,Art, Performing Arts &amp; Design,Business &amp; Management</t>
  </si>
  <si>
    <t>Azerbaijan State University of Economics</t>
  </si>
  <si>
    <t>Computer Science,Economics &amp; Econometrics,General Engineering,Accounting &amp; Finance,Sociology,Business &amp; Management,Art, Performing Arts &amp; Design</t>
  </si>
  <si>
    <t>Babcock University</t>
  </si>
  <si>
    <t>Politics &amp; International Studies (incl Development Studies),Law,Architecture,Accounting &amp; Finance,History, Philosophy &amp; Theology,Mechanical &amp; Aerospace Engineering,Education,General Engineering,Chemistry,Civil Engineering,Computer Science,Electrical &amp; Electronic Engineering,Agriculture &amp; Forestry,Economics &amp; Econometrics,Biological Sciences,Medicine &amp; Dentistry,Business &amp; Management,Languages, Literature &amp; Linguistics,Art, Performing Arts &amp; Design,Mathematics &amp; Statistics,Other Health,Communication &amp; Media Studies</t>
  </si>
  <si>
    <t>Bacha Khan University, Charsadda</t>
  </si>
  <si>
    <t>Languages, Literature &amp; Linguistics,Education,Geology, Environmental, Earth &amp; Marine Sciences,Sociology,Veterinary Science,Chemistry,Accounting &amp; Finance,Agriculture &amp; Forestry,Business &amp; Management,Physics &amp; Astronomy,Biological Sciences,Economics &amp; Econometrics,Computer Science,Politics &amp; International Studies (incl Development Studies),Mathematics &amp; Statistics</t>
  </si>
  <si>
    <t>Badr University in Cairo (BUC)</t>
  </si>
  <si>
    <t>Languages, Literature &amp; Linguistics,Art, Performing Arts &amp; Design,Veterinary Science,Communication &amp; Media Studies,Chemical Engineering,Chemistry,Physics &amp; Astronomy,Electrical &amp; Electronic Engineering,Other Health,Law,Business &amp; Management,Architecture,Economics &amp; Econometrics,Politics &amp; International Studies (incl Development Studies),Mechanical &amp; Aerospace Engineering,General Engineering,Medicine &amp; Dentistry,Agriculture &amp; Forestry,Civil Engineering,Accounting &amp; Finance,Biological Sciences</t>
  </si>
  <si>
    <t>Bakrie University</t>
  </si>
  <si>
    <t>Accounting &amp; Finance,Civil Engineering,Computer Science,Agriculture &amp; Forestry,Politics &amp; International Studies (incl Development Studies),Business &amp; Management,Communication &amp; Media Studies,General Engineering</t>
  </si>
  <si>
    <t>University of Balochistan</t>
  </si>
  <si>
    <t>Art, Performing Arts &amp; Design,Mathematics &amp; Statistics,Psychology,Languages, Literature &amp; Linguistics,Sociology,Communication &amp; Media Studies,Accounting &amp; Finance,Biological Sciences,Law,Economics &amp; Econometrics,Other Health,Politics &amp; International Studies (incl Development Studies),Physics &amp; Astronomy,Veterinary Science,Education,Computer Science,Geography,Business &amp; Management,History, Philosophy &amp; Theology,Geology, Environmental, Earth &amp; Marine Sciences,Archaeology,Chemistry</t>
  </si>
  <si>
    <t>Balochistan University of Information Technology, Engineering and Management Sciences (BUITEMS)</t>
  </si>
  <si>
    <t>Education,Chemical Engineering,Physics &amp; Astronomy,Psychology,Art, Performing Arts &amp; Design,Architecture,Mathematics &amp; Statistics,Chemistry,Economics &amp; Econometrics,Electrical &amp; Electronic Engineering,Sociology,Law,Civil Engineering,Communication &amp; Media Studies,Mechanical &amp; Aerospace Engineering,Biological Sciences,Geology, Environmental, Earth &amp; Marine Sciences,Computer Science,Languages, Literature &amp; Linguistics,Accounting &amp; Finance,Business &amp; Management,Politics &amp; International Studies (incl Development Studies),General Engineering</t>
  </si>
  <si>
    <t>University of Baltistan, Skardu</t>
  </si>
  <si>
    <t>Computer Science,Sociology,Archaeology,Chemistry,Business &amp; Management,Biological Sciences,Languages, Literature &amp; Linguistics,Mathematics &amp; Statistics,Education,Geology, Environmental, Earth &amp; Marine Sciences</t>
  </si>
  <si>
    <t>Bandirma Onyedi EylÃ¼l University</t>
  </si>
  <si>
    <t>Architecture,Accounting &amp; Finance,Business &amp; Management,Medicine &amp; Dentistry,Electrical &amp; Electronic Engineering,Mathematics &amp; Statistics,Other Health,Economics &amp; Econometrics,Mechanical &amp; Aerospace Engineering,Computer Science,Communication &amp; Media Studies,Sociology,Sport Science,Languages, Literature &amp; Linguistics,Geology, Environmental, Earth &amp; Marine Sciences,Art, Performing Arts &amp; Design,Veterinary Science,Politics &amp; International Studies (incl Development Studies),History, Philosophy &amp; Theology</t>
  </si>
  <si>
    <t>Bangabandhu Sheikh Mujibur Rahman Agricultural University</t>
  </si>
  <si>
    <t>Biological Sciences,Veterinary Science,Agriculture &amp; Forestry,General Engineering,Computer Science</t>
  </si>
  <si>
    <t>Barawa International University</t>
  </si>
  <si>
    <t>Architecture,Education,Medicine &amp; Dentistry,Languages, Literature &amp; Linguistics,Law,Biological Sciences,Psychology,Mathematics &amp; Statistics,Accounting &amp; Finance,Computer Science,Politics &amp; International Studies (incl Development Studies),Civil Engineering</t>
  </si>
  <si>
    <t>Bashkir State Medical University</t>
  </si>
  <si>
    <t>Bath Spa University</t>
  </si>
  <si>
    <t>Biological Sciences,Business &amp; Management,Art, Performing Arts &amp; Design,Sociology,Geography,Languages, Literature &amp; Linguistics,Politics &amp; International Studies (incl Development Studies),Mathematics &amp; Statistics,Education,History, Philosophy &amp; Theology,Law,Geology, Environmental, Earth &amp; Marine Sciences,Accounting &amp; Finance,Agriculture &amp; Forestry,Psychology,Computer Science,Communication &amp; Media Studies,Physics &amp; Astronomy,Economics &amp; Econometrics</t>
  </si>
  <si>
    <t>University of Batna 1</t>
  </si>
  <si>
    <t>History, Philosophy &amp; Theology,Education,Languages, Literature &amp; Linguistics,Sociology,Communication &amp; Media Studies,Psychology,Art, Performing Arts &amp; Design,Veterinary Science,Economics &amp; Econometrics,Physics &amp; Astronomy,Politics &amp; International Studies (incl Development Studies),Architecture,Law,Agriculture &amp; Forestry,Business &amp; Management,Archaeology,Accounting &amp; Finance,Chemistry</t>
  </si>
  <si>
    <t>Bayburt University</t>
  </si>
  <si>
    <t>Civil Engineering,Other Health,Computer Science,Education,Electrical &amp; Electronic Engineering,Sociology,Economics &amp; Econometrics,Sport Science,Accounting &amp; Finance,Languages, Literature &amp; Linguistics,Psychology,History, Philosophy &amp; Theology,Business &amp; Management,Art, Performing Arts &amp; Design,Mechanical &amp; Aerospace Engineering,Agriculture &amp; Forestry</t>
  </si>
  <si>
    <t>Baze University</t>
  </si>
  <si>
    <t>Medicine &amp; Dentistry,Chemical Engineering,Law,Computer Science,Communication &amp; Media Studies,Other Health,Sociology,Civil Engineering,Psychology,Mathematics &amp; Statistics,Mechanical &amp; Aerospace Engineering,Chemistry,Accounting &amp; Finance,Physics &amp; Astronomy,Economics &amp; Econometrics,Architecture,Biological Sciences,General Engineering,Politics &amp; International Studies (incl Development Studies),Electrical &amp; Electronic Engineering,Business &amp; Management</t>
  </si>
  <si>
    <t>Belarusian State University of Informatics and Radioelectronics</t>
  </si>
  <si>
    <t>Economics &amp; Econometrics,Chemistry,Electrical &amp; Electronic Engineering,Mathematics &amp; Statistics,Computer Science,Chemical Engineering,Physics &amp; Astronomy,Business &amp; Management,Mechanical &amp; Aerospace Engineering</t>
  </si>
  <si>
    <t>Belarusian State Medical University</t>
  </si>
  <si>
    <t>Bells University of Technology</t>
  </si>
  <si>
    <t>Business &amp; Management,General Engineering,Economics &amp; Econometrics,Chemistry,Civil Engineering,Physics &amp; Astronomy,Electrical &amp; Electronic Engineering,Computer Science,Geology, Environmental, Earth &amp; Marine Sciences,Architecture,Other Health,Biological Sciences,Mathematics &amp; Statistics,Accounting &amp; Finance,Mechanical &amp; Aerospace Engineering,Sociology</t>
  </si>
  <si>
    <t>University of Benghazi</t>
  </si>
  <si>
    <t>Libya</t>
  </si>
  <si>
    <t>History, Philosophy &amp; Theology,Sport Science,Sociology,General Engineering,Communication &amp; Media Studies,Accounting &amp; Finance,Electrical &amp; Electronic Engineering,Physics &amp; Astronomy,Psychology,Civil Engineering,Business &amp; Management,Other Health,Chemistry,Education,Medicine &amp; Dentistry,Mathematics &amp; Statistics,Law,Architecture,Veterinary Science,Geography,Computer Science,Geology, Environmental, Earth &amp; Marine Sciences,Archaeology,Biological Sciences,Politics &amp; International Studies (incl Development Studies),Languages, Literature &amp; Linguistics,Mechanical &amp; Aerospace Engineering,Economics &amp; Econometrics</t>
  </si>
  <si>
    <t>Benson Idahosa University</t>
  </si>
  <si>
    <t>Politics &amp; International Studies (incl Development Studies),Languages, Literature &amp; Linguistics,Electrical &amp; Electronic Engineering,Communication &amp; Media Studies,Business &amp; Management,Physics &amp; Astronomy,Computer Science,Mathematics &amp; Statistics,Mechanical &amp; Aerospace Engineering,Accounting &amp; Finance,Sociology,Geology, Environmental, Earth &amp; Marine Sciences,Education,Law,Economics &amp; Econometrics,Medicine &amp; Dentistry,Biological Sciences,Civil Engineering,Agriculture &amp; Forestry,Chemistry</t>
  </si>
  <si>
    <t>Beykent University</t>
  </si>
  <si>
    <t>Other Health,Communication &amp; Media Studies,Art, Performing Arts &amp; Design,Biological Sciences,Mechanical &amp; Aerospace Engineering,Business &amp; Management,Medicine &amp; Dentistry,Chemical Engineering,Economics &amp; Econometrics,Architecture,Politics &amp; International Studies (incl Development Studies),Electrical &amp; Electronic Engineering,Law,History, Philosophy &amp; Theology,Civil Engineering,Psychology,Languages, Literature &amp; Linguistics,Mathematics &amp; Statistics,Computer Science,Sociology,General Engineering,Accounting &amp; Finance</t>
  </si>
  <si>
    <t>Bilad Alrafidain University College</t>
  </si>
  <si>
    <t>Accounting &amp; Finance,Sport Science,Law,Languages, Literature &amp; Linguistics,Civil Engineering,Computer Science,Other Health,Medicine &amp; Dentistry,Mechanical &amp; Aerospace Engineering,History, Philosophy &amp; Theology,Electrical &amp; Electronic Engineering,Business &amp; Management</t>
  </si>
  <si>
    <t>Birmingham Newman University</t>
  </si>
  <si>
    <t>Languages, Literature &amp; Linguistics,Accounting &amp; Finance,Art, Performing Arts &amp; Design,Mathematics &amp; Statistics,History, Philosophy &amp; Theology,Education,Sport Science,Business &amp; Management,Psychology,Other Health,Sociology</t>
  </si>
  <si>
    <t>Biruni University</t>
  </si>
  <si>
    <t>General Engineering,Biological Sciences,Computer Science,Architecture,Medicine &amp; Dentistry,Education,Other Health</t>
  </si>
  <si>
    <t>University of Bisha</t>
  </si>
  <si>
    <t>Architecture,Mathematics &amp; Statistics,Computer Science,Chemistry,History, Philosophy &amp; Theology,General Engineering,Law,Medicine &amp; Dentistry,Physics &amp; Astronomy,Mechanical &amp; Aerospace Engineering,Geography,Accounting &amp; Finance,Biological Sciences,Psychology,Electrical &amp; Electronic Engineering,Communication &amp; Media Studies,Economics &amp; Econometrics,Other Health,Education,Civil Engineering,Sociology,Art, Performing Arts &amp; Design,Languages, Literature &amp; Linguistics,Chemical Engineering,Business &amp; Management</t>
  </si>
  <si>
    <t>Bishop Grosseteste University</t>
  </si>
  <si>
    <t>Art, Performing Arts &amp; Design,Archaeology,Mathematics &amp; Statistics,Business &amp; Management,Sociology,Sport Science,Languages, Literature &amp; Linguistics,Psychology,Education</t>
  </si>
  <si>
    <t>University of BogotÃ¡ Jorge Tadeo Lozano</t>
  </si>
  <si>
    <t>Business &amp; Management,Economics &amp; Econometrics,Mathematics &amp; Statistics,Art, Performing Arts &amp; Design,History, Philosophy &amp; Theology,Psychology,Languages, Literature &amp; Linguistics,Communication &amp; Media Studies,Physics &amp; Astronomy,Agriculture &amp; Forestry,Chemistry,Architecture,Geology, Environmental, Earth &amp; Marine Sciences,Electrical &amp; Electronic Engineering,Chemical Engineering,Law,Biological Sciences,Veterinary Science,Computer Science,Accounting &amp; Finance,Sociology,Politics &amp; International Studies (incl Development Studies),Mechanical &amp; Aerospace Engineering,General Engineering,Civil Engineering</t>
  </si>
  <si>
    <t>Bohdan Khmelnytsky National University of Cherkasy</t>
  </si>
  <si>
    <t>Computer Science,Psychology,Mathematics &amp; Statistics,Business &amp; Management,Archaeology,Physics &amp; Astronomy,Economics &amp; Econometrics,Languages, Literature &amp; Linguistics,Chemistry,Other Health,Law,Agriculture &amp; Forestry,Accounting &amp; Finance,Biological Sciences,Education,History, Philosophy &amp; Theology,Politics &amp; International Studies (incl Development Studies),Sociology,Art, Performing Arts &amp; Design,Communication &amp; Media Studies,Sport Science,Geology, Environmental, Earth &amp; Marine Sciences</t>
  </si>
  <si>
    <t>University of Bolton</t>
  </si>
  <si>
    <t>Art, Performing Arts &amp; Design,Civil Engineering,Accounting &amp; Finance,Other Health,Sport Science,Mathematics &amp; Statistics,Business &amp; Management,General Engineering,Education,Computer Science,Sociology,Communication &amp; Media Studies,Languages, Literature &amp; Linguistics,Biological Sciences,Electrical &amp; Electronic Engineering,Law,Mechanical &amp; Aerospace Engineering,Psychology,Politics &amp; International Studies (incl Development Studies)</t>
  </si>
  <si>
    <t>The British University in Dubai</t>
  </si>
  <si>
    <t>Education,Architecture,Accounting &amp; Finance,Civil Engineering,Law,Computer Science,Business &amp; Management,Electrical &amp; Electronic Engineering,General Engineering</t>
  </si>
  <si>
    <t>Buckinghamshire New University</t>
  </si>
  <si>
    <t>General Engineering,Law,Politics &amp; International Studies (incl Development Studies),Sport Science,Art, Performing Arts &amp; Design,Other Health,Accounting &amp; Finance,Psychology,Medicine &amp; Dentistry,Business &amp; Management,Computer Science,Sociology,Mechanical &amp; Aerospace Engineering,Communication &amp; Media Studies,Education</t>
  </si>
  <si>
    <t>Bukhara Engineering Technological Institute</t>
  </si>
  <si>
    <t>Civil Engineering,Art, Performing Arts &amp; Design,Chemical Engineering,Agriculture &amp; Forestry,Electrical &amp; Electronic Engineering,Economics &amp; Econometrics,Architecture,General Engineering,Business &amp; Management,Computer Science,Education,Biological Sciences,Mechanical &amp; Aerospace Engineering</t>
  </si>
  <si>
    <t>Bukhara State University</t>
  </si>
  <si>
    <t>Geology, Environmental, Earth &amp; Marine Sciences,Law,Languages, Literature &amp; Linguistics,Computer Science,History, Philosophy &amp; Theology,Archaeology,Geography,Chemistry,Agriculture &amp; Forestry,Physics &amp; Astronomy,Economics &amp; Econometrics,Communication &amp; Media Studies,Accounting &amp; Finance,Mathematics &amp; Statistics,Sport Science,Art, Performing Arts &amp; Design,Biological Sciences,Business &amp; Management,Psychology,Electrical &amp; Electronic Engineering,Education</t>
  </si>
  <si>
    <t>Bukhara State Medical Institute</t>
  </si>
  <si>
    <t>Biological Sciences,Sport Science,Psychology,Medicine &amp; Dentistry,Other Health</t>
  </si>
  <si>
    <t>Bukkyo University</t>
  </si>
  <si>
    <t>History, Philosophy &amp; Theology,Sociology,Education,Languages, Literature &amp; Linguistics,Other Health</t>
  </si>
  <si>
    <t>Buriram Rajabhat University</t>
  </si>
  <si>
    <t>Civil Engineering,Accounting &amp; Finance,Computer Science,Communication &amp; Media Studies,Architecture,Geology, Environmental, Earth &amp; Marine Sciences,Chemistry,Languages, Literature &amp; Linguistics,Physics &amp; Astronomy,Business &amp; Management,Sport Science,Economics &amp; Econometrics,Art, Performing Arts &amp; Design,Mathematics &amp; Statistics,Other Health,Biological Sciences,Education,Electrical &amp; Electronic Engineering,Politics &amp; International Studies (incl Development Studies),Agriculture &amp; Forestry,Law</t>
  </si>
  <si>
    <t>Ã‡aÄŸ University</t>
  </si>
  <si>
    <t>Accounting &amp; Finance,Politics &amp; International Studies (incl Development Studies),Psychology,Law,Languages, Literature &amp; Linguistics,Business &amp; Management</t>
  </si>
  <si>
    <t>Universidad Camilo JosÃ© Cela</t>
  </si>
  <si>
    <t>History, Philosophy &amp; Theology,Economics &amp; Econometrics,Sport Science,Art, Performing Arts &amp; Design,Business &amp; Management,Other Health,Sociology,Electrical &amp; Electronic Engineering,Law,Biological Sciences,Communication &amp; Media Studies,Psychology,Computer Science,General Engineering,Education,Medicine &amp; Dentistry</t>
  </si>
  <si>
    <t>Canadian International College (CIC) â€“ Cairo</t>
  </si>
  <si>
    <t>Business &amp; Management,Architecture,Communication &amp; Media Studies,Mathematics &amp; Statistics,Electrical &amp; Electronic Engineering,Computer Science,Accounting &amp; Finance,General Engineering,Economics &amp; Econometrics,Civil Engineering,Languages, Literature &amp; Linguistics</t>
  </si>
  <si>
    <t>Universidad de Carabobo</t>
  </si>
  <si>
    <t>Mechanical &amp; Aerospace Engineering,Physics &amp; Astronomy,Law,Medicine &amp; Dentistry,Chemical Engineering,Business &amp; Management,Biological Sciences,Education,Electrical &amp; Electronic Engineering,Veterinary Science,History, Philosophy &amp; Theology,Computer Science,Chemistry,Accounting &amp; Finance,Art, Performing Arts &amp; Design,Communication &amp; Media Studies,Politics &amp; International Studies (incl Development Studies),General Engineering,Geology, Environmental, Earth &amp; Marine Sciences,Economics &amp; Econometrics,Other Health,Civil Engineering,Languages, Literature &amp; Linguistics,Mathematics &amp; Statistics</t>
  </si>
  <si>
    <t>Catholic University of Ãvila</t>
  </si>
  <si>
    <t>General Engineering,History, Philosophy &amp; Theology,Mechanical &amp; Aerospace Engineering,Education,Other Health,Economics &amp; Econometrics,Law,Sociology,Computer Science,Business &amp; Management,Electrical &amp; Electronic Engineering,Biological Sciences,Accounting &amp; Finance,Geology, Environmental, Earth &amp; Marine Sciences,Medicine &amp; Dentistry,Psychology,Agriculture &amp; Forestry</t>
  </si>
  <si>
    <t>Catholic University in Erbil</t>
  </si>
  <si>
    <t>Other Health,Business &amp; Management,Computer Science,Architecture,Languages, Literature &amp; Linguistics,Politics &amp; International Studies (incl Development Studies),Accounting &amp; Finance</t>
  </si>
  <si>
    <t>Universidad CatÃ³lica de Colombia</t>
  </si>
  <si>
    <t>Civil Engineering,Economics &amp; Econometrics,Psychology,General Engineering,Architecture,Business &amp; Management,Computer Science,Law,Electrical &amp; Electronic Engineering</t>
  </si>
  <si>
    <t>Universidad CatÃ³lica de Cuenca</t>
  </si>
  <si>
    <t>Art, Performing Arts &amp; Design,Electrical &amp; Electronic Engineering,Economics &amp; Econometrics,Veterinary Science,Civil Engineering,Other Health,Agriculture &amp; Forestry,Psychology,Chemistry,Business &amp; Management,General Engineering,Communication &amp; Media Studies,Medicine &amp; Dentistry,Accounting &amp; Finance,Languages, Literature &amp; Linguistics,Education,Architecture,Law,Computer Science</t>
  </si>
  <si>
    <t>Universidad CatÃ³lica San Pablo</t>
  </si>
  <si>
    <t>Accounting &amp; Finance,History, Philosophy &amp; Theology,Law,Psychology,Chemistry,Mathematics &amp; Statistics,Education,Computer Science,Electrical &amp; Electronic Engineering,Economics &amp; Econometrics,Geology, Environmental, Earth &amp; Marine Sciences,Physics &amp; Astronomy,Chemical Engineering,Politics &amp; International Studies (incl Development Studies),Mechanical &amp; Aerospace Engineering,General Engineering,Architecture,Business &amp; Management,Civil Engineering</t>
  </si>
  <si>
    <t>Caucasus International University</t>
  </si>
  <si>
    <t>Agriculture &amp; Forestry,Law,Communication &amp; Media Studies,Medicine &amp; Dentistry,Accounting &amp; Finance,Politics &amp; International Studies (incl Development Studies),Business &amp; Management</t>
  </si>
  <si>
    <t>CBS International Business School</t>
  </si>
  <si>
    <t>Computer Science,Business &amp; Management,Accounting &amp; Finance,Economics &amp; Econometrics</t>
  </si>
  <si>
    <t>Cebu Technological University</t>
  </si>
  <si>
    <t>Mathematics &amp; Statistics,Electrical &amp; Electronic Engineering,Communication &amp; Media Studies,Agriculture &amp; Forestry,General Engineering,Mechanical &amp; Aerospace Engineering,Other Health,Veterinary Science,Psychology,Sociology,Civil Engineering,Languages, Literature &amp; Linguistics,Business &amp; Management,Computer Science,Biological Sciences</t>
  </si>
  <si>
    <t>CECOS University of IT and Emerging Sciences</t>
  </si>
  <si>
    <t>Mechanical &amp; Aerospace Engineering,Civil Engineering,Other Health,Mathematics &amp; Statistics,Architecture,Biological Sciences,Electrical &amp; Electronic Engineering,Languages, Literature &amp; Linguistics,Business &amp; Management,Computer Science</t>
  </si>
  <si>
    <t>University of Celaya</t>
  </si>
  <si>
    <t>Architecture,General Engineering,Communication &amp; Media Studies,Languages, Literature &amp; Linguistics,Law,Medicine &amp; Dentistry,Electrical &amp; Electronic Engineering,Mechanical &amp; Aerospace Engineering,Other Health,Business &amp; Management,Psychology,Education</t>
  </si>
  <si>
    <t>University Center Ali Kafi Tindouf</t>
  </si>
  <si>
    <t>Computer Science,Geology, Environmental, Earth &amp; Marine Sciences,Languages, Literature &amp; Linguistics,Law,Business &amp; Management</t>
  </si>
  <si>
    <t>University Center of Illizi</t>
  </si>
  <si>
    <t>Languages, Literature &amp; Linguistics,Accounting &amp; Finance,Business &amp; Management,Computer Science,Sociology,Economics &amp; Econometrics,Law</t>
  </si>
  <si>
    <t>University Center Morsli Abdellah of Tipaza</t>
  </si>
  <si>
    <t>Law,Business &amp; Management,Chemical Engineering,Psychology,Biological Sciences,Politics &amp; International Studies (incl Development Studies),Archaeology,Accounting &amp; Finance,Mechanical &amp; Aerospace Engineering,History, Philosophy &amp; Theology,Sociology,Electrical &amp; Electronic Engineering,Education,Geology, Environmental, Earth &amp; Marine Sciences,Economics &amp; Econometrics,Agriculture &amp; Forestry,General Engineering,Civil Engineering,Communication &amp; Media Studies</t>
  </si>
  <si>
    <t>University Center of Barika</t>
  </si>
  <si>
    <t>General Engineering,Mathematics &amp; Statistics,Languages, Literature &amp; Linguistics,Economics &amp; Econometrics,Communication &amp; Media Studies,Law,Sport Science,Sociology,Business &amp; Management,Mechanical &amp; Aerospace Engineering,Physics &amp; Astronomy,Education,Electrical &amp; Electronic Engineering,Politics &amp; International Studies (incl Development Studies),Accounting &amp; Finance,Psychology,Computer Science</t>
  </si>
  <si>
    <t>Central European University</t>
  </si>
  <si>
    <t>Law,Politics &amp; International Studies (incl Development Studies),Business &amp; Management,Economics &amp; Econometrics,Mathematics &amp; Statistics,Sociology,History, Philosophy &amp; Theology,Accounting &amp; Finance</t>
  </si>
  <si>
    <t>Central Luzon State University</t>
  </si>
  <si>
    <t>Geology, Environmental, Earth &amp; Marine Sciences,Business &amp; Management,Sociology,Biological Sciences,Education,Psychology,Civil Engineering,Veterinary Science,Agriculture &amp; Forestry,Computer Science,Accounting &amp; Finance,Chemistry,Politics &amp; International Studies (incl Development Studies),Languages, Literature &amp; Linguistics,Mathematics &amp; Statistics,Communication &amp; Media Studies</t>
  </si>
  <si>
    <t>University of Central Punjab</t>
  </si>
  <si>
    <t>Other Health,Biological Sciences,History, Philosophy &amp; Theology,Agriculture &amp; Forestry,Accounting &amp; Finance,Civil Engineering,Law,Art, Performing Arts &amp; Design,Politics &amp; International Studies (incl Development Studies),Physics &amp; Astronomy,Business &amp; Management,Languages, Literature &amp; Linguistics,Mechanical &amp; Aerospace Engineering,Mathematics &amp; Statistics,Economics &amp; Econometrics,Electrical &amp; Electronic Engineering,Psychology,Computer Science,Chemistry,Communication &amp; Media Studies</t>
  </si>
  <si>
    <t>Centro de Estudios para la Calidad Educativa y la InvestigaciÃ³n CientÃ­fica (CECEIC)</t>
  </si>
  <si>
    <t>Education,Politics &amp; International Studies (incl Development Studies),Law,Sport Science</t>
  </si>
  <si>
    <t>Centro UniversitÃ¡rio Cesuca</t>
  </si>
  <si>
    <t>Law,Medicine &amp; Dentistry,General Engineering,Computer Science,Civil Engineering,Business &amp; Management,Other Health,Education,Mathematics &amp; Statistics,Veterinary Science,Psychology,Mechanical &amp; Aerospace Engineering,Accounting &amp; Finance,Architecture</t>
  </si>
  <si>
    <t>Centurion University of Technology and Management</t>
  </si>
  <si>
    <t>Business &amp; Management,Mechanical &amp; Aerospace Engineering,History, Philosophy &amp; Theology,Accounting &amp; Finance,Politics &amp; International Studies (incl Development Studies),Art, Performing Arts &amp; Design,Economics &amp; Econometrics,Education,Computer Science,Electrical &amp; Electronic Engineering,Medicine &amp; Dentistry,Psychology,Mathematics &amp; Statistics,Languages, Literature &amp; Linguistics,General Engineering,Other Health,Law,Communication &amp; Media Studies,Architecture,Biological Sciences</t>
  </si>
  <si>
    <t>Universidad CÃ©sar Vallejo</t>
  </si>
  <si>
    <t>Architecture,Business &amp; Management,General Engineering,Sport Science,Medicine &amp; Dentistry,Education,Communication &amp; Media Studies,Psychology,Law,Computer Science,Other Health,Civil Engineering</t>
  </si>
  <si>
    <t>CETYS Universidad</t>
  </si>
  <si>
    <t>CETYS Universidad CETYS Universidad University CETYS Universidad CETYS</t>
  </si>
  <si>
    <t>Accounting &amp; Finance,Mechanical &amp; Aerospace Engineering,Computer Science,Psychology,Education,Law,General Engineering,Business &amp; Management,Electrical &amp; Electronic Engineering</t>
  </si>
  <si>
    <t>Charisma University</t>
  </si>
  <si>
    <t>Turks and Caicos Islands</t>
  </si>
  <si>
    <t>Other Health,Business &amp; Management,Psychology,Accounting &amp; Finance,Law,Politics &amp; International Studies (incl Development Studies),Computer Science,Economics &amp; Econometrics,Education,History, Philosophy &amp; Theology</t>
  </si>
  <si>
    <t>Chernihiv Polytechnic National University</t>
  </si>
  <si>
    <t>Agriculture &amp; Forestry,Economics &amp; Econometrics,Languages, Literature &amp; Linguistics,Accounting &amp; Finance,Sport Science,Mechanical &amp; Aerospace Engineering,Architecture,Computer Science,Law,Civil Engineering,Psychology,Business &amp; Management,Electrical &amp; Electronic Engineering,Geology, Environmental, Earth &amp; Marine Sciences</t>
  </si>
  <si>
    <t>Chettinad Academy of Research and Education</t>
  </si>
  <si>
    <t>Biological Sciences,Architecture,Law,Other Health,Psychology</t>
  </si>
  <si>
    <t>University of Chichester</t>
  </si>
  <si>
    <t>Psychology,Sport Science,Computer Science,Communication &amp; Media Studies,General Engineering,Education,Sociology,Mathematics &amp; Statistics,History, Philosophy &amp; Theology,Art, Performing Arts &amp; Design,Electrical &amp; Electronic Engineering,Politics &amp; International Studies (incl Development Studies),Mechanical &amp; Aerospace Engineering,Accounting &amp; Finance,Business &amp; Management,Languages, Literature &amp; Linguistics,Other Health</t>
  </si>
  <si>
    <t>Chinhoyi University of Technology</t>
  </si>
  <si>
    <t>Mathematics &amp; Statistics,General Engineering,Chemistry,Biological Sciences,Computer Science,Other Health,Politics &amp; International Studies (incl Development Studies),Agriculture &amp; Forestry,Communication &amp; Media Studies,Business &amp; Management,Art, Performing Arts &amp; Design,Accounting &amp; Finance,Geology, Environmental, Earth &amp; Marine Sciences</t>
  </si>
  <si>
    <t>Chitkara University</t>
  </si>
  <si>
    <t>Economics &amp; Econometrics,Communication &amp; Media Studies,Education,Computer Science,Business &amp; Management,Accounting &amp; Finance,Civil Engineering,Art, Performing Arts &amp; Design,Architecture,Electrical &amp; Electronic Engineering</t>
  </si>
  <si>
    <t>Universidad CientÃ­fica del Sur</t>
  </si>
  <si>
    <t>General Engineering,Architecture,Other Health,Accounting &amp; Finance,Computer Science,Education,Biological Sciences,Economics &amp; Econometrics,Civil Engineering,Agriculture &amp; Forestry,Art, Performing Arts &amp; Design,Communication &amp; Media Studies,Medicine &amp; Dentistry,Psychology,Geology, Environmental, Earth &amp; Marine Sciences,Veterinary Science,Business &amp; Management,Law</t>
  </si>
  <si>
    <t>Cihan University â€“ Erbil</t>
  </si>
  <si>
    <t>Other Health,Art, Performing Arts &amp; Design,Business &amp; Management,Computer Science,Law,Sport Science,Economics &amp; Econometrics,General Engineering,Education,Accounting &amp; Finance,Sociology,Electrical &amp; Electronic Engineering,Politics &amp; International Studies (incl Development Studies),Architecture,Medicine &amp; Dentistry,Biological Sciences,Civil Engineering,Communication &amp; Media Studies,Languages, Literature &amp; Linguistics</t>
  </si>
  <si>
    <t>Cihan University Sulaimaniya</t>
  </si>
  <si>
    <t>Other Health,Medicine &amp; Dentistry,Accounting &amp; Finance,Architecture,Languages, Literature &amp; Linguistics,Law,Computer Science,Business &amp; Management,Education</t>
  </si>
  <si>
    <t>City University of Science and Information Technology, Peshawar</t>
  </si>
  <si>
    <t>Accounting &amp; Finance,Politics &amp; International Studies (incl Development Studies),Computer Science,Economics &amp; Econometrics,Electrical &amp; Electronic Engineering,Law,Mathematics &amp; Statistics,Languages, Literature &amp; Linguistics,Business &amp; Management,Civil Engineering,Other Health,Medicine &amp; Dentistry,Psychology</t>
  </si>
  <si>
    <t>Civil Aviation Academy</t>
  </si>
  <si>
    <t>Mechanical &amp; Aerospace Engineering,General Engineering</t>
  </si>
  <si>
    <t>University of Civil Protection</t>
  </si>
  <si>
    <t>History, Philosophy &amp; Theology,Other Health,Mathematics &amp; Statistics,Economics &amp; Econometrics,General Engineering,Education,Chemistry,Law,Psychology,Politics &amp; International Studies (incl Development Studies),Sport Science,Geology, Environmental, Earth &amp; Marine Sciences,Computer Science,Languages, Literature &amp; Linguistics,Civil Engineering,Communication &amp; Media Studies,Electrical &amp; Electronic Engineering,Chemical Engineering,Sociology,Physics &amp; Astronomy</t>
  </si>
  <si>
    <t>Conservatoire for Dance and Drama</t>
  </si>
  <si>
    <t>Art, Performing Arts &amp; Design</t>
  </si>
  <si>
    <t>University of Constantine 3</t>
  </si>
  <si>
    <t>General Engineering,Geology, Environmental, Earth &amp; Marine Sciences,Politics &amp; International Studies (incl Development Studies),Medicine &amp; Dentistry,Chemical Engineering,Sociology,Art, Performing Arts &amp; Design,Agriculture &amp; Forestry,Chemistry,Other Health,Communication &amp; Media Studies,Architecture,Civil Engineering,Geography</t>
  </si>
  <si>
    <t>Courtauld Institute of Art</t>
  </si>
  <si>
    <t>History, Philosophy &amp; Theology</t>
  </si>
  <si>
    <t>Cranfield University</t>
  </si>
  <si>
    <t>Computer Science,Chemistry,General Engineering,Law,Archaeology,Biological Sciences,Mathematics &amp; Statistics,Art, Performing Arts &amp; Design,Geology, Environmental, Earth &amp; Marine Sciences,Economics &amp; Econometrics,Mechanical &amp; Aerospace Engineering,Politics &amp; International Studies (incl Development Studies),Chemical Engineering,Business &amp; Management,Civil Engineering,Sociology,Electrical &amp; Electronic Engineering,Geography,Agriculture &amp; Forestry,Accounting &amp; Finance</t>
  </si>
  <si>
    <t>University for the Creative Arts</t>
  </si>
  <si>
    <t>Architecture,Computer Science,Communication &amp; Media Studies,Art, Performing Arts &amp; Design,Business &amp; Management</t>
  </si>
  <si>
    <t>University of Cumbria</t>
  </si>
  <si>
    <t>Physics &amp; Astronomy,Agriculture &amp; Forestry,Sociology,Biological Sciences,Education,Communication &amp; Media Studies,Law,Art, Performing Arts &amp; Design,Geology, Environmental, Earth &amp; Marine Sciences,Computer Science,Politics &amp; International Studies (incl Development Studies),Languages, Literature &amp; Linguistics,Chemistry,Accounting &amp; Finance,Sport Science,Business &amp; Management,Other Health,Psychology</t>
  </si>
  <si>
    <t>University of Cyberjaya</t>
  </si>
  <si>
    <t>Business &amp; Management,Communication &amp; Media Studies,Education,Medicine &amp; Dentistry,Languages, Literature &amp; Linguistics,Art, Performing Arts &amp; Design,Other Health,Accounting &amp; Finance,Psychology</t>
  </si>
  <si>
    <t>Cyprus Health and Social Sciences University</t>
  </si>
  <si>
    <t>Veterinary Science,Mathematics &amp; Statistics,Psychology,Other Health,Business &amp; Management,Sport Science,Accounting &amp; Finance,Medicine &amp; Dentistry,Economics &amp; Econometrics,Education,Biological Sciences</t>
  </si>
  <si>
    <t>Daffodil International University (DIU)</t>
  </si>
  <si>
    <t>Business &amp; Management,Geology, Environmental, Earth &amp; Marine Sciences,Sport Science,Chemical Engineering,Agriculture &amp; Forestry,Electrical &amp; Electronic Engineering,Communication &amp; Media Studies,Economics &amp; Econometrics,Civil Engineering,Computer Science,Politics &amp; International Studies (incl Development Studies),Architecture,Accounting &amp; Finance,Biological Sciences,Languages, Literature &amp; Linguistics,Medicine &amp; Dentistry,Law</t>
  </si>
  <si>
    <t>Daneshpajoohan Pishro Higher Education Institute</t>
  </si>
  <si>
    <t>Psychology,Mechanical &amp; Aerospace Engineering,Computer Science,General Engineering,Civil Engineering,Business &amp; Management,Communication &amp; Media Studies,Architecture,Accounting &amp; Finance</t>
  </si>
  <si>
    <t>Dawood University of Engineering and Technology</t>
  </si>
  <si>
    <t>Electrical &amp; Electronic Engineering,Mathematics &amp; Statistics,Chemistry,General Engineering,Architecture,Computer Science,Chemical Engineering</t>
  </si>
  <si>
    <t>Debre Tabor University</t>
  </si>
  <si>
    <t>General Engineering,Mathematics &amp; Statistics,Economics &amp; Econometrics,Mechanical &amp; Aerospace Engineering,Geography,Chemical Engineering,Politics &amp; International Studies (incl Development Studies),Business &amp; Management,Computer Science,Biological Sciences,Languages, Literature &amp; Linguistics,Electrical &amp; Electronic Engineering,Chemistry,Education,History, Philosophy &amp; Theology,Physics &amp; Astronomy,Psychology,Other Health,Agriculture &amp; Forestry,Sociology,Accounting &amp; Finance,Art, Performing Arts &amp; Design,Civil Engineering,Law,Architecture,Sport Science,Medicine &amp; Dentistry,Veterinary Science,Geology, Environmental, Earth &amp; Marine Sciences</t>
  </si>
  <si>
    <t>Delta University for Science and Technology</t>
  </si>
  <si>
    <t>Other Health,Electrical &amp; Electronic Engineering,Geography,Computer Science,Civil Engineering,Business &amp; Management,Communication &amp; Media Studies,Architecture,Medicine &amp; Dentistry,Accounting &amp; Finance,Economics &amp; Econometrics,General Engineering,Mechanical &amp; Aerospace Engineering,Languages, Literature &amp; Linguistics</t>
  </si>
  <si>
    <t>Delta State University, Abraka</t>
  </si>
  <si>
    <t>Civil Engineering,Geography,Medicine &amp; Dentistry,Sport Science,Accounting &amp; Finance,Languages, Literature &amp; Linguistics,Agriculture &amp; Forestry,Communication &amp; Media Studies,Art, Performing Arts &amp; Design,Chemistry,Education,Chemical Engineering,Politics &amp; International Studies (incl Development Studies),Computer Science,Physics &amp; Astronomy,Psychology,Mechanical &amp; Aerospace Engineering,Geology, Environmental, Earth &amp; Marine Sciences,Economics &amp; Econometrics,Other Health,Biological Sciences,Law,History, Philosophy &amp; Theology,Mathematics &amp; Statistics,Business &amp; Management,Electrical &amp; Electronic Engineering,Sociology</t>
  </si>
  <si>
    <t>Denau Institute of Entrepreneurship and Pedagogy</t>
  </si>
  <si>
    <t>Education,History, Philosophy &amp; Theology,Physics &amp; Astronomy,Psychology,Biological Sciences,Languages, Literature &amp; Linguistics,Business &amp; Management,Chemistry,Computer Science,Mathematics &amp; Statistics,Agriculture &amp; Forestry,Economics &amp; Econometrics,Archaeology,Accounting &amp; Finance</t>
  </si>
  <si>
    <t>Dhaka International University</t>
  </si>
  <si>
    <t>Computer Science,Politics &amp; International Studies (incl Development Studies),Civil Engineering,Economics &amp; Econometrics,Sociology,Languages, Literature &amp; Linguistics,Business &amp; Management,Law,Electrical &amp; Electronic Engineering,Accounting &amp; Finance,Biological Sciences</t>
  </si>
  <si>
    <t>DHA Suffa University</t>
  </si>
  <si>
    <t>Computer Science,Psychology,Civil Engineering,Politics &amp; International Studies (incl Development Studies),Languages, Literature &amp; Linguistics,Electrical &amp; Electronic Engineering,Accounting &amp; Finance,Business &amp; Management,Mechanical &amp; Aerospace Engineering</t>
  </si>
  <si>
    <t>Dhofar University</t>
  </si>
  <si>
    <t>Physics &amp; Astronomy,Computer Science,Psychology,Languages, Literature &amp; Linguistics,Chemistry,Accounting &amp; Finance,Chemical Engineering,Business &amp; Management,Electrical &amp; Electronic Engineering,Mathematics &amp; Statistics,Economics &amp; Econometrics,General Engineering,Education,Mechanical &amp; Aerospace Engineering,Civil Engineering,Sociology,Law</t>
  </si>
  <si>
    <t>University of Djilali Bounaama Khemis Miliana</t>
  </si>
  <si>
    <t>Don Bosco University</t>
  </si>
  <si>
    <t>Chemistry,Languages, Literature &amp; Linguistics,Mechanical &amp; Aerospace Engineering,Computer Science,Business &amp; Management,History, Philosophy &amp; Theology,Psychology,Electrical &amp; Electronic Engineering,Communication &amp; Media Studies,Physics &amp; Astronomy,Accounting &amp; Finance,Mathematics &amp; Statistics,Civil Engineering,Politics &amp; International Studies (incl Development Studies),Medicine &amp; Dentistry,Education,Biological Sciences</t>
  </si>
  <si>
    <t>Donetsk National University of Economics and Trade named after Mykhailo Tuhan-Baranovsky (DonNUET)</t>
  </si>
  <si>
    <t>Geography,Business &amp; Management,Psychology,History, Philosophy &amp; Theology,Physics &amp; Astronomy,Politics &amp; International Studies (incl Development Studies),General Engineering,Chemistry,Computer Science,Law,Languages, Literature &amp; Linguistics,Mathematics &amp; Statistics,Economics &amp; Econometrics,Electrical &amp; Electronic Engineering,Geology, Environmental, Earth &amp; Marine Sciences,Accounting &amp; Finance</t>
  </si>
  <si>
    <t>Dovletmammet Azadi Turkmen National Institute of World Languages</t>
  </si>
  <si>
    <t>Turkmenistan</t>
  </si>
  <si>
    <t>Languages, Literature &amp; Linguistics,Education</t>
  </si>
  <si>
    <t>Dr D. Y. Patil Vidyapeeth, Pune</t>
  </si>
  <si>
    <t>Medicine &amp; Dentistry,Biological Sciences,Business &amp; Management</t>
  </si>
  <si>
    <t>Dr. M.G.R. Educational and Research Institute</t>
  </si>
  <si>
    <t>General Engineering,Electrical &amp; Electronic Engineering,Law,Chemistry,Civil Engineering,Business &amp; Management,Sport Science,Physics &amp; Astronomy,Politics &amp; International Studies (incl Development Studies),Other Health,Psychology,Economics &amp; Econometrics,Mechanical &amp; Aerospace Engineering,Languages, Literature &amp; Linguistics,Biological Sciences,Architecture,Mathematics &amp; Statistics,Education,Chemical Engineering,Medicine &amp; Dentistry,Accounting &amp; Finance,Art, Performing Arts &amp; Design,Geology, Environmental, Earth &amp; Marine Sciences,Computer Science</t>
  </si>
  <si>
    <t>D. Serikbayev East Kazakhstan Technical University</t>
  </si>
  <si>
    <t>Civil Engineering,Electrical &amp; Electronic Engineering,General Engineering,Accounting &amp; Finance,Economics &amp; Econometrics,Business &amp; Management,Computer Science,Mathematics &amp; Statistics,Architecture,Mechanical &amp; Aerospace Engineering,Agriculture &amp; Forestry,Physics &amp; Astronomy,Geology, Environmental, Earth &amp; Marine Sciences,Art, Performing Arts &amp; Design</t>
  </si>
  <si>
    <t>University of Dubai</t>
  </si>
  <si>
    <t>Business &amp; Management,Computer Science,Accounting &amp; Finance,Law,Electrical &amp; Electronic Engineering</t>
  </si>
  <si>
    <t>University of Duhok</t>
  </si>
  <si>
    <t>Languages, Literature &amp; Linguistics,Education,Mathematics &amp; Statistics,Sociology,History, Philosophy &amp; Theology,Veterinary Science,Accounting &amp; Finance,Civil Engineering,Law,Agriculture &amp; Forestry,Physics &amp; Astronomy,Other Health,Medicine &amp; Dentistry,Biological Sciences,Business &amp; Management,Electrical &amp; Electronic Engineering,General Engineering,Art, Performing Arts &amp; Design,Geography,Mechanical &amp; Aerospace Engineering,Chemistry,Psychology,Computer Science,Economics &amp; Econometrics,Politics &amp; International Studies (incl Development Studies),Geology, Environmental, Earth &amp; Marine Sciences</t>
  </si>
  <si>
    <t>Dulaty University</t>
  </si>
  <si>
    <t>Art, Performing Arts &amp; Design,Architecture,Physics &amp; Astronomy,History, Philosophy &amp; Theology,Chemical Engineering,Electrical &amp; Electronic Engineering,Mechanical &amp; Aerospace Engineering,Chemistry,Computer Science,General Engineering,Sociology,Civil Engineering,Business &amp; Management,Mathematics &amp; Statistics,Communication &amp; Media Studies,Economics &amp; Econometrics,Agriculture &amp; Forestry,Education,Psychology,Geology, Environmental, Earth &amp; Marine Sciences,Biological Sciences,Accounting &amp; Finance,Law,Languages, Literature &amp; Linguistics</t>
  </si>
  <si>
    <t>EAE Business School</t>
  </si>
  <si>
    <t>Business &amp; Management,Accounting &amp; Finance,Communication &amp; Media Studies</t>
  </si>
  <si>
    <t>EAN University</t>
  </si>
  <si>
    <t>Chemical Engineering,General Engineering,Economics &amp; Econometrics,Business &amp; Management,Psychology,Languages, Literature &amp; Linguistics,Civil Engineering,Accounting &amp; Finance,Electrical &amp; Electronic Engineering</t>
  </si>
  <si>
    <t>University of Eastern Philippines</t>
  </si>
  <si>
    <t>Civil Engineering,Business &amp; Management,Art, Performing Arts &amp; Design,Biological Sciences,Law,Communication &amp; Media Studies,Other Health,Mechanical &amp; Aerospace Engineering,Mathematics &amp; Statistics,Sociology,Geology, Environmental, Earth &amp; Marine Sciences,General Engineering,Education,Languages, Literature &amp; Linguistics,Accounting &amp; Finance,Electrical &amp; Electronic Engineering,Computer Science,Agriculture &amp; Forestry,Chemistry,Politics &amp; International Studies (incl Development Studies),Economics &amp; Econometrics,Veterinary Science</t>
  </si>
  <si>
    <t>Ã‰cole Nationale Polytechnique</t>
  </si>
  <si>
    <t>General Engineering,Chemical Engineering,Mechanical &amp; Aerospace Engineering,Civil Engineering,Electrical &amp; Electronic Engineering</t>
  </si>
  <si>
    <t>Ã‰cole Nationale Polytechnique dâ€™Oran Maurice Audin</t>
  </si>
  <si>
    <t>Ã‰cole Nationale SupÃ©rieure Agronomique</t>
  </si>
  <si>
    <t>Ã‰cole Nationale SupÃ©rieure Agronomique, Algiers</t>
  </si>
  <si>
    <t>Ã‰cole Nationale SupÃ©rieure de Biotechnologie Taoufik Khaznadar (ENSB)</t>
  </si>
  <si>
    <t>Biological Sciences</t>
  </si>
  <si>
    <t>Ã‰cole Nationale SupÃ©rieure dâ€™Informatique (ESI)</t>
  </si>
  <si>
    <t>Ã‰cole Nationale SupÃ©rieure de Management KolÃ©a</t>
  </si>
  <si>
    <t>Business &amp; Management,Economics &amp; Econometrics,Accounting &amp; Finance</t>
  </si>
  <si>
    <t>Ã‰cole Nationale SupÃ©rieure des Sciences de la Mer et de lâ€™AmÃ©nagement du Littoral (ENSSMAL)</t>
  </si>
  <si>
    <t>Biological Sciences,Agriculture &amp; Forestry,Geology, Environmental, Earth &amp; Marine Sciences</t>
  </si>
  <si>
    <t>Ã‰cole Nationale SupÃ©rieure VÃ©tÃ©rinaire dâ€™Alger</t>
  </si>
  <si>
    <t>Veterinary Science</t>
  </si>
  <si>
    <t>Ã‰cole National Polytechnique de Constantine</t>
  </si>
  <si>
    <t>Chemical Engineering,General Engineering,Mechanical &amp; Aerospace Engineering,Electrical &amp; Electronic Engineering</t>
  </si>
  <si>
    <t>Ã‰cole Normale SupÃ©rieure de BÃ©char</t>
  </si>
  <si>
    <t>Education</t>
  </si>
  <si>
    <t>Ã‰cole Normale SupÃ©rieure de BouzarÃ©ah</t>
  </si>
  <si>
    <t>Ã‰cole Normale SupÃ©rieure El Katiba Assia Djebar Constantine (ENSC)</t>
  </si>
  <si>
    <t>Education,Mathematics &amp; Statistics,History, Philosophy &amp; Theology,Biological Sciences,Geography,Computer Science,Languages, Literature &amp; Linguistics,Chemistry,Sport Science</t>
  </si>
  <si>
    <t>Ã‰cole Normale SupÃ©rieure de Kouba</t>
  </si>
  <si>
    <t>Education,Physics &amp; Astronomy,Geology, Environmental, Earth &amp; Marine Sciences,Chemistry,Computer Science,Mathematics &amp; Statistics,Art, Performing Arts &amp; Design,Biological Sciences</t>
  </si>
  <si>
    <t>Ã‰cole Normale SupÃ©rieure de Laghouat</t>
  </si>
  <si>
    <t>Ã‰cole Normale SupÃ©rieure dâ€™Oran</t>
  </si>
  <si>
    <t>%</t>
  </si>
  <si>
    <t>Ã‰cole Polytechnique dâ€™Architecture et dâ€™Urbanisme</t>
  </si>
  <si>
    <t>Architecture</t>
  </si>
  <si>
    <t>Ã‰cole SupÃ©rieure de ComptabilitÃ© et de Finances de Constantine</t>
  </si>
  <si>
    <t>Accounting &amp; Finance</t>
  </si>
  <si>
    <t>Ã‰cole SupÃ©rieure en Informatique 8 Mai 1945 de Sidi-Bel-AbbÃ¨s</t>
  </si>
  <si>
    <t>Ã‰cole SupÃ©rieure en Sciences AppliquÃ©es de Tlemcen</t>
  </si>
  <si>
    <t>Electrical &amp; Electronic Engineering</t>
  </si>
  <si>
    <t>Ã‰cole SupÃ©rieure en Sciences Biologiques dâ€™Oran (ESSBO)</t>
  </si>
  <si>
    <t>Ã‰cole SupÃ©rieure en Sciences et Technologies de lâ€™Informatique et du NumÃ©rique (ESTIN)</t>
  </si>
  <si>
    <t>Computer Science,General Engineering,Electrical &amp; Electronic Engineering</t>
  </si>
  <si>
    <t>University of Economics â€“ Varna</t>
  </si>
  <si>
    <t>Economics &amp; Econometrics,Accounting &amp; Finance,Agriculture &amp; Forestry,Computer Science,Business &amp; Management,Politics &amp; International Studies (incl Development Studies),Communication &amp; Media Studies</t>
  </si>
  <si>
    <t>Edo State University Uzairue</t>
  </si>
  <si>
    <t>Accounting &amp; Finance,Other Health,Mathematics &amp; Statistics,Communication &amp; Media Studies,Computer Science,Mechanical &amp; Aerospace Engineering,Business &amp; Management,Electrical &amp; Electronic Engineering,Civil Engineering,Biological Sciences,Law,Medicine &amp; Dentistry,Physics &amp; Astronomy,Chemistry,Chemical Engineering,Economics &amp; Econometrics,Languages, Literature &amp; Linguistics,Politics &amp; International Studies (incl Development Studies),Sociology,History, Philosophy &amp; Theology</t>
  </si>
  <si>
    <t>Edwin Clark University</t>
  </si>
  <si>
    <t>Effat University</t>
  </si>
  <si>
    <t>Psychology,Architecture,Art, Performing Arts &amp; Design,Business &amp; Management,Languages, Literature &amp; Linguistics,Computer Science,Accounting &amp; Finance,Electrical &amp; Electronic Engineering</t>
  </si>
  <si>
    <t>Egerton University</t>
  </si>
  <si>
    <t>Law,Business &amp; Management,Veterinary Science,Art, Performing Arts &amp; Design,Geography,Languages, Literature &amp; Linguistics,General Engineering,Politics &amp; International Studies (incl Development Studies),Mechanical &amp; Aerospace Engineering,Mathematics &amp; Statistics,Computer Science,Accounting &amp; Finance,Geology, Environmental, Earth &amp; Marine Sciences,Medicine &amp; Dentistry,Education,History, Philosophy &amp; Theology,Psychology,Other Health,Biological Sciences,Communication &amp; Media Studies,Economics &amp; Econometrics,Sociology,Chemistry,Agriculture &amp; Forestry,Physics &amp; Astronomy,Electrical &amp; Electronic Engineering</t>
  </si>
  <si>
    <t>Egyptian Russian University</t>
  </si>
  <si>
    <t>Computer Science,Medicine &amp; Dentistry,Business &amp; Management,Economics &amp; Econometrics,General Engineering,Electrical &amp; Electronic Engineering,Chemical Engineering,Mechanical &amp; Aerospace Engineering,Accounting &amp; Finance,Civil Engineering</t>
  </si>
  <si>
    <t>Elizade University</t>
  </si>
  <si>
    <t>General Engineering,Computer Science,Geology, Environmental, Earth &amp; Marine Sciences,Languages, Literature &amp; Linguistics,Mathematics &amp; Statistics,Architecture,Politics &amp; International Studies (incl Development Studies),Biological Sciences,Sociology,Civil Engineering,Accounting &amp; Finance,Chemistry,Mechanical &amp; Aerospace Engineering,Business &amp; Management,Electrical &amp; Electronic Engineering,Law,Art, Performing Arts &amp; Design,Communication &amp; Media Studies,Economics &amp; Econometrics</t>
  </si>
  <si>
    <t>University of El Oued</t>
  </si>
  <si>
    <t>Computer Science,Communication &amp; Media Studies,Accounting &amp; Finance,Agriculture &amp; Forestry,Languages, Literature &amp; Linguistics,Physics &amp; Astronomy,Mathematics &amp; Statistics,History, Philosophy &amp; Theology,Chemistry,Business &amp; Management,Chemical Engineering,Education,Electrical &amp; Electronic Engineering,Mechanical &amp; Aerospace Engineering,Sociology,Politics &amp; International Studies (incl Development Studies),Civil Engineering,Law,Economics &amp; Econometrics,Biological Sciences,Psychology</t>
  </si>
  <si>
    <t>Emir Abdelkader University of Islamic Sciences</t>
  </si>
  <si>
    <t>Archaeology,Law,Accounting &amp; Finance,Communication &amp; Media Studies,Languages, Literature &amp; Linguistics,History, Philosophy &amp; Theology,Business &amp; Management</t>
  </si>
  <si>
    <t>Institute of Engineering, Technical and Transport Communications of Turkmenistan</t>
  </si>
  <si>
    <t>Business &amp; Management,Electrical &amp; Electronic Engineering,Chemistry,Physics &amp; Astronomy,Mathematics &amp; Statistics,Architecture,Accounting &amp; Finance,Computer Science,Economics &amp; Econometrics,Languages, Literature &amp; Linguistics,Communication &amp; Media Studies,Mechanical &amp; Aerospace Engineering,Sport Science,General Engineering,Geology, Environmental, Earth &amp; Marine Sciences</t>
  </si>
  <si>
    <t>Escola Superior de Enfermagem do Porto (ESEP)</t>
  </si>
  <si>
    <t>Escuela Superior PolitÃ©cnica de Chimborazo</t>
  </si>
  <si>
    <t>Mechanical &amp; Aerospace Engineering,Business &amp; Management,Chemical Engineering,Medicine &amp; Dentistry,Geology, Environmental, Earth &amp; Marine Sciences,Agriculture &amp; Forestry,Physics &amp; Astronomy,Veterinary Science,Chemistry,Other Health,Computer Science,Electrical &amp; Electronic Engineering,Accounting &amp; Finance,Mathematics &amp; Statistics</t>
  </si>
  <si>
    <t>ESIC University</t>
  </si>
  <si>
    <t>Communication &amp; Media Studies,Business &amp; Management</t>
  </si>
  <si>
    <t>EskiÅŸehir Technical University</t>
  </si>
  <si>
    <t>Sport Science,Civil Engineering,Biological Sciences,Chemical Engineering,Computer Science,Electrical &amp; Electronic Engineering,Mathematics &amp; Statistics,General Engineering,Architecture,Physics &amp; Astronomy,Mechanical &amp; Aerospace Engineering,Chemistry</t>
  </si>
  <si>
    <t>Universidade Estadual do MaranhÃ£o</t>
  </si>
  <si>
    <t>Veterinary Science,Chemistry,History, Philosophy &amp; Theology,Law,Architecture,Education,Medicine &amp; Dentistry,Psychology,Sociology,Languages, Literature &amp; Linguistics,Geography,Civil Engineering,Sport Science,Biological Sciences</t>
  </si>
  <si>
    <t>Universidade Estadual do Norte do ParanÃ¡ (UENP)</t>
  </si>
  <si>
    <t>Law,Education,Business &amp; Management,Economics &amp; Econometrics,Languages, Literature &amp; Linguistics,Agriculture &amp; Forestry,Accounting &amp; Finance,Sport Science,Mathematics &amp; Statistics,Biological Sciences,Geography,Veterinary Science,Medicine &amp; Dentistry,Computer Science,History, Philosophy &amp; Theology</t>
  </si>
  <si>
    <t>European University</t>
  </si>
  <si>
    <t>Computer Science,Veterinary Science,Law,Politics &amp; International Studies (incl Development Studies),Psychology,Business &amp; Management,Education,Medicine &amp; Dentistry</t>
  </si>
  <si>
    <t>European University of Armenia</t>
  </si>
  <si>
    <t>Electrical &amp; Electronic Engineering,Psychology,Education,Languages, Literature &amp; Linguistics,Business &amp; Management,Computer Science,Law,Accounting &amp; Finance,Politics &amp; International Studies (incl Development Studies),Economics &amp; Econometrics</t>
  </si>
  <si>
    <t>European University Cyprus</t>
  </si>
  <si>
    <t>General Engineering,Art, Performing Arts &amp; Design,Electrical &amp; Electronic Engineering,Computer Science,Economics &amp; Econometrics,Accounting &amp; Finance,History, Philosophy &amp; Theology,Law,Medicine &amp; Dentistry,Education,Languages, Literature &amp; Linguistics,Other Health,Psychology,Archaeology,Business &amp; Management,Biological Sciences,Sport Science</t>
  </si>
  <si>
    <t>European University of Tunis</t>
  </si>
  <si>
    <t>Accounting &amp; Finance,Communication &amp; Media Studies,Computer Science,Business &amp; Management,Politics &amp; International Studies (incl Development Studies),Law</t>
  </si>
  <si>
    <t>Evangel University, Akaeze</t>
  </si>
  <si>
    <t>Art, Performing Arts &amp; Design,Physics &amp; Astronomy,Computer Science,Mathematics &amp; Statistics,Accounting &amp; Finance,Chemical Engineering,Sociology,Other Health,Psychology,History, Philosophy &amp; Theology,Economics &amp; Econometrics,Biological Sciences,Chemistry,Electrical &amp; Electronic Engineering,Politics &amp; International Studies (incl Development Studies),Medicine &amp; Dentistry,Business &amp; Management,Languages, Literature &amp; Linguistics</t>
  </si>
  <si>
    <t>Falmouth University</t>
  </si>
  <si>
    <t>Business &amp; Management,Communication &amp; Media Studies,Art, Performing Arts &amp; Design,Languages, Literature &amp; Linguistics,Architecture,Computer Science</t>
  </si>
  <si>
    <t>Federal University of Kashere</t>
  </si>
  <si>
    <t>Politics &amp; International Studies (incl Development Studies),History, Philosophy &amp; Theology,Physics &amp; Astronomy,Education,Languages, Literature &amp; Linguistics,Accounting &amp; Finance,Business &amp; Management,Geography,Sociology,Agriculture &amp; Forestry,Mathematics &amp; Statistics,Economics &amp; Econometrics,Biological Sciences,Computer Science,Chemistry</t>
  </si>
  <si>
    <t>Federal University of Latin American Integration (UNILA)</t>
  </si>
  <si>
    <t>Chemical Engineering,History, Philosophy &amp; Theology,Physics &amp; Astronomy,Medicine &amp; Dentistry,Mathematics &amp; Statistics,Education,Art, Performing Arts &amp; Design,Electrical &amp; Electronic Engineering,Sociology,Languages, Literature &amp; Linguistics,Biological Sciences,Economics &amp; Econometrics,Civil Engineering,Geology, Environmental, Earth &amp; Marine Sciences,Architecture,Mechanical &amp; Aerospace Engineering,Geography,Archaeology,Chemistry,Other Health,Communication &amp; Media Studies,General Engineering,Politics &amp; International Studies (incl Development Studies),Business &amp; Management</t>
  </si>
  <si>
    <t>Federal University of ParaÃ­Â­ba (UFPB)</t>
  </si>
  <si>
    <t>Education,Other Health,Biological Sciences,Law,Architecture,Sport Science,Business &amp; Management,Electrical &amp; Electronic Engineering,Communication &amp; Media Studies,Accounting &amp; Finance,Medicine &amp; Dentistry,Veterinary Science,Politics &amp; International Studies (incl Development Studies),Computer Science,Agriculture &amp; Forestry,Geography,Art, Performing Arts &amp; Design,Chemical Engineering,Sociology,Economics &amp; Econometrics,Languages, Literature &amp; Linguistics,Civil Engineering,Chemistry,General Engineering,Physics &amp; Astronomy,History, Philosophy &amp; Theology,Mathematics &amp; Statistics,Psychology,Mechanical &amp; Aerospace Engineering,Geology, Environmental, Earth &amp; Marine Sciences</t>
  </si>
  <si>
    <t>Federal University of Petroleum Resources, Effurun</t>
  </si>
  <si>
    <t>Civil Engineering,Mechanical &amp; Aerospace Engineering,General Engineering,Geology, Environmental, Earth &amp; Marine Sciences,Chemistry,Electrical &amp; Electronic Engineering,Mathematics &amp; Statistics,Physics &amp; Astronomy,Chemical Engineering,Computer Science</t>
  </si>
  <si>
    <t>Federal University of Technology, Minna</t>
  </si>
  <si>
    <t>Chemical Engineering,Communication &amp; Media Studies,Geology, Environmental, Earth &amp; Marine Sciences,Biological Sciences,Electrical &amp; Electronic Engineering,Education,Mechanical &amp; Aerospace Engineering,Agriculture &amp; Forestry,Civil Engineering,Chemistry,Architecture,Physics &amp; Astronomy,General Engineering,Mathematics &amp; Statistics,Computer Science,Geography</t>
  </si>
  <si>
    <t>Federal University of Technology, Owerri</t>
  </si>
  <si>
    <t>Chemical Engineering,Chemistry,Computer Science,Medicine &amp; Dentistry,General Engineering,Civil Engineering,Physics &amp; Astronomy,Electrical &amp; Electronic Engineering,Veterinary Science,Architecture,Biological Sciences,Mechanical &amp; Aerospace Engineering,Mathematics &amp; Statistics,Agriculture &amp; Forestry,Geology, Environmental, Earth &amp; Marine Sciences,Other Health</t>
  </si>
  <si>
    <t>Fergana Medical Institute of Public Health</t>
  </si>
  <si>
    <t>Psychology,Languages, Literature &amp; Linguistics,Medicine &amp; Dentistry,Mathematics &amp; Statistics,Biological Sciences,Other Health,History, Philosophy &amp; Theology,Chemistry,Computer Science</t>
  </si>
  <si>
    <t>Fergana Polytechnic Institute</t>
  </si>
  <si>
    <t>Chemical Engineering,Business &amp; Management,Architecture,Economics &amp; Econometrics,Civil Engineering,Mechanical &amp; Aerospace Engineering,Accounting &amp; Finance,Electrical &amp; Electronic Engineering,General Engineering,Chemistry,Computer Science,Physics &amp; Astronomy,Agriculture &amp; Forestry,Education</t>
  </si>
  <si>
    <t>Fergana State University</t>
  </si>
  <si>
    <t>Civil Engineering,Mathematics &amp; Statistics,Accounting &amp; Finance,Computer Science,Chemistry,Business &amp; Management,Agriculture &amp; Forestry,Physics &amp; Astronomy,Mechanical &amp; Aerospace Engineering,Geology, Environmental, Earth &amp; Marine Sciences,Archaeology,Sport Science,Economics &amp; Econometrics,Art, Performing Arts &amp; Design,General Engineering,Law,Electrical &amp; Electronic Engineering,Education,History, Philosophy &amp; Theology,Geography,Chemical Engineering,Sociology,Languages, Literature &amp; Linguistics,Biological Sciences,Psychology</t>
  </si>
  <si>
    <t>Finis Terrae University</t>
  </si>
  <si>
    <t>Psychology,Other Health,Law,Accounting &amp; Finance,Communication &amp; Media Studies,Architecture,Civil Engineering,History, Philosophy &amp; Theology,Art, Performing Arts &amp; Design,General Engineering,Education,Medicine &amp; Dentistry,Sociology,Business &amp; Management,Languages, Literature &amp; Linguistics</t>
  </si>
  <si>
    <t>Forman Christian College</t>
  </si>
  <si>
    <t>Chemistry,Politics &amp; International Studies (incl Development Studies),Accounting &amp; Finance,Other Health,Computer Science,Education,Geography,Economics &amp; Econometrics,Physics &amp; Astronomy,Biological Sciences,Sociology,Art, Performing Arts &amp; Design,Communication &amp; Media Studies,Geology, Environmental, Earth &amp; Marine Sciences,History, Philosophy &amp; Theology,Psychology,Mathematics &amp; Statistics,Business &amp; Management,Languages, Literature &amp; Linguistics</t>
  </si>
  <si>
    <t>Fountain University</t>
  </si>
  <si>
    <t>Medicine &amp; Dentistry,Business &amp; Management,Sociology,Law,Biological Sciences,Other Health,Physics &amp; Astronomy,Economics &amp; Econometrics,Computer Science,Accounting &amp; Finance,Politics &amp; International Studies (incl Development Studies),Chemistry</t>
  </si>
  <si>
    <t>University of Franca</t>
  </si>
  <si>
    <t>Accounting &amp; Finance,Chemistry,Mechanical &amp; Aerospace Engineering,Psychology,Veterinary Science,Physics &amp; Astronomy,Business &amp; Management,Economics &amp; Econometrics,Agriculture &amp; Forestry,Education,Mathematics &amp; Statistics,Architecture,History, Philosophy &amp; Theology,Civil Engineering,Computer Science,Art, Performing Arts &amp; Design,Geography,General Engineering,Communication &amp; Media Studies,Politics &amp; International Studies (incl Development Studies),Sport Science,Languages, Literature &amp; Linguistics,Law,Geology, Environmental, Earth &amp; Marine Sciences,Other Health,Sociology,Electrical &amp; Electronic Engineering,Medicine &amp; Dentistry,Chemical Engineering,Biological Sciences</t>
  </si>
  <si>
    <t>Francisk Skorina Gomel State University</t>
  </si>
  <si>
    <t>History, Philosophy &amp; Theology,Sociology,Economics &amp; Econometrics,Electrical &amp; Electronic Engineering,Mathematics &amp; Statistics,Law,Computer Science,Business &amp; Management,Education,Physics &amp; Astronomy,Geography,Languages, Literature &amp; Linguistics,Biological Sciences,Psychology,Sport Science,Accounting &amp; Finance</t>
  </si>
  <si>
    <t>Fukushima University</t>
  </si>
  <si>
    <t>Business &amp; Management,Law,Economics &amp; Econometrics,Sociology,Psychology,Geology, Environmental, Earth &amp; Marine Sciences,Accounting &amp; Finance,Sport Science</t>
  </si>
  <si>
    <t>Future University in Egypt</t>
  </si>
  <si>
    <t>Politics &amp; International Studies (incl Development Studies),Accounting &amp; Finance,Computer Science,Electrical &amp; Electronic Engineering,Other Health,General Engineering,Communication &amp; Media Studies,Medicine &amp; Dentistry,Civil Engineering,Business &amp; Management,Mechanical &amp; Aerospace Engineering</t>
  </si>
  <si>
    <t>University of Gafsa</t>
  </si>
  <si>
    <t>Art, Performing Arts &amp; Design,General Engineering,Geology, Environmental, Earth &amp; Marine Sciences,Medicine &amp; Dentistry,Architecture,Other Health,Law,History, Philosophy &amp; Theology,Chemical Engineering,Geography,Veterinary Science,Communication &amp; Media Studies,Economics &amp; Econometrics,Civil Engineering,Psychology,Politics &amp; International Studies (incl Development Studies),Sport Science,Mechanical &amp; Aerospace Engineering,Physics &amp; Astronomy,Sociology,Agriculture &amp; Forestry,Archaeology,Mathematics &amp; Statistics,Electrical &amp; Electronic Engineering,Biological Sciences,Computer Science,Accounting &amp; Finance,Chemistry,Business &amp; Management,Education,Languages, Literature &amp; Linguistics</t>
  </si>
  <si>
    <t>Gangadhar Meher University</t>
  </si>
  <si>
    <t>Economics &amp; Econometrics,Geography,History, Philosophy &amp; Theology,Business &amp; Management,Biological Sciences,Mathematics &amp; Statistics,Physics &amp; Astronomy,Languages, Literature &amp; Linguistics,Computer Science,Psychology,Education,Politics &amp; International Studies (incl Development Studies),Accounting &amp; Finance,Chemistry,Sociology</t>
  </si>
  <si>
    <t>University of Garmian</t>
  </si>
  <si>
    <t>Biological Sciences,History, Philosophy &amp; Theology,Education,Geography,General Engineering,Agriculture &amp; Forestry,Law,Languages, Literature &amp; Linguistics,Sport Science,Computer Science,Psychology,Chemistry</t>
  </si>
  <si>
    <t>General Sir John Kotelawala Defence University</t>
  </si>
  <si>
    <t>Biological Sciences,General Engineering,Sociology,Computer Science,Accounting &amp; Finance,Civil Engineering,Law,Architecture,Business &amp; Management,Medicine &amp; Dentistry,Communication &amp; Media Studies,Politics &amp; International Studies (incl Development Studies),Other Health,Economics &amp; Econometrics,Electrical &amp; Electronic Engineering,Languages, Literature &amp; Linguistics,Mechanical &amp; Aerospace Engineering</t>
  </si>
  <si>
    <t>University of Ghardaia</t>
  </si>
  <si>
    <t>Electrical &amp; Electronic Engineering,Sport Science,Economics &amp; Econometrics,Mathematics &amp; Statistics,Languages, Literature &amp; Linguistics,Politics &amp; International Studies (incl Development Studies),Accounting &amp; Finance,General Engineering,Biological Sciences,Computer Science,Chemistry,Business &amp; Management,Mechanical &amp; Aerospace Engineering,Sociology,Agriculture &amp; Forestry,History, Philosophy &amp; Theology,Physics &amp; Astronomy,Chemical Engineering,Psychology,Civil Engineering,Law</t>
  </si>
  <si>
    <t>Ghulam Ishaq Khan Institute of Engineering Sciences and Technology</t>
  </si>
  <si>
    <t>Mechanical &amp; Aerospace Engineering,Civil Engineering,Computer Science,Electrical &amp; Electronic Engineering,General Engineering,Chemical Engineering,Business &amp; Management</t>
  </si>
  <si>
    <t>Glasgow School of Art</t>
  </si>
  <si>
    <t>General Engineering,Architecture,Computer Science,Art, Performing Arts &amp; Design</t>
  </si>
  <si>
    <t>Gomel State Medical University</t>
  </si>
  <si>
    <t>The Government Sadiq College Women University Bahawalpur</t>
  </si>
  <si>
    <t>History, Philosophy &amp; Theology,Business &amp; Management,Physics &amp; Astronomy,Mathematics &amp; Statistics,Computer Science,Education,Chemistry,Psychology,Biological Sciences,Languages, Literature &amp; Linguistics,Economics &amp; Econometrics,Agriculture &amp; Forestry,Art, Performing Arts &amp; Design</t>
  </si>
  <si>
    <t>Government College Women University Faisalabad</t>
  </si>
  <si>
    <t>Geography,Languages, Literature &amp; Linguistics,Education,Computer Science,Politics &amp; International Studies (incl Development Studies),Agriculture &amp; Forestry,Economics &amp; Econometrics,Physics &amp; Astronomy,Chemistry,Mathematics &amp; Statistics,History, Philosophy &amp; Theology,Business &amp; Management,Art, Performing Arts &amp; Design,Sociology,Sport Science,Psychology</t>
  </si>
  <si>
    <t>Government College Women University, Sialkot</t>
  </si>
  <si>
    <t>Economics &amp; Econometrics,Geology, Environmental, Earth &amp; Marine Sciences,Politics &amp; International Studies (incl Development Studies),Computer Science,Business &amp; Management,Sociology,History, Philosophy &amp; Theology,Psychology,Physics &amp; Astronomy,Biological Sciences,Education,Accounting &amp; Finance,Languages, Literature &amp; Linguistics,Art, Performing Arts &amp; Design,Chemistry,Mathematics &amp; Statistics</t>
  </si>
  <si>
    <t>The Graduate University for Advanced Studies, SOKENDAI</t>
  </si>
  <si>
    <t>Mathematics &amp; Statistics,Communication &amp; Media Studies,Mechanical &amp; Aerospace Engineering,Languages, Literature &amp; Linguistics,Physics &amp; Astronomy,Chemical Engineering,Geography,Sociology,Archaeology,Agriculture &amp; Forestry,Computer Science,General Engineering,History, Philosophy &amp; Theology,Geology, Environmental, Earth &amp; Marine Sciences,Politics &amp; International Studies (incl Development Studies),Art, Performing Arts &amp; Design,Biological Sciences,Chemistry,Electrical &amp; Electronic Engineering,Architecture</t>
  </si>
  <si>
    <t>Guildhall School of Music and Drama</t>
  </si>
  <si>
    <t>Gulf College</t>
  </si>
  <si>
    <t>Computer Science,Accounting &amp; Finance,Economics &amp; Econometrics,Business &amp; Management</t>
  </si>
  <si>
    <t>Gulf Medical University</t>
  </si>
  <si>
    <t>Business &amp; Management,Other Health,Medicine &amp; Dentistry,Biological Sciences,Education</t>
  </si>
  <si>
    <t>Gulistan State University</t>
  </si>
  <si>
    <t>Sport Science,Economics &amp; Econometrics,Computer Science,Law,Art, Performing Arts &amp; Design,Chemistry,Agriculture &amp; Forestry,Sociology,History, Philosophy &amp; Theology,Physics &amp; Astronomy,Other Health,Psychology,General Engineering,Geography,Mechanical &amp; Aerospace Engineering,Education,Languages, Literature &amp; Linguistics,Mathematics &amp; Statistics,Business &amp; Management,Biological Sciences,Accounting &amp; Finance</t>
  </si>
  <si>
    <t>University of Hafr Al Batin</t>
  </si>
  <si>
    <t>Civil Engineering,Accounting &amp; Finance,Electrical &amp; Electronic Engineering,Physics &amp; Astronomy,Computer Science,Chemistry,General Engineering,Law,Sociology,History, Philosophy &amp; Theology,Mechanical &amp; Aerospace Engineering,Education,Chemical Engineering,Mathematics &amp; Statistics,Languages, Literature &amp; Linguistics,Biological Sciences,Sport Science,Business &amp; Management</t>
  </si>
  <si>
    <t>Hagoromo University of International Studies</t>
  </si>
  <si>
    <t>Politics &amp; International Studies (incl Development Studies),Business &amp; Management,Communication &amp; Media Studies,Accounting &amp; Finance,Economics &amp; Econometrics,Sociology</t>
  </si>
  <si>
    <t>Hakuoh University</t>
  </si>
  <si>
    <t>Law,Languages, Literature &amp; Linguistics,Education,Sport Science,Politics &amp; International Studies (incl Development Studies),Communication &amp; Media Studies,Sociology,Mathematics &amp; Statistics,Business &amp; Management,Psychology,Geography,Economics &amp; Econometrics,Accounting &amp; Finance,Chemistry,History, Philosophy &amp; Theology,Geology, Environmental, Earth &amp; Marine Sciences</t>
  </si>
  <si>
    <t>HaliÃ§ University</t>
  </si>
  <si>
    <t>Sport Science,Computer Science,Languages, Literature &amp; Linguistics,Art, Performing Arts &amp; Design,Architecture,Mathematics &amp; Statistics,Economics &amp; Econometrics,Psychology,Accounting &amp; Finance,Mechanical &amp; Aerospace Engineering,Other Health,Electrical &amp; Electronic Engineering,Biological Sciences,Medicine &amp; Dentistry,Business &amp; Management</t>
  </si>
  <si>
    <t>HÃ¤me University of Applied Sciences</t>
  </si>
  <si>
    <t>Electrical &amp; Electronic Engineering,Civil Engineering,Computer Science,Other Health,Mechanical &amp; Aerospace Engineering,Sociology,General Engineering,Business &amp; Management,Art, Performing Arts &amp; Design,Education,Agriculture &amp; Forestry</t>
  </si>
  <si>
    <t>Hanseo University</t>
  </si>
  <si>
    <t>Mechanical &amp; Aerospace Engineering,Electrical &amp; Electronic Engineering,Sport Science,Medicine &amp; Dentistry,Languages, Literature &amp; Linguistics,Politics &amp; International Studies (incl Development Studies),Agriculture &amp; Forestry,Civil Engineering,Architecture,Other Health,Chemical Engineering,Chemistry,Communication &amp; Media Studies,Accounting &amp; Finance,Art, Performing Arts &amp; Design,Biological Sciences,Computer Science,General Engineering</t>
  </si>
  <si>
    <t>Harper Adams University</t>
  </si>
  <si>
    <t>Geology, Environmental, Earth &amp; Marine Sciences,Biological Sciences,Mechanical &amp; Aerospace Engineering,Agriculture &amp; Forestry,Business &amp; Management,Veterinary Science</t>
  </si>
  <si>
    <t>Hartpury University</t>
  </si>
  <si>
    <t>Sport Science,Business &amp; Management,Agriculture &amp; Forestry,Veterinary Science</t>
  </si>
  <si>
    <t>Hawler Medical University</t>
  </si>
  <si>
    <t>Other Health,Medicine &amp; Dentistry,Chemistry,Biological Sciences</t>
  </si>
  <si>
    <t>University of Health Sciences Lahore</t>
  </si>
  <si>
    <t>Medicine &amp; Dentistry,Psychology,Education,Communication &amp; Media Studies,Other Health</t>
  </si>
  <si>
    <t>University of Health Sciences, Turkey</t>
  </si>
  <si>
    <t>School of Higher Commercial Studies (EHEC Algiers)</t>
  </si>
  <si>
    <t>Accounting &amp; Finance,Business &amp; Management</t>
  </si>
  <si>
    <t>Higher National School of Renewable Energies, Environment and Sustainable Development</t>
  </si>
  <si>
    <t>General Engineering,Computer Science,Electrical &amp; Electronic Engineering</t>
  </si>
  <si>
    <t>Higher School of Management and Digital Economy (HSMDE)</t>
  </si>
  <si>
    <t>Business &amp; Management,Accounting &amp; Finance</t>
  </si>
  <si>
    <t>Higher School of Agronomy â€“ Mostaganem (ESAM)</t>
  </si>
  <si>
    <t>Higher School of Management â€“ Tlemcen</t>
  </si>
  <si>
    <t>Business &amp; Management</t>
  </si>
  <si>
    <t>University of the Highlands and Islands</t>
  </si>
  <si>
    <t>Medicine &amp; Dentistry,Biological Sciences,Education,Archaeology,Veterinary Science,Law,History, Philosophy &amp; Theology,Agriculture &amp; Forestry,Geography,Mechanical &amp; Aerospace Engineering,Communication &amp; Media Studies,Civil Engineering,Politics &amp; International Studies (incl Development Studies),Electrical &amp; Electronic Engineering,Computer Science,Physics &amp; Astronomy,Art, Performing Arts &amp; Design,Other Health,Sport Science,General Engineering,Chemistry,Business &amp; Management,Languages, Literature &amp; Linguistics,Chemical Engineering,Sociology,Geology, Environmental, Earth &amp; Marine Sciences,Accounting &amp; Finance,Psychology</t>
  </si>
  <si>
    <t>Hilla University College</t>
  </si>
  <si>
    <t>Sport Science,Physics &amp; Astronomy,Economics &amp; Econometrics,Law,Art, Performing Arts &amp; Design,Accounting &amp; Finance,Education,Medicine &amp; Dentistry,Languages, Literature &amp; Linguistics</t>
  </si>
  <si>
    <t>Hiroshima International University</t>
  </si>
  <si>
    <t>Psychology,Other Health,Business &amp; Management</t>
  </si>
  <si>
    <t>Hiroshima Shudo University</t>
  </si>
  <si>
    <t>Politics &amp; International Studies (incl Development Studies),Sociology,Business &amp; Management,Other Health,Languages, Literature &amp; Linguistics,Education,Economics &amp; Econometrics,Law,Geology, Environmental, Earth &amp; Marine Sciences,Psychology</t>
  </si>
  <si>
    <t>Hiroshima Institute of Technology</t>
  </si>
  <si>
    <t>Computer Science,Biological Sciences,Geology, Environmental, Earth &amp; Marine Sciences,General Engineering</t>
  </si>
  <si>
    <t>Hitotsubashi University</t>
  </si>
  <si>
    <t>Geography,Languages, Literature &amp; Linguistics,Psychology,Politics &amp; International Studies (incl Development Studies),Sport Science,Economics &amp; Econometrics,Sociology,Mathematics &amp; Statistics,Agriculture &amp; Forestry,Accounting &amp; Finance,Art, Performing Arts &amp; Design,Education,Law,Communication &amp; Media Studies,Business &amp; Management,History, Philosophy &amp; Theology,Physics &amp; Astronomy,Geology, Environmental, Earth &amp; Marine Sciences,Other Health,Biological Sciences,Computer Science</t>
  </si>
  <si>
    <t>Ho Chi Minh City Open University</t>
  </si>
  <si>
    <t>Civil Engineering,Sociology,Law,Politics &amp; International Studies (incl Development Studies),Education,Accounting &amp; Finance,Computer Science,Business &amp; Management,Languages, Literature &amp; Linguistics,Biological Sciences,Economics &amp; Econometrics</t>
  </si>
  <si>
    <t>Hodeida University</t>
  </si>
  <si>
    <t>Biological Sciences,Business &amp; Management,Art, Performing Arts &amp; Design,Mathematics &amp; Statistics,History, Philosophy &amp; Theology,Chemistry,Education,Languages, Literature &amp; Linguistics,Physics &amp; Astronomy,Accounting &amp; Finance,Agriculture &amp; Forestry,Law,Chemical Engineering,Sociology,Sport Science,Psychology,General Engineering,Politics &amp; International Studies (incl Development Studies),Computer Science,Communication &amp; Media Studies,Economics &amp; Econometrics,Other Health,Geology, Environmental, Earth &amp; Marine Sciences</t>
  </si>
  <si>
    <t>Hokkaido University of Science</t>
  </si>
  <si>
    <t>Other Health,Computer Science,Electrical &amp; Electronic Engineering,Business &amp; Management,Mechanical &amp; Aerospace Engineering,Sociology,Civil Engineering,Psychology,Communication &amp; Media Studies</t>
  </si>
  <si>
    <t>University of Home Economics Lahore</t>
  </si>
  <si>
    <t>Art, Performing Arts &amp; Design,Sociology,Communication &amp; Media Studies,Psychology,Politics &amp; International Studies (incl Development Studies),Other Health,Computer Science,Languages, Literature &amp; Linguistics</t>
  </si>
  <si>
    <t>Ho Technical University</t>
  </si>
  <si>
    <t>Electrical &amp; Electronic Engineering,Architecture,Computer Science,Accounting &amp; Finance,Agriculture &amp; Forestry,General Engineering,Mechanical &amp; Aerospace Engineering,Economics &amp; Econometrics,Geology, Environmental, Earth &amp; Marine Sciences,Mathematics &amp; Statistics,Civil Engineering,Business &amp; Management,Art, Performing Arts &amp; Design</t>
  </si>
  <si>
    <t>Hryhorii Skovoroda University in Pereiaslav</t>
  </si>
  <si>
    <t>Mathematics &amp; Statistics,Archaeology,Psychology,History, Philosophy &amp; Theology,Politics &amp; International Studies (incl Development Studies),Geology, Environmental, Earth &amp; Marine Sciences,Sport Science,Accounting &amp; Finance,Biological Sciences,Business &amp; Management,Art, Performing Arts &amp; Design,Computer Science,Education,Sociology,Languages, Literature &amp; Linguistics,Communication &amp; Media Studies,Geography,Economics &amp; Econometrics</t>
  </si>
  <si>
    <t>University of Human Development</t>
  </si>
  <si>
    <t>Business &amp; Management,Medicine &amp; Dentistry,Accounting &amp; Finance,Other Health,Communication &amp; Media Studies,Law,Politics &amp; International Studies (incl Development Studies),Computer Science,Languages, Literature &amp; Linguistics</t>
  </si>
  <si>
    <t>Humboldt State University</t>
  </si>
  <si>
    <t>Mechanical &amp; Aerospace Engineering,Politics &amp; International Studies (incl Development Studies),Art, Performing Arts &amp; Design,Civil Engineering,Geography,Biological Sciences,Sociology,Electrical &amp; Electronic Engineering,Geology, Environmental, Earth &amp; Marine Sciences,General Engineering,Communication &amp; Media Studies,Computer Science,Sport Science,Education,Other Health,Chemistry,Business &amp; Management,Agriculture &amp; Forestry,Law,History, Philosophy &amp; Theology,Mathematics &amp; Statistics,Psychology,Languages, Literature &amp; Linguistics,Physics &amp; Astronomy,Economics &amp; Econometrics</t>
  </si>
  <si>
    <t>Hyogo University of Teacher Education</t>
  </si>
  <si>
    <t>Education,Psychology</t>
  </si>
  <si>
    <t>Ibn Khaldoun University</t>
  </si>
  <si>
    <t>Geology, Environmental, Earth &amp; Marine Sciences,Politics &amp; International Studies (incl Development Studies),Civil Engineering,General Engineering,History, Philosophy &amp; Theology,Agriculture &amp; Forestry,Business &amp; Management,Economics &amp; Econometrics,Biological Sciences,Physics &amp; Astronomy,Electrical &amp; Electronic Engineering,Mathematics &amp; Statistics,Accounting &amp; Finance,Veterinary Science,Languages, Literature &amp; Linguistics,Communication &amp; Media Studies,Computer Science,Chemistry,Sociology,Mechanical &amp; Aerospace Engineering,Law</t>
  </si>
  <si>
    <t>ICFAI University, Dehradun</t>
  </si>
  <si>
    <t>Mechanical &amp; Aerospace Engineering,Law,Computer Science,Accounting &amp; Finance,Education,Mathematics &amp; Statistics,Chemistry,Civil Engineering,Electrical &amp; Electronic Engineering,Business &amp; Management</t>
  </si>
  <si>
    <t>IFHE Hyderabad</t>
  </si>
  <si>
    <t>Civil Engineering,Law,Architecture,Electrical &amp; Electronic Engineering,Physics &amp; Astronomy,Accounting &amp; Finance,Computer Science,Economics &amp; Econometrics,Mechanical &amp; Aerospace Engineering,Business &amp; Management,Chemistry,Mathematics &amp; Statistics</t>
  </si>
  <si>
    <t>Ilma University</t>
  </si>
  <si>
    <t>Communication &amp; Media Studies,Computer Science,Business &amp; Management</t>
  </si>
  <si>
    <t>Imam Al-Kadhum College (IKC)</t>
  </si>
  <si>
    <t>Computer Science,History, Philosophy &amp; Theology,Business &amp; Management,Communication &amp; Media Studies,Accounting &amp; Finance,Law,Politics &amp; International Studies (incl Development Studies),Education</t>
  </si>
  <si>
    <t>IMT Mines AlÃ¨s</t>
  </si>
  <si>
    <t>Electrical &amp; Electronic Engineering,Computer Science,Chemistry,Medicine &amp; Dentistry,Other Health,Chemical Engineering,General Engineering,Mathematics &amp; Statistics,Mechanical &amp; Aerospace Engineering,Civil Engineering,Geology, Environmental, Earth &amp; Marine Sciences,Physics &amp; Astronomy</t>
  </si>
  <si>
    <t>Independent University, Bangladesh</t>
  </si>
  <si>
    <t>Accounting &amp; Finance,Economics &amp; Econometrics,Computer Science,Sociology,Languages, Literature &amp; Linguistics,Electrical &amp; Electronic Engineering,Law,Politics &amp; International Studies (incl Development Studies),Business &amp; Management,Mathematics &amp; Statistics,Biological Sciences,Communication &amp; Media Studies,Other Health,Physics &amp; Astronomy</t>
  </si>
  <si>
    <t>Indira Gandhi Delhi Technical University for Women</t>
  </si>
  <si>
    <t>Computer Science,Mathematics &amp; Statistics,Mechanical &amp; Aerospace Engineering,Physics &amp; Astronomy,Electrical &amp; Electronic Engineering,Architecture,Education,General Engineering,Business &amp; Management</t>
  </si>
  <si>
    <t>Information Technology University of the Punjab</t>
  </si>
  <si>
    <t>Politics &amp; International Studies (incl Development Studies),Electrical &amp; Electronic Engineering,Economics &amp; Econometrics,Business &amp; Management,Computer Science,Languages, Literature &amp; Linguistics,General Engineering</t>
  </si>
  <si>
    <t>Innopolis University</t>
  </si>
  <si>
    <t>Institute of Cancer Research</t>
  </si>
  <si>
    <t>Biological Sciences,Medicine &amp; Dentistry</t>
  </si>
  <si>
    <t>Universidad Internacional del Ecuador</t>
  </si>
  <si>
    <t>Psychology,Other Health,Civil Engineering,Law,Business &amp; Management,Sociology,Education,Politics &amp; International Studies (incl Development Studies),Medicine &amp; Dentistry,Art, Performing Arts &amp; Design,Accounting &amp; Finance,Mechanical &amp; Aerospace Engineering,Veterinary Science,Agriculture &amp; Forestry,Architecture,Computer Science,Communication &amp; Media Studies</t>
  </si>
  <si>
    <t>International American University</t>
  </si>
  <si>
    <t>International Christian University</t>
  </si>
  <si>
    <t>Communication &amp; Media Studies,Chemistry,Languages, Literature &amp; Linguistics,Education,Biological Sciences,Economics &amp; Econometrics,Mathematics &amp; Statistics,Business &amp; Management,Physics &amp; Astronomy,Sociology,History, Philosophy &amp; Theology,Politics &amp; International Studies (incl Development Studies),Computer Science,Psychology,Art, Performing Arts &amp; Design,Law,Geology, Environmental, Earth &amp; Marine Sciences</t>
  </si>
  <si>
    <t>International Engineering and Technology University (METU)</t>
  </si>
  <si>
    <t>Agriculture &amp; Forestry,Business &amp; Management,Computer Science,Accounting &amp; Finance,Economics &amp; Econometrics,Electrical &amp; Electronic Engineering,Biological Sciences,Chemistry,Mechanical &amp; Aerospace Engineering,General Engineering</t>
  </si>
  <si>
    <t>International University for the Humanities and Development</t>
  </si>
  <si>
    <t>Languages, Literature &amp; Linguistics,Politics &amp; International Studies (incl Development Studies),Computer Science,Law,Education,Business &amp; Management,Economics &amp; Econometrics,History, Philosophy &amp; Theology,Accounting &amp; Finance,Sociology</t>
  </si>
  <si>
    <t>International IT University</t>
  </si>
  <si>
    <t>Accounting &amp; Finance,Computer Science,Electrical &amp; Electronic Engineering,Business &amp; Management,Communication &amp; Media Studies</t>
  </si>
  <si>
    <t>International University of Rabat</t>
  </si>
  <si>
    <t>Mechanical &amp; Aerospace Engineering,Communication &amp; Media Studies,Sociology,Economics &amp; Econometrics,Electrical &amp; Electronic Engineering,Languages, Literature &amp; Linguistics,Other Health,Computer Science,Business &amp; Management,Architecture,Law,Accounting &amp; Finance,Medicine &amp; Dentistry,Politics &amp; International Studies (incl Development Studies),General Engineering</t>
  </si>
  <si>
    <t>Institute of International Relations of the Ministry of Foreign Affairs of Turkmenistan</t>
  </si>
  <si>
    <t>Communication &amp; Media Studies,Languages, Literature &amp; Linguistics,Politics &amp; International Studies (incl Development Studies),Law,Economics &amp; Econometrics</t>
  </si>
  <si>
    <t>Inter-State School of Veterinary Sciences and Medicine</t>
  </si>
  <si>
    <t>Senegal</t>
  </si>
  <si>
    <t>Ionian University</t>
  </si>
  <si>
    <t>Languages, Literature &amp; Linguistics,Business &amp; Management,Art, Performing Arts &amp; Design,Geology, Environmental, Earth &amp; Marine Sciences,Computer Science,Agriculture &amp; Forestry,Communication &amp; Media Studies,History, Philosophy &amp; Theology</t>
  </si>
  <si>
    <t>Ion Mincu University of Architecture and Urbanism</t>
  </si>
  <si>
    <t>Iqra University</t>
  </si>
  <si>
    <t>Communication &amp; Media Studies,Politics &amp; International Studies (incl Development Studies),Other Health,Economics &amp; Econometrics,Psychology,Sociology,Electrical &amp; Electronic Engineering,Education,Computer Science,Art, Performing Arts &amp; Design,Business &amp; Management,Languages, Literature &amp; Linguistics,Accounting &amp; Finance</t>
  </si>
  <si>
    <t>The Islamic University</t>
  </si>
  <si>
    <t>Sport Science,Civil Engineering,Medicine &amp; Dentistry,Languages, Literature &amp; Linguistics,Mechanical &amp; Aerospace Engineering,Education,Computer Science,Politics &amp; International Studies (incl Development Studies),Law,Other Health</t>
  </si>
  <si>
    <t>Islamic University of Gaza</t>
  </si>
  <si>
    <t>General Engineering,Sociology,Archaeology,Physics &amp; Astronomy,Economics &amp; Econometrics,Architecture,Chemistry,Business &amp; Management,Medicine &amp; Dentistry,Geography,Electrical &amp; Electronic Engineering,Politics &amp; International Studies (incl Development Studies),History, Philosophy &amp; Theology,Mechanical &amp; Aerospace Engineering,Geology, Environmental, Earth &amp; Marine Sciences,Psychology,Languages, Literature &amp; Linguistics,Civil Engineering,Education,Biological Sciences,Law,Computer Science,Communication &amp; Media Studies,Other Health,Mathematics &amp; Statistics,Accounting &amp; Finance</t>
  </si>
  <si>
    <t>Islamic University of Madinah</t>
  </si>
  <si>
    <t>Computer Science,Sociology,Chemical Engineering,Communication &amp; Media Studies,History, Philosophy &amp; Theology,Psychology,Electrical &amp; Electronic Engineering,Law,Civil Engineering,Languages, Literature &amp; Linguistics,Chemistry,General Engineering,Education,Mathematics &amp; Statistics,Mechanical &amp; Aerospace Engineering,Business &amp; Management,Art, Performing Arts &amp; Design,Physics &amp; Astronomy</t>
  </si>
  <si>
    <t>Universitas Islam Sultan Agung</t>
  </si>
  <si>
    <t>Communication &amp; Media Studies,Psychology,Education,Medicine &amp; Dentistry,Accounting &amp; Finance,Electrical &amp; Electronic Engineering,Computer Science,Languages, Literature &amp; Linguistics,Mathematics &amp; Statistics,Other Health,General Engineering,Business &amp; Management,Civil Engineering,Law</t>
  </si>
  <si>
    <t>Isra University</t>
  </si>
  <si>
    <t>Civil Engineering,Other Health,Chemistry,Physics &amp; Astronomy,Mathematics &amp; Statistics,Electrical &amp; Electronic Engineering,Business &amp; Management,Education,General Engineering,Law,Computer Science,Accounting &amp; Finance,Languages, Literature &amp; Linguistics</t>
  </si>
  <si>
    <t>Israel Technological University</t>
  </si>
  <si>
    <t>Education,Business &amp; Management,Psychology,Art, Performing Arts &amp; Design,General Engineering,Computer Science,Electrical &amp; Electronic Engineering,Accounting &amp; Finance</t>
  </si>
  <si>
    <t>Istanbul Arel University</t>
  </si>
  <si>
    <t>Architecture,Accounting &amp; Finance,Art, Performing Arts &amp; Design,Psychology,Mathematics &amp; Statistics,Electrical &amp; Electronic Engineering,Mechanical &amp; Aerospace Engineering,Politics &amp; International Studies (incl Development Studies),Biological Sciences,Other Health,Medicine &amp; Dentistry,Sociology,Civil Engineering,General Engineering,Languages, Literature &amp; Linguistics,Business &amp; Management,Computer Science,Communication &amp; Media Studies</t>
  </si>
  <si>
    <t>Istanbul GeliÅŸim University</t>
  </si>
  <si>
    <t>Chemical Engineering,Other Health,Politics &amp; International Studies (incl Development Studies),Chemistry,Architecture,Psychology,Education,Mechanical &amp; Aerospace Engineering,Communication &amp; Media Studies,Civil Engineering,Business &amp; Management,Law,Sociology,Electrical &amp; Electronic Engineering,Art, Performing Arts &amp; Design,Biological Sciences,Computer Science,Mathematics &amp; Statistics,Economics &amp; Econometrics,General Engineering,Geology, Environmental, Earth &amp; Marine Sciences,Sport Science,Medicine &amp; Dentistry,Agriculture &amp; Forestry,Accounting &amp; Finance</t>
  </si>
  <si>
    <t>Istanbul KÃ¼ltÃ¼r University</t>
  </si>
  <si>
    <t>Mathematics &amp; Statistics,Languages, Literature &amp; Linguistics,Physics &amp; Astronomy,Computer Science,Psychology,Art, Performing Arts &amp; Design,Politics &amp; International Studies (incl Development Studies),Architecture,Law,General Engineering,Communication &amp; Media Studies,Other Health,Biological Sciences,Accounting &amp; Finance,Sport Science,Economics &amp; Econometrics,Electrical &amp; Electronic Engineering,Business &amp; Management,Civil Engineering,Education</t>
  </si>
  <si>
    <t>Istanbul Okan University</t>
  </si>
  <si>
    <t>Education,Psychology,Sociology,Electrical &amp; Electronic Engineering,General Engineering,Languages, Literature &amp; Linguistics,Architecture,Accounting &amp; Finance,Business &amp; Management,Civil Engineering,Law,Mechanical &amp; Aerospace Engineering,Politics &amp; International Studies (incl Development Studies),Other Health,Medicine &amp; Dentistry,Communication &amp; Media Studies,Art, Performing Arts &amp; Design,Computer Science,Economics &amp; Econometrics</t>
  </si>
  <si>
    <t>IUBAT â€“ International University of Business Agriculture and Technology</t>
  </si>
  <si>
    <t>Mechanical &amp; Aerospace Engineering,Electrical &amp; Electronic Engineering,Sociology,Languages, Literature &amp; Linguistics,Computer Science,Business &amp; Management,Civil Engineering,Other Health,Economics &amp; Econometrics,Agriculture &amp; Forestry</t>
  </si>
  <si>
    <t>Universita IULM</t>
  </si>
  <si>
    <t>Communication &amp; Media Studies,Art, Performing Arts &amp; Design,Languages, Literature &amp; Linguistics,Business &amp; Management,Politics &amp; International Studies (incl Development Studies)</t>
  </si>
  <si>
    <t>Ivano Frankivsk National Technical University of Oil and Gas</t>
  </si>
  <si>
    <t>Languages, Literature &amp; Linguistics,Economics &amp; Econometrics,General Engineering,Accounting &amp; Finance,Architecture,Mechanical &amp; Aerospace Engineering,Computer Science,Business &amp; Management,Civil Engineering,Physics &amp; Astronomy,Geology, Environmental, Earth &amp; Marine Sciences,Electrical &amp; Electronic Engineering</t>
  </si>
  <si>
    <t>Jabir ibn Hayyan Medical University</t>
  </si>
  <si>
    <t>Jadara University</t>
  </si>
  <si>
    <t>Civil Engineering,History, Philosophy &amp; Theology,Sociology,Other Health,Law,Mathematics &amp; Statistics,Art, Performing Arts &amp; Design,Business &amp; Management,General Engineering,Computer Science,Languages, Literature &amp; Linguistics,Communication &amp; Media Studies,Education,Sport Science</t>
  </si>
  <si>
    <t>Japan Advanced Institute of Science and Technology (JAIST)</t>
  </si>
  <si>
    <t>Electrical &amp; Electronic Engineering,Biological Sciences,Chemical Engineering,Art, Performing Arts &amp; Design,Communication &amp; Media Studies,Physics &amp; Astronomy,Chemistry,Sociology,General Engineering,Mathematics &amp; Statistics,Business &amp; Management,Geology, Environmental, Earth &amp; Marine Sciences,Computer Science</t>
  </si>
  <si>
    <t>Japan University of Economics</t>
  </si>
  <si>
    <t>History, Philosophy &amp; Theology,Other Health,Communication &amp; Media Studies,Business &amp; Management,Economics &amp; Econometrics,Computer Science,Education,Law,Art, Performing Arts &amp; Design,Sport Science,Accounting &amp; Finance,Geography,Psychology,Languages, Literature &amp; Linguistics,Politics &amp; International Studies (incl Development Studies),Sociology,Mathematics &amp; Statistics</t>
  </si>
  <si>
    <t>Jashore University of Science and Technology</t>
  </si>
  <si>
    <t>Computer Science,Physics &amp; Astronomy,Business &amp; Management,Geology, Environmental, Earth &amp; Marine Sciences,General Engineering,Sport Science,Accounting &amp; Finance,Electrical &amp; Electronic Engineering,Mathematics &amp; Statistics,Languages, Literature &amp; Linguistics,Veterinary Science,Mechanical &amp; Aerospace Engineering,Biological Sciences,Chemical Engineering,Chemistry,Other Health</t>
  </si>
  <si>
    <t>University of Jendouba</t>
  </si>
  <si>
    <t>Art, Performing Arts &amp; Design,Sport Science,Mechanical &amp; Aerospace Engineering,Geography,Computer Science,Economics &amp; Econometrics,Agriculture &amp; Forestry,Electrical &amp; Electronic Engineering,Geology, Environmental, Earth &amp; Marine Sciences,Languages, Literature &amp; Linguistics,Biological Sciences,General Engineering,Education,History, Philosophy &amp; Theology,Accounting &amp; Finance,Archaeology,Law,Other Health,Business &amp; Management</t>
  </si>
  <si>
    <t>Jizzakh Polytechnic Institute</t>
  </si>
  <si>
    <t>Electrical &amp; Electronic Engineering,Mechanical &amp; Aerospace Engineering,Agriculture &amp; Forestry,Architecture,Civil Engineering,General Engineering</t>
  </si>
  <si>
    <t>Jizzakh State Pedagogical University</t>
  </si>
  <si>
    <t>Computer Science,Business &amp; Management,Biological Sciences,Chemistry,Languages, Literature &amp; Linguistics,Physics &amp; Astronomy,Sport Science,Psychology,History, Philosophy &amp; Theology,Mathematics &amp; Statistics,Medicine &amp; Dentistry,Art, Performing Arts &amp; Design,Geography,Education</t>
  </si>
  <si>
    <t>John von Neumann University</t>
  </si>
  <si>
    <t>General Engineering,Computer Science,Electrical &amp; Electronic Engineering,Biological Sciences,Agriculture &amp; Forestry,Economics &amp; Econometrics,Business &amp; Management,Accounting &amp; Finance,Mechanical &amp; Aerospace Engineering</t>
  </si>
  <si>
    <t>Kabarak University</t>
  </si>
  <si>
    <t>Chemistry,Art, Performing Arts &amp; Design,Business &amp; Management,Languages, Literature &amp; Linguistics,Biological Sciences,Education,History, Philosophy &amp; Theology,Other Health,Accounting &amp; Finance,Mathematics &amp; Statistics,Computer Science,Law,Geology, Environmental, Earth &amp; Marine Sciences,Economics &amp; Econometrics,Communication &amp; Media Studies,Medicine &amp; Dentistry,Geography,Agriculture &amp; Forestry,Physics &amp; Astronomy</t>
  </si>
  <si>
    <t>Kabardino-Balkarian State University</t>
  </si>
  <si>
    <t>Languages, Literature &amp; Linguistics,Archaeology,Art, Performing Arts &amp; Design,Psychology,General Engineering,Architecture,Politics &amp; International Studies (incl Development Studies),Geology, Environmental, Earth &amp; Marine Sciences,Other Health,Physics &amp; Astronomy,Communication &amp; Media Studies,Accounting &amp; Finance,Chemical Engineering,Sociology,Business &amp; Management,Education,Geography,Medicine &amp; Dentistry,Economics &amp; Econometrics,Law,Biological Sciences,History, Philosophy &amp; Theology,Computer Science,Electrical &amp; Electronic Engineering,Mathematics &amp; Statistics,Chemistry</t>
  </si>
  <si>
    <t>University of Kabianga</t>
  </si>
  <si>
    <t>Geography,Medicine &amp; Dentistry,Chemistry,Economics &amp; Econometrics,History, Philosophy &amp; Theology,Computer Science,Sociology,Geology, Environmental, Earth &amp; Marine Sciences,Other Health,Psychology,Physics &amp; Astronomy,Education,Politics &amp; International Studies (incl Development Studies),Mathematics &amp; Statistics,Languages, Literature &amp; Linguistics,Agriculture &amp; Forestry,Communication &amp; Media Studies,Accounting &amp; Finance,Biological Sciences,Business &amp; Management</t>
  </si>
  <si>
    <t>Kadir Has University</t>
  </si>
  <si>
    <t>Law,Communication &amp; Media Studies,Politics &amp; International Studies (incl Development Studies),Mechanical &amp; Aerospace Engineering,Business &amp; Management,Accounting &amp; Finance,Civil Engineering,Psychology,Computer Science,Electrical &amp; Electronic Engineering,Biological Sciences,Economics &amp; Econometrics,Architecture,Art, Performing Arts &amp; Design</t>
  </si>
  <si>
    <t>Kamianets-PodÑ–lskyi Ivan Ohiienko National University</t>
  </si>
  <si>
    <t>Languages, Literature &amp; Linguistics,Politics &amp; International Studies (incl Development Studies),Communication &amp; Media Studies,Economics &amp; Econometrics,Biological Sciences,Psychology,Physics &amp; Astronomy,Mathematics &amp; Statistics,History, Philosophy &amp; Theology,Geography,Computer Science,Business &amp; Management,Archaeology,Education,Art, Performing Arts &amp; Design,Sport Science,Other Health,Accounting &amp; Finance</t>
  </si>
  <si>
    <t>Karaganda Buketov University</t>
  </si>
  <si>
    <t>Sport Science,Economics &amp; Econometrics,Architecture,Chemistry,Accounting &amp; Finance,Computer Science,Politics &amp; International Studies (incl Development Studies),Business &amp; Management,Agriculture &amp; Forestry,Psychology,Art, Performing Arts &amp; Design,Biological Sciences,Education,Archaeology,Electrical &amp; Electronic Engineering,Sociology,History, Philosophy &amp; Theology,Chemical Engineering,Geography,General Engineering,Communication &amp; Media Studies,Languages, Literature &amp; Linguistics,Mathematics &amp; Statistics,Law,Physics &amp; Astronomy</t>
  </si>
  <si>
    <t>Karaganda University of Kazpotrebsoyuz</t>
  </si>
  <si>
    <t>Computer Science,Accounting &amp; Finance,Education,Law,Geology, Environmental, Earth &amp; Marine Sciences,Business &amp; Management,Politics &amp; International Studies (incl Development Studies)</t>
  </si>
  <si>
    <t>Karakalpak State University</t>
  </si>
  <si>
    <t>Sport Science,Business &amp; Management,Languages, Literature &amp; Linguistics,Communication &amp; Media Studies,History, Philosophy &amp; Theology,Sociology,Electrical &amp; Electronic Engineering,Law,Architecture,Physics &amp; Astronomy,Computer Science,Mathematics &amp; Statistics,Psychology,Archaeology,Chemistry,Biological Sciences,Economics &amp; Econometrics,Agriculture &amp; Forestry,Accounting &amp; Finance,Civil Engineering,Geography</t>
  </si>
  <si>
    <t>Karshi Engineering Economics Institute</t>
  </si>
  <si>
    <t>Accounting &amp; Finance,General Engineering,Economics &amp; Econometrics,Geology, Environmental, Earth &amp; Marine Sciences,Civil Engineering,Physics &amp; Astronomy,Chemical Engineering,Computer Science,Business &amp; Management,Mathematics &amp; Statistics,Agriculture &amp; Forestry,Electrical &amp; Electronic Engineering</t>
  </si>
  <si>
    <t>Kazakh-British Technical University</t>
  </si>
  <si>
    <t>Business &amp; Management,Physics &amp; Astronomy,Accounting &amp; Finance,Chemical Engineering,Economics &amp; Econometrics,General Engineering,Chemistry,Geology, Environmental, Earth &amp; Marine Sciences,Electrical &amp; Electronic Engineering,Mathematics &amp; Statistics,Mechanical &amp; Aerospace Engineering</t>
  </si>
  <si>
    <t>Kazakh National Pedagogical University Abai</t>
  </si>
  <si>
    <t>Economics &amp; Econometrics,Biological Sciences,Psychology,Art, Performing Arts &amp; Design,Education,Physics &amp; Astronomy,Geography,Computer Science,Law,Geology, Environmental, Earth &amp; Marine Sciences,Languages, Literature &amp; Linguistics,Chemistry,Accounting &amp; Finance,Sociology,Politics &amp; International Studies (incl Development Studies),History, Philosophy &amp; Theology,Business &amp; Management,Mathematics &amp; Statistics</t>
  </si>
  <si>
    <t>Kazakh National Womenâ€™s Teacher Training University</t>
  </si>
  <si>
    <t>History, Philosophy &amp; Theology,Mathematics &amp; Statistics,Psychology,Languages, Literature &amp; Linguistics,Biological Sciences,Geography,Education,Politics &amp; International Studies (incl Development Studies),Computer Science,Art, Performing Arts &amp; Design,Sociology,Sport Science,Physics &amp; Astronomy,Chemistry</t>
  </si>
  <si>
    <t>Kazakhstan Medical University KSPH</t>
  </si>
  <si>
    <t>Medicine &amp; Dentistry,Other Health,Business &amp; Management</t>
  </si>
  <si>
    <t>Kazan State Power Engineering University</t>
  </si>
  <si>
    <t>Business &amp; Management,Electrical &amp; Electronic Engineering,Education,Biological Sciences,General Engineering,Communication &amp; Media Studies,Computer Science,Physics &amp; Astronomy</t>
  </si>
  <si>
    <t>Keisen University</t>
  </si>
  <si>
    <t>Politics &amp; International Studies (incl Development Studies),Languages, Literature &amp; Linguistics,Art, Performing Arts &amp; Design,History, Philosophy &amp; Theology,Education,Psychology</t>
  </si>
  <si>
    <t>Kharkiv University of Humanities â€œPeopleâ€™s Ukrainian Academyâ€</t>
  </si>
  <si>
    <t>Languages, Literature &amp; Linguistics,Business &amp; Management,Sociology</t>
  </si>
  <si>
    <t>Kharkiv National Automobile and Highway University</t>
  </si>
  <si>
    <t>Geology, Environmental, Earth &amp; Marine Sciences,General Engineering,Languages, Literature &amp; Linguistics,Economics &amp; Econometrics,Electrical &amp; Electronic Engineering,Physics &amp; Astronomy,Chemical Engineering,Business &amp; Management,Chemistry,Mathematics &amp; Statistics,Civil Engineering,Computer Science,Accounting &amp; Finance</t>
  </si>
  <si>
    <t>Kharkiv National University of Internal Affairs</t>
  </si>
  <si>
    <t>Psychology,Business &amp; Management,Accounting &amp; Finance,Law,Computer Science,Education,Mechanical &amp; Aerospace Engineering</t>
  </si>
  <si>
    <t>Khazar University</t>
  </si>
  <si>
    <t>Law,Electrical &amp; Electronic Engineering,Accounting &amp; Finance,History, Philosophy &amp; Theology,Civil Engineering,Veterinary Science,Computer Science,Languages, Literature &amp; Linguistics,Biological Sciences,Physics &amp; Astronomy,Chemical Engineering,Business &amp; Management,Politics &amp; International Studies (incl Development Studies),Chemistry,Mathematics &amp; Statistics,Education,General Engineering,Geography,Mechanical &amp; Aerospace Engineering,Psychology,Economics &amp; Econometrics,Art, Performing Arts &amp; Design</t>
  </si>
  <si>
    <t>Khulna University of Engineering and Technology (KUET)</t>
  </si>
  <si>
    <t>Mechanical &amp; Aerospace Engineering,Civil Engineering,Architecture,Chemical Engineering,Electrical &amp; Electronic Engineering</t>
  </si>
  <si>
    <t>Khwaja Fareed University of Engineering and Information Technology</t>
  </si>
  <si>
    <t>Electrical &amp; Electronic Engineering,Chemical Engineering,Economics &amp; Econometrics,Art, Performing Arts &amp; Design,Accounting &amp; Finance,History, Philosophy &amp; Theology,Mathematics &amp; Statistics,Physics &amp; Astronomy,Communication &amp; Media Studies,Other Health,Business &amp; Management,Civil Engineering,Agriculture &amp; Forestry,Languages, Literature &amp; Linguistics,Chemistry,Geology, Environmental, Earth &amp; Marine Sciences,Law,General Engineering,Education,Mechanical &amp; Aerospace Engineering,Politics &amp; International Studies (incl Development Studies),Computer Science,Sport Science,Psychology,Biological Sciences</t>
  </si>
  <si>
    <t>Khyber Medical University</t>
  </si>
  <si>
    <t>Kimyo International University in Tashkent</t>
  </si>
  <si>
    <t>Education,Psychology,Mechanical &amp; Aerospace Engineering,Languages, Literature &amp; Linguistics,Accounting &amp; Finance,Civil Engineering,General Engineering,Other Health,Economics &amp; Econometrics,Art, Performing Arts &amp; Design,Business &amp; Management,Computer Science,Architecture</t>
  </si>
  <si>
    <t>King Abdullah University of Science and Technology (KAUST)</t>
  </si>
  <si>
    <t>Physics &amp; Astronomy,Mathematics &amp; Statistics,Mechanical &amp; Aerospace Engineering,Electrical &amp; Electronic Engineering,Computer Science,Chemistry,Chemical Engineering,Geology, Environmental, Earth &amp; Marine Sciences,Biological Sciences</t>
  </si>
  <si>
    <t>King Danylo University</t>
  </si>
  <si>
    <t>Art, Performing Arts &amp; Design,Languages, Literature &amp; Linguistics,History, Philosophy &amp; Theology,Accounting &amp; Finance,Architecture,Business &amp; Management,Economics &amp; Econometrics,Law,Civil Engineering,Computer Science</t>
  </si>
  <si>
    <t>King Edward Medical University</t>
  </si>
  <si>
    <t>Psychology,Medicine &amp; Dentistry,Other Health,Biological Sciences</t>
  </si>
  <si>
    <t>Kinnaird College for Women</t>
  </si>
  <si>
    <t>Languages, Literature &amp; Linguistics,Geography,Geology, Environmental, Earth &amp; Marine Sciences,Mathematics &amp; Statistics,Education,Physics &amp; Astronomy,Business &amp; Management,Biological Sciences,Psychology,Communication &amp; Media Studies,Accounting &amp; Finance,History, Philosophy &amp; Theology,Art, Performing Arts &amp; Design,Law,Economics &amp; Econometrics,Politics &amp; International Studies (incl Development Studies),Chemistry,Computer Science</t>
  </si>
  <si>
    <t>University of Kirkuk</t>
  </si>
  <si>
    <t>General Engineering,Geography,Physics &amp; Astronomy,Mechanical &amp; Aerospace Engineering,Psychology,Computer Science,Medicine &amp; Dentistry,Biological Sciences,Sport Science,History, Philosophy &amp; Theology,Law,Veterinary Science,Mathematics &amp; Statistics,Languages, Literature &amp; Linguistics,Business &amp; Management,Chemistry,Geology, Environmental, Earth &amp; Marine Sciences,Other Health,Agriculture &amp; Forestry,Civil Engineering</t>
  </si>
  <si>
    <t>Kitami Institute of Technology</t>
  </si>
  <si>
    <t>Civil Engineering,General Engineering,Biological Sciences,Electrical &amp; Electronic Engineering,Mechanical &amp; Aerospace Engineering,Geology, Environmental, Earth &amp; Marine Sciences,Computer Science,Agriculture &amp; Forestry</t>
  </si>
  <si>
    <t>Knowledge University</t>
  </si>
  <si>
    <t>Geology, Environmental, Earth &amp; Marine Sciences,Medicine &amp; Dentistry,Education,Computer Science,Accounting &amp; Finance,Other Health,Business &amp; Management,General Engineering,Economics &amp; Econometrics,Languages, Literature &amp; Linguistics,Law,Politics &amp; International Studies (incl Development Studies),Biological Sciences</t>
  </si>
  <si>
    <t>Kobe Gakuin University</t>
  </si>
  <si>
    <t>Economics &amp; Econometrics,Sociology,History, Philosophy &amp; Theology,Law,Languages, Literature &amp; Linguistics,Sport Science,Biological Sciences,Chemistry,Accounting &amp; Finance,Education,Art, Performing Arts &amp; Design,Geography,Psychology,Communication &amp; Media Studies,Computer Science,Other Health,Geology, Environmental, Earth &amp; Marine Sciences,Medicine &amp; Dentistry,Politics &amp; International Studies (incl Development Studies),Business &amp; Management,Mathematics &amp; Statistics</t>
  </si>
  <si>
    <t>Kocaeli Health and Technology University</t>
  </si>
  <si>
    <t>History, Philosophy &amp; Theology,Chemistry,General Engineering,Psychology,Medicine &amp; Dentistry,Agriculture &amp; Forestry,Other Health,Business &amp; Management,Chemical Engineering,Art, Performing Arts &amp; Design,Mechanical &amp; Aerospace Engineering,Education,Computer Science,Languages, Literature &amp; Linguistics,Mathematics &amp; Statistics,Electrical &amp; Electronic Engineering,Politics &amp; International Studies (incl Development Studies),Civil Engineering</t>
  </si>
  <si>
    <t>Kohsar University Murree</t>
  </si>
  <si>
    <t>Politics &amp; International Studies (incl Development Studies),Computer Science,Chemistry,Sociology,Biological Sciences,Languages, Literature &amp; Linguistics,Communication &amp; Media Studies,Agriculture &amp; Forestry,Accounting &amp; Finance,Business &amp; Management,Mathematics &amp; Statistics,Art, Performing Arts &amp; Design,Psychology</t>
  </si>
  <si>
    <t>Kokshetau State University</t>
  </si>
  <si>
    <t>Other Health</t>
  </si>
  <si>
    <t>Kokugakuin University</t>
  </si>
  <si>
    <t>Art, Performing Arts &amp; Design,Law,Accounting &amp; Finance,Education,History, Philosophy &amp; Theology,Business &amp; Management,Archaeology,Languages, Literature &amp; Linguistics,Economics &amp; Econometrics</t>
  </si>
  <si>
    <t>Konan University</t>
  </si>
  <si>
    <t>Computer Science,Law,Physics &amp; Astronomy,Economics &amp; Econometrics,Accounting &amp; Finance,History, Philosophy &amp; Theology,Communication &amp; Media Studies,Languages, Literature &amp; Linguistics,Sociology,Mathematics &amp; Statistics,Chemistry,Biological Sciences,Business &amp; Management,Psychology</t>
  </si>
  <si>
    <t>Konan Womenâ€™s University</t>
  </si>
  <si>
    <t>Languages, Literature &amp; Linguistics,Education,Communication &amp; Media Studies,Other Health,Psychology,Sociology</t>
  </si>
  <si>
    <t>Koya University</t>
  </si>
  <si>
    <t>Medicine &amp; Dentistry,Sociology,Chemical Engineering,Education,General Engineering,Chemistry,Civil Engineering,Politics &amp; International Studies (incl Development Studies),Psychology,Physics &amp; Astronomy,Architecture,Sport Science,Accounting &amp; Finance,Computer Science,Communication &amp; Media Studies,Business &amp; Management,Other Health,Geography,Languages, Literature &amp; Linguistics,Biological Sciences,Law,History, Philosophy &amp; Theology,Mathematics &amp; Statistics,Economics &amp; Econometrics</t>
  </si>
  <si>
    <t>KPR Institute of Engineering and Technology</t>
  </si>
  <si>
    <t>General Engineering,Computer Science,Mechanical &amp; Aerospace Engineering,Electrical &amp; Electronic Engineering,Civil Engineering,Chemical Engineering</t>
  </si>
  <si>
    <t>Kumasi Technical University</t>
  </si>
  <si>
    <t>Agriculture &amp; Forestry,Art, Performing Arts &amp; Design,Other Health,Mathematics &amp; Statistics,Chemical Engineering,Computer Science,Accounting &amp; Finance,Mechanical &amp; Aerospace Engineering,General Engineering,Geology, Environmental, Earth &amp; Marine Sciences,Electrical &amp; Electronic Engineering,Civil Engineering,Business &amp; Management</t>
  </si>
  <si>
    <t>Kursk State Medical University</t>
  </si>
  <si>
    <t>Other Health,Medicine &amp; Dentistry,Business &amp; Management,Sociology,Biological Sciences,Psychology,Chemical Engineering</t>
  </si>
  <si>
    <t>KÃ¼tahya Health Sciences University</t>
  </si>
  <si>
    <t>Other Health,Computer Science,Medicine &amp; Dentistry,General Engineering</t>
  </si>
  <si>
    <t>Kutaisi University</t>
  </si>
  <si>
    <t>Economics &amp; Econometrics,Medicine &amp; Dentistry,Business &amp; Management,Law,Accounting &amp; Finance</t>
  </si>
  <si>
    <t>Kuwait College of Science and Technology (KCST)</t>
  </si>
  <si>
    <t>Electrical &amp; Electronic Engineering,General Engineering,Computer Science</t>
  </si>
  <si>
    <t>Kyiv National Economic University</t>
  </si>
  <si>
    <t>Business &amp; Management,Accounting &amp; Finance,Computer Science,Politics &amp; International Studies (incl Development Studies),Psychology,Economics &amp; Econometrics,Sociology,Law,Education,Geography</t>
  </si>
  <si>
    <t>Kyoai Gakuen University</t>
  </si>
  <si>
    <t>Computer Science,Economics &amp; Econometrics,Languages, Literature &amp; Linguistics,Education,Mathematics &amp; Statistics,Psychology,Communication &amp; Media Studies,Art, Performing Arts &amp; Design,Geography,Sport Science,Business &amp; Management,History, Philosophy &amp; Theology,Sociology,Archaeology,Politics &amp; International Studies (incl Development Studies),Law,Geology, Environmental, Earth &amp; Marine Sciences,Accounting &amp; Finance</t>
  </si>
  <si>
    <t>Kyoto Koka Womenâ€™s University</t>
  </si>
  <si>
    <t>Biological Sciences,Chemistry,Education,Psychology,Other Health</t>
  </si>
  <si>
    <t>Kyoto Notre Dame University</t>
  </si>
  <si>
    <t>Education,Languages, Literature &amp; Linguistics,Sociology,Psychology,Computer Science</t>
  </si>
  <si>
    <t>Kyrgyz-Turkish Manas University</t>
  </si>
  <si>
    <t>Kyrgyzstan</t>
  </si>
  <si>
    <t>Economics &amp; Econometrics,Mathematics &amp; Statistics,Languages, Literature &amp; Linguistics,Computer Science,Business &amp; Management,Electrical &amp; Electronic Engineering,Sport Science,Communication &amp; Media Studies,Agriculture &amp; Forestry,Education,Sociology,History, Philosophy &amp; Theology,Veterinary Science,Accounting &amp; Finance,Chemical Engineering,Biological Sciences,Politics &amp; International Studies (incl Development Studies),Archaeology</t>
  </si>
  <si>
    <t>K. Zhubanov Aktobe Regional University</t>
  </si>
  <si>
    <t>History, Philosophy &amp; Theology,Chemical Engineering,Education,General Engineering,Biological Sciences,Psychology,Languages, Literature &amp; Linguistics,Computer Science,Law,Physics &amp; Astronomy,Economics &amp; Econometrics,Geology, Environmental, Earth &amp; Marine Sciences,Chemistry,Art, Performing Arts &amp; Design,Civil Engineering,Geography,Mathematics &amp; Statistics,Accounting &amp; Finance,Sport Science,Business &amp; Management,Electrical &amp; Electronic Engineering</t>
  </si>
  <si>
    <t>Lahore Leads University</t>
  </si>
  <si>
    <t>Business &amp; Management,Sociology,Languages, Literature &amp; Linguistics,Politics &amp; International Studies (incl Development Studies),Psychology,Electrical &amp; Electronic Engineering,Civil Engineering,Education,Law,Communication &amp; Media Studies,Economics &amp; Econometrics,General Engineering,Accounting &amp; Finance,Sport Science,Computer Science,Mathematics &amp; Statistics</t>
  </si>
  <si>
    <t>Landmark University</t>
  </si>
  <si>
    <t>General Engineering,Communication &amp; Media Studies,Electrical &amp; Electronic Engineering,Chemistry,Chemical Engineering,Economics &amp; Econometrics,Physics &amp; Astronomy,Mathematics &amp; Statistics,Computer Science,Sociology,Biological Sciences,Other Health,Agriculture &amp; Forestry,Business &amp; Management,Mechanical &amp; Aerospace Engineering,Politics &amp; International Studies (incl Development Studies),Civil Engineering,Accounting &amp; Finance</t>
  </si>
  <si>
    <t>Larbi Tebessi University</t>
  </si>
  <si>
    <t>Computer Science,Communication &amp; Media Studies,Electrical &amp; Electronic Engineering,Physics &amp; Astronomy,Psychology,Languages, Literature &amp; Linguistics,Chemical Engineering,Law,Mechanical &amp; Aerospace Engineering,Chemistry,Economics &amp; Econometrics,Agriculture &amp; Forestry,Politics &amp; International Studies (incl Development Studies),Accounting &amp; Finance,Civil Engineering,Geography,History, Philosophy &amp; Theology,Mathematics &amp; Statistics,Sociology,Architecture,Sport Science,Business &amp; Management,General Engineering,Geology, Environmental, Earth &amp; Marine Sciences,Biological Sciences,Education</t>
  </si>
  <si>
    <t>La Salle University</t>
  </si>
  <si>
    <t>Medicine &amp; Dentistry,History, Philosophy &amp; Theology,Accounting &amp; Finance,Chemical Engineering,Business &amp; Management,Education,Languages, Literature &amp; Linguistics,Civil Engineering,Biological Sciences,Mechanical &amp; Aerospace Engineering,Agriculture &amp; Forestry,Architecture,Economics &amp; Econometrics,Electrical &amp; Electronic Engineering,Veterinary Science,Art, Performing Arts &amp; Design,Politics &amp; International Studies (incl Development Studies)</t>
  </si>
  <si>
    <t>University of Las AmÃ©ricas (UDLA)</t>
  </si>
  <si>
    <t>Politics &amp; International Studies (incl Development Studies),Business &amp; Management,Electrical &amp; Electronic Engineering,Law,Other Health,Architecture,Computer Science,General Engineering,Education,Veterinary Science,Medicine &amp; Dentistry,Economics &amp; Econometrics,Biological Sciences,Psychology,Accounting &amp; Finance,Agriculture &amp; Forestry,Sport Science,Geology, Environmental, Earth &amp; Marine Sciences,Communication &amp; Media Studies,Art, Performing Arts &amp; Design</t>
  </si>
  <si>
    <t>Leeds Arts University</t>
  </si>
  <si>
    <t>Leeds Conservatoire</t>
  </si>
  <si>
    <t>Business &amp; Management,Art, Performing Arts &amp; Design</t>
  </si>
  <si>
    <t>Leeds Trinity University</t>
  </si>
  <si>
    <t>Languages, Literature &amp; Linguistics,Communication &amp; Media Studies,Sport Science,Art, Performing Arts &amp; Design,Business &amp; Management,Psychology,Computer Science,Economics &amp; Econometrics,Law,Education,Sociology,History, Philosophy &amp; Theology</t>
  </si>
  <si>
    <t>Lesya Ukrainka Volyn National University</t>
  </si>
  <si>
    <t>Education,Biological Sciences,Law,Business &amp; Management,Accounting &amp; Finance,Geography,Medicine &amp; Dentistry,Mathematics &amp; Statistics,History, Philosophy &amp; Theology,Chemical Engineering,Psychology,Physics &amp; Astronomy,Politics &amp; International Studies (incl Development Studies),Economics &amp; Econometrics,Geology, Environmental, Earth &amp; Marine Sciences,Sport Science,Languages, Literature &amp; Linguistics,Art, Performing Arts &amp; Design,Communication &amp; Media Studies,Agriculture &amp; Forestry,Sociology,Chemistry,Computer Science,Archaeology</t>
  </si>
  <si>
    <t>Liaquat University of Medical and Health Sciences (LUMHS)</t>
  </si>
  <si>
    <t>Other Health,Biological Sciences,Medicine &amp; Dentistry,Business &amp; Management,Sport Science</t>
  </si>
  <si>
    <t>University of Liberal Arts Bangladesh</t>
  </si>
  <si>
    <t>Communication &amp; Media Studies,Business &amp; Management,Computer Science,Languages, Literature &amp; Linguistics,Electrical &amp; Electronic Engineering</t>
  </si>
  <si>
    <t>Lincoln University College</t>
  </si>
  <si>
    <t>Communication &amp; Media Studies,Business &amp; Management,Other Health,Mechanical &amp; Aerospace Engineering,Civil Engineering,Medicine &amp; Dentistry,Languages, Literature &amp; Linguistics,Education,Accounting &amp; Finance,General Engineering,Psychology,Computer Science</t>
  </si>
  <si>
    <t>Lira University</t>
  </si>
  <si>
    <t>Economics &amp; Econometrics,Accounting &amp; Finance,Other Health,Education,Business &amp; Management,Computer Science,Psychology</t>
  </si>
  <si>
    <t>UniversitÃ© du Littoral CÃ´te dâ€™Opale</t>
  </si>
  <si>
    <t>Sport Science,Art, Performing Arts &amp; Design,Mathematics &amp; Statistics,General Engineering,Computer Science,History, Philosophy &amp; Theology,Geology, Environmental, Earth &amp; Marine Sciences,Sociology,Agriculture &amp; Forestry,Accounting &amp; Finance,Physics &amp; Astronomy,Chemistry,Education,Languages, Literature &amp; Linguistics,Economics &amp; Econometrics,Communication &amp; Media Studies,Chemical Engineering,Electrical &amp; Electronic Engineering,Civil Engineering,Business &amp; Management,Geography,Mechanical &amp; Aerospace Engineering,Architecture,Law,Biological Sciences</t>
  </si>
  <si>
    <t>Liverpool Hope University</t>
  </si>
  <si>
    <t>History, Philosophy &amp; Theology,Geography,Sport Science,Education,Electrical &amp; Electronic Engineering,Computer Science,Psychology,Geology, Environmental, Earth &amp; Marine Sciences,Accounting &amp; Finance,Other Health,Law,Languages, Literature &amp; Linguistics,Communication &amp; Media Studies,Business &amp; Management,Mathematics &amp; Statistics,Art, Performing Arts &amp; Design,Politics &amp; International Studies (incl Development Studies),Sociology</t>
  </si>
  <si>
    <t>Liverpool Institute for Performing Arts</t>
  </si>
  <si>
    <t>General Engineering,Art, Performing Arts &amp; Design,Business &amp; Management</t>
  </si>
  <si>
    <t>Liverpool School of Tropical Medicine</t>
  </si>
  <si>
    <t>Medicine &amp; Dentistry,Other Health,Politics &amp; International Studies (incl Development Studies)</t>
  </si>
  <si>
    <t>The LNM Institute of Information Technology</t>
  </si>
  <si>
    <t>Computer Science,Electrical &amp; Electronic Engineering,Physics &amp; Astronomy,Economics &amp; Econometrics,Psychology,Languages, Literature &amp; Linguistics,Mathematics &amp; Statistics,Mechanical &amp; Aerospace Engineering</t>
  </si>
  <si>
    <t>London Academy of Music and Dramatic Art (LAMDA)</t>
  </si>
  <si>
    <t>London Business School</t>
  </si>
  <si>
    <t>Accounting &amp; Finance,Business &amp; Management,Economics &amp; Econometrics</t>
  </si>
  <si>
    <t>London School of Hygiene and Tropical Medicine</t>
  </si>
  <si>
    <t>Biological Sciences,Mathematics &amp; Statistics,Other Health,Medicine &amp; Dentistry,Veterinary Science,Computer Science</t>
  </si>
  <si>
    <t>London Metropolitan University</t>
  </si>
  <si>
    <t>Business &amp; Management,Mathematics &amp; Statistics,Sport Science,Languages, Literature &amp; Linguistics,Sociology,Communication &amp; Media Studies,Economics &amp; Econometrics,Biological Sciences,Psychology,Art, Performing Arts &amp; Design,Computer Science,Other Health,Chemistry,Education,Architecture,Accounting &amp; Finance,Mechanical &amp; Aerospace Engineering,Politics &amp; International Studies (incl Development Studies),Law</t>
  </si>
  <si>
    <t>Lviv State University of Life Safety</t>
  </si>
  <si>
    <t>Agriculture &amp; Forestry,Psychology,General Engineering,Languages, Literature &amp; Linguistics,Sociology,Computer Science,Electrical &amp; Electronic Engineering,Other Health,Business &amp; Management,Civil Engineering,Education</t>
  </si>
  <si>
    <t>University of Magallanes</t>
  </si>
  <si>
    <t>Medicine &amp; Dentistry,Law,Education,Computer Science,Geology, Environmental, Earth &amp; Marine Sciences,Architecture,Business &amp; Management,Civil Engineering,Psychology,Agriculture &amp; Forestry,Electrical &amp; Electronic Engineering,Mechanical &amp; Aerospace Engineering,Chemical Engineering,Accounting &amp; Finance</t>
  </si>
  <si>
    <t>Universidad del Magdalena</t>
  </si>
  <si>
    <t>Civil Engineering,Other Health,Agriculture &amp; Forestry,Archaeology,Electrical &amp; Electronic Engineering,Education,History, Philosophy &amp; Theology,Law,Psychology,Biological Sciences,Economics &amp; Econometrics,Medicine &amp; Dentistry,Accounting &amp; Finance,Art, Performing Arts &amp; Design,Business &amp; Management,Sport Science,Computer Science,Geology, Environmental, Earth &amp; Marine Sciences,General Engineering</t>
  </si>
  <si>
    <t>University Centre of Maghnia</t>
  </si>
  <si>
    <t>Economics &amp; Econometrics,Law,Business &amp; Management,Civil Engineering,Languages, Literature &amp; Linguistics,Accounting &amp; Finance,Sociology,General Engineering</t>
  </si>
  <si>
    <t>Mahatma Jyotiba Phule Rohilkhand University</t>
  </si>
  <si>
    <t>Psychology,Mechanical &amp; Aerospace Engineering,Communication &amp; Media Studies,Chemistry,Mathematics &amp; Statistics,Law,Biological Sciences,Economics &amp; Econometrics,General Engineering,Electrical &amp; Electronic Engineering,Sport Science,Business &amp; Management,History, Philosophy &amp; Theology,Sociology,Computer Science,Accounting &amp; Finance,Education,Chemical Engineering,Geography,Physics &amp; Astronomy</t>
  </si>
  <si>
    <t>Malawi University of Science and Technology (MUST)</t>
  </si>
  <si>
    <t>Malawi</t>
  </si>
  <si>
    <t>Art, Performing Arts &amp; Design,Veterinary Science,Chemical Engineering,Languages, Literature &amp; Linguistics,Geology, Environmental, Earth &amp; Marine Sciences,Chemistry,Computer Science,Physics &amp; Astronomy,Medicine &amp; Dentistry,Civil Engineering,Other Health,Geography,General Engineering,Communication &amp; Media Studies,Biological Sciences,Business &amp; Management,Accounting &amp; Finance,Sport Science,Mathematics &amp; Statistics,Mechanical &amp; Aerospace Engineering,Education,Agriculture &amp; Forestry</t>
  </si>
  <si>
    <t>Management Development Institute (MDI)</t>
  </si>
  <si>
    <t>Management &amp; Science University (MSU)</t>
  </si>
  <si>
    <t>Communication &amp; Media Studies,Biological Sciences,Economics &amp; Econometrics,Other Health,Computer Science,Accounting &amp; Finance,Sociology,Politics &amp; International Studies (incl Development Studies),Electrical &amp; Electronic Engineering,Medicine &amp; Dentistry,Mechanical &amp; Aerospace Engineering,Education,History, Philosophy &amp; Theology,Psychology,Mathematics &amp; Statistics,Languages, Literature &amp; Linguistics,Business &amp; Management,Sport Science,Art, Performing Arts &amp; Design,General Engineering</t>
  </si>
  <si>
    <t>Universidad Manuela BeltrÃ¡n</t>
  </si>
  <si>
    <t>Civil Engineering,Sport Science,Psychology,Other Health,Sociology,Mechanical &amp; Aerospace Engineering,Law,Computer Science,Electrical &amp; Electronic Engineering,Medicine &amp; Dentistry,Art, Performing Arts &amp; Design</t>
  </si>
  <si>
    <t>MapÃºa University</t>
  </si>
  <si>
    <t>Computer Science,Civil Engineering,Business &amp; Management,Chemical Engineering,Chemistry,Architecture,Mathematics &amp; Statistics,Psychology,Biological Sciences,General Engineering,Communication &amp; Media Studies,Electrical &amp; Electronic Engineering,Geology, Environmental, Earth &amp; Marine Sciences,Art, Performing Arts &amp; Design,Mechanical &amp; Aerospace Engineering,Sport Science,Other Health,Accounting &amp; Finance,Physics &amp; Astronomy</t>
  </si>
  <si>
    <t>Margulan University</t>
  </si>
  <si>
    <t>Physics &amp; Astronomy,Biological Sciences,Art, Performing Arts &amp; Design,Chemistry,History, Philosophy &amp; Theology,Education,Geography,Psychology,Languages, Literature &amp; Linguistics,Mathematics &amp; Statistics,Computer Science,Sport Science</t>
  </si>
  <si>
    <t>Mariano Marcos State University</t>
  </si>
  <si>
    <t>Civil Engineering,Electrical &amp; Electronic Engineering,Sociology,Mechanical &amp; Aerospace Engineering,Education,Languages, Literature &amp; Linguistics,Agriculture &amp; Forestry,Veterinary Science,Law,Psychology,Communication &amp; Media Studies,Biological Sciences,Economics &amp; Econometrics,Other Health,Computer Science,Mathematics &amp; Statistics,Accounting &amp; Finance,Business &amp; Management,Geology, Environmental, Earth &amp; Marine Sciences,Medicine &amp; Dentistry,Chemical Engineering</t>
  </si>
  <si>
    <t>Maritime University of Szczecin</t>
  </si>
  <si>
    <t>Computer Science,Electrical &amp; Electronic Engineering,General Engineering,Civil Engineering,Mechanical &amp; Aerospace Engineering,Business &amp; Management</t>
  </si>
  <si>
    <t>University of Mataram</t>
  </si>
  <si>
    <t>Mechanical &amp; Aerospace Engineering,Communication &amp; Media Studies,Computer Science,Geology, Environmental, Earth &amp; Marine Sciences,Civil Engineering,Education,Mathematics &amp; Statistics,Accounting &amp; Finance,Electrical &amp; Electronic Engineering,Sociology,Physics &amp; Astronomy,Politics &amp; International Studies (incl Development Studies),Agriculture &amp; Forestry,Law,Economics &amp; Econometrics,Medicine &amp; Dentistry,Biological Sciences,Business &amp; Management,General Engineering,Chemistry</t>
  </si>
  <si>
    <t>M. Auezov South Kazakhstan University</t>
  </si>
  <si>
    <t>Archaeology,Veterinary Science,Geography,General Engineering,Sport Science,Accounting &amp; Finance,Electrical &amp; Electronic Engineering,Chemistry,Business &amp; Management,Mechanical &amp; Aerospace Engineering,Communication &amp; Media Studies,Psychology,Architecture,Mathematics &amp; Statistics,Education,Languages, Literature &amp; Linguistics,Agriculture &amp; Forestry,Politics &amp; International Studies (incl Development Studies),Chemical Engineering,History, Philosophy &amp; Theology,Physics &amp; Astronomy,Economics &amp; Econometrics,Sociology,Computer Science,Biological Sciences,Law,Art, Performing Arts &amp; Design,Civil Engineering,Geology, Environmental, Earth &amp; Marine Sciences</t>
  </si>
  <si>
    <t>Universidad Mayor de San SimÃ³n</t>
  </si>
  <si>
    <t>Bolivia</t>
  </si>
  <si>
    <t>Veterinary Science,Computer Science,Geology, Environmental, Earth &amp; Marine Sciences,Economics &amp; Econometrics,Mechanical &amp; Aerospace Engineering,Communication &amp; Media Studies,Other Health,Biological Sciences,Sociology,Architecture,Sport Science,Accounting &amp; Finance,Languages, Literature &amp; Linguistics,Chemical Engineering,Politics &amp; International Studies (incl Development Studies),Civil Engineering,Mathematics &amp; Statistics,Medicine &amp; Dentistry,Physics &amp; Astronomy,Business &amp; Management,Electrical &amp; Electronic Engineering,Chemistry,Psychology,Art, Performing Arts &amp; Design,Agriculture &amp; Forestry,Law,Education</t>
  </si>
  <si>
    <t>University of Medea</t>
  </si>
  <si>
    <t>Law,Communication &amp; Media Studies,Business &amp; Management,Education,Languages, Literature &amp; Linguistics,Psychology,Sociology,History, Philosophy &amp; Theology,Accounting &amp; Finance</t>
  </si>
  <si>
    <t>University of MedellÃ­n</t>
  </si>
  <si>
    <t>University of MedellÃ­n Universidad de MedellÃ­n</t>
  </si>
  <si>
    <t>Business &amp; Management,Accounting &amp; Finance,Sociology,Education,Electrical &amp; Electronic Engineering,Mechanical &amp; Aerospace Engineering,Law,Geology, Environmental, Earth &amp; Marine Sciences,Mathematics &amp; Statistics,Languages, Literature &amp; Linguistics,Computer Science,Chemical Engineering,Communication &amp; Media Studies,Economics &amp; Econometrics,Psychology,Art, Performing Arts &amp; Design,General Engineering,Politics &amp; International Studies (incl Development Studies),Chemistry,Physics &amp; Astronomy,Civil Engineering</t>
  </si>
  <si>
    <t>Medizinische Hochschule Hannover</t>
  </si>
  <si>
    <t>Meikai University</t>
  </si>
  <si>
    <t>Law,Architecture,Business &amp; Management,Civil Engineering,Communication &amp; Media Studies,Other Health,Languages, Literature &amp; Linguistics,Education,Economics &amp; Econometrics,Medicine &amp; Dentistry,Accounting &amp; Finance</t>
  </si>
  <si>
    <t>Universitas Mercu Buana</t>
  </si>
  <si>
    <t>Electrical &amp; Electronic Engineering,Computer Science,Mechanical &amp; Aerospace Engineering,Business &amp; Management,Art, Performing Arts &amp; Design,Civil Engineering,Accounting &amp; Finance,Communication &amp; Media Studies,Architecture,Psychology</t>
  </si>
  <si>
    <t>Middle East University</t>
  </si>
  <si>
    <t>Computer Science,Civil Engineering,Art, Performing Arts &amp; Design,Electrical &amp; Electronic Engineering,Communication &amp; Media Studies,Mechanical &amp; Aerospace Engineering,Other Health,Education,Business &amp; Management,Accounting &amp; Finance,Architecture,Languages, Literature &amp; Linguistics,Law</t>
  </si>
  <si>
    <t>Mindanao State University â€“ Iligan Institute of Technology</t>
  </si>
  <si>
    <t>Education,Veterinary Science,Accounting &amp; Finance,Other Health,Electrical &amp; Electronic Engineering,Geology, Environmental, Earth &amp; Marine Sciences,Languages, Literature &amp; Linguistics,Chemistry,Biological Sciences,Psychology,Art, Performing Arts &amp; Design,Chemical Engineering,Sociology,Physics &amp; Astronomy,Politics &amp; International Studies (incl Development Studies),History, Philosophy &amp; Theology,General Engineering,Civil Engineering,Business &amp; Management,Computer Science,Mathematics &amp; Statistics,Mechanical &amp; Aerospace Engineering,Economics &amp; Econometrics</t>
  </si>
  <si>
    <t>Minhaj University Lahore</t>
  </si>
  <si>
    <t>Agriculture &amp; Forestry,Geography,Electrical &amp; Electronic Engineering,Politics &amp; International Studies (incl Development Studies),Other Health,Communication &amp; Media Studies,Computer Science,Sociology,Art, Performing Arts &amp; Design,Physics &amp; Astronomy,Economics &amp; Econometrics,Medicine &amp; Dentistry,Geology, Environmental, Earth &amp; Marine Sciences,Biological Sciences,Business &amp; Management,Languages, Literature &amp; Linguistics,Chemistry,Education,Chemical Engineering,Law,History, Philosophy &amp; Theology,Mathematics &amp; Statistics,Accounting &amp; Finance</t>
  </si>
  <si>
    <t>University of Misan</t>
  </si>
  <si>
    <t>Civil Engineering,Mathematics &amp; Statistics,Electrical &amp; Electronic Engineering,Business &amp; Management,Economics &amp; Econometrics,Accounting &amp; Finance,Psychology,Art, Performing Arts &amp; Design,Sport Science,Languages, Literature &amp; Linguistics,Law,Agriculture &amp; Forestry,Medicine &amp; Dentistry,Education,Politics &amp; International Studies (incl Development Studies),History, Philosophy &amp; Theology,Biological Sciences,Geography,Mechanical &amp; Aerospace Engineering,Other Health,Chemistry,Physics &amp; Astronomy</t>
  </si>
  <si>
    <t>Misr University for Science and Technology</t>
  </si>
  <si>
    <t>Languages, Literature &amp; Linguistics,Economics &amp; Econometrics,History, Philosophy &amp; Theology,Education,General Engineering,Communication &amp; Media Studies,Architecture,Accounting &amp; Finance,Electrical &amp; Electronic Engineering,Medicine &amp; Dentistry,Mechanical &amp; Aerospace Engineering,Computer Science,Politics &amp; International Studies (incl Development Studies),Archaeology,Biological Sciences,Other Health,Civil Engineering,Business &amp; Management,Agriculture &amp; Forestry</t>
  </si>
  <si>
    <t>Mizoram University</t>
  </si>
  <si>
    <t>Electrical &amp; Electronic Engineering,Psychology,Architecture,Agriculture &amp; Forestry,Business &amp; Management,Mathematics &amp; Statistics,Languages, Literature &amp; Linguistics,Physics &amp; Astronomy,Geography,History, Philosophy &amp; Theology,Politics &amp; International Studies (incl Development Studies),Computer Science,Communication &amp; Media Studies,Accounting &amp; Finance,General Engineering,Biological Sciences,Education,Civil Engineering,Sociology,Other Health,Geology, Environmental, Earth &amp; Marine Sciences,Chemistry,Economics &amp; Econometrics</t>
  </si>
  <si>
    <t>M. Kumarasamy College of Engineering</t>
  </si>
  <si>
    <t>Mechanical &amp; Aerospace Engineering,Computer Science,General Engineering,Civil Engineering,Electrical &amp; Electronic Engineering</t>
  </si>
  <si>
    <t>MNS University of Agriculture, Multan</t>
  </si>
  <si>
    <t>Sociology,Veterinary Science,Accounting &amp; Finance,General Engineering,Other Health,Agriculture &amp; Forestry,Economics &amp; Econometrics,Biological Sciences,Business &amp; Management,Geology, Environmental, Earth &amp; Marine Sciences,Computer Science</t>
  </si>
  <si>
    <t>Modern University for Business and Science</t>
  </si>
  <si>
    <t>Education,Other Health,Accounting &amp; Finance,Economics &amp; Econometrics,Art, Performing Arts &amp; Design,Computer Science,Sociology,Business &amp; Management</t>
  </si>
  <si>
    <t>UniversitÃ© Mohamed El Bachir El Ibrahimi de Bordj Bou ArrÃ©ridj</t>
  </si>
  <si>
    <t>Agriculture &amp; Forestry,Politics &amp; International Studies (incl Development Studies),Archaeology,Veterinary Science,Geography,Computer Science,Chemistry,Biological Sciences,Communication &amp; Media Studies,Accounting &amp; Finance,Art, Performing Arts &amp; Design,Mechanical &amp; Aerospace Engineering,Mathematics &amp; Statistics,Education,History, Philosophy &amp; Theology,Sport Science,Psychology,Languages, Literature &amp; Linguistics,Civil Engineering,Law,Architecture,Chemical Engineering,Sociology,General Engineering,Geology, Environmental, Earth &amp; Marine Sciences,Business &amp; Management,Electrical &amp; Electronic Engineering,Physics &amp; Astronomy,Economics &amp; Econometrics</t>
  </si>
  <si>
    <t>University of Mohamed Lamine Debaghin Setif 2</t>
  </si>
  <si>
    <t>Sport Science,Sociology,Education,Communication &amp; Media Studies,Politics &amp; International Studies (incl Development Studies),Languages, Literature &amp; Linguistics,Psychology,Law,History, Philosophy &amp; Theology</t>
  </si>
  <si>
    <t>Monroe College</t>
  </si>
  <si>
    <t>Computer Science,Mathematics &amp; Statistics,Other Health,Education,Business &amp; Management,Accounting &amp; Finance,Sport Science</t>
  </si>
  <si>
    <t>University of Monterrey</t>
  </si>
  <si>
    <t>Computer Science,Education,Mechanical &amp; Aerospace Engineering,Art, Performing Arts &amp; Design,Civil Engineering,Architecture,Politics &amp; International Studies (incl Development Studies),Other Health,Psychology,Mathematics &amp; Statistics,General Engineering,Accounting &amp; Finance,History, Philosophy &amp; Theology,Law,Economics &amp; Econometrics,Languages, Literature &amp; Linguistics,Electrical &amp; Electronic Engineering,Business &amp; Management,Medicine &amp; Dentistry,Communication &amp; Media Studies</t>
  </si>
  <si>
    <t>Russian Biotechnological University (BIOTECH)</t>
  </si>
  <si>
    <t>General Engineering,Physics &amp; Astronomy,Other Health,Geology, Environmental, Earth &amp; Marine Sciences,Medicine &amp; Dentistry,Veterinary Science,Psychology,Art, Performing Arts &amp; Design,Mechanical &amp; Aerospace Engineering,Education,Computer Science,Chemistry,Chemical Engineering,Communication &amp; Media Studies,History, Philosophy &amp; Theology,Sport Science,Economics &amp; Econometrics,Agriculture &amp; Forestry,Sociology,Languages, Literature &amp; Linguistics,Biological Sciences,Business &amp; Management,Electrical &amp; Electronic Engineering,Mathematics &amp; Statistics</t>
  </si>
  <si>
    <t>Moscow State Linguistic University</t>
  </si>
  <si>
    <t>Sociology,Languages, Literature &amp; Linguistics,Psychology,History, Philosophy &amp; Theology,Education,Politics &amp; International Studies (incl Development Studies),Law,Computer Science,Communication &amp; Media Studies,Mathematics &amp; Statistics</t>
  </si>
  <si>
    <t>Moscow Technical University of Communications and Informatics</t>
  </si>
  <si>
    <t>Communication &amp; Media Studies,Economics &amp; Econometrics,Business &amp; Management,Physics &amp; Astronomy,General Engineering,Mathematics &amp; Statistics,Computer Science</t>
  </si>
  <si>
    <t>University of Mostar</t>
  </si>
  <si>
    <t>Psychology,Economics &amp; Econometrics,Politics &amp; International Studies (incl Development Studies),Chemical Engineering,History, Philosophy &amp; Theology,Languages, Literature &amp; Linguistics,Archaeology,Mathematics &amp; Statistics,Accounting &amp; Finance,Mechanical &amp; Aerospace Engineering,Geology, Environmental, Earth &amp; Marine Sciences,Electrical &amp; Electronic Engineering,Biological Sciences,Business &amp; Management,Other Health,Civil Engineering,Architecture,Geography,Law,Physics &amp; Astronomy,Sociology,General Engineering,Communication &amp; Media Studies,Education,Agriculture &amp; Forestry,Sport Science,Medicine &amp; Dentistry,Computer Science,Art, Performing Arts &amp; Design,Chemistry</t>
  </si>
  <si>
    <t>Muban Chombueng Rajabhat University</t>
  </si>
  <si>
    <t>Sport Science,Mechanical &amp; Aerospace Engineering,Other Health,Business &amp; Management,Accounting &amp; Finance,Law,Electrical &amp; Electronic Engineering,Languages, Literature &amp; Linguistics,Computer Science,General Engineering,Agriculture &amp; Forestry,Sociology,Chemistry,Communication &amp; Media Studies,Education</t>
  </si>
  <si>
    <t>Universitas Muhammadiyah Yogyakarta</t>
  </si>
  <si>
    <t>Civil Engineering,Other Health,Business &amp; Management,Electrical &amp; Electronic Engineering,Communication &amp; Media Studies,Medicine &amp; Dentistry,Accounting &amp; Finance,Law,Agriculture &amp; Forestry,Languages, Literature &amp; Linguistics,Education,Psychology,Politics &amp; International Studies (incl Development Studies),Economics &amp; Econometrics,Computer Science,Mechanical &amp; Aerospace Engineering</t>
  </si>
  <si>
    <t>Mukogawa Womenâ€™s University</t>
  </si>
  <si>
    <t>Communication &amp; Media Studies,Accounting &amp; Finance,Business &amp; Management,Other Health,General Engineering,Art, Performing Arts &amp; Design,Sport Science,Psychology,Languages, Literature &amp; Linguistics,Education,Architecture</t>
  </si>
  <si>
    <t>Mulungushi University</t>
  </si>
  <si>
    <t>Politics &amp; International Studies (incl Development Studies),Mathematics &amp; Statistics,Computer Science,History, Philosophy &amp; Theology,Business &amp; Management,Languages, Literature &amp; Linguistics,Law,Biological Sciences,Agriculture &amp; Forestry,Geology, Environmental, Earth &amp; Marine Sciences,Sociology,Medicine &amp; Dentistry,Accounting &amp; Finance,Education,Psychology,Geography,Physics &amp; Astronomy,Chemistry,Civil Engineering,Mechanical &amp; Aerospace Engineering,Electrical &amp; Electronic Engineering,Communication &amp; Media Studies,Economics &amp; Econometrics,Other Health</t>
  </si>
  <si>
    <t>Musashino University</t>
  </si>
  <si>
    <t>Education,Languages, Literature &amp; Linguistics,Law,Medicine &amp; Dentistry,Geology, Environmental, Earth &amp; Marine Sciences,History, Philosophy &amp; Theology,Economics &amp; Econometrics,Accounting &amp; Finance,Mathematics &amp; Statistics,Politics &amp; International Studies (incl Development Studies),Business &amp; Management,Computer Science,Psychology,Architecture,Communication &amp; Media Studies,General Engineering,Electrical &amp; Electronic Engineering</t>
  </si>
  <si>
    <t>Universidad Nacional Abierta y a Distancia (UNAD)</t>
  </si>
  <si>
    <t>Politics &amp; International Studies (incl Development Studies),Business &amp; Management,Psychology,Communication &amp; Media Studies,Sociology,Economics &amp; Econometrics,Languages, Literature &amp; Linguistics,Computer Science,Agriculture &amp; Forestry,Accounting &amp; Finance,Electrical &amp; Electronic Engineering,Art, Performing Arts &amp; Design,History, Philosophy &amp; Theology,General Engineering,Education,Mathematics &amp; Statistics,Law,Other Health</t>
  </si>
  <si>
    <t>Universidad Nacional de AsunciÃ³n</t>
  </si>
  <si>
    <t>Paraguay</t>
  </si>
  <si>
    <t>Sociology,Architecture,Psychology,Other Health,Economics &amp; Econometrics,General Engineering,Chemistry,Medicine &amp; Dentistry,Accounting &amp; Finance,Mathematics &amp; Statistics,Chemical Engineering,Communication &amp; Media Studies,Education,Physics &amp; Astronomy,Politics &amp; International Studies (incl Development Studies),Business &amp; Management,Geology, Environmental, Earth &amp; Marine Sciences,Electrical &amp; Electronic Engineering,Art, Performing Arts &amp; Design,Veterinary Science,Mechanical &amp; Aerospace Engineering,Geography,Agriculture &amp; Forestry,Law,Civil Engineering,History, Philosophy &amp; Theology,Computer Science,Languages, Literature &amp; Linguistics,Biological Sciences</t>
  </si>
  <si>
    <t>Universidad Nacional de Chimborazo</t>
  </si>
  <si>
    <t>Medicine &amp; Dentistry,Economics &amp; Econometrics,Art, Performing Arts &amp; Design,Communication &amp; Media Studies,General Engineering,Accounting &amp; Finance,Electrical &amp; Electronic Engineering,Law,Other Health,Psychology,Civil Engineering,Education,Architecture,Politics &amp; International Studies (incl Development Studies),Sociology,Computer Science,Business &amp; Management</t>
  </si>
  <si>
    <t>Universidad Nacional de ItapÃºa</t>
  </si>
  <si>
    <t>Electrical &amp; Electronic Engineering,Politics &amp; International Studies (incl Development Studies),General Engineering,Biological Sciences,Economics &amp; Econometrics,Mechanical &amp; Aerospace Engineering,Education,Mathematics &amp; Statistics,Sociology,Communication &amp; Media Studies,Accounting &amp; Finance,Psychology,Computer Science,Civil Engineering,Business &amp; Management,Law,Medicine &amp; Dentistry,Languages, Literature &amp; Linguistics,Geology, Environmental, Earth &amp; Marine Sciences</t>
  </si>
  <si>
    <t>Universidad Nacional de Rafaela (UNRaf)</t>
  </si>
  <si>
    <t>Computer Science,Education,Art, Performing Arts &amp; Design,Business &amp; Management,Sport Science,Agriculture &amp; Forestry,Communication &amp; Media Studies</t>
  </si>
  <si>
    <t>Nagoya University of Commerce &amp; Business</t>
  </si>
  <si>
    <t>Accounting &amp; Finance,Economics &amp; Econometrics,Languages, Literature &amp; Linguistics,Business &amp; Management</t>
  </si>
  <si>
    <t>Nakhchivan State University</t>
  </si>
  <si>
    <t>Architecture,Biological Sciences,Law,Languages, Literature &amp; Linguistics,General Engineering,Physics &amp; Astronomy,Art, Performing Arts &amp; Design,Computer Science,Chemistry,Business &amp; Management,Veterinary Science,Geography,Accounting &amp; Finance,Archaeology,Sport Science,Education,Medicine &amp; Dentistry,Mathematics &amp; Statistics,Psychology,Sociology,Agriculture &amp; Forestry,Chemical Engineering,Politics &amp; International Studies (incl Development Studies),History, Philosophy &amp; Theology,Electrical &amp; Electronic Engineering,Geology, Environmental, Earth &amp; Marine Sciences,Economics &amp; Econometrics,Mechanical &amp; Aerospace Engineering,Communication &amp; Media Studies</t>
  </si>
  <si>
    <t>Nakhon Ratchasima Rajabhat University</t>
  </si>
  <si>
    <t>Veterinary Science,Other Health,Politics &amp; International Studies (incl Development Studies),Mathematics &amp; Statistics,Accounting &amp; Finance,Medicine &amp; Dentistry,Geology, Environmental, Earth &amp; Marine Sciences,Economics &amp; Econometrics,Computer Science,Sociology,Architecture,Chemistry,Languages, Literature &amp; Linguistics,Agriculture &amp; Forestry,Law,General Engineering,Communication &amp; Media Studies,Art, Performing Arts &amp; Design,Sport Science,Business &amp; Management,History, Philosophy &amp; Theology,Physics &amp; Astronomy,Education,Electrical &amp; Electronic Engineering,Geography</t>
  </si>
  <si>
    <t>Namal University</t>
  </si>
  <si>
    <t>Business &amp; Management,Mathematics &amp; Statistics,Computer Science,Electrical &amp; Electronic Engineering</t>
  </si>
  <si>
    <t>Namangan Engineering Construction Institute</t>
  </si>
  <si>
    <t>Electrical &amp; Electronic Engineering,Business &amp; Management,Architecture,Computer Science,Economics &amp; Econometrics,Civil Engineering,Accounting &amp; Finance,Agriculture &amp; Forestry,Chemical Engineering,General Engineering,Geology, Environmental, Earth &amp; Marine Sciences</t>
  </si>
  <si>
    <t>Namangan Institute of Engineering and Technology</t>
  </si>
  <si>
    <t>Art, Performing Arts &amp; Design,Biological Sciences,Agriculture &amp; Forestry,Civil Engineering,Electrical &amp; Electronic Engineering,Computer Science,Business &amp; Management,Chemical Engineering,General Engineering,Economics &amp; Econometrics,Accounting &amp; Finance,Chemistry</t>
  </si>
  <si>
    <t>Namangan State University</t>
  </si>
  <si>
    <t>Law,Medicine &amp; Dentistry,Other Health,Chemistry,Biological Sciences,Sociology,Veterinary Science,Psychology,Physics &amp; Astronomy,History, Philosophy &amp; Theology,Business &amp; Management,Education,Agriculture &amp; Forestry,Art, Performing Arts &amp; Design,Communication &amp; Media Studies,Geography,Politics &amp; International Studies (incl Development Studies),Mathematics &amp; Statistics,Computer Science,Economics &amp; Econometrics,Sport Science,Archaeology,Languages, Literature &amp; Linguistics</t>
  </si>
  <si>
    <t>Narxoz University</t>
  </si>
  <si>
    <t>Computer Science,Agriculture &amp; Forestry,Mathematics &amp; Statistics,Sociology,Psychology,Business &amp; Management,Law,Accounting &amp; Finance,Politics &amp; International Studies (incl Development Studies),Economics &amp; Econometrics</t>
  </si>
  <si>
    <t>Nasarawa State University, Keffi</t>
  </si>
  <si>
    <t>Civil Engineering,Law,Other Health,Communication &amp; Media Studies,Geology, Environmental, Earth &amp; Marine Sciences,Education,History, Philosophy &amp; Theology,Mathematics &amp; Statistics,Geography,Chemical Engineering,Accounting &amp; Finance,Languages, Literature &amp; Linguistics,Physics &amp; Astronomy,Business &amp; Management,Agriculture &amp; Forestry,Chemistry,Psychology,Art, Performing Arts &amp; Design,Computer Science,Economics &amp; Econometrics,Electrical &amp; Electronic Engineering,Sociology,Medicine &amp; Dentistry,Politics &amp; International Studies (incl Development Studies)</t>
  </si>
  <si>
    <t>Universidad Nacional Agraria La Molina</t>
  </si>
  <si>
    <t>Economics &amp; Econometrics,Veterinary Science,General Engineering,Accounting &amp; Finance,Physics &amp; Astronomy,Sociology,Chemical Engineering,Chemistry,Mathematics &amp; Statistics,Agriculture &amp; Forestry,Business &amp; Management,Geology, Environmental, Earth &amp; Marine Sciences,Biological Sciences,Civil Engineering</t>
  </si>
  <si>
    <t>National Film and Television School</t>
  </si>
  <si>
    <t>National University of Food Technologies</t>
  </si>
  <si>
    <t>Agriculture &amp; Forestry,Languages, Literature &amp; Linguistics,Computer Science,Civil Engineering,Mechanical &amp; Aerospace Engineering,Business &amp; Management,Economics &amp; Econometrics,Sport Science,Physics &amp; Astronomy,Biological Sciences,Mathematics &amp; Statistics,Accounting &amp; Finance</t>
  </si>
  <si>
    <t>National University Odessa Law Academy</t>
  </si>
  <si>
    <t>Business &amp; Management,Psychology,Sociology,Politics &amp; International Studies (incl Development Studies),Computer Science,Languages, Literature &amp; Linguistics,Communication &amp; Media Studies,History, Philosophy &amp; Theology,Law</t>
  </si>
  <si>
    <t>The National University of Ostroh Academy</t>
  </si>
  <si>
    <t>Computer Science,Other Health,Education,Archaeology,Accounting &amp; Finance,Law,Communication &amp; Media Studies,History, Philosophy &amp; Theology,Politics &amp; International Studies (incl Development Studies),Business &amp; Management,Psychology,Languages, Literature &amp; Linguistics</t>
  </si>
  <si>
    <t>National Polytechnic University of Armenia</t>
  </si>
  <si>
    <t>Economics &amp; Econometrics,Civil Engineering,Electrical &amp; Electronic Engineering,Chemical Engineering,Art, Performing Arts &amp; Design,Computer Science,Mechanical &amp; Aerospace Engineering,General Engineering,Business &amp; Management</t>
  </si>
  <si>
    <t>National University of Quilmes</t>
  </si>
  <si>
    <t>Architecture,Education,Economics &amp; Econometrics,Art, Performing Arts &amp; Design,Languages, Literature &amp; Linguistics,Biological Sciences,Physics &amp; Astronomy,General Engineering,Mathematics &amp; Statistics,Business &amp; Management,Geography,History, Philosophy &amp; Theology,Politics &amp; International Studies (incl Development Studies),Chemistry,Sociology,Computer Science,Electrical &amp; Electronic Engineering,Communication &amp; Media Studies,Other Health,Accounting &amp; Finance</t>
  </si>
  <si>
    <t>National School of Artificial Intelligence (ENSIA)</t>
  </si>
  <si>
    <t>Mathematics &amp; Statistics,Computer Science</t>
  </si>
  <si>
    <t>National University of Science and Technology, Oman</t>
  </si>
  <si>
    <t>Other Health,Civil Engineering,Medicine &amp; Dentistry,General Engineering,Chemical Engineering,Geology, Environmental, Earth &amp; Marine Sciences,Electrical &amp; Electronic Engineering,Mechanical &amp; Aerospace Engineering</t>
  </si>
  <si>
    <t>National University, Sudan</t>
  </si>
  <si>
    <t>Sudan</t>
  </si>
  <si>
    <t>Civil Engineering,Architecture,Accounting &amp; Finance,Education,Electrical &amp; Electronic Engineering,General Engineering,Other Health,Medicine &amp; Dentistry,Biological Sciences,Business &amp; Management,Chemistry,Economics &amp; Econometrics,Computer Science,Politics &amp; International Studies (incl Development Studies)</t>
  </si>
  <si>
    <t>National Textile University</t>
  </si>
  <si>
    <t>Mathematics &amp; Statistics,Art, Performing Arts &amp; Design,Physics &amp; Astronomy,General Engineering,Accounting &amp; Finance,Chemistry,Business &amp; Management,Computer Science</t>
  </si>
  <si>
    <t>National Transport University</t>
  </si>
  <si>
    <t>Accounting &amp; Finance,Geology, Environmental, Earth &amp; Marine Sciences,Computer Science,Mechanical &amp; Aerospace Engineering,Economics &amp; Econometrics,Business &amp; Management,Education,Chemical Engineering,Art, Performing Arts &amp; Design,General Engineering,Law,Civil Engineering,Languages, Literature &amp; Linguistics</t>
  </si>
  <si>
    <t>National University of Water and Environmental Engineering</t>
  </si>
  <si>
    <t>Civil Engineering,Accounting &amp; Finance,Geology, Environmental, Earth &amp; Marine Sciences,General Engineering,Psychology,Electrical &amp; Electronic Engineering,Communication &amp; Media Studies,Computer Science,Law,Agriculture &amp; Forestry,Architecture,Mathematics &amp; Statistics,Mechanical &amp; Aerospace Engineering,Other Health,Business &amp; Management</t>
  </si>
  <si>
    <t>National University â€œYuri Kondratyuk Poltava Polytechnicâ€</t>
  </si>
  <si>
    <t>Sport Science,Geology, Environmental, Earth &amp; Marine Sciences,Architecture,Business &amp; Management,Other Health,Accounting &amp; Finance,Art, Performing Arts &amp; Design,Education,Electrical &amp; Electronic Engineering,Computer Science,Economics &amp; Econometrics,Civil Engineering,General Engineering,Languages, Literature &amp; Linguistics,Politics &amp; International Studies (incl Development Studies)</t>
  </si>
  <si>
    <t>Navoi State Pedagogical Institute</t>
  </si>
  <si>
    <t>Biological Sciences,Chemistry,Medicine &amp; Dentistry,Physics &amp; Astronomy,Sport Science,Mathematics &amp; Statistics,Languages, Literature &amp; Linguistics,Psychology,History, Philosophy &amp; Theology,Geography,Computer Science,Art, Performing Arts &amp; Design,Education</t>
  </si>
  <si>
    <t>Netaji Subhas University of Technology</t>
  </si>
  <si>
    <t>Mechanical &amp; Aerospace Engineering,Business &amp; Management,Biological Sciences,Chemistry,Physics &amp; Astronomy,Languages, Literature &amp; Linguistics,Mathematics &amp; Statistics,Electrical &amp; Electronic Engineering,Computer Science,Architecture,Civil Engineering</t>
  </si>
  <si>
    <t>Niger Delta University</t>
  </si>
  <si>
    <t>Geology, Environmental, Earth &amp; Marine Sciences,Medicine &amp; Dentistry,Economics &amp; Econometrics,Computer Science,Communication &amp; Media Studies,Education,Law,Business &amp; Management,Biological Sciences,Chemistry,History, Philosophy &amp; Theology,Accounting &amp; Finance,Psychology,Agriculture &amp; Forestry,Electrical &amp; Electronic Engineering,Physics &amp; Astronomy,Other Health,Mechanical &amp; Aerospace Engineering,Architecture,Languages, Literature &amp; Linguistics,Mathematics &amp; Statistics,Art, Performing Arts &amp; Design,General Engineering,Geography,Civil Engineering,Chemical Engineering,Sociology</t>
  </si>
  <si>
    <t>Nihon Pharmaceutical University</t>
  </si>
  <si>
    <t>Niigata University of Health and Welfare</t>
  </si>
  <si>
    <t>Sport Science,Accounting &amp; Finance,Communication &amp; Media Studies,Languages, Literature &amp; Linguistics,Biological Sciences,Law,Sociology,Computer Science,Psychology,Physics &amp; Astronomy,Mathematics &amp; Statistics,Education,Chemistry,Other Health,Business &amp; Management</t>
  </si>
  <si>
    <t>University of Niigata Prefecture</t>
  </si>
  <si>
    <t>Other Health,Politics &amp; International Studies (incl Development Studies),Economics &amp; Econometrics,Education</t>
  </si>
  <si>
    <t>Ninevah University</t>
  </si>
  <si>
    <t>Medicine &amp; Dentistry,Electrical &amp; Electronic Engineering,Other Health,Computer Science,Law,Biological Sciences</t>
  </si>
  <si>
    <t>Nitte (Deemed to be University)</t>
  </si>
  <si>
    <t>Biological Sciences,Communication &amp; Media Studies,Architecture,Medicine &amp; Dentistry,Other Health</t>
  </si>
  <si>
    <t>University of Northampton</t>
  </si>
  <si>
    <t>Politics &amp; International Studies (incl Development Studies),Geography,Law,Accounting &amp; Finance,Sociology,Computer Science,Art, Performing Arts &amp; Design,Biological Sciences,Economics &amp; Econometrics,Sport Science,Education,Electrical &amp; Electronic Engineering,Communication &amp; Media Studies,General Engineering,Languages, Literature &amp; Linguistics,Psychology,Architecture,Mechanical &amp; Aerospace Engineering,Other Health,Business &amp; Management,History, Philosophy &amp; Theology,Geology, Environmental, Earth &amp; Marine Sciences</t>
  </si>
  <si>
    <t>Northeast Ohio Medical University</t>
  </si>
  <si>
    <t>Northern Border University</t>
  </si>
  <si>
    <t>Psychology,Computer Science,Geography,Veterinary Science,Education,Medicine &amp; Dentistry,Agriculture &amp; Forestry,Sociology,Archaeology,Languages, Literature &amp; Linguistics,Other Health,Law,Chemistry,Electrical &amp; Electronic Engineering,Geology, Environmental, Earth &amp; Marine Sciences,Business &amp; Management,Civil Engineering,Biological Sciences,Mechanical &amp; Aerospace Engineering,Architecture,History, Philosophy &amp; Theology,Accounting &amp; Finance,Politics &amp; International Studies (incl Development Studies),Communication &amp; Media Studies,Chemical Engineering,General Engineering,Economics &amp; Econometrics,Sport Science,Mathematics &amp; Statistics,Art, Performing Arts &amp; Design,Physics &amp; Astronomy</t>
  </si>
  <si>
    <t>Northern Technical University</t>
  </si>
  <si>
    <t>Mechanical &amp; Aerospace Engineering,Agriculture &amp; Forestry,General Engineering,Chemistry,Accounting &amp; Finance,Other Health,Economics &amp; Econometrics,Computer Science,Veterinary Science,Medicine &amp; Dentistry,Civil Engineering,Chemical Engineering,Electrical &amp; Electronic Engineering,Law,Geology, Environmental, Earth &amp; Marine Sciences,Biological Sciences,Business &amp; Management</t>
  </si>
  <si>
    <t>Norwich University of the Arts</t>
  </si>
  <si>
    <t>Architecture,Business &amp; Management,Computer Science,Art, Performing Arts &amp; Design</t>
  </si>
  <si>
    <t>University Centre of El-Bayadh</t>
  </si>
  <si>
    <t>Biological Sciences,General Engineering,History, Philosophy &amp; Theology,Computer Science,Accounting &amp; Finance,Geology, Environmental, Earth &amp; Marine Sciences,Sociology,Electrical &amp; Electronic Engineering,Economics &amp; Econometrics,Education,Sport Science,Civil Engineering,Law,Languages, Literature &amp; Linguistics,Business &amp; Management</t>
  </si>
  <si>
    <t>University of Nova Gorica</t>
  </si>
  <si>
    <t>Architecture,Languages, Literature &amp; Linguistics,Chemistry,Business &amp; Management,History, Philosophy &amp; Theology,Biological Sciences,Chemical Engineering,Geology, Environmental, Earth &amp; Marine Sciences,Education,Agriculture &amp; Forestry,Mathematics &amp; Statistics,Art, Performing Arts &amp; Design,Physics &amp; Astronomy</t>
  </si>
  <si>
    <t>Novosibirsk State University of Economics and Management</t>
  </si>
  <si>
    <t>Sociology,Accounting &amp; Finance,Computer Science,Economics &amp; Econometrics,Business &amp; Management,Psychology,Communication &amp; Media Studies,Mathematics &amp; Statistics,Law,Politics &amp; International Studies (incl Development Studies)</t>
  </si>
  <si>
    <t>Nueva Ecija University of Science and Technology (NEUST)</t>
  </si>
  <si>
    <t>Geology, Environmental, Earth &amp; Marine Sciences,Chemistry,Civil Engineering,Architecture,Education,Biological Sciences,Electrical &amp; Electronic Engineering,Other Health,Sociology,Business &amp; Management,Mechanical &amp; Aerospace Engineering,Psychology,Computer Science,Politics &amp; International Studies (incl Development Studies),Agriculture &amp; Forestry</t>
  </si>
  <si>
    <t>Universidad Nur</t>
  </si>
  <si>
    <t>Communication &amp; Media Studies,Education,Agriculture &amp; Forestry,Geology, Environmental, Earth &amp; Marine Sciences,Economics &amp; Econometrics,History, Philosophy &amp; Theology,Business &amp; Management,General Engineering,Law,Medicine &amp; Dentistry,Psychology,Politics &amp; International Studies (incl Development Studies),Sport Science,Art, Performing Arts &amp; Design,Other Health,Computer Science,Sociology,Accounting &amp; Finance</t>
  </si>
  <si>
    <t>October 6 University</t>
  </si>
  <si>
    <t>Civil Engineering,General Engineering,Accounting &amp; Finance,Languages, Literature &amp; Linguistics,Electrical &amp; Electronic Engineering,Computer Science,Other Health,Mathematics &amp; Statistics,Politics &amp; International Studies (incl Development Studies),Education,Biological Sciences,Communication &amp; Media Studies,Medicine &amp; Dentistry,Architecture,Art, Performing Arts &amp; Design,Chemical Engineering,Chemistry,History, Philosophy &amp; Theology,Sociology,Physics &amp; Astronomy,Economics &amp; Econometrics,Mechanical &amp; Aerospace Engineering,Business &amp; Management,Archaeology</t>
  </si>
  <si>
    <t>October University for Modern Sciences and Arts (MSA)</t>
  </si>
  <si>
    <t>Languages, Literature &amp; Linguistics,Business &amp; Management,Art, Performing Arts &amp; Design,Mechanical &amp; Aerospace Engineering,Electrical &amp; Electronic Engineering,Accounting &amp; Finance,Biological Sciences,Communication &amp; Media Studies,Computer Science,Medicine &amp; Dentistry,Other Health,Architecture</t>
  </si>
  <si>
    <t>Odesa I.I. Mechnikov National University</t>
  </si>
  <si>
    <t>Biological Sciences,Education,Computer Science,Psychology,Mathematics &amp; Statistics,Law,History, Philosophy &amp; Theology,Politics &amp; International Studies (incl Development Studies),Archaeology,Sociology,Chemistry,Accounting &amp; Finance,Communication &amp; Media Studies,Physics &amp; Astronomy,Business &amp; Management,Languages, Literature &amp; Linguistics,Geography,Geology, Environmental, Earth &amp; Marine Sciences,Economics &amp; Econometrics</t>
  </si>
  <si>
    <t>Oguz Han Engineering and Technology University of Turkmenistan</t>
  </si>
  <si>
    <t>Accounting &amp; Finance,Biological Sciences,Mathematics &amp; Statistics,Computer Science,Chemical Engineering,General Engineering,Economics &amp; Econometrics,Education,Electrical &amp; Electronic Engineering,Chemistry,Psychology,Physics &amp; Astronomy,Business &amp; Management</t>
  </si>
  <si>
    <t>University of Okara</t>
  </si>
  <si>
    <t>Physics &amp; Astronomy,Geology, Environmental, Earth &amp; Marine Sciences,Biological Sciences,Business &amp; Management,Law,Mathematics &amp; Statistics,Accounting &amp; Finance,Languages, Literature &amp; Linguistics,History, Philosophy &amp; Theology,Computer Science,Sociology,Sport Science,Psychology,Chemistry,Communication &amp; Media Studies,Economics &amp; Econometrics,Education,Geography,Art, Performing Arts &amp; Design,Other Health,Politics &amp; International Studies (incl Development Studies)</t>
  </si>
  <si>
    <t>Omsk State Agrarian University</t>
  </si>
  <si>
    <t>Agriculture &amp; Forestry,Law,Veterinary Science,Biological Sciences,Business &amp; Management,General Engineering,Computer Science,Accounting &amp; Finance,Economics &amp; Econometrics,Geology, Environmental, Earth &amp; Marine Sciences,Mechanical &amp; Aerospace Engineering</t>
  </si>
  <si>
    <t>Open Christian University</t>
  </si>
  <si>
    <t>Sociology,History, Philosophy &amp; Theology,Psychology,Education,Business &amp; Management</t>
  </si>
  <si>
    <t>O.P. Jindal Global University</t>
  </si>
  <si>
    <t>Art, Performing Arts &amp; Design,Business &amp; Management,History, Philosophy &amp; Theology,Accounting &amp; Finance,Geology, Environmental, Earth &amp; Marine Sciences,Architecture,Economics &amp; Econometrics,Sociology,Languages, Literature &amp; Linguistics,Psychology,Communication &amp; Media Studies,Politics &amp; International Studies (incl Development Studies),Law</t>
  </si>
  <si>
    <t>UniversitÃ© dâ€™Oran 2 Mohamed Ben Ahmed</t>
  </si>
  <si>
    <t>Mechanical &amp; Aerospace Engineering,Geography,Psychology,Mathematics &amp; Statistics,History, Philosophy &amp; Theology,Politics &amp; International Studies (incl Development Studies),Accounting &amp; Finance,Education,Electrical &amp; Electronic Engineering,Languages, Literature &amp; Linguistics,Sociology,Geology, Environmental, Earth &amp; Marine Sciences,Economics &amp; Econometrics,General Engineering,Business &amp; Management,Law</t>
  </si>
  <si>
    <t>Oran Graduate School of Economics</t>
  </si>
  <si>
    <t>Orel State Agrarian University named after N.V. Parahin</t>
  </si>
  <si>
    <t>Civil Engineering,Electrical &amp; Electronic Engineering,Agriculture &amp; Forestry,Business &amp; Management,Accounting &amp; Finance,Economics &amp; Econometrics,Veterinary Science</t>
  </si>
  <si>
    <t>Orel State University named after I.S. Turgenev</t>
  </si>
  <si>
    <t>Biological Sciences,Law,History, Philosophy &amp; Theology,Business &amp; Management,Languages, Literature &amp; Linguistics,Sport Science,Accounting &amp; Finance,Other Health,Psychology,Medicine &amp; Dentistry,Chemistry,Architecture,Education,Art, Performing Arts &amp; Design,Civil Engineering,Geography,Computer Science,Physics &amp; Astronomy,Electrical &amp; Electronic Engineering,Sociology,General Engineering,Communication &amp; Media Studies</t>
  </si>
  <si>
    <t>ORT Uruguay University</t>
  </si>
  <si>
    <t>Uruguay</t>
  </si>
  <si>
    <t>Biological Sciences,Politics &amp; International Studies (incl Development Studies),Art, Performing Arts &amp; Design,Education,Communication &amp; Media Studies,Computer Science,Economics &amp; Econometrics,Electrical &amp; Electronic Engineering,Architecture,Languages, Literature &amp; Linguistics,Business &amp; Management,Accounting &amp; Finance</t>
  </si>
  <si>
    <t>Osol Al-Deen University College</t>
  </si>
  <si>
    <t>Communication &amp; Media Studies,Medicine &amp; Dentistry,Other Health,Languages, Literature &amp; Linguistics,Law,Business &amp; Management</t>
  </si>
  <si>
    <t>University College of Osteopathy</t>
  </si>
  <si>
    <t>Ostrogradsky National University of Kremenchuk</t>
  </si>
  <si>
    <t>Computer Science,Communication &amp; Media Studies,Economics &amp; Econometrics,Languages, Literature &amp; Linguistics,General Engineering,Biological Sciences,Art, Performing Arts &amp; Design,Business &amp; Management,Psychology,Mechanical &amp; Aerospace Engineering,Accounting &amp; Finance,Other Health,Electrical &amp; Electronic Engineering,Law</t>
  </si>
  <si>
    <t>University of Oum El Bouaghi</t>
  </si>
  <si>
    <t>Biological Sciences,Geology, Environmental, Earth &amp; Marine Sciences,Languages, Literature &amp; Linguistics,Architecture,Geography,Politics &amp; International Studies (incl Development Studies),Sociology,Law,General Engineering,Chemical Engineering,History, Philosophy &amp; Theology,Accounting &amp; Finance,Civil Engineering,Mathematics &amp; Statistics,Psychology,Computer Science,Sport Science,Agriculture &amp; Forestry,Communication &amp; Media Studies,Mechanical &amp; Aerospace Engineering,Physics &amp; Astronomy,Art, Performing Arts &amp; Design,Other Health,Education,Business &amp; Management,Chemistry,Economics &amp; Econometrics,Electrical &amp; Electronic Engineering,Veterinary Science,Medicine &amp; Dentistry</t>
  </si>
  <si>
    <t>Universidad del PacÃ­fico</t>
  </si>
  <si>
    <t>History, Philosophy &amp; Theology,Business &amp; Management,Law,Art, Performing Arts &amp; Design,Sociology,Accounting &amp; Finance,Computer Science,Economics &amp; Econometrics,Politics &amp; International Studies (incl Development Studies)</t>
  </si>
  <si>
    <t>Universidad del PacÃ­fico Ecuador</t>
  </si>
  <si>
    <t>Accounting &amp; Finance,Education,Computer Science,Business &amp; Management,Economics &amp; Econometrics,Geology, Environmental, Earth &amp; Marine Sciences,Law</t>
  </si>
  <si>
    <t>Palestine Polytechnic University</t>
  </si>
  <si>
    <t>Physics &amp; Astronomy,Electrical &amp; Electronic Engineering,Chemistry,Business &amp; Management,Civil Engineering,Sociology,Computer Science,Economics &amp; Econometrics,Accounting &amp; Finance,Languages, Literature &amp; Linguistics,Medicine &amp; Dentistry,Mathematics &amp; Statistics,Psychology,General Engineering,Mechanical &amp; Aerospace Engineering,Biological Sciences,Other Health</t>
  </si>
  <si>
    <t>Palestine Technical University â€“ Kadoorie</t>
  </si>
  <si>
    <t>Computer Science,Civil Engineering,Agriculture &amp; Forestry,Mathematics &amp; Statistics,Architecture,Accounting &amp; Finance,Physics &amp; Astronomy,Art, Performing Arts &amp; Design,Languages, Literature &amp; Linguistics,Business &amp; Management,Electrical &amp; Electronic Engineering,Sport Science,Mechanical &amp; Aerospace Engineering,Chemistry</t>
  </si>
  <si>
    <t>Universidad de Pamplona</t>
  </si>
  <si>
    <t>General Engineering,Chemical Engineering,Chemistry,Politics &amp; International Studies (incl Development Studies),Mechanical &amp; Aerospace Engineering,Mathematics &amp; Statistics,Languages, Literature &amp; Linguistics,Communication &amp; Media Studies,Medicine &amp; Dentistry,Psychology,Accounting &amp; Finance,Architecture,Geology, Environmental, Earth &amp; Marine Sciences,Law,Veterinary Science,Electrical &amp; Electronic Engineering,Physics &amp; Astronomy,Agriculture &amp; Forestry,Economics &amp; Econometrics,Other Health,History, Philosophy &amp; Theology,Sociology,Civil Engineering,Art, Performing Arts &amp; Design,Education,Sport Science,Business &amp; Management,Computer Science,Biological Sciences</t>
  </si>
  <si>
    <t>Panteion University of Social and Political Sciences</t>
  </si>
  <si>
    <t>Mathematics &amp; Statistics,Art, Performing Arts &amp; Design,Economics &amp; Econometrics,Education,History, Philosophy &amp; Theology,Law,Psychology,Communication &amp; Media Studies,Sociology,Accounting &amp; Finance,Politics &amp; International Studies (incl Development Studies),Languages, Literature &amp; Linguistics,Business &amp; Management</t>
  </si>
  <si>
    <t>PanthÃ©on-Assas University (Paris 2)</t>
  </si>
  <si>
    <t>Business &amp; Management,Computer Science,Law,Communication &amp; Media Studies,Accounting &amp; Finance,Economics &amp; Econometrics,Politics &amp; International Studies (incl Development Studies)</t>
  </si>
  <si>
    <t>Pavlo Tychyna Uman State Pedagogical University</t>
  </si>
  <si>
    <t>Sport Science,Economics &amp; Econometrics,Computer Science,Education,Biological Sciences,Chemistry,Archaeology,Accounting &amp; Finance,History, Philosophy &amp; Theology,Business &amp; Management,Mathematics &amp; Statistics,Languages, Literature &amp; Linguistics,Geography,Agriculture &amp; Forestry,Psychology,Art, Performing Arts &amp; Design,Physics &amp; Astronomy</t>
  </si>
  <si>
    <t>University of Petra</t>
  </si>
  <si>
    <t>Medicine &amp; Dentistry,Accounting &amp; Finance,Communication &amp; Media Studies,Other Health,Chemistry,Languages, Literature &amp; Linguistics,Education,Computer Science,Architecture,Art, Performing Arts &amp; Design,Law,Mathematics &amp; Statistics,Business &amp; Management,Civil Engineering</t>
  </si>
  <si>
    <t>Petre Shotadze Tbilisi Medical Academy</t>
  </si>
  <si>
    <t>Petroleum University of Technology</t>
  </si>
  <si>
    <t>Economics &amp; Econometrics,Civil Engineering,Mechanical &amp; Aerospace Engineering,Business &amp; Management,Electrical &amp; Electronic Engineering,Law,General Engineering,Chemical Engineering,Accounting &amp; Finance</t>
  </si>
  <si>
    <t>Petro Mohyla Black Sea National University</t>
  </si>
  <si>
    <t>Sport Science,Education,History, Philosophy &amp; Theology,Chemistry,Accounting &amp; Finance,Other Health,Sociology,Law,Electrical &amp; Electronic Engineering,Psychology,Languages, Literature &amp; Linguistics,Geology, Environmental, Earth &amp; Marine Sciences,Archaeology,Communication &amp; Media Studies,Biological Sciences,Medicine &amp; Dentistry,Mathematics &amp; Statistics,Politics &amp; International Studies (incl Development Studies),General Engineering,Business &amp; Management,Computer Science,Physics &amp; Astronomy,Economics &amp; Econometrics</t>
  </si>
  <si>
    <t>Pharos University</t>
  </si>
  <si>
    <t>Other Health,Computer Science,Biological Sciences,Chemical Engineering,Mechanical &amp; Aerospace Engineering,Art, Performing Arts &amp; Design,Law,Electrical &amp; Electronic Engineering,Architecture,Civil Engineering,Medicine &amp; Dentistry,Communication &amp; Media Studies,Languages, Literature &amp; Linguistics,Chemistry,General Engineering,Accounting &amp; Finance,Business &amp; Management</t>
  </si>
  <si>
    <t>Philadelphia University (Jordan)</t>
  </si>
  <si>
    <t>Law,Civil Engineering,Politics &amp; International Studies (incl Development Studies),Electrical &amp; Electronic Engineering,Languages, Literature &amp; Linguistics,Computer Science,Mathematics &amp; Statistics,Art, Performing Arts &amp; Design,Mechanical &amp; Aerospace Engineering,Psychology,General Engineering,Architecture,Biological Sciences,Business &amp; Management,Accounting &amp; Finance,Other Health</t>
  </si>
  <si>
    <t>Plateau State University, Bokkos</t>
  </si>
  <si>
    <t>Biological Sciences,Politics &amp; International Studies (incl Development Studies),Physics &amp; Astronomy,Chemistry,Communication &amp; Media Studies,Languages, Literature &amp; Linguistics,Geography,Computer Science,Economics &amp; Econometrics,Art, Performing Arts &amp; Design,Business &amp; Management,Psychology,History, Philosophy &amp; Theology,Mathematics &amp; Statistics,Sociology,Accounting &amp; Finance</t>
  </si>
  <si>
    <t>Platov South-Russian State Polytechnic University (NPI)</t>
  </si>
  <si>
    <t>Mathematics &amp; Statistics,Economics &amp; Econometrics,Physics &amp; Astronomy,History, Philosophy &amp; Theology,Sociology,General Engineering,Geology, Environmental, Earth &amp; Marine Sciences,Computer Science,Law,Chemical Engineering,Civil Engineering,Education,Business &amp; Management,Electrical &amp; Electronic Engineering,Chemistry</t>
  </si>
  <si>
    <t>Plymouth Marjon University</t>
  </si>
  <si>
    <t>Chemistry,Languages, Literature &amp; Linguistics,Business &amp; Management,Sport Science,Sociology,Art, Performing Arts &amp; Design,Education,Other Health,Medicine &amp; Dentistry,Psychology,Computer Science,Communication &amp; Media Studies</t>
  </si>
  <si>
    <t>Polytechnic Institute of SetÃºbal</t>
  </si>
  <si>
    <t>Education,Other Health,Geology, Environmental, Earth &amp; Marine Sciences,Mathematics &amp; Statistics,Civil Engineering,Computer Science,Chemical Engineering,Accounting &amp; Finance,Sport Science,Communication &amp; Media Studies,General Engineering,Biological Sciences,Electrical &amp; Electronic Engineering,Business &amp; Management,Mechanical &amp; Aerospace Engineering</t>
  </si>
  <si>
    <t>Pontifical Catholic University of Argentina</t>
  </si>
  <si>
    <t>Education,Civil Engineering,Biological Sciences,Computer Science,Economics &amp; Econometrics,Chemical Engineering,Languages, Literature &amp; Linguistics,Agriculture &amp; Forestry,Medicine &amp; Dentistry,Politics &amp; International Studies (incl Development Studies),Art, Performing Arts &amp; Design,Communication &amp; Media Studies,Other Health,Electrical &amp; Electronic Engineering,Business &amp; Management,Psychology,History, Philosophy &amp; Theology,Accounting &amp; Finance,Law,General Engineering,Sociology</t>
  </si>
  <si>
    <t>University of Poonch Rawalakot</t>
  </si>
  <si>
    <t>Physics &amp; Astronomy,Medicine &amp; Dentistry,Psychology,Biological Sciences,Electrical &amp; Electronic Engineering,Agriculture &amp; Forestry,Economics &amp; Econometrics,Veterinary Science,Business &amp; Management,Languages, Literature &amp; Linguistics,Geology, Environmental, Earth &amp; Marine Sciences,Mathematics &amp; Statistics,Sociology,Chemistry,Education,Computer Science</t>
  </si>
  <si>
    <t>Universidad Popular AutÃ³noma del Estado de Puebla</t>
  </si>
  <si>
    <t>Other Health,Communication &amp; Media Studies,Electrical &amp; Electronic Engineering,Law,Mechanical &amp; Aerospace Engineering,Education,Languages, Literature &amp; Linguistics,Veterinary Science,Accounting &amp; Finance,Art, Performing Arts &amp; Design,Agriculture &amp; Forestry,Business &amp; Management,Civil Engineering,Psychology,History, Philosophy &amp; Theology,Chemical Engineering,Economics &amp; Econometrics,Computer Science,Politics &amp; International Studies (incl Development Studies),Medicine &amp; Dentistry,Geology, Environmental, Earth &amp; Marine Sciences,Architecture,Biological Sciences</t>
  </si>
  <si>
    <t>Prefectural University of Hiroshima</t>
  </si>
  <si>
    <t>Other Health,Medicine &amp; Dentistry,Business &amp; Management,Mathematics &amp; Statistics,Agriculture &amp; Forestry,Sociology,Computer Science,Sport Science,History, Philosophy &amp; Theology,Accounting &amp; Finance,Biological Sciences,Languages, Literature &amp; Linguistics</t>
  </si>
  <si>
    <t>Presbyterian University, Ghana</t>
  </si>
  <si>
    <t>Computer Science,Business &amp; Management,Accounting &amp; Finance,Politics &amp; International Studies (incl Development Studies),Law,Other Health,Education,Sociology,Mathematics &amp; Statistics</t>
  </si>
  <si>
    <t>Presidency University</t>
  </si>
  <si>
    <t>General Engineering,Computer Science,Accounting &amp; Finance,Civil Engineering,Law,Electrical &amp; Electronic Engineering,Languages, Literature &amp; Linguistics,Business &amp; Management,Economics &amp; Econometrics,Mechanical &amp; Aerospace Engineering</t>
  </si>
  <si>
    <t>Prince Mohammad Bin Fahd University</t>
  </si>
  <si>
    <t>History, Philosophy &amp; Theology,Art, Performing Arts &amp; Design,Electrical &amp; Electronic Engineering,Accounting &amp; Finance,Mechanical &amp; Aerospace Engineering,Architecture,Business &amp; Management,Civil Engineering,Languages, Literature &amp; Linguistics,Economics &amp; Econometrics,General Engineering,Chemical Engineering,Computer Science,Archaeology,Law</t>
  </si>
  <si>
    <t>University of Professional Studies, Accra</t>
  </si>
  <si>
    <t>Mathematics &amp; Statistics,Economics &amp; Econometrics,Law,Accounting &amp; Finance,Business &amp; Management,Computer Science,Communication &amp; Media Studies</t>
  </si>
  <si>
    <t>Prydniprovska State Academy of Civil Engineering and Architecture</t>
  </si>
  <si>
    <t>Mechanical &amp; Aerospace Engineering,Computer Science,Business &amp; Management,Art, Performing Arts &amp; Design,Civil Engineering,Accounting &amp; Finance,Architecture</t>
  </si>
  <si>
    <t>Pskov State University</t>
  </si>
  <si>
    <t>Languages, Literature &amp; Linguistics,General Engineering,Communication &amp; Media Studies,Computer Science,Psychology,Electrical &amp; Electronic Engineering,Law,Other Health,Biological Sciences,Business &amp; Management,Civil Engineering,Education,Mechanical &amp; Aerospace Engineering,Accounting &amp; Finance,Art, Performing Arts &amp; Design,Physics &amp; Astronomy,History, Philosophy &amp; Theology,Mathematics &amp; Statistics,Geography,Medicine &amp; Dentistry,Politics &amp; International Studies (incl Development Studies),Geology, Environmental, Earth &amp; Marine Sciences,Economics &amp; Econometrics</t>
  </si>
  <si>
    <t>PUC-Campinas</t>
  </si>
  <si>
    <t>Other Health,Sociology,Mechanical &amp; Aerospace Engineering,General Engineering,Psychology,Architecture,Chemistry,Business &amp; Management,Sport Science,Biological Sciences,Education,History, Philosophy &amp; Theology,Mathematics &amp; Statistics,Accounting &amp; Finance,Chemical Engineering,Geography,Veterinary Science,Languages, Literature &amp; Linguistics,Computer Science,Communication &amp; Media Studies,Economics &amp; Econometrics,Electrical &amp; Electronic Engineering,Medicine &amp; Dentistry,Politics &amp; International Studies (incl Development Studies),Art, Performing Arts &amp; Design,Civil Engineering,Law</t>
  </si>
  <si>
    <t>University of Puthisastra</t>
  </si>
  <si>
    <t>Cambodia</t>
  </si>
  <si>
    <t>Medicine &amp; Dentistry,Computer Science,Other Health</t>
  </si>
  <si>
    <t>Quaid-e-Awam University of Engineering, Science and Technology (QUEST)</t>
  </si>
  <si>
    <t>Electrical &amp; Electronic Engineering,General Engineering,Civil Engineering,Physics &amp; Astronomy,Languages, Literature &amp; Linguistics,Chemical Engineering,Mechanical &amp; Aerospace Engineering,Mathematics &amp; Statistics,Computer Science,Chemistry</t>
  </si>
  <si>
    <t>Queen Arwa University</t>
  </si>
  <si>
    <t>Architecture,Law,General Engineering,Computer Science,Art, Performing Arts &amp; Design,Electrical &amp; Electronic Engineering,Politics &amp; International Studies (incl Development Studies),Other Health,Civil Engineering,Medicine &amp; Dentistry,Business &amp; Management,Accounting &amp; Finance,Education,Economics &amp; Econometrics,Languages, Literature &amp; Linguistics,Communication &amp; Media Studies</t>
  </si>
  <si>
    <t>Queen Margaret University</t>
  </si>
  <si>
    <t>Sociology,Other Health,Business &amp; Management,Psychology,Biological Sciences,Art, Performing Arts &amp; Design,Communication &amp; Media Studies</t>
  </si>
  <si>
    <t>Universidade Rainha Njinga a Mbande (URNM)</t>
  </si>
  <si>
    <t>Angola</t>
  </si>
  <si>
    <t>Agriculture &amp; Forestry,Law,Other Health,Sociology,Psychology,General Engineering,Medicine &amp; Dentistry,Education,Business &amp; Management</t>
  </si>
  <si>
    <t>Rajamangala University of Technology Isan</t>
  </si>
  <si>
    <t>General Engineering,Mechanical &amp; Aerospace Engineering,Chemical Engineering,Electrical &amp; Electronic Engineering,Civil Engineering</t>
  </si>
  <si>
    <t>Rajamangala University of Technology Thanyaburi (RMUTT)</t>
  </si>
  <si>
    <t>Architecture,Veterinary Science,Languages, Literature &amp; Linguistics,Agriculture &amp; Forestry,Electrical &amp; Electronic Engineering,Biological Sciences,Chemical Engineering,General Engineering,Accounting &amp; Finance,Computer Science,Archaeology,Business &amp; Management,Art, Performing Arts &amp; Design,Civil Engineering,History, Philosophy &amp; Theology,Mechanical &amp; Aerospace Engineering,Education</t>
  </si>
  <si>
    <t>Rawalpindi Medical University</t>
  </si>
  <si>
    <t>Rennes School of Business</t>
  </si>
  <si>
    <t>Business &amp; Management,Education,Accounting &amp; Finance,Economics &amp; Econometrics</t>
  </si>
  <si>
    <t>Ritsumeikan Asia Pacific University (APU)</t>
  </si>
  <si>
    <t>Ritsumeikan Asia Pacific University (APU) APU international Japan</t>
  </si>
  <si>
    <t>Accounting &amp; Finance,Sociology,Politics &amp; International Studies (incl Development Studies),Business &amp; Management,Communication &amp; Media Studies</t>
  </si>
  <si>
    <t>Rose Bruford College</t>
  </si>
  <si>
    <t>Rostov State University of Economics</t>
  </si>
  <si>
    <t>History, Philosophy &amp; Theology,Psychology,Accounting &amp; Finance,Languages, Literature &amp; Linguistics,Business &amp; Management,Mathematics &amp; Statistics,Communication &amp; Media Studies,Computer Science,Education,Economics &amp; Econometrics,Law,Politics &amp; International Studies (incl Development Studies)</t>
  </si>
  <si>
    <t>Royal Agricultural University</t>
  </si>
  <si>
    <t>Veterinary Science,Biological Sciences,Business &amp; Management,Agriculture &amp; Forestry,Archaeology</t>
  </si>
  <si>
    <t>Royal Central School of Speech and Drama, University of London</t>
  </si>
  <si>
    <t>Royal College of Academics</t>
  </si>
  <si>
    <t>Royal College of Art</t>
  </si>
  <si>
    <t>Architecture,History, Philosophy &amp; Theology,Sociology,Languages, Literature &amp; Linguistics,General Engineering,Communication &amp; Media Studies,Art, Performing Arts &amp; Design</t>
  </si>
  <si>
    <t>Royal Conservatoire of Scotland</t>
  </si>
  <si>
    <t>Art, Performing Arts &amp; Design,Education</t>
  </si>
  <si>
    <t>Royal Academy of Dramatic Art (RADA)</t>
  </si>
  <si>
    <t>Royal Academy of Music</t>
  </si>
  <si>
    <t>Royal College of Music</t>
  </si>
  <si>
    <t>Royal Northern College of Music</t>
  </si>
  <si>
    <t>Russian State Agrarian University â€“ Moscow Timiryazev Agricultural Academy</t>
  </si>
  <si>
    <t>Economics &amp; Econometrics,General Engineering,Civil Engineering,Agriculture &amp; Forestry,Accounting &amp; Finance,Biological Sciences,Computer Science,Geology, Environmental, Earth &amp; Marine Sciences,Veterinary Science,Business &amp; Management,Education</t>
  </si>
  <si>
    <t>Russian University of State for Social (RUSS)</t>
  </si>
  <si>
    <t>Sport Science,Geography,Architecture,Sociology,Communication &amp; Media Studies,Civil Engineering,Biological Sciences,Business &amp; Management,Mathematics &amp; Statistics,Medicine &amp; Dentistry,History, Philosophy &amp; Theology,Economics &amp; Econometrics,Chemistry,Other Health,Geology, Environmental, Earth &amp; Marine Sciences,Education,Languages, Literature &amp; Linguistics,Physics &amp; Astronomy,Art, Performing Arts &amp; Design,Computer Science,Law,Accounting &amp; Finance,Psychology,Politics &amp; International Studies (incl Development Studies),Archaeology</t>
  </si>
  <si>
    <t>Ryazan State Medical University</t>
  </si>
  <si>
    <t>Medicine &amp; Dentistry,Biological Sciences,Psychology,Other Health</t>
  </si>
  <si>
    <t>University of Sadat City</t>
  </si>
  <si>
    <t>Art, Performing Arts &amp; Design,Law,Geology, Environmental, Earth &amp; Marine Sciences,Accounting &amp; Finance,Education,Economics &amp; Econometrics,Veterinary Science,Computer Science,Sport Science,Biological Sciences,Other Health,Chemistry,Geography,Agriculture &amp; Forestry,Business &amp; Management,History, Philosophy &amp; Theology,Psychology</t>
  </si>
  <si>
    <t>University of Saida</t>
  </si>
  <si>
    <t>Civil Engineering,Chemistry,General Engineering,Communication &amp; Media Studies,Economics &amp; Econometrics,Chemical Engineering,Law,Biological Sciences,Psychology,Computer Science,Education,Mechanical &amp; Aerospace Engineering,Mathematics &amp; Statistics,Business &amp; Management,Electrical &amp; Electronic Engineering,Geology, Environmental, Earth &amp; Marine Sciences,Art, Performing Arts &amp; Design,Politics &amp; International Studies (incl Development Studies),History, Philosophy &amp; Theology,Physics &amp; Astronomy,Languages, Literature &amp; Linguistics,Sociology,Accounting &amp; Finance</t>
  </si>
  <si>
    <t>University of Saint Joseph</t>
  </si>
  <si>
    <t>Law,Biological Sciences,Geology, Environmental, Earth &amp; Marine Sciences,Languages, Literature &amp; Linguistics,Accounting &amp; Finance,Education,Politics &amp; International Studies (incl Development Studies),Computer Science,Art, Performing Arts &amp; Design,Business &amp; Management,Psychology,History, Philosophy &amp; Theology,Communication &amp; Media Studies,Architecture</t>
  </si>
  <si>
    <t>Saint Petersburg State Pediatric Medical University</t>
  </si>
  <si>
    <t>Psychology,Medicine &amp; Dentistry,Other Health</t>
  </si>
  <si>
    <t>Saint Thomas University, Colombia</t>
  </si>
  <si>
    <t>Economics &amp; Econometrics,Education,Politics &amp; International Studies (incl Development Studies),Medicine &amp; Dentistry,Computer Science,Mathematics &amp; Statistics,Psychology,Electrical &amp; Electronic Engineering,History, Philosophy &amp; Theology,Architecture,Communication &amp; Media Studies,Sociology,Law,Mechanical &amp; Aerospace Engineering,Art, Performing Arts &amp; Design,Civil Engineering,Sport Science,Languages, Literature &amp; Linguistics,Accounting &amp; Finance,Agriculture &amp; Forestry,Business &amp; Management,Veterinary Science</t>
  </si>
  <si>
    <t>Sakon Nakhon Rajabhat University</t>
  </si>
  <si>
    <t>Computer Science,Physics &amp; Astronomy,Languages, Literature &amp; Linguistics,Mathematics &amp; Statistics,Agriculture &amp; Forestry,Business &amp; Management,Veterinary Science,Politics &amp; International Studies (incl Development Studies),Sociology,Art, Performing Arts &amp; Design,General Engineering,Chemistry,Communication &amp; Media Studies,Electrical &amp; Electronic Engineering,Education,Law,Other Health,Economics &amp; Econometrics,Civil Engineering,Accounting &amp; Finance</t>
  </si>
  <si>
    <t>Salahaddin Universityâ€“Erbil</t>
  </si>
  <si>
    <t>Mechanical &amp; Aerospace Engineering,Politics &amp; International Studies (incl Development Studies),Economics &amp; Econometrics,Electrical &amp; Electronic Engineering,Geology, Environmental, Earth &amp; Marine Sciences,Business &amp; Management,Computer Science,Communication &amp; Media Studies,Biological Sciences,Sociology,Architecture,Sport Science,Education,Art, Performing Arts &amp; Design,Civil Engineering,Geography,Archaeology,Chemistry,Accounting &amp; Finance,General Engineering,Physics &amp; Astronomy,Psychology,Languages, Literature &amp; Linguistics,Veterinary Science,History, Philosophy &amp; Theology,Agriculture &amp; Forestry,Mathematics &amp; Statistics,Law</t>
  </si>
  <si>
    <t>Samara State Medical University</t>
  </si>
  <si>
    <t>Other Health,Medicine &amp; Dentistry,Psychology</t>
  </si>
  <si>
    <t>Samarkand State University</t>
  </si>
  <si>
    <t>Geography,Sport Science,Languages, Literature &amp; Linguistics,Mathematics &amp; Statistics,Geology, Environmental, Earth &amp; Marine Sciences,Art, Performing Arts &amp; Design,Agriculture &amp; Forestry,Sociology,Electrical &amp; Electronic Engineering,Business &amp; Management,Chemical Engineering,Education,Mechanical &amp; Aerospace Engineering,Psychology,History, Philosophy &amp; Theology,Biological Sciences,Law,Archaeology,Physics &amp; Astronomy,Accounting &amp; Finance,Computer Science,Chemistry,General Engineering,Economics &amp; Econometrics</t>
  </si>
  <si>
    <t>Samarkand State Institute of Foreign Languages</t>
  </si>
  <si>
    <t>Computer Science,Languages, Literature &amp; Linguistics,Education</t>
  </si>
  <si>
    <t>Samarkand State Medical University</t>
  </si>
  <si>
    <t>Biological Sciences,Education,Sport Science,Medicine &amp; Dentistry,Psychology,Other Health</t>
  </si>
  <si>
    <t>Samsun University</t>
  </si>
  <si>
    <t>Accounting &amp; Finance,Languages, Literature &amp; Linguistics,General Engineering,Psychology,History, Philosophy &amp; Theology,Communication &amp; Media Studies,Electrical &amp; Electronic Engineering,Other Health,Mechanical &amp; Aerospace Engineering,Geography,Business &amp; Management,Medicine &amp; Dentistry,Architecture,Economics &amp; Econometrics,Politics &amp; International Studies (incl Development Studies),Sociology,Computer Science</t>
  </si>
  <si>
    <t>Universidad San Ignacio de Loyola</t>
  </si>
  <si>
    <t>Medicine &amp; Dentistry,Mechanical &amp; Aerospace Engineering,Sociology,Law,Art, Performing Arts &amp; Design,Electrical &amp; Electronic Engineering,Agriculture &amp; Forestry,Sport Science,Education,Architecture,Psychology,Other Health,Economics &amp; Econometrics,Politics &amp; International Studies (incl Development Studies),Computer Science,Business &amp; Management,Civil Engineering,Communication &amp; Media Studies,General Engineering,Accounting &amp; Finance</t>
  </si>
  <si>
    <t>University of San MartÃ­n de Porres</t>
  </si>
  <si>
    <t>Other Health,Law,Politics &amp; International Studies (incl Development Studies),Computer Science,Psychology,Mechanical &amp; Aerospace Engineering,Architecture,Economics &amp; Econometrics,Art, Performing Arts &amp; Design,General Engineering,Communication &amp; Media Studies,Education,Civil Engineering,Business &amp; Management,Medicine &amp; Dentistry,Accounting &amp; Finance</t>
  </si>
  <si>
    <t>University of Santander</t>
  </si>
  <si>
    <t>Sport Science,Biological Sciences,Psychology,Geology, Environmental, Earth &amp; Marine Sciences,Computer Science,Accounting &amp; Finance,Mathematics &amp; Statistics,Education,Veterinary Science,Civil Engineering,Law,Medicine &amp; Dentistry,Art, Performing Arts &amp; Design,Other Health,Communication &amp; Media Studies,General Engineering,Business &amp; Management</t>
  </si>
  <si>
    <t>Universidad Santo TomÃ¡s</t>
  </si>
  <si>
    <t>Art, Performing Arts &amp; Design,Law,Biological Sciences,Agriculture &amp; Forestry,Business &amp; Management,Veterinary Science,Civil Engineering,Psychology,Economics &amp; Econometrics,Geology, Environmental, Earth &amp; Marine Sciences,Accounting &amp; Finance,Other Health,Sociology,Communication &amp; Media Studies,General Engineering,Education</t>
  </si>
  <si>
    <t>Sarsen Amanzholov East Kazakhstan University</t>
  </si>
  <si>
    <t>Computer Science,Business &amp; Management,History, Philosophy &amp; Theology,Education,Economics &amp; Econometrics,Physics &amp; Astronomy,Accounting &amp; Finance,Geography,Languages, Literature &amp; Linguistics,Chemistry,Sport Science,Psychology,Mathematics &amp; Statistics</t>
  </si>
  <si>
    <t>Satya Wacana Christian University</t>
  </si>
  <si>
    <t>Computer Science,Electrical &amp; Electronic Engineering,Economics &amp; Econometrics,Languages, Literature &amp; Linguistics,Communication &amp; Media Studies,Art, Performing Arts &amp; Design,Law,Biological Sciences,Business &amp; Management,Politics &amp; International Studies (incl Development Studies),Physics &amp; Astronomy,Mathematics &amp; Statistics,Psychology,Chemistry,Other Health,Sociology,History, Philosophy &amp; Theology,Education,Medicine &amp; Dentistry,Agriculture &amp; Forestry,Accounting &amp; Finance</t>
  </si>
  <si>
    <t>Saudi Electronic University</t>
  </si>
  <si>
    <t>Business &amp; Management,Languages, Literature &amp; Linguistics,Other Health,Communication &amp; Media Studies,Accounting &amp; Finance,Computer Science,Law</t>
  </si>
  <si>
    <t>SBS Swiss Business School</t>
  </si>
  <si>
    <t>University of Science and Technology of Southern Philippines (USTP)</t>
  </si>
  <si>
    <t>Physics &amp; Astronomy,Medicine &amp; Dentistry,Civil Engineering,Geology, Environmental, Earth &amp; Marine Sciences,Agriculture &amp; Forestry,General Engineering,Chemistry,Computer Science,Electrical &amp; Electronic Engineering,Communication &amp; Media Studies,Architecture,Education,Mathematics &amp; Statistics,Languages, Literature &amp; Linguistics,Mechanical &amp; Aerospace Engineering</t>
  </si>
  <si>
    <t>SDU University</t>
  </si>
  <si>
    <t>Computer Science,Economics &amp; Econometrics,Languages, Literature &amp; Linguistics,Politics &amp; International Studies (incl Development Studies),Business &amp; Management,Mathematics &amp; Statistics,Education,Law,History, Philosophy &amp; Theology,Communication &amp; Media Studies,Accounting &amp; Finance</t>
  </si>
  <si>
    <t>Sebha University</t>
  </si>
  <si>
    <t>Sport Science,Law,General Engineering,Mathematics &amp; Statistics,Psychology,History, Philosophy &amp; Theology,Chemical Engineering,Business &amp; Management,Computer Science,Chemistry,Accounting &amp; Finance,Other Health,Veterinary Science,Sociology,Medicine &amp; Dentistry,Biological Sciences,Education,Geology, Environmental, Earth &amp; Marine Sciences,Agriculture &amp; Forestry,Geography,Languages, Literature &amp; Linguistics,Civil Engineering,Politics &amp; International Studies (incl Development Studies),Electrical &amp; Electronic Engineering,Physics &amp; Astronomy</t>
  </si>
  <si>
    <t>Sefako Makgatho Health Sciences University</t>
  </si>
  <si>
    <t>Medicine &amp; Dentistry,Biological Sciences,Psychology,Mathematics &amp; Statistics,Chemistry,Physics &amp; Astronomy,Computer Science</t>
  </si>
  <si>
    <t>Seisa Dohto University</t>
  </si>
  <si>
    <t>Art, Performing Arts &amp; Design,Education,Economics &amp; Econometrics,Sociology,Business &amp; Management,Architecture,Accounting &amp; Finance</t>
  </si>
  <si>
    <t>Senshu University</t>
  </si>
  <si>
    <t>Sociology,Mathematics &amp; Statistics,Economics &amp; Econometrics,Communication &amp; Media Studies,Art, Performing Arts &amp; Design,Law,Archaeology,Psychology,Computer Science,Accounting &amp; Finance,History, Philosophy &amp; Theology,Business &amp; Management,Geology, Environmental, Earth &amp; Marine Sciences,Politics &amp; International Studies (incl Development Studies),Languages, Literature &amp; Linguistics,Geography</t>
  </si>
  <si>
    <t>Seyitnazar Seydi Turkmen State Pedagogical Institute</t>
  </si>
  <si>
    <t>Mathematics &amp; Statistics,History, Philosophy &amp; Theology,Geology, Environmental, Earth &amp; Marine Sciences,Sociology,Languages, Literature &amp; Linguistics,Chemistry,Chemical Engineering,Sport Science,Agriculture &amp; Forestry,Education,Law,Physics &amp; Astronomy,Computer Science,General Engineering,Politics &amp; International Studies (incl Development Studies),Geography,Biological Sciences,Psychology</t>
  </si>
  <si>
    <t>Shah Abdul Latif University, Khairpur</t>
  </si>
  <si>
    <t>Law,Education,Politics &amp; International Studies (incl Development Studies),Computer Science,Geology, Environmental, Earth &amp; Marine Sciences,Archaeology,Geography,Electrical &amp; Electronic Engineering,Chemistry,Economics &amp; Econometrics,Biological Sciences,Communication &amp; Media Studies,History, Philosophy &amp; Theology,Other Health,Languages, Literature &amp; Linguistics,Business &amp; Management,Accounting &amp; Finance,Sociology,Mathematics &amp; Statistics</t>
  </si>
  <si>
    <t>Shaheed Benazir Bhutto Women University Peshawar</t>
  </si>
  <si>
    <t>Sport Science,Mathematics &amp; Statistics,Art, Performing Arts &amp; Design,Languages, Literature &amp; Linguistics,Education,Business &amp; Management,Physics &amp; Astronomy,Economics &amp; Econometrics,Chemistry,Computer Science,History, Philosophy &amp; Theology,Law,Accounting &amp; Finance,Psychology,Biological Sciences</t>
  </si>
  <si>
    <t>Shaheed Mohtarma Benazir Bhutto Medical University</t>
  </si>
  <si>
    <t>Psychology,Other Health,Medicine &amp; Dentistry</t>
  </si>
  <si>
    <t>Shaheed Zulfiqar Ali Bhutto Medical University</t>
  </si>
  <si>
    <t>The University of Shiga Prefecture</t>
  </si>
  <si>
    <t>Architecture,Languages, Literature &amp; Linguistics,Other Health,Archaeology,Electrical &amp; Electronic Engineering,Communication &amp; Media Studies,Sociology,Education,Geology, Environmental, Earth &amp; Marine Sciences,Art, Performing Arts &amp; Design,Agriculture &amp; Forestry,Geography,Psychology,Biological Sciences,Chemical Engineering,History, Philosophy &amp; Theology,Mechanical &amp; Aerospace Engineering,Chemistry</t>
  </si>
  <si>
    <t>Shonan Institute of Technology</t>
  </si>
  <si>
    <t>General Engineering,Computer Science,Electrical &amp; Electronic Engineering,Mechanical &amp; Aerospace Engineering</t>
  </si>
  <si>
    <t>Silesian University in Opava</t>
  </si>
  <si>
    <t>Art, Performing Arts &amp; Design,Education,Accounting &amp; Finance,Physics &amp; Astronomy,History, Philosophy &amp; Theology,Business &amp; Management,Other Health,Languages, Literature &amp; Linguistics,Communication &amp; Media Studies,Archaeology,Politics &amp; International Studies (incl Development Studies),Computer Science,Mathematics &amp; Statistics</t>
  </si>
  <si>
    <t>SIMAD University</t>
  </si>
  <si>
    <t>Politics &amp; International Studies (incl Development Studies),General Engineering,Medicine &amp; Dentistry,Computer Science,Accounting &amp; Finance,Economics &amp; Econometrics,Education,Business &amp; Management,Law,Civil Engineering,Electrical &amp; Electronic Engineering,Communication &amp; Media Studies,Other Health</t>
  </si>
  <si>
    <t>SimÃ³n BolÃ­var University (Colombia)</t>
  </si>
  <si>
    <t>Law,Computer Science,Accounting &amp; Finance,Medicine &amp; Dentistry,Biological Sciences,Art, Performing Arts &amp; Design,Mathematics &amp; Statistics,Chemistry,Mechanical &amp; Aerospace Engineering,Civil Engineering,Psychology,Business &amp; Management,Other Health,General Engineering,Sociology,Languages, Literature &amp; Linguistics,Education,Politics &amp; International Studies (incl Development Studies)</t>
  </si>
  <si>
    <t>Universidad del SinÃº</t>
  </si>
  <si>
    <t>Business &amp; Management,Psychology,Biological Sciences,General Engineering,Accounting &amp; Finance,Law,Medicine &amp; Dentistry,Other Health,Computer Science,Civil Engineering</t>
  </si>
  <si>
    <t>Sir Syed University of Engineering and Technology</t>
  </si>
  <si>
    <t>Mathematics &amp; Statistics,Architecture,Electrical &amp; Electronic Engineering,Civil Engineering,Psychology,Communication &amp; Media Studies,Mechanical &amp; Aerospace Engineering,Business &amp; Management,Computer Science,Biological Sciences</t>
  </si>
  <si>
    <t>Skolkovo Institute of Science and Technology (Skoltech)</t>
  </si>
  <si>
    <t>Geology, Environmental, Earth &amp; Marine Sciences,Agriculture &amp; Forestry,Physics &amp; Astronomy,Medicine &amp; Dentistry,Civil Engineering,Electrical &amp; Electronic Engineering,Biological Sciences,Chemical Engineering,Other Health,Mathematics &amp; Statistics,Computer Science,Mechanical &amp; Aerospace Engineering,General Engineering,Chemistry</t>
  </si>
  <si>
    <t>Sohar University</t>
  </si>
  <si>
    <t>Mechanical &amp; Aerospace Engineering,Education,Chemical Engineering,Computer Science,Civil Engineering,Law,Languages, Literature &amp; Linguistics,Electrical &amp; Electronic Engineering,Accounting &amp; Finance,Business &amp; Management,Economics &amp; Econometrics</t>
  </si>
  <si>
    <t>Solent University, Southampton</t>
  </si>
  <si>
    <t>Computer Science,Sport Science,Sociology,Business &amp; Management,Economics &amp; Econometrics,Art, Performing Arts &amp; Design,Law,Electrical &amp; Electronic Engineering,Biological Sciences,Accounting &amp; Finance,Psychology,Mechanical &amp; Aerospace Engineering,General Engineering,Other Health,Communication &amp; Media Studies,Education,Architecture,Civil Engineering</t>
  </si>
  <si>
    <t>Soochow University, Taiwan</t>
  </si>
  <si>
    <t>Sociology,Computer Science,Law,Biological Sciences,Psychology,History, Philosophy &amp; Theology,Accounting &amp; Finance,Languages, Literature &amp; Linguistics,Business &amp; Management,Physics &amp; Astronomy,Politics &amp; International Studies (incl Development Studies),Mathematics &amp; Statistics,Economics &amp; Econometrics,Chemistry</t>
  </si>
  <si>
    <t>University of Sopron</t>
  </si>
  <si>
    <t>Mechanical &amp; Aerospace Engineering,Civil Engineering,Biological Sciences,Politics &amp; International Studies (incl Development Studies),Business &amp; Management,General Engineering,Accounting &amp; Finance,Education,Sociology,Sport Science,Architecture,Computer Science,Economics &amp; Econometrics,Communication &amp; Media Studies,Art, Performing Arts &amp; Design,Psychology,Agriculture &amp; Forestry</t>
  </si>
  <si>
    <t>University of Souk Ahras</t>
  </si>
  <si>
    <t>General Engineering,Sport Science,Civil Engineering,Law,History, Philosophy &amp; Theology,Agriculture &amp; Forestry,Geology, Environmental, Earth &amp; Marine Sciences,Chemical Engineering,Business &amp; Management,Languages, Literature &amp; Linguistics,Electrical &amp; Electronic Engineering,Communication &amp; Media Studies,Biological Sciences,Sociology,Computer Science,Veterinary Science,Economics &amp; Econometrics,Mathematics &amp; Statistics,Mechanical &amp; Aerospace Engineering,Chemistry,Accounting &amp; Finance,Physics &amp; Astronomy</t>
  </si>
  <si>
    <t>Institute of Southern Punjab â€“ Multan</t>
  </si>
  <si>
    <t>Electrical &amp; Electronic Engineering,Psychology,Mathematics &amp; Statistics,Accounting &amp; Finance,History, Philosophy &amp; Theology,Education,Civil Engineering,Art, Performing Arts &amp; Design,Business &amp; Management,Computer Science,Languages, Literature &amp; Linguistics,Economics &amp; Econometrics,Mechanical &amp; Aerospace Engineering,General Engineering,Architecture,Communication &amp; Media Studies</t>
  </si>
  <si>
    <t>Southern Technical University</t>
  </si>
  <si>
    <t>Other Health,Communication &amp; Media Studies,Electrical &amp; Electronic Engineering,Art, Performing Arts &amp; Design,General Engineering,Geology, Environmental, Earth &amp; Marine Sciences,Civil Engineering,Chemical Engineering,Business &amp; Management,Mechanical &amp; Aerospace Engineering,Agriculture &amp; Forestry,Computer Science,Accounting &amp; Finance,Medicine &amp; Dentistry,Economics &amp; Econometrics</t>
  </si>
  <si>
    <t>Sri Balaji Vidyapeeth</t>
  </si>
  <si>
    <t>Biological Sciences,Education,Other Health,Medicine &amp; Dentistry</t>
  </si>
  <si>
    <t>Sri Lanka Institute of Information Technology</t>
  </si>
  <si>
    <t>Law,General Engineering,Civil Engineering,Architecture,Psychology,Mathematics &amp; Statistics,Languages, Literature &amp; Linguistics,Biological Sciences,Business &amp; Management,Mechanical &amp; Aerospace Engineering,Accounting &amp; Finance,Computer Science,Other Health,Education,Electrical &amp; Electronic Engineering</t>
  </si>
  <si>
    <t>State Energy Institute of Turkmenistan</t>
  </si>
  <si>
    <t>Mechanical &amp; Aerospace Engineering,Electrical &amp; Electronic Engineering,Accounting &amp; Finance,Chemical Engineering,Business &amp; Management,Computer Science</t>
  </si>
  <si>
    <t>Stavropol State Agrarian University</t>
  </si>
  <si>
    <t>Chemical Engineering,Economics &amp; Econometrics,Biological Sciences,Mathematics &amp; Statistics,Agriculture &amp; Forestry,Geology, Environmental, Earth &amp; Marine Sciences,Veterinary Science,General Engineering,Education,Computer Science,Politics &amp; International Studies (incl Development Studies),Mechanical &amp; Aerospace Engineering,Business &amp; Management,Electrical &amp; Electronic Engineering,Accounting &amp; Finance</t>
  </si>
  <si>
    <t>St Lukeâ€™s International University</t>
  </si>
  <si>
    <t>St Maryâ€™s University College, Belfast</t>
  </si>
  <si>
    <t>Education,Politics &amp; International Studies (incl Development Studies)</t>
  </si>
  <si>
    <t>St Maryâ€™s University, Twickenham</t>
  </si>
  <si>
    <t>Law,History, Philosophy &amp; Theology,Sport Science,Education,Art, Performing Arts &amp; Design,Psychology,Politics &amp; International Studies (incl Development Studies),Communication &amp; Media Studies,Languages, Literature &amp; Linguistics,Other Health,Business &amp; Management,Accounting &amp; Finance,Biological Sciences</t>
  </si>
  <si>
    <t>Stranmillis University College</t>
  </si>
  <si>
    <t>Sport Science,Education</t>
  </si>
  <si>
    <t>University of Suffolk</t>
  </si>
  <si>
    <t>Geography,Architecture,Computer Science,Other Health,Sport Science,Sociology,Politics &amp; International Studies (incl Development Studies),Mechanical &amp; Aerospace Engineering,Accounting &amp; Finance,History, Philosophy &amp; Theology,Communication &amp; Media Studies,Biological Sciences,Education,General Engineering,Electrical &amp; Electronic Engineering,Art, Performing Arts &amp; Design,Business &amp; Management,Economics &amp; Econometrics,Psychology,Law,Veterinary Science</t>
  </si>
  <si>
    <t>University of Sufism and Modern Sciences (USMS)</t>
  </si>
  <si>
    <t>Computer Science,Languages, Literature &amp; Linguistics,Law,Business &amp; Management,Education,Accounting &amp; Finance</t>
  </si>
  <si>
    <t>Sugiyama Jogakuen University</t>
  </si>
  <si>
    <t>Art, Performing Arts &amp; Design,Sociology,Other Health,Psychology,Politics &amp; International Studies (incl Development Studies),Business &amp; Management,Communication &amp; Media Studies,Education,Languages, Literature &amp; Linguistics,Medicine &amp; Dentistry,Architecture,History, Philosophy &amp; Theology,Geography,Accounting &amp; Finance</t>
  </si>
  <si>
    <t>Sukkur IBA University</t>
  </si>
  <si>
    <t>Business &amp; Management,Sport Science,Computer Science,Economics &amp; Econometrics,Education,Communication &amp; Media Studies,Accounting &amp; Finance,Mathematics &amp; Statistics,Electrical &amp; Electronic Engineering</t>
  </si>
  <si>
    <t>University of Swabi</t>
  </si>
  <si>
    <t>Languages, Literature &amp; Linguistics,Geology, Environmental, Earth &amp; Marine Sciences,Business &amp; Management,Other Health,Law,Computer Science,Geography,History, Philosophy &amp; Theology,Communication &amp; Media Studies,Psychology,Mathematics &amp; Statistics,Education,Agriculture &amp; Forestry,Sociology,Politics &amp; International Studies (incl Development Studies),Chemistry,Physics &amp; Astronomy,Economics &amp; Econometrics,Biological Sciences</t>
  </si>
  <si>
    <t>Tafila Technical University</t>
  </si>
  <si>
    <t>Civil Engineering,Physics &amp; Astronomy,Education,Chemical Engineering,Electrical &amp; Electronic Engineering,Computer Science,Chemistry,Economics &amp; Econometrics,Mathematics &amp; Statistics,Languages, Literature &amp; Linguistics,Business &amp; Management,General Engineering,Accounting &amp; Finance,Mechanical &amp; Aerospace Engineering,Biological Sciences</t>
  </si>
  <si>
    <t>University of Taipei</t>
  </si>
  <si>
    <t>University of Taipei UP</t>
  </si>
  <si>
    <t>Geology, Environmental, Earth &amp; Marine Sciences,Physics &amp; Astronomy,Art, Performing Arts &amp; Design,Computer Science,Education,Geography,Languages, Literature &amp; Linguistics,Politics &amp; International Studies (incl Development Studies),Sport Science,Chemistry,History, Philosophy &amp; Theology,Psychology,Biological Sciences,Mathematics &amp; Statistics,Sociology,Other Health,Business &amp; Management</t>
  </si>
  <si>
    <t>Takushoku University</t>
  </si>
  <si>
    <t>Politics &amp; International Studies (incl Development Studies),Mechanical &amp; Aerospace Engineering,Law,Languages, Literature &amp; Linguistics,Art, Performing Arts &amp; Design,Business &amp; Management,Economics &amp; Econometrics,Electrical &amp; Electronic Engineering</t>
  </si>
  <si>
    <t>Tama Art University</t>
  </si>
  <si>
    <t>University of Tamanghasset</t>
  </si>
  <si>
    <t>Biological Sciences,Accounting &amp; Finance,Archaeology,Geology, Environmental, Earth &amp; Marine Sciences,Electrical &amp; Electronic Engineering,Law,History, Philosophy &amp; Theology,Sociology,Languages, Literature &amp; Linguistics,Business &amp; Management,Physics &amp; Astronomy,Civil Engineering,Psychology,Mathematics &amp; Statistics,Politics &amp; International Studies (incl Development Studies),Chemistry</t>
  </si>
  <si>
    <t>Tarlac Agricultural University</t>
  </si>
  <si>
    <t>Psychology,Agriculture &amp; Forestry,Business &amp; Management,Veterinary Science,Education,Economics &amp; Econometrics,Computer Science</t>
  </si>
  <si>
    <t>Tarsus University</t>
  </si>
  <si>
    <t>Economics &amp; Econometrics,Electrical &amp; Electronic Engineering,Business &amp; Management,Mechanical &amp; Aerospace Engineering,Politics &amp; International Studies (incl Development Studies),General Engineering,Accounting &amp; Finance,Computer Science</t>
  </si>
  <si>
    <t>Tashkent Institute of Chemical Technology</t>
  </si>
  <si>
    <t>Chemistry,Physics &amp; Astronomy,General Engineering,Agriculture &amp; Forestry,Biological Sciences,Chemical Engineering</t>
  </si>
  <si>
    <t>Tashkent Institute of Finance</t>
  </si>
  <si>
    <t>Business &amp; Management,Accounting &amp; Finance,Economics &amp; Econometrics</t>
  </si>
  <si>
    <t>Tashkent University of Information Technologies</t>
  </si>
  <si>
    <t>Art, Performing Arts &amp; Design,Mathematics &amp; Statistics,Computer Science,Communication &amp; Media Studies,Business &amp; Management,Economics &amp; Econometrics,Electrical &amp; Electronic Engineering,Education</t>
  </si>
  <si>
    <t>Tashkent Institute of Irrigation and Agricultural Mechanisation</t>
  </si>
  <si>
    <t>Agriculture &amp; Forestry,Sociology,Accounting &amp; Finance,Business &amp; Management,Psychology,General Engineering,Computer Science,Physics &amp; Astronomy,Mathematics &amp; Statistics,Biological Sciences,Mechanical &amp; Aerospace Engineering,Chemistry,Geology, Environmental, Earth &amp; Marine Sciences,Education,Chemical Engineering,Languages, Literature &amp; Linguistics,History, Philosophy &amp; Theology,Law,Electrical &amp; Electronic Engineering,Civil Engineering,Geography,Economics &amp; Econometrics</t>
  </si>
  <si>
    <t>Tashkent Medical Academy</t>
  </si>
  <si>
    <t>Sport Science,Biological Sciences,Other Health,Chemistry,Medicine &amp; Dentistry,Languages, Literature &amp; Linguistics,Education,Computer Science,Geology, Environmental, Earth &amp; Marine Sciences</t>
  </si>
  <si>
    <t>Tashkent Pediatric Medical Institute</t>
  </si>
  <si>
    <t>Education,Other Health,Medicine &amp; Dentistry,Biological Sciences,Psychology</t>
  </si>
  <si>
    <t>Tashkent Pharmaceutical Institute</t>
  </si>
  <si>
    <t>Other Health,Business &amp; Management,Sport Science,Chemistry</t>
  </si>
  <si>
    <t>Tashkent State Dental Institute</t>
  </si>
  <si>
    <t>Education,Other Health,Medicine &amp; Dentistry,Psychology</t>
  </si>
  <si>
    <t>Tashkent State University of Economics</t>
  </si>
  <si>
    <t>Mathematics &amp; Statistics,Computer Science,Education,Economics &amp; Econometrics,Politics &amp; International Studies (incl Development Studies),Accounting &amp; Finance,Business &amp; Management</t>
  </si>
  <si>
    <t>Tashkent State University of Law</t>
  </si>
  <si>
    <t>Education,Economics &amp; Econometrics,Psychology,History, Philosophy &amp; Theology,Accounting &amp; Finance,Computer Science,Politics &amp; International Studies (incl Development Studies),Law,Business &amp; Management,Communication &amp; Media Studies,Languages, Literature &amp; Linguistics</t>
  </si>
  <si>
    <t>Tashkent State University of Oriental Studies</t>
  </si>
  <si>
    <t>History, Philosophy &amp; Theology,Psychology,Archaeology,Business &amp; Management,Communication &amp; Media Studies,Mathematics &amp; Statistics,Politics &amp; International Studies (incl Development Studies),Accounting &amp; Finance,Other Health,Geography,Computer Science,Education,Languages, Literature &amp; Linguistics,Law,Sociology,Economics &amp; Econometrics,Sport Science</t>
  </si>
  <si>
    <t>Tashkent State Pedagogical University named after Nizami</t>
  </si>
  <si>
    <t>Languages, Literature &amp; Linguistics,Chemistry,History, Philosophy &amp; Theology,Geography,Sport Science,Sociology,Biological Sciences,Education,Mathematics &amp; Statistics,Psychology,Politics &amp; International Studies (incl Development Studies),Art, Performing Arts &amp; Design,Communication &amp; Media Studies,Physics &amp; Astronomy,Computer Science,Geology, Environmental, Earth &amp; Marine Sciences</t>
  </si>
  <si>
    <t>Tashkent State Technical University</t>
  </si>
  <si>
    <t>Biological Sciences,Geology, Environmental, Earth &amp; Marine Sciences,Art, Performing Arts &amp; Design,Chemistry,Civil Engineering,Computer Science,Mathematics &amp; Statistics,Mechanical &amp; Aerospace Engineering,General Engineering,Electrical &amp; Electronic Engineering,Physics &amp; Astronomy,Chemical Engineering</t>
  </si>
  <si>
    <t>Tashkent State Transport University</t>
  </si>
  <si>
    <t>Accounting &amp; Finance,Electrical &amp; Electronic Engineering,Business &amp; Management,Civil Engineering,Economics &amp; Econometrics,Computer Science,Sociology,History, Philosophy &amp; Theology,General Engineering,Mechanical &amp; Aerospace Engineering,Mathematics &amp; Statistics,Languages, Literature &amp; Linguistics,Law</t>
  </si>
  <si>
    <t>Tashkent Institute of Textile and Light Industry</t>
  </si>
  <si>
    <t>Mechanical &amp; Aerospace Engineering,Accounting &amp; Finance,Electrical &amp; Electronic Engineering,Chemical Engineering,Economics &amp; Econometrics,Art, Performing Arts &amp; Design,General Engineering,Business &amp; Management</t>
  </si>
  <si>
    <t>Tata Institute of Fundamental Research</t>
  </si>
  <si>
    <t>Biological Sciences,Chemistry,Physics &amp; Astronomy,Education,Mathematics &amp; Statistics,Computer Science</t>
  </si>
  <si>
    <t>Tatung University</t>
  </si>
  <si>
    <t>Art, Performing Arts &amp; Design,Business &amp; Management,Electrical &amp; Electronic Engineering,Mechanical &amp; Aerospace Engineering,Languages, Literature &amp; Linguistics,Chemical Engineering,Biological Sciences,Accounting &amp; Finance,Computer Science,General Engineering</t>
  </si>
  <si>
    <t>T. C. DemiroÄŸlu Bilim University</t>
  </si>
  <si>
    <t>Biological Sciences,Other Health,Psychology,Medicine &amp; Dentistry</t>
  </si>
  <si>
    <t>Teacher Education College of Setif</t>
  </si>
  <si>
    <t>Mathematics &amp; Statistics,Languages, Literature &amp; Linguistics,Physics &amp; Astronomy,Chemistry,History, Philosophy &amp; Theology,Biological Sciences,Education</t>
  </si>
  <si>
    <t>Technical University of Moldova</t>
  </si>
  <si>
    <t>Moldova</t>
  </si>
  <si>
    <t>General Engineering,Business &amp; Management,Mechanical &amp; Aerospace Engineering,Architecture,Accounting &amp; Finance,Computer Science,Chemical Engineering,Civil Engineering,Electrical &amp; Electronic Engineering,Economics &amp; Econometrics</t>
  </si>
  <si>
    <t>University of Technology Nowshera</t>
  </si>
  <si>
    <t>General Engineering,Civil Engineering,Mechanical &amp; Aerospace Engineering,Computer Science,Electrical &amp; Electronic Engineering</t>
  </si>
  <si>
    <t>Universidad TÃ©cnica de ManabÃ­</t>
  </si>
  <si>
    <t>Chemistry,Business &amp; Management,General Engineering,Geology, Environmental, Earth &amp; Marine Sciences,Computer Science,Electrical &amp; Electronic Engineering,Accounting &amp; Finance,Agriculture &amp; Forestry,Sociology,Education,Sport Science,Politics &amp; International Studies (incl Development Studies),Veterinary Science,Art, Performing Arts &amp; Design,Economics &amp; Econometrics,Law,Medicine &amp; Dentistry,Mathematics &amp; Statistics,Other Health,Communication &amp; Media Studies,Chemical Engineering,Mechanical &amp; Aerospace Engineering,History, Philosophy &amp; Theology,Psychology,Languages, Literature &amp; Linguistics,Geography,Architecture,Physics &amp; Astronomy,Biological Sciences,Civil Engineering</t>
  </si>
  <si>
    <t>Universidad TecnolÃ³gica de BolÃ­var</t>
  </si>
  <si>
    <t>Economics &amp; Econometrics,Politics &amp; International Studies (incl Development Studies),Civil Engineering,Chemical Engineering,Accounting &amp; Finance,Psychology,Business &amp; Management,Architecture,Electrical &amp; Electronic Engineering,Mechanical &amp; Aerospace Engineering,Education,Law,Computer Science,Mathematics &amp; Statistics</t>
  </si>
  <si>
    <t>Universidad TecnolÃ³gica de Santiago (UTESA)</t>
  </si>
  <si>
    <t>Dominican Republic</t>
  </si>
  <si>
    <t>Agriculture &amp; Forestry,Medicine &amp; Dentistry,Education,Computer Science,Business &amp; Management,Biological Sciences,Mechanical &amp; Aerospace Engineering,Accounting &amp; Finance,Other Health,Communication &amp; Media Studies,Architecture,Mathematics &amp; Statistics,Electrical &amp; Electronic Engineering,Law,Languages, Literature &amp; Linguistics,Veterinary Science,Civil Engineering,Psychology</t>
  </si>
  <si>
    <t>TecnolÃ³gico de Costa Rica</t>
  </si>
  <si>
    <t>Accounting &amp; Finance,Architecture,General Engineering,Business &amp; Management,Civil Engineering,Education,Electrical &amp; Electronic Engineering,Mechanical &amp; Aerospace Engineering,Computer Science,Agriculture &amp; Forestry</t>
  </si>
  <si>
    <t>Instituto TecnolÃ³gico Metropolitano</t>
  </si>
  <si>
    <t>Languages, Literature &amp; Linguistics,Accounting &amp; Finance,Art, Performing Arts &amp; Design,General Engineering,Geology, Environmental, Earth &amp; Marine Sciences,Business &amp; Management,Mechanical &amp; Aerospace Engineering,Electrical &amp; Electronic Engineering,Communication &amp; Media Studies,Computer Science,Chemistry,Chemical Engineering,Physics &amp; Astronomy,Mathematics &amp; Statistics,Economics &amp; Econometrics</t>
  </si>
  <si>
    <t>Teerthanker Mahaveer University</t>
  </si>
  <si>
    <t>Electrical &amp; Electronic Engineering,Education,General Engineering,Accounting &amp; Finance,Physics &amp; Astronomy,Chemistry,Other Health,Civil Engineering,Economics &amp; Econometrics,Agriculture &amp; Forestry,Medicine &amp; Dentistry,Biological Sciences,Business &amp; Management,Mechanical &amp; Aerospace Engineering,Computer Science,Law,Mathematics &amp; Statistics</t>
  </si>
  <si>
    <t>Teikyo Heisei University</t>
  </si>
  <si>
    <t>General Engineering,Other Health,Business &amp; Management,Communication &amp; Media Studies,Psychology,Education</t>
  </si>
  <si>
    <t>Universiti Teknologi Brunei</t>
  </si>
  <si>
    <t>Architecture,Accounting &amp; Finance,Chemical Engineering,Civil Engineering,Electrical &amp; Electronic Engineering,Business &amp; Management,Computer Science</t>
  </si>
  <si>
    <t>Institut Teknologi Nasional Bandung (ITENAS Bandung)</t>
  </si>
  <si>
    <t>Chemical Engineering,Mechanical &amp; Aerospace Engineering,Art, Performing Arts &amp; Design,Civil Engineering,Architecture,Electrical &amp; Electronic Engineering,Computer Science</t>
  </si>
  <si>
    <t>University of Telafer</t>
  </si>
  <si>
    <t>Agriculture &amp; Forestry,Mathematics &amp; Statistics,Other Health,Languages, Literature &amp; Linguistics</t>
  </si>
  <si>
    <t>Institute of Telecommunications and Informatics of Turkmenistan</t>
  </si>
  <si>
    <t>Communication &amp; Media Studies,Education,Business &amp; Management,Languages, Literature &amp; Linguistics,Economics &amp; Econometrics,Physics &amp; Astronomy,Electrical &amp; Electronic Engineering,Computer Science</t>
  </si>
  <si>
    <t>Tenri University</t>
  </si>
  <si>
    <t>Psychology,Sport Science,Languages, Literature &amp; Linguistics,Other Health,Archaeology,History, Philosophy &amp; Theology</t>
  </si>
  <si>
    <t>Termez State University</t>
  </si>
  <si>
    <t>Geography,Accounting &amp; Finance,Languages, Literature &amp; Linguistics,Geology, Environmental, Earth &amp; Marine Sciences,Archaeology,Economics &amp; Econometrics,Physics &amp; Astronomy,Law,Computer Science,Architecture,History, Philosophy &amp; Theology,Sport Science,Chemical Engineering,Business &amp; Management,Psychology,Mathematics &amp; Statistics,Chemistry,Sociology,Art, Performing Arts &amp; Design,Education,Biological Sciences</t>
  </si>
  <si>
    <t>Termez Institute of Engineering and Technology</t>
  </si>
  <si>
    <t>Civil Engineering,Mechanical &amp; Aerospace Engineering,Chemical Engineering,Computer Science,Architecture,General Engineering,Electrical &amp; Electronic Engineering,Geology, Environmental, Earth &amp; Marine Sciences,Sociology,Physics &amp; Astronomy,Business &amp; Management</t>
  </si>
  <si>
    <t>Termiz Institute of Agrotechnology and Innovative Development</t>
  </si>
  <si>
    <t>Agriculture &amp; Forestry,Veterinary Science,Biological Sciences</t>
  </si>
  <si>
    <t>University of the Thai Chamber of Commerce</t>
  </si>
  <si>
    <t>Computer Science,Electrical &amp; Electronic Engineering,Accounting &amp; Finance,Civil Engineering,Mechanical &amp; Aerospace Engineering,Communication &amp; Media Studies,Languages, Literature &amp; Linguistics,Law,General Engineering,Education,Economics &amp; Econometrics,Art, Performing Arts &amp; Design,Business &amp; Management</t>
  </si>
  <si>
    <t>University of Thi-Qar</t>
  </si>
  <si>
    <t>Chemistry,Computer Science,Veterinary Science,Other Health,Languages, Literature &amp; Linguistics,Mechanical &amp; Aerospace Engineering,Psychology,Economics &amp; Econometrics,History, Philosophy &amp; Theology,Biological Sciences,Business &amp; Management,General Engineering,Accounting &amp; Finance,Sport Science,Physics &amp; Astronomy,Law,Civil Engineering,Mathematics &amp; Statistics,Education,Electrical &amp; Electronic Engineering,Medicine &amp; Dentistry,Geology, Environmental, Earth &amp; Marine Sciences,Agriculture &amp; Forestry</t>
  </si>
  <si>
    <t>Thomas Adewumi University</t>
  </si>
  <si>
    <t>Mathematics &amp; Statistics,Accounting &amp; Finance,Business &amp; Management,Other Health,Economics &amp; Econometrics,Biological Sciences,Chemistry,Communication &amp; Media Studies,Computer Science,Law,Physics &amp; Astronomy,Sociology</t>
  </si>
  <si>
    <t>Tikrit University</t>
  </si>
  <si>
    <t>Chemical Engineering,Education,Computer Science,Chemistry,Geology, Environmental, Earth &amp; Marine Sciences,Electrical &amp; Electronic Engineering,Communication &amp; Media Studies,Mechanical &amp; Aerospace Engineering,Sociology,Civil Engineering,Archaeology,Sport Science,Economics &amp; Econometrics,Law,Languages, Literature &amp; Linguistics,Biological Sciences,Business &amp; Management,History, Philosophy &amp; Theology,Veterinary Science,Accounting &amp; Finance,Agriculture &amp; Forestry,Psychology,Medicine &amp; Dentistry,Mathematics &amp; Statistics,Physics &amp; Astronomy</t>
  </si>
  <si>
    <t>Tishk International University</t>
  </si>
  <si>
    <t>Architecture,Biological Sciences,Mechanical &amp; Aerospace Engineering,Business &amp; Management,Computer Science,Economics &amp; Econometrics,General Engineering,Medicine &amp; Dentistry,Civil Engineering,Accounting &amp; Finance,Other Health,Politics &amp; International Studies (incl Development Studies),Languages, Literature &amp; Linguistics,Education,Electrical &amp; Electronic Engineering,Law</t>
  </si>
  <si>
    <t>Tissemsilt University</t>
  </si>
  <si>
    <t>Economics &amp; Econometrics,Politics &amp; International Studies (incl Development Studies),Business &amp; Management,History, Philosophy &amp; Theology,Biological Sciences,Agriculture &amp; Forestry,Computer Science,Chemical Engineering,Sport Science,Languages, Literature &amp; Linguistics,Electrical &amp; Electronic Engineering,Mechanical &amp; Aerospace Engineering,Accounting &amp; Finance,Law,General Engineering,Civil Engineering,Chemistry</t>
  </si>
  <si>
    <t>Tohoku Gakuin University</t>
  </si>
  <si>
    <t>Civil Engineering,Geology, Environmental, Earth &amp; Marine Sciences,Education,Mechanical &amp; Aerospace Engineering,Politics &amp; International Studies (incl Development Studies),Languages, Literature &amp; Linguistics,Biological Sciences,Sociology,Archaeology,Chemical Engineering,Law,General Engineering,Mathematics &amp; Statistics,Economics &amp; Econometrics,Computer Science,Chemistry,Psychology,Other Health,Physics &amp; Astronomy,Accounting &amp; Finance,Art, Performing Arts &amp; Design,Electrical &amp; Electronic Engineering,Communication &amp; Media Studies,Architecture,Agriculture &amp; Forestry,Geography,History, Philosophy &amp; Theology,Sport Science,Business &amp; Management</t>
  </si>
  <si>
    <t>Tokyo University of Foreign Studies</t>
  </si>
  <si>
    <t>Languages, Literature &amp; Linguistics,Sociology,Communication &amp; Media Studies,Education,Politics &amp; International Studies (incl Development Studies),History, Philosophy &amp; Theology</t>
  </si>
  <si>
    <t>Tokyo University of Technology</t>
  </si>
  <si>
    <t>Other Health,Chemical Engineering,Computer Science,Business &amp; Management,Art, Performing Arts &amp; Design,Biological Sciences,Electrical &amp; Electronic Engineering,Communication &amp; Media Studies,Mechanical &amp; Aerospace Engineering</t>
  </si>
  <si>
    <t>Tomsk State Pedagogical University</t>
  </si>
  <si>
    <t>Sociology,Languages, Literature &amp; Linguistics,Computer Science,Business &amp; Management,Art, Performing Arts &amp; Design,Education,Physics &amp; Astronomy,Biological Sciences,History, Philosophy &amp; Theology,Chemistry,Psychology,Mathematics &amp; Statistics</t>
  </si>
  <si>
    <t>Toraighyrov University</t>
  </si>
  <si>
    <t>Art, Performing Arts &amp; Design,Chemical Engineering,Politics &amp; International Studies (incl Development Studies),Economics &amp; Econometrics,Architecture,Mathematics &amp; Statistics,Accounting &amp; Finance,General Engineering,Law,Electrical &amp; Electronic Engineering,Chemistry,Mechanical &amp; Aerospace Engineering,Computer Science,Sociology,Psychology,Biological Sciences,Physics &amp; Astronomy,Business &amp; Management,Languages, Literature &amp; Linguistics,Agriculture &amp; Forestry,Education,Civil Engineering,Geography,Archaeology,Geology, Environmental, Earth &amp; Marine Sciences,History, Philosophy &amp; Theology,Veterinary Science,Communication &amp; Media Studies</t>
  </si>
  <si>
    <t>Trinity Laban Conservatoire of Music and Dance</t>
  </si>
  <si>
    <t>University of Tripoli</t>
  </si>
  <si>
    <t>Architecture,Archaeology,Agriculture &amp; Forestry,Sociology,Other Health,Mathematics &amp; Statistics,Education,Languages, Literature &amp; Linguistics,Biological Sciences,Law,Computer Science,Sport Science,Psychology,General Engineering,Physics &amp; Astronomy,Business &amp; Management,Art, Performing Arts &amp; Design,Electrical &amp; Electronic Engineering,Veterinary Science,Geography,History, Philosophy &amp; Theology,Civil Engineering,Politics &amp; International Studies (incl Development Studies),Medicine &amp; Dentistry,Geology, Environmental, Earth &amp; Marine Sciences,Accounting &amp; Finance,Mechanical &amp; Aerospace Engineering,Communication &amp; Media Studies,Chemical Engineering,Chemistry,Economics &amp; Econometrics</t>
  </si>
  <si>
    <t>Turan-Astana University</t>
  </si>
  <si>
    <t>Education,Art, Performing Arts &amp; Design,Economics &amp; Econometrics,Languages, Literature &amp; Linguistics,Law,Computer Science,Politics &amp; International Studies (incl Development Studies),Accounting &amp; Finance,Business &amp; Management</t>
  </si>
  <si>
    <t>Turin Polytechnic University in Tashkent</t>
  </si>
  <si>
    <t>General Engineering,Computer Science,Civil Engineering,Chemical Engineering,Mechanical &amp; Aerospace Engineering,Electrical &amp; Electronic Engineering,Business &amp; Management</t>
  </si>
  <si>
    <t>Turkmen State Architecture and Construction Institute</t>
  </si>
  <si>
    <t>Computer Science,Civil Engineering,Electrical &amp; Electronic Engineering,Chemical Engineering,Mathematics &amp; Statistics,Psychology,Business &amp; Management,General Engineering,Chemistry,Physics &amp; Astronomy</t>
  </si>
  <si>
    <t>Turkmen State Institute of Economics and Management</t>
  </si>
  <si>
    <t>Mathematics &amp; Statistics,Business &amp; Management,Accounting &amp; Finance,Sociology,Economics &amp; Econometrics,Computer Science,Politics &amp; International Studies (incl Development Studies)</t>
  </si>
  <si>
    <t>Tver State Technical University</t>
  </si>
  <si>
    <t>General Engineering,Business &amp; Management,Computer Science,Education,Chemistry,Communication &amp; Media Studies,Physics &amp; Astronomy,Accounting &amp; Finance,Electrical &amp; Electronic Engineering,Sociology,Mathematics &amp; Statistics,Geology, Environmental, Earth &amp; Marine Sciences,Civil Engineering,Economics &amp; Econometrics,Chemical Engineering,Psychology,Biological Sciences</t>
  </si>
  <si>
    <t>Ubon Ratchathani University</t>
  </si>
  <si>
    <t>Computer Science,Languages, Literature &amp; Linguistics,Law,Chemistry,Civil Engineering,Education,General Engineering,Biological Sciences,Accounting &amp; Finance,Other Health,Mathematics &amp; Statistics,Architecture,Business &amp; Management,Chemical Engineering,Sociology,Art, Performing Arts &amp; Design,Politics &amp; International Studies (incl Development Studies),Electrical &amp; Electronic Engineering,Communication &amp; Media Studies,Medicine &amp; Dentistry,Agriculture &amp; Forestry</t>
  </si>
  <si>
    <t>UBT</t>
  </si>
  <si>
    <t>Electrical &amp; Electronic Engineering,Communication &amp; Media Studies,Sport Science,General Engineering,Accounting &amp; Finance,Art, Performing Arts &amp; Design,Computer Science,Economics &amp; Econometrics,Mechanical &amp; Aerospace Engineering,Business &amp; Management,Civil Engineering,Languages, Literature &amp; Linguistics,Politics &amp; International Studies (incl Development Studies),Agriculture &amp; Forestry,Architecture,Other Health,Law,Medicine &amp; Dentistry,Psychology</t>
  </si>
  <si>
    <t>UEES, Espiritu Santo University</t>
  </si>
  <si>
    <t>Education,General Engineering,Accounting &amp; Finance,Biological Sciences,Computer Science,Architecture,Psychology,Communication &amp; Media Studies,Politics &amp; International Studies (incl Development Studies),Law,Medicine &amp; Dentistry,Other Health,Economics &amp; Econometrics,Civil Engineering,Business &amp; Management,Mechanical &amp; Aerospace Engineering,Art, Performing Arts &amp; Design,Geology, Environmental, Earth &amp; Marine Sciences</t>
  </si>
  <si>
    <t>UIN Sulthan Thaha Saifuddin Jambi</t>
  </si>
  <si>
    <t>Mathematics &amp; Statistics,Education,Languages, Literature &amp; Linguistics,Communication &amp; Media Studies,Business &amp; Management,History, Philosophy &amp; Theology,Politics &amp; International Studies (incl Development Studies),Physics &amp; Astronomy,Biological Sciences,Law,Computer Science,Economics &amp; Econometrics,Chemistry,Chemical Engineering,Accounting &amp; Finance</t>
  </si>
  <si>
    <t>Ulyanovsk State University</t>
  </si>
  <si>
    <t>Economics &amp; Econometrics,Art, Performing Arts &amp; Design,Education,Other Health,Psychology,Agriculture &amp; Forestry,Medicine &amp; Dentistry,Law,Sociology,Computer Science,Mechanical &amp; Aerospace Engineering,Communication &amp; Media Studies,History, Philosophy &amp; Theology,General Engineering,Accounting &amp; Finance,Mathematics &amp; Statistics,Chemistry,Languages, Literature &amp; Linguistics,Sport Science,Physics &amp; Astronomy,Politics &amp; International Studies (incl Development Studies),Business &amp; Management,Electrical &amp; Electronic Engineering</t>
  </si>
  <si>
    <t>Ulyanovsk State Technical University</t>
  </si>
  <si>
    <t>Architecture,Civil Engineering,Accounting &amp; Finance,Mathematics &amp; Statistics,Chemistry,Electrical &amp; Electronic Engineering,Computer Science,General Engineering,History, Philosophy &amp; Theology,Mechanical &amp; Aerospace Engineering,Art, Performing Arts &amp; Design,Communication &amp; Media Studies,Economics &amp; Econometrics,Languages, Literature &amp; Linguistics,Business &amp; Management,Sociology</t>
  </si>
  <si>
    <t>UNESC</t>
  </si>
  <si>
    <t>General Engineering,Economics &amp; Econometrics,Chemistry,Other Health,Physics &amp; Astronomy,Civil Engineering,Law,Mathematics &amp; Statistics,Communication &amp; Media Studies,Mechanical &amp; Aerospace Engineering,Education,Business &amp; Management,Languages, Literature &amp; Linguistics,Psychology,Sport Science,Computer Science,Medicine &amp; Dentistry,Biological Sciences,History, Philosophy &amp; Theology,Accounting &amp; Finance,Chemical Engineering,Architecture,Geography,Art, Performing Arts &amp; Design</t>
  </si>
  <si>
    <t>Unichristus</t>
  </si>
  <si>
    <t>Computer Science,General Engineering,Other Health,Psychology,Accounting &amp; Finance,Architecture,Business &amp; Management,Veterinary Science,Medicine &amp; Dentistry,Civil Engineering,Law</t>
  </si>
  <si>
    <t>United International University</t>
  </si>
  <si>
    <t>Civil Engineering,Communication &amp; Media Studies,Accounting &amp; Finance,Electrical &amp; Electronic Engineering,Geography,Business &amp; Management,Computer Science,Politics &amp; International Studies (incl Development Studies),Economics &amp; Econometrics</t>
  </si>
  <si>
    <t>Universiapolis â€“ UniversitÃ© Internationale dâ€™Agadir</t>
  </si>
  <si>
    <t>Mechanical &amp; Aerospace Engineering,Computer Science,Accounting &amp; Finance,Other Health,Civil Engineering,Business &amp; Management,Law,Electrical &amp; Electronic Engineering</t>
  </si>
  <si>
    <t>Ural State University of Economics</t>
  </si>
  <si>
    <t>Agriculture &amp; Forestry,Sociology,Accounting &amp; Finance,Communication &amp; Media Studies,Economics &amp; Econometrics,Computer Science,Business &amp; Management,Law,Politics &amp; International Studies (incl Development Studies),Biological Sciences</t>
  </si>
  <si>
    <t>Ural State Medical University</t>
  </si>
  <si>
    <t>Urgench State University</t>
  </si>
  <si>
    <t>Art, Performing Arts &amp; Design,Archaeology,Geography,Languages, Literature &amp; Linguistics,Electrical &amp; Electronic Engineering,Psychology,Sport Science,Economics &amp; Econometrics,Architecture,Chemical Engineering,Accounting &amp; Finance,Agriculture &amp; Forestry,Geology, Environmental, Earth &amp; Marine Sciences,History, Philosophy &amp; Theology,Civil Engineering,Education,General Engineering,Mathematics &amp; Statistics,Biological Sciences,Chemistry,Business &amp; Management,Computer Science,Mechanical &amp; Aerospace Engineering,Physics &amp; Astronomy</t>
  </si>
  <si>
    <t>Uruk University</t>
  </si>
  <si>
    <t>Law,Electrical &amp; Electronic Engineering,Art, Performing Arts &amp; Design,Civil Engineering,Accounting &amp; Finance,Medicine &amp; Dentistry,Business &amp; Management,Economics &amp; Econometrics,Other Health</t>
  </si>
  <si>
    <t>Universidad UTE</t>
  </si>
  <si>
    <t>Accounting &amp; Finance,Law,Art, Performing Arts &amp; Design,Architecture,Communication &amp; Media Studies,Education,Computer Science,Mechanical &amp; Aerospace Engineering,Veterinary Science,Medicine &amp; Dentistry,Agriculture &amp; Forestry,Civil Engineering,Sociology,Electrical &amp; Electronic Engineering,General Engineering,Business &amp; Management,Other Health</t>
  </si>
  <si>
    <t>National University of Uzbekistan named after Mirzo Ulugbek</t>
  </si>
  <si>
    <t>Archaeology,Geology, Environmental, Earth &amp; Marine Sciences,Chemistry,Mechanical &amp; Aerospace Engineering,Communication &amp; Media Studies,Biological Sciences,History, Philosophy &amp; Theology,Law,Sport Science,Other Health,Chemical Engineering,Accounting &amp; Finance,Economics &amp; Econometrics,Computer Science,Geography,Physics &amp; Astronomy,Art, Performing Arts &amp; Design,Sociology,Mathematics &amp; Statistics,Politics &amp; International Studies (incl Development Studies),Languages, Literature &amp; Linguistics,Psychology,Agriculture &amp; Forestry,Education,Business &amp; Management</t>
  </si>
  <si>
    <t>Uzbekistan State University of World Languages</t>
  </si>
  <si>
    <t>Politics &amp; International Studies (incl Development Studies),Communication &amp; Media Studies,Business &amp; Management,Sociology,Computer Science,Psychology,Education,History, Philosophy &amp; Theology,Languages, Literature &amp; Linguistics,Geology, Environmental, Earth &amp; Marine Sciences</t>
  </si>
  <si>
    <t>Uzbek State University of Physical Culture and Sport</t>
  </si>
  <si>
    <t>Law,Education,Languages, Literature &amp; Linguistics,Business &amp; Management,Medicine &amp; Dentistry,History, Philosophy &amp; Theology,Other Health,Biological Sciences,Psychology,Sport Science,Sociology</t>
  </si>
  <si>
    <t>Valahia University of Targoviste</t>
  </si>
  <si>
    <t>Civil Engineering,Law,Electrical &amp; Electronic Engineering,Accounting &amp; Finance,Geography,History, Philosophy &amp; Theology,Chemistry,General Engineering,Physics &amp; Astronomy,Economics &amp; Econometrics,Sport Science,Agriculture &amp; Forestry,Business &amp; Management,Art, Performing Arts &amp; Design,Politics &amp; International Studies (incl Development Studies),Mechanical &amp; Aerospace Engineering,Education,Languages, Literature &amp; Linguistics,Mathematics &amp; Statistics</t>
  </si>
  <si>
    <t>University of Vale do ItajaÃ­</t>
  </si>
  <si>
    <t>Art, Performing Arts &amp; Design,Sport Science,Other Health,Mathematics &amp; Statistics,General Engineering,Education,History, Philosophy &amp; Theology,Geology, Environmental, Earth &amp; Marine Sciences,Computer Science,Politics &amp; International Studies (incl Development Studies),Psychology,Languages, Literature &amp; Linguistics,Chemical Engineering,Accounting &amp; Finance,Mechanical &amp; Aerospace Engineering,Sociology,Medicine &amp; Dentistry,Civil Engineering,Communication &amp; Media Studies,Architecture,Biological Sciences,Business &amp; Management,Electrical &amp; Electronic Engineering,Law</t>
  </si>
  <si>
    <t>Varendra University</t>
  </si>
  <si>
    <t>Other Health,Accounting &amp; Finance,Computer Science,Biological Sciences,Business &amp; Management,Electrical &amp; Electronic Engineering,Sociology,Politics &amp; International Studies (incl Development Studies),Languages, Literature &amp; Linguistics,Law,Communication &amp; Media Studies,History, Philosophy &amp; Theology,Economics &amp; Econometrics</t>
  </si>
  <si>
    <t>Varna University of Management</t>
  </si>
  <si>
    <t>Computer Science,Business &amp; Management</t>
  </si>
  <si>
    <t>Vasyl Stefanyk Precarpathian National University</t>
  </si>
  <si>
    <t>Archaeology,Politics &amp; International Studies (incl Development Studies),Agriculture &amp; Forestry,Geology, Environmental, Earth &amp; Marine Sciences,Biological Sciences,Sociology,Accounting &amp; Finance,Computer Science,Geography,Languages, Literature &amp; Linguistics,Chemistry,Sport Science,Communication &amp; Media Studies,Business &amp; Management,Mathematics &amp; Statistics,Economics &amp; Econometrics,Art, Performing Arts &amp; Design,Physics &amp; Astronomy,Psychology,Electrical &amp; Electronic Engineering,Law,History, Philosophy &amp; Theology,Education</t>
  </si>
  <si>
    <t>Veritas University, Abuja</t>
  </si>
  <si>
    <t>Biological Sciences,Education,Chemistry,Communication &amp; Media Studies,Electrical &amp; Electronic Engineering,Accounting &amp; Finance,Politics &amp; International Studies (incl Development Studies),Economics &amp; Econometrics,Languages, Literature &amp; Linguistics,General Engineering,Computer Science,Law,Other Health,Physics &amp; Astronomy,Mathematics &amp; Statistics,Business &amp; Management,History, Philosophy &amp; Theology</t>
  </si>
  <si>
    <t>University of Veterinary Medicine and Pharmacy in KoÅ¡ice</t>
  </si>
  <si>
    <t>Vila Velha University</t>
  </si>
  <si>
    <t>Medicine &amp; Dentistry,Communication &amp; Media Studies,Mechanical &amp; Aerospace Engineering,Politics &amp; International Studies (incl Development Studies),Art, Performing Arts &amp; Design,Veterinary Science,Economics &amp; Econometrics,General Engineering,Sport Science,Other Health,Sociology,Architecture,Biological Sciences,Accounting &amp; Finance,Civil Engineering,Psychology,Electrical &amp; Electronic Engineering,Education,Chemical Engineering,Law,Computer Science,Business &amp; Management</t>
  </si>
  <si>
    <t>Vinayaka Missionâ€™s Research Foundation</t>
  </si>
  <si>
    <t>Mechanical &amp; Aerospace Engineering,Civil Engineering,Medicine &amp; Dentistry,Chemistry,Electrical &amp; Electronic Engineering,Other Health,General Engineering,Physics &amp; Astronomy,Languages, Literature &amp; Linguistics,Law,Business &amp; Management,Mathematics &amp; Statistics,Computer Science</t>
  </si>
  <si>
    <t>Visayas State University</t>
  </si>
  <si>
    <t>Mechanical &amp; Aerospace Engineering,Geology, Environmental, Earth &amp; Marine Sciences,Chemistry,Other Health,Computer Science,Economics &amp; Econometrics,Mathematics &amp; Statistics,Biological Sciences,Sport Science,Education,Communication &amp; Media Studies,Veterinary Science,History, Philosophy &amp; Theology,Physics &amp; Astronomy,Politics &amp; International Studies (incl Development Studies),Languages, Literature &amp; Linguistics,Business &amp; Management,Civil Engineering,Agriculture &amp; Forestry,Sociology</t>
  </si>
  <si>
    <t>Visvesvaraya Technological University</t>
  </si>
  <si>
    <t>Chemistry,Architecture,Civil Engineering,Other Health,Business &amp; Management,Computer Science,Electrical &amp; Electronic Engineering,Biological Sciences,Mechanical &amp; Aerospace Engineering,General Engineering,Chemical Engineering</t>
  </si>
  <si>
    <t>Volgograd State Medical University</t>
  </si>
  <si>
    <t>Mathematics &amp; Statistics,Sport Science,Geology, Environmental, Earth &amp; Marine Sciences,Biological Sciences,Psychology,Other Health,Economics &amp; Econometrics,Chemistry,Politics &amp; International Studies (incl Development Studies),Archaeology,Veterinary Science,Physics &amp; Astronomy,Languages, Literature &amp; Linguistics,Medicine &amp; Dentistry,Business &amp; Management,Communication &amp; Media Studies,History, Philosophy &amp; Theology,Sociology</t>
  </si>
  <si>
    <t>University of Wales Trinity Saint David</t>
  </si>
  <si>
    <t>General Engineering,Education,Electrical &amp; Electronic Engineering,Psychology,Mechanical &amp; Aerospace Engineering,Law,Computer Science,Sociology,Other Health,Communication &amp; Media Studies,Art, Performing Arts &amp; Design,Civil Engineering,Business &amp; Management,History, Philosophy &amp; Theology,Agriculture &amp; Forestry,Accounting &amp; Finance,Archaeology,Politics &amp; International Studies (incl Development Studies),Architecture,Sport Science,Languages, Literature &amp; Linguistics,Chemical Engineering</t>
  </si>
  <si>
    <t>University of Warith Alanbiyaa</t>
  </si>
  <si>
    <t>General Engineering,Medicine &amp; Dentistry,Other Health,Business &amp; Management,Law,Civil Engineering,History, Philosophy &amp; Theology,Accounting &amp; Finance</t>
  </si>
  <si>
    <t>Wasit University</t>
  </si>
  <si>
    <t>Civil Engineering,Economics &amp; Econometrics,History, Philosophy &amp; Theology,Electrical &amp; Electronic Engineering,Geography,Other Health,Mechanical &amp; Aerospace Engineering,Veterinary Science,Art, Performing Arts &amp; Design,Education,Architecture,Languages, Literature &amp; Linguistics,Mathematics &amp; Statistics,General Engineering,Medicine &amp; Dentistry,Sport Science,Psychology,Accounting &amp; Finance,Sociology,Geology, Environmental, Earth &amp; Marine Sciences,Law,Biological Sciences,Physics &amp; Astronomy,Business &amp; Management,Chemistry,Agriculture &amp; Forestry,Computer Science</t>
  </si>
  <si>
    <t>Westcliff University</t>
  </si>
  <si>
    <t>Sport Science,Education,Law,Economics &amp; Econometrics,Accounting &amp; Finance,Business &amp; Management,Computer Science,Communication &amp; Media Studies</t>
  </si>
  <si>
    <t>Western Caspian University</t>
  </si>
  <si>
    <t>Art, Performing Arts &amp; Design,Chemical Engineering,Civil Engineering,General Engineering,Chemistry,Languages, Literature &amp; Linguistics,Electrical &amp; Electronic Engineering,Economics &amp; Econometrics,Mathematics &amp; Statistics,Biological Sciences,History, Philosophy &amp; Theology,Accounting &amp; Finance,Agriculture &amp; Forestry,Business &amp; Management</t>
  </si>
  <si>
    <t>West Ukrainian National University</t>
  </si>
  <si>
    <t>Politics &amp; International Studies (incl Development Studies),Education,Economics &amp; Econometrics,Communication &amp; Media Studies,Computer Science,Accounting &amp; Finance,History, Philosophy &amp; Theology,Geology, Environmental, Earth &amp; Marine Sciences,Art, Performing Arts &amp; Design,Psychology,Law,Sociology,Agriculture &amp; Forestry,Business &amp; Management</t>
  </si>
  <si>
    <t>West Virginia University</t>
  </si>
  <si>
    <t>Other Health,General Engineering,Accounting &amp; Finance,Geography,Computer Science,Civil Engineering,Agriculture &amp; Forestry,Mathematics &amp; Statistics,History, Philosophy &amp; Theology,Biological Sciences,Languages, Literature &amp; Linguistics,Law,Electrical &amp; Electronic Engineering,Medicine &amp; Dentistry,Communication &amp; Media Studies,Chemistry,Art, Performing Arts &amp; Design,Chemical Engineering,Economics &amp; Econometrics,Politics &amp; International Studies (incl Development Studies),Business &amp; Management,Physics &amp; Astronomy,Mechanical &amp; Aerospace Engineering,Sociology,Sport Science,Psychology,Geology, Environmental, Earth &amp; Marine Sciences,Education,Architecture</t>
  </si>
  <si>
    <t>WHU: Beisheim</t>
  </si>
  <si>
    <t>Women University Mardan</t>
  </si>
  <si>
    <t>Languages, Literature &amp; Linguistics,Computer Science,Psychology,Politics &amp; International Studies (incl Development Studies),Education,Physics &amp; Astronomy,Mathematics &amp; Statistics,Biological Sciences,Business &amp; Management,Chemistry</t>
  </si>
  <si>
    <t>The Women University Multan</t>
  </si>
  <si>
    <t>Languages, Literature &amp; Linguistics,Politics &amp; International Studies (incl Development Studies),Psychology,Physics &amp; Astronomy,Communication &amp; Media Studies,Business &amp; Management,Computer Science,Accounting &amp; Finance,Biological Sciences,Art, Performing Arts &amp; Design,Chemistry,History, Philosophy &amp; Theology,Other Health,Education,Mathematics &amp; Statistics,Sociology,Geology, Environmental, Earth &amp; Marine Sciences,Economics &amp; Econometrics</t>
  </si>
  <si>
    <t>University of Worcester</t>
  </si>
  <si>
    <t>Sport Science,Biological Sciences,Economics &amp; Econometrics,Other Health,Politics &amp; International Studies (incl Development Studies),Communication &amp; Media Studies,Accounting &amp; Finance,Computer Science,Education,History, Philosophy &amp; Theology,Law,Languages, Literature &amp; Linguistics,Psychology,Medicine &amp; Dentistry,Sociology,Business &amp; Management,Geology, Environmental, Earth &amp; Marine Sciences,Art, Performing Arts &amp; Design,Geography</t>
  </si>
  <si>
    <t>World University of Bangladesh (WUB)</t>
  </si>
  <si>
    <t>Other Health,Electrical &amp; Electronic Engineering,Mathematics &amp; Statistics,Education,Computer Science,Physics &amp; Astronomy,Accounting &amp; Finance,General Engineering,Economics &amp; Econometrics,Chemistry,Civil Engineering,Communication &amp; Media Studies,Languages, Literature &amp; Linguistics,Business &amp; Management,Law,Sociology</t>
  </si>
  <si>
    <t>The World Islamic Sciences and Education University (WISE)</t>
  </si>
  <si>
    <t>Art, Performing Arts &amp; Design,Accounting &amp; Finance,Languages, Literature &amp; Linguistics,Business &amp; Management,Architecture,Economics &amp; Econometrics,Computer Science,Education,Law</t>
  </si>
  <si>
    <t>Wrexham Glyndwr University</t>
  </si>
  <si>
    <t>History, Philosophy &amp; Theology,Business &amp; Management,Psychology,Computer Science,Agriculture &amp; Forestry,Education,General Engineering,Electrical &amp; Electronic Engineering,Other Health,Civil Engineering,Art, Performing Arts &amp; Design,Architecture,Communication &amp; Media Studies,Sport Science,Biological Sciences,Veterinary Science,Accounting &amp; Finance,Chemistry,Sociology,Mechanical &amp; Aerospace Engineering</t>
  </si>
  <si>
    <t>Writtle University College</t>
  </si>
  <si>
    <t>Agriculture &amp; Forestry,Art, Performing Arts &amp; Design,Architecture,Sport Science,Business &amp; Management,Veterinary Science,Biological Sciences</t>
  </si>
  <si>
    <t>WSB Academy</t>
  </si>
  <si>
    <t>Computer Science,Accounting &amp; Finance,Economics &amp; Econometrics,Other Health,Civil Engineering,Languages, Literature &amp; Linguistics,Education,Business &amp; Management,Sociology</t>
  </si>
  <si>
    <t>Yagshigeldi Kakayev International University of Oil and Gas</t>
  </si>
  <si>
    <t>Business &amp; Management,Physics &amp; Astronomy,Chemistry,Electrical &amp; Electronic Engineering,Accounting &amp; Finance,General Engineering,Mathematics &amp; Statistics,Sociology,Chemical Engineering,Geology, Environmental, Earth &amp; Marine Sciences,Computer Science,Economics &amp; Econometrics,Civil Engineering</t>
  </si>
  <si>
    <t>Yamaguchi Prefectural University</t>
  </si>
  <si>
    <t>Agriculture &amp; Forestry,Other Health,Sociology</t>
  </si>
  <si>
    <t>Yanka Kupala State University of Grodno</t>
  </si>
  <si>
    <t>Architecture,Politics &amp; International Studies (incl Development Studies),Psychology,History, Philosophy &amp; Theology,Physics &amp; Astronomy,Economics &amp; Econometrics,Languages, Literature &amp; Linguistics,Sport Science,Business &amp; Management,General Engineering,Chemistry,Law,Electrical &amp; Electronic Engineering,Geology, Environmental, Earth &amp; Marine Sciences,Mechanical &amp; Aerospace Engineering,Education,Civil Engineering,Sociology,Art, Performing Arts &amp; Design,Biological Sciences,Archaeology,Mathematics &amp; Statistics,Accounting &amp; Finance,Computer Science,Communication &amp; Media Studies</t>
  </si>
  <si>
    <t>YaÅŸar University</t>
  </si>
  <si>
    <t>Politics &amp; International Studies (incl Development Studies),Architecture,Art, Performing Arts &amp; Design,Psychology,Languages, Literature &amp; Linguistics,Mathematics &amp; Statistics,Communication &amp; Media Studies,Agriculture &amp; Forestry,Law,Mechanical &amp; Aerospace Engineering,Business &amp; Management,General Engineering,Economics &amp; Econometrics,Accounting &amp; Finance,Computer Science,Civil Engineering,Electrical &amp; Electronic Engineering</t>
  </si>
  <si>
    <t>York St John University</t>
  </si>
  <si>
    <t>Biological Sciences,Economics &amp; Econometrics,Politics &amp; International Studies (incl Development Studies),Sport Science,Psychology,General Engineering,Education,Languages, Literature &amp; Linguistics,Sociology,Art, Performing Arts &amp; Design,Geography,Accounting &amp; Finance,Mathematics &amp; Statistics,Business &amp; Management,Other Health,Communication &amp; Media Studies,History, Philosophy &amp; Theology,Geology, Environmental, Earth &amp; Marine Sciences,Computer Science,Law</t>
  </si>
  <si>
    <t>Yusuf Maitama Sule University, Kano</t>
  </si>
  <si>
    <t>History, Philosophy &amp; Theology,Politics &amp; International Studies (incl Development Studies),Medicine &amp; Dentistry,Mathematics &amp; Statistics,Physics &amp; Astronomy,Accounting &amp; Finance,Computer Science,Education,Biological Sciences,Chemistry,Economics &amp; Econometrics,Business &amp; Management,Geography,Languages, Literature &amp; Linguistics</t>
  </si>
  <si>
    <t>Zarqa University</t>
  </si>
  <si>
    <t>General Engineering,Civil Engineering,Electrical &amp; Electronic Engineering,Art, Performing Arts &amp; Design,Communication &amp; Media Studies,Business &amp; Management,Languages, Literature &amp; Linguistics,Education,Computer Science,Accounting &amp; Finance,Mechanical &amp; Aerospace Engineering,Mathematics &amp; Statistics,Physics &amp; Astronomy,Other Health,Law</t>
  </si>
  <si>
    <t>Zhetysu University</t>
  </si>
  <si>
    <t>History, Philosophy &amp; Theology,Psychology,Languages, Literature &amp; Linguistics,Law,Sociology,Sport Science,Economics &amp; Econometrics,Biological Sciences,Education,Geography,Communication &amp; Media Studies,Art, Performing Arts &amp; Design,Business &amp; Management,Computer Science,Accounting &amp; Finance,Chemistry</t>
  </si>
  <si>
    <t>Zhytomyr Polytechnic State University</t>
  </si>
  <si>
    <t>Law,Economics &amp; Econometrics,Politics &amp; International Studies (incl Development Studies),Accounting &amp; Finance,Psychology,Geology, Environmental, Earth &amp; Marine Sciences,Mechanical &amp; Aerospace Engineering,Languages, Literature &amp; Linguistics,Computer Science,Electrical &amp; Electronic Engineering,Business &amp; Management,General Engineering</t>
  </si>
  <si>
    <t>Ziane Achour University of Djelfa</t>
  </si>
  <si>
    <t>Architecture,Agriculture &amp; Forestry,Biological Sciences,Geology, Environmental, Earth &amp; Marine Sciences</t>
  </si>
  <si>
    <t>Ziauddin University</t>
  </si>
  <si>
    <t>2023 RANK</t>
  </si>
  <si>
    <t>Country Code</t>
  </si>
  <si>
    <t>SIZE</t>
  </si>
  <si>
    <t>FOCUS</t>
  </si>
  <si>
    <t>RES.</t>
  </si>
  <si>
    <t>AGE</t>
  </si>
  <si>
    <t>STATUS</t>
  </si>
  <si>
    <t>Academic Reputation Score</t>
  </si>
  <si>
    <t>Academic Reputation Rank</t>
  </si>
  <si>
    <t>Employer Reputation Score</t>
  </si>
  <si>
    <t>Employer Reputation Rank</t>
  </si>
  <si>
    <t>Faculty Student Score</t>
  </si>
  <si>
    <t>Faculty Student Rank</t>
  </si>
  <si>
    <t>Citations per Faculty Rank</t>
  </si>
  <si>
    <t>International Faculty Score</t>
  </si>
  <si>
    <t>International Faculty Rank</t>
  </si>
  <si>
    <t>International Students Score</t>
  </si>
  <si>
    <t>International Students Rank</t>
  </si>
  <si>
    <t>International Research Network Score</t>
  </si>
  <si>
    <t>International Research Network Rank</t>
  </si>
  <si>
    <t>Employment Outcomes Score</t>
  </si>
  <si>
    <t>Employment Outcomes Rank</t>
  </si>
  <si>
    <t>Sustainability Score</t>
  </si>
  <si>
    <t>Sustainability Rank</t>
  </si>
  <si>
    <t>US</t>
  </si>
  <si>
    <t>M</t>
  </si>
  <si>
    <t>CO</t>
  </si>
  <si>
    <t>VH</t>
  </si>
  <si>
    <t>B</t>
  </si>
  <si>
    <t>UK</t>
  </si>
  <si>
    <t>L</t>
  </si>
  <si>
    <t>FC</t>
  </si>
  <si>
    <t>A</t>
  </si>
  <si>
    <t>33=</t>
  </si>
  <si>
    <t>26=</t>
  </si>
  <si>
    <t>6=</t>
  </si>
  <si>
    <t>61=</t>
  </si>
  <si>
    <t>ETH Zurich - Swiss Federal Institute of Technology</t>
  </si>
  <si>
    <t>CH</t>
  </si>
  <si>
    <t>FO</t>
  </si>
  <si>
    <t>103=</t>
  </si>
  <si>
    <t>SG</t>
  </si>
  <si>
    <t>XL</t>
  </si>
  <si>
    <t>106=</t>
  </si>
  <si>
    <t>University of Chicago</t>
  </si>
  <si>
    <t>137=</t>
  </si>
  <si>
    <t>3=</t>
  </si>
  <si>
    <t>58=</t>
  </si>
  <si>
    <t>The University of Melbourne</t>
  </si>
  <si>
    <t>AU</t>
  </si>
  <si>
    <t>701+</t>
  </si>
  <si>
    <t>92=</t>
  </si>
  <si>
    <t>S</t>
  </si>
  <si>
    <t>CN</t>
  </si>
  <si>
    <t>16=</t>
  </si>
  <si>
    <t>The University of New South Wales</t>
  </si>
  <si>
    <t>34=</t>
  </si>
  <si>
    <t>CA</t>
  </si>
  <si>
    <t>The University of Edinburgh</t>
  </si>
  <si>
    <t>64=</t>
  </si>
  <si>
    <t>Université PSL</t>
  </si>
  <si>
    <t>FR</t>
  </si>
  <si>
    <t>146=</t>
  </si>
  <si>
    <t>271=</t>
  </si>
  <si>
    <t>160=</t>
  </si>
  <si>
    <t>The University of Hong Kong</t>
  </si>
  <si>
    <t>HK</t>
  </si>
  <si>
    <t>Hong Kong SAR</t>
  </si>
  <si>
    <t>JP</t>
  </si>
  <si>
    <t>The University of Manchester</t>
  </si>
  <si>
    <t>75=</t>
  </si>
  <si>
    <t>126=</t>
  </si>
  <si>
    <t>The Australian National University</t>
  </si>
  <si>
    <t>108=</t>
  </si>
  <si>
    <t>EPFL</t>
  </si>
  <si>
    <t>351=</t>
  </si>
  <si>
    <t>DE</t>
  </si>
  <si>
    <t>120=</t>
  </si>
  <si>
    <t>189=</t>
  </si>
  <si>
    <t>King's College London</t>
  </si>
  <si>
    <t>142=</t>
  </si>
  <si>
    <t>KR</t>
  </si>
  <si>
    <t>194=</t>
  </si>
  <si>
    <t>50=</t>
  </si>
  <si>
    <t>187=</t>
  </si>
  <si>
    <t>42=</t>
  </si>
  <si>
    <t>297=</t>
  </si>
  <si>
    <t>The London School of Economics and Political Science</t>
  </si>
  <si>
    <t>SP</t>
  </si>
  <si>
    <t>NL</t>
  </si>
  <si>
    <t>18=</t>
  </si>
  <si>
    <t>The Chinese University of Hong Kong</t>
  </si>
  <si>
    <t>246=</t>
  </si>
  <si>
    <t>339=</t>
  </si>
  <si>
    <t>323=</t>
  </si>
  <si>
    <t>226=</t>
  </si>
  <si>
    <t>Ludwig-Maximilians-Universität München</t>
  </si>
  <si>
    <t>167=</t>
  </si>
  <si>
    <t>KAIST - Korea Advanced Institute of Science &amp; Technology</t>
  </si>
  <si>
    <t>621=</t>
  </si>
  <si>
    <t>53=</t>
  </si>
  <si>
    <t>163=</t>
  </si>
  <si>
    <t>171=</t>
  </si>
  <si>
    <t>432=</t>
  </si>
  <si>
    <t>BE</t>
  </si>
  <si>
    <t>173=</t>
  </si>
  <si>
    <t>128=</t>
  </si>
  <si>
    <t>65=</t>
  </si>
  <si>
    <t>Universiti Malaya</t>
  </si>
  <si>
    <t>MY</t>
  </si>
  <si>
    <t>The University of Warwick</t>
  </si>
  <si>
    <t>239=</t>
  </si>
  <si>
    <t>The University of Auckland</t>
  </si>
  <si>
    <t>NZ</t>
  </si>
  <si>
    <t>National Taiwan University</t>
  </si>
  <si>
    <t>TW</t>
  </si>
  <si>
    <t>Université Paris-Saclay</t>
  </si>
  <si>
    <t>182=</t>
  </si>
  <si>
    <t>204=</t>
  </si>
  <si>
    <t>201=</t>
  </si>
  <si>
    <t xml:space="preserve">KTH Royal Institute of Technology </t>
  </si>
  <si>
    <t>SE</t>
  </si>
  <si>
    <t>44=</t>
  </si>
  <si>
    <t>Yonsei University</t>
  </si>
  <si>
    <t>377=</t>
  </si>
  <si>
    <t>30=</t>
  </si>
  <si>
    <t>255=</t>
  </si>
  <si>
    <t>Trinity College Dublin, The University of Dublin</t>
  </si>
  <si>
    <t>IE</t>
  </si>
  <si>
    <t>133=</t>
  </si>
  <si>
    <t>Pennsylvania State University</t>
  </si>
  <si>
    <t>Universidade de São Paulo</t>
  </si>
  <si>
    <t>BR</t>
  </si>
  <si>
    <t>RU</t>
  </si>
  <si>
    <t>Russia</t>
  </si>
  <si>
    <t>631=</t>
  </si>
  <si>
    <t>Ruprecht-Karls-Universität Heidelberg</t>
  </si>
  <si>
    <t>345=</t>
  </si>
  <si>
    <t>The University of Adelaide</t>
  </si>
  <si>
    <t>567=</t>
  </si>
  <si>
    <t>83=</t>
  </si>
  <si>
    <t>113=</t>
  </si>
  <si>
    <t>104=</t>
  </si>
  <si>
    <t>Universidad Nacional Autónoma de México</t>
  </si>
  <si>
    <t>MX</t>
  </si>
  <si>
    <t>101=</t>
  </si>
  <si>
    <t>Universidad de Buenos Aires</t>
  </si>
  <si>
    <t>AR</t>
  </si>
  <si>
    <t>555=</t>
  </si>
  <si>
    <t>96=</t>
  </si>
  <si>
    <t>77=</t>
  </si>
  <si>
    <t>118=</t>
  </si>
  <si>
    <t>Freie Universitaet Berlin</t>
  </si>
  <si>
    <t>129=</t>
  </si>
  <si>
    <t>Purdue University</t>
  </si>
  <si>
    <t>215=</t>
  </si>
  <si>
    <t>Pohang University of Science And Technology</t>
  </si>
  <si>
    <t>581=</t>
  </si>
  <si>
    <t>150=</t>
  </si>
  <si>
    <t>Pontificia Universidad Católica de Chile</t>
  </si>
  <si>
    <t>CL</t>
  </si>
  <si>
    <t>84=</t>
  </si>
  <si>
    <t>The University of Sheffield</t>
  </si>
  <si>
    <t>147=</t>
  </si>
  <si>
    <t>288=</t>
  </si>
  <si>
    <t>DK</t>
  </si>
  <si>
    <t>112=</t>
  </si>
  <si>
    <t>Utrecht University</t>
  </si>
  <si>
    <t>116=</t>
  </si>
  <si>
    <t>FI</t>
  </si>
  <si>
    <t>36=</t>
  </si>
  <si>
    <t>177=</t>
  </si>
  <si>
    <t>172=</t>
  </si>
  <si>
    <t>NO</t>
  </si>
  <si>
    <t>601+</t>
  </si>
  <si>
    <t>80=</t>
  </si>
  <si>
    <t>175=</t>
  </si>
  <si>
    <t>141=</t>
  </si>
  <si>
    <t>KIT, Karlsruhe Institute of Technology</t>
  </si>
  <si>
    <t>504=</t>
  </si>
  <si>
    <t>131=</t>
  </si>
  <si>
    <t>Humboldt-Universität zu Berlin</t>
  </si>
  <si>
    <t>382=</t>
  </si>
  <si>
    <t>277=</t>
  </si>
  <si>
    <t>IT</t>
  </si>
  <si>
    <t>453=</t>
  </si>
  <si>
    <t>331=</t>
  </si>
  <si>
    <t>125=</t>
  </si>
  <si>
    <t>232=</t>
  </si>
  <si>
    <t>195=</t>
  </si>
  <si>
    <t>AT</t>
  </si>
  <si>
    <t>102=</t>
  </si>
  <si>
    <t>University of North Carolina, Chapel Hill</t>
  </si>
  <si>
    <t>164=</t>
  </si>
  <si>
    <t>143=</t>
  </si>
  <si>
    <t>528=</t>
  </si>
  <si>
    <t>190=</t>
  </si>
  <si>
    <t>367=</t>
  </si>
  <si>
    <t xml:space="preserve">Université de Montréal </t>
  </si>
  <si>
    <t>SA</t>
  </si>
  <si>
    <t>342=</t>
  </si>
  <si>
    <t>207=</t>
  </si>
  <si>
    <t>Sungkyunkwan University(SKKU)</t>
  </si>
  <si>
    <t>471=</t>
  </si>
  <si>
    <t>179=</t>
  </si>
  <si>
    <t>316=</t>
  </si>
  <si>
    <t>Indian Institute of Technology Bombay</t>
  </si>
  <si>
    <t>IN</t>
  </si>
  <si>
    <t>Universitat Autònoma de Barcelona</t>
  </si>
  <si>
    <t>ES</t>
  </si>
  <si>
    <t>The Ohio State University</t>
  </si>
  <si>
    <t>158=</t>
  </si>
  <si>
    <t>196=</t>
  </si>
  <si>
    <t>The University of Exeter</t>
  </si>
  <si>
    <t>Alma Mater Studiorum - University of Bologna</t>
  </si>
  <si>
    <t>268=</t>
  </si>
  <si>
    <t>Technische Universität Berlin</t>
  </si>
  <si>
    <t>Washington University in St. Louis</t>
  </si>
  <si>
    <t>511=</t>
  </si>
  <si>
    <t>Universidad de Chile</t>
  </si>
  <si>
    <t>389=</t>
  </si>
  <si>
    <t>497=</t>
  </si>
  <si>
    <t>185=</t>
  </si>
  <si>
    <t>Universitat de Barcelona</t>
  </si>
  <si>
    <t>181=</t>
  </si>
  <si>
    <t>208=</t>
  </si>
  <si>
    <t>QA</t>
  </si>
  <si>
    <t>397=</t>
  </si>
  <si>
    <t>The University of Newcastle, Australia</t>
  </si>
  <si>
    <t>73=</t>
  </si>
  <si>
    <t>70=</t>
  </si>
  <si>
    <t>237=</t>
  </si>
  <si>
    <t>ZA</t>
  </si>
  <si>
    <t xml:space="preserve">Erasmus University Rotterdam </t>
  </si>
  <si>
    <t>312=</t>
  </si>
  <si>
    <t>502=</t>
  </si>
  <si>
    <t>Arizona State University</t>
  </si>
  <si>
    <t>King Fahd University of Petroleum &amp; Minerals</t>
  </si>
  <si>
    <t>536=</t>
  </si>
  <si>
    <t>Université catholique de Louvain</t>
  </si>
  <si>
    <t>279=</t>
  </si>
  <si>
    <t>305=</t>
  </si>
  <si>
    <t>École Normale Supérieure de Lyon</t>
  </si>
  <si>
    <t>Technische Universität Wien</t>
  </si>
  <si>
    <t>552=</t>
  </si>
  <si>
    <t>Tecnológico de Monterrey</t>
  </si>
  <si>
    <t>HI</t>
  </si>
  <si>
    <t>223=</t>
  </si>
  <si>
    <t>203=</t>
  </si>
  <si>
    <t xml:space="preserve">Universiti Teknologi Malaysia </t>
  </si>
  <si>
    <t>217=</t>
  </si>
  <si>
    <t>222=</t>
  </si>
  <si>
    <t>89=</t>
  </si>
  <si>
    <t>210=</t>
  </si>
  <si>
    <t>Universite libre de Bruxelles</t>
  </si>
  <si>
    <t>249=</t>
  </si>
  <si>
    <t>Albert-Ludwigs-Universitaet Freiburg</t>
  </si>
  <si>
    <t>174=</t>
  </si>
  <si>
    <t>Ecole des Ponts ParisTech</t>
  </si>
  <si>
    <t>549=</t>
  </si>
  <si>
    <t>336=</t>
  </si>
  <si>
    <t>University of Minnesota Twin Cities</t>
  </si>
  <si>
    <t>438=</t>
  </si>
  <si>
    <t>Indian Institute of Technology Delhi</t>
  </si>
  <si>
    <t>220=</t>
  </si>
  <si>
    <t>Universidad de los Andes</t>
  </si>
  <si>
    <t>362=</t>
  </si>
  <si>
    <t>155=</t>
  </si>
  <si>
    <t>Universidad Autónoma de Madrid</t>
  </si>
  <si>
    <t>97=</t>
  </si>
  <si>
    <t>205=</t>
  </si>
  <si>
    <t>233=</t>
  </si>
  <si>
    <t>Queen's University Belfast</t>
  </si>
  <si>
    <t>Universität Hamburg</t>
  </si>
  <si>
    <t>292=</t>
  </si>
  <si>
    <t>95=</t>
  </si>
  <si>
    <t>Queen's University at Kingston</t>
  </si>
  <si>
    <t>212=</t>
  </si>
  <si>
    <t>416=</t>
  </si>
  <si>
    <t>224=</t>
  </si>
  <si>
    <t>TH</t>
  </si>
  <si>
    <t>256=</t>
  </si>
  <si>
    <t>Eberhard Karls Universität Tübingen</t>
  </si>
  <si>
    <t>197=</t>
  </si>
  <si>
    <t>260=</t>
  </si>
  <si>
    <t>IL</t>
  </si>
  <si>
    <t>373=</t>
  </si>
  <si>
    <t>283=</t>
  </si>
  <si>
    <t>240=</t>
  </si>
  <si>
    <t>243=</t>
  </si>
  <si>
    <t>Università di Padova</t>
  </si>
  <si>
    <t>Universidade Estadual de Campinas</t>
  </si>
  <si>
    <t xml:space="preserve">Radboud University </t>
  </si>
  <si>
    <t>University of Pittsburgh</t>
  </si>
  <si>
    <t>LB</t>
  </si>
  <si>
    <t>Universidad Nacional de Colombia</t>
  </si>
  <si>
    <t>309=</t>
  </si>
  <si>
    <t>National Cheng Kung University</t>
  </si>
  <si>
    <t>340=</t>
  </si>
  <si>
    <t>Friedrich-Alexander-Universität Erlangen-Nürnberg</t>
  </si>
  <si>
    <t>KZ</t>
  </si>
  <si>
    <t>Khalifa University of Science and Technology</t>
  </si>
  <si>
    <t>AE</t>
  </si>
  <si>
    <t>University of Göttingen</t>
  </si>
  <si>
    <t>444=</t>
  </si>
  <si>
    <t>281=</t>
  </si>
  <si>
    <t>248=</t>
  </si>
  <si>
    <t>Université de Paris-Cité</t>
  </si>
  <si>
    <t>Universitas Indonesia</t>
  </si>
  <si>
    <t>ID</t>
  </si>
  <si>
    <t>Rheinische Friedrich-Wilhelms-Universität Bonn</t>
  </si>
  <si>
    <t>275=</t>
  </si>
  <si>
    <t>460=</t>
  </si>
  <si>
    <t>300=</t>
  </si>
  <si>
    <t>259=</t>
  </si>
  <si>
    <t>253=</t>
  </si>
  <si>
    <t>University of Massachusetts Amherst</t>
  </si>
  <si>
    <t>545=</t>
  </si>
  <si>
    <t>Technische Universität Dresden</t>
  </si>
  <si>
    <t>CZ</t>
  </si>
  <si>
    <t>152=</t>
  </si>
  <si>
    <t>The Hebrew University of Jerusalem</t>
  </si>
  <si>
    <t>301=</t>
  </si>
  <si>
    <t>325=</t>
  </si>
  <si>
    <t>Politecnico di Torino</t>
  </si>
  <si>
    <t>263=</t>
  </si>
  <si>
    <t>PT</t>
  </si>
  <si>
    <t>MO</t>
  </si>
  <si>
    <t>Macau SAR</t>
  </si>
  <si>
    <t>403=</t>
  </si>
  <si>
    <t>603=</t>
  </si>
  <si>
    <t xml:space="preserve">Maastricht University </t>
  </si>
  <si>
    <t>627=</t>
  </si>
  <si>
    <t>University of Canterbury | Te Whare Wānanga o Waitaha</t>
  </si>
  <si>
    <t>University of Virginia</t>
  </si>
  <si>
    <t>299=</t>
  </si>
  <si>
    <t>284=</t>
  </si>
  <si>
    <t xml:space="preserve">University of Warsaw </t>
  </si>
  <si>
    <t>PL</t>
  </si>
  <si>
    <t>Gadjah Mada University</t>
  </si>
  <si>
    <t>317=</t>
  </si>
  <si>
    <t>428=</t>
  </si>
  <si>
    <t>University of Witwatersrand</t>
  </si>
  <si>
    <t>Ulsan National Institute of Science and Technology</t>
  </si>
  <si>
    <t>335=</t>
  </si>
  <si>
    <t xml:space="preserve">University of Lisbon </t>
  </si>
  <si>
    <t>320=</t>
  </si>
  <si>
    <t>Linköping University</t>
  </si>
  <si>
    <t>235=</t>
  </si>
  <si>
    <t>270=</t>
  </si>
  <si>
    <t>Indian Institute of Technology Kharagpur</t>
  </si>
  <si>
    <t>262=</t>
  </si>
  <si>
    <t xml:space="preserve">Beijing Normal University </t>
  </si>
  <si>
    <t>228=</t>
  </si>
  <si>
    <t>252=</t>
  </si>
  <si>
    <t>264=</t>
  </si>
  <si>
    <t>Indian Institute of Technology Kanpur</t>
  </si>
  <si>
    <t>524=</t>
  </si>
  <si>
    <t>296=</t>
  </si>
  <si>
    <t>Bandung Institute of Technology</t>
  </si>
  <si>
    <t>533=</t>
  </si>
  <si>
    <t>454=</t>
  </si>
  <si>
    <t>Taylor's University</t>
  </si>
  <si>
    <t>C</t>
  </si>
  <si>
    <t>Indian Institute of Technology Madras</t>
  </si>
  <si>
    <t>The University of Arizona</t>
  </si>
  <si>
    <t>588=</t>
  </si>
  <si>
    <t>Xi’an Jiaotong University</t>
  </si>
  <si>
    <t>352=</t>
  </si>
  <si>
    <t>Norwegian University of Science And Technology</t>
  </si>
  <si>
    <t>Université Grenoble Alpes</t>
  </si>
  <si>
    <t>360=</t>
  </si>
  <si>
    <t>574=</t>
  </si>
  <si>
    <t>123=</t>
  </si>
  <si>
    <t>308=</t>
  </si>
  <si>
    <t>267=</t>
  </si>
  <si>
    <t>Rutgers University–New Brunswick</t>
  </si>
  <si>
    <t>UCSI University</t>
  </si>
  <si>
    <t>495=</t>
  </si>
  <si>
    <t>Southern University of Science and Technology</t>
  </si>
  <si>
    <t>328=</t>
  </si>
  <si>
    <t>Goethe-University Frankfurt am Main</t>
  </si>
  <si>
    <t>327=</t>
  </si>
  <si>
    <t>363=</t>
  </si>
  <si>
    <t>293=</t>
  </si>
  <si>
    <t>412=</t>
  </si>
  <si>
    <t>Daegu Gyeongbuk Institute of Science and Technology</t>
  </si>
  <si>
    <t>425=</t>
  </si>
  <si>
    <t>Universiti Teknologi PETRONAS</t>
  </si>
  <si>
    <t>Hamad Bin Khalifa University</t>
  </si>
  <si>
    <t>Universitat Pompeu Fabra</t>
  </si>
  <si>
    <t>355=</t>
  </si>
  <si>
    <t>Universität Stuttgart</t>
  </si>
  <si>
    <t>411=</t>
  </si>
  <si>
    <t>Indiana University Bloomington</t>
  </si>
  <si>
    <t>392=</t>
  </si>
  <si>
    <t>PK</t>
  </si>
  <si>
    <t>514=</t>
  </si>
  <si>
    <t>Saint Petersburg State University</t>
  </si>
  <si>
    <t>391=</t>
  </si>
  <si>
    <t>663=</t>
  </si>
  <si>
    <t xml:space="preserve">Sciences Po </t>
  </si>
  <si>
    <t>Universidad Carlos III de Madrid</t>
  </si>
  <si>
    <t>359=</t>
  </si>
  <si>
    <t>University of Illinois at Chicago</t>
  </si>
  <si>
    <t>591-600</t>
  </si>
  <si>
    <t>347=</t>
  </si>
  <si>
    <t>Gwangju Institute of Science and Technology</t>
  </si>
  <si>
    <t xml:space="preserve">Université Paris 1 Panthéon-Sorbonne </t>
  </si>
  <si>
    <t>USI - Università della Svizzera italiana</t>
  </si>
  <si>
    <t>413=</t>
  </si>
  <si>
    <t>375=</t>
  </si>
  <si>
    <t>380=</t>
  </si>
  <si>
    <t>IR</t>
  </si>
  <si>
    <t>Iran, Islamic Republic of</t>
  </si>
  <si>
    <t>University of Naples - Federico II</t>
  </si>
  <si>
    <t>393=</t>
  </si>
  <si>
    <t>501-510</t>
  </si>
  <si>
    <t>TR</t>
  </si>
  <si>
    <t>Pontificia Universidad Católica del Perú</t>
  </si>
  <si>
    <t>PE</t>
  </si>
  <si>
    <t>506=</t>
  </si>
  <si>
    <t>369=</t>
  </si>
  <si>
    <t>Airlangga University</t>
  </si>
  <si>
    <t>473=</t>
  </si>
  <si>
    <t>422=</t>
  </si>
  <si>
    <t>GR</t>
  </si>
  <si>
    <t>Pontificia Universidad Javeriana</t>
  </si>
  <si>
    <t>456=</t>
  </si>
  <si>
    <t>488=</t>
  </si>
  <si>
    <t>Universidad Politécnica de Madrid</t>
  </si>
  <si>
    <t>388=</t>
  </si>
  <si>
    <t>343=</t>
  </si>
  <si>
    <t>Universitat Politècnica de Catalunya · BarcelonaTech</t>
  </si>
  <si>
    <t>678=</t>
  </si>
  <si>
    <t>406=</t>
  </si>
  <si>
    <t>EE</t>
  </si>
  <si>
    <t>396=</t>
  </si>
  <si>
    <t>Shandong University</t>
  </si>
  <si>
    <t>463=</t>
  </si>
  <si>
    <t>560=</t>
  </si>
  <si>
    <t xml:space="preserve">Lincoln University </t>
  </si>
  <si>
    <t>379=</t>
  </si>
  <si>
    <t>Universität Innsbruck</t>
  </si>
  <si>
    <t>586=</t>
  </si>
  <si>
    <t>384=</t>
  </si>
  <si>
    <t>475=</t>
  </si>
  <si>
    <t>National University of Sciences And Technology Islamabad</t>
  </si>
  <si>
    <t>CY</t>
  </si>
  <si>
    <t>Indian Institute of Technology Roorkee</t>
  </si>
  <si>
    <t>Yeshiva University</t>
  </si>
  <si>
    <t>551-560</t>
  </si>
  <si>
    <t>EG</t>
  </si>
  <si>
    <t>398=</t>
  </si>
  <si>
    <t>Universidade Federal do Rio de Janeiro</t>
  </si>
  <si>
    <t>642=</t>
  </si>
  <si>
    <t xml:space="preserve"> Western Sydney University</t>
  </si>
  <si>
    <t>443=</t>
  </si>
  <si>
    <t>Northeastern University</t>
  </si>
  <si>
    <t>Ruhr-Universität Bochum</t>
  </si>
  <si>
    <t>LU</t>
  </si>
  <si>
    <t>Université de Montpellier</t>
  </si>
  <si>
    <t>370=</t>
  </si>
  <si>
    <t>378=</t>
  </si>
  <si>
    <t>521=</t>
  </si>
  <si>
    <t xml:space="preserve">Westfälische Wilhelms-Universität Münster </t>
  </si>
  <si>
    <t>University of Hawaiʻi at Mānoa</t>
  </si>
  <si>
    <t>490=</t>
  </si>
  <si>
    <t>BY</t>
  </si>
  <si>
    <t>National Taiwan University of Science and Technology</t>
  </si>
  <si>
    <t>481=</t>
  </si>
  <si>
    <t>BN</t>
  </si>
  <si>
    <t>Brunei</t>
  </si>
  <si>
    <t>457=</t>
  </si>
  <si>
    <t>Institut National des Sciences Appliquées de Lyon</t>
  </si>
  <si>
    <t>540=</t>
  </si>
  <si>
    <t>667=</t>
  </si>
  <si>
    <t>408=</t>
  </si>
  <si>
    <t>Technion - Israel Institute of Technology</t>
  </si>
  <si>
    <t>485=</t>
  </si>
  <si>
    <t>579=</t>
  </si>
  <si>
    <t>Justus-Liebig-University Giessen</t>
  </si>
  <si>
    <t>Stony Brook University, State University of New York</t>
  </si>
  <si>
    <t>295=</t>
  </si>
  <si>
    <t>Universidade Nova de Lisboa</t>
  </si>
  <si>
    <t>494=</t>
  </si>
  <si>
    <t>601-650</t>
  </si>
  <si>
    <t>PH</t>
  </si>
  <si>
    <t>486=</t>
  </si>
  <si>
    <t>521-530</t>
  </si>
  <si>
    <t>Colorado State University</t>
  </si>
  <si>
    <t>465=</t>
  </si>
  <si>
    <t>Universidad de Santiago de Chile</t>
  </si>
  <si>
    <t>651-700</t>
  </si>
  <si>
    <t xml:space="preserve">University of Southern Queensland </t>
  </si>
  <si>
    <t>409=</t>
  </si>
  <si>
    <t>402=</t>
  </si>
  <si>
    <t>Royal Holloway University of London</t>
  </si>
  <si>
    <t>461=</t>
  </si>
  <si>
    <t>Moscow Institute of Physics and Technology</t>
  </si>
  <si>
    <t>The American University in Cairo</t>
  </si>
  <si>
    <t>477=</t>
  </si>
  <si>
    <t>UNESP</t>
  </si>
  <si>
    <t>Université de Liège</t>
  </si>
  <si>
    <t>318=</t>
  </si>
  <si>
    <t>434=</t>
  </si>
  <si>
    <t>Université de Strasbourg</t>
  </si>
  <si>
    <t>614=</t>
  </si>
  <si>
    <t>511-520</t>
  </si>
  <si>
    <t xml:space="preserve">University of Canberra </t>
  </si>
  <si>
    <t>531-540</t>
  </si>
  <si>
    <t>IE University</t>
  </si>
  <si>
    <t>Singapore University of Technology and Design</t>
  </si>
  <si>
    <t>400=</t>
  </si>
  <si>
    <t>Koç University</t>
  </si>
  <si>
    <t>449=</t>
  </si>
  <si>
    <t>561-570</t>
  </si>
  <si>
    <t>436=</t>
  </si>
  <si>
    <t xml:space="preserve">Sejong University </t>
  </si>
  <si>
    <t>691=</t>
  </si>
  <si>
    <t>University of Science and Technology Beijing</t>
  </si>
  <si>
    <t>University of St.Gallen</t>
  </si>
  <si>
    <t>410=</t>
  </si>
  <si>
    <t>Julius-Maximilians-Universität Würzburg</t>
  </si>
  <si>
    <t>647=</t>
  </si>
  <si>
    <t xml:space="preserve"> University of Dundee</t>
  </si>
  <si>
    <t>Université Laval</t>
  </si>
  <si>
    <t>592=</t>
  </si>
  <si>
    <t>350=</t>
  </si>
  <si>
    <t>640=</t>
  </si>
  <si>
    <t>Johannes Kepler University Linz</t>
  </si>
  <si>
    <t>The University of Tennessee, Knoxville</t>
  </si>
  <si>
    <t>Toyota Technological Institute in Japan</t>
  </si>
  <si>
    <t>University of Jyväskylä</t>
  </si>
  <si>
    <t>447=</t>
  </si>
  <si>
    <t>499=</t>
  </si>
  <si>
    <t>Central South University</t>
  </si>
  <si>
    <t>689=</t>
  </si>
  <si>
    <t>Université Claude Bernard Lyon 1</t>
  </si>
  <si>
    <t>Indian Institute of Technology Indore</t>
  </si>
  <si>
    <t>OM</t>
  </si>
  <si>
    <t>541-550</t>
  </si>
  <si>
    <t>Universität Mannheim</t>
  </si>
  <si>
    <t>Essex, University of</t>
  </si>
  <si>
    <t>Universität Potsdam</t>
  </si>
  <si>
    <t>Universität Jena</t>
  </si>
  <si>
    <t>420=</t>
  </si>
  <si>
    <t>Johannes Gutenberg Universität Mainz</t>
  </si>
  <si>
    <t>Colorado School of Mines</t>
  </si>
  <si>
    <t>Umea University</t>
  </si>
  <si>
    <t>Ben-Gurion University of The Negev</t>
  </si>
  <si>
    <t>564=</t>
  </si>
  <si>
    <t>Università degli Studi di Pavia</t>
  </si>
  <si>
    <t>608=</t>
  </si>
  <si>
    <t>Ural Federal University - UrFU</t>
  </si>
  <si>
    <t xml:space="preserve">Vilnius University </t>
  </si>
  <si>
    <t>LT</t>
  </si>
  <si>
    <t>658=</t>
  </si>
  <si>
    <t>Universitat Politècnica de València</t>
  </si>
  <si>
    <t>467=</t>
  </si>
  <si>
    <t>Universität Konstanz</t>
  </si>
  <si>
    <t>Universität Leipzig</t>
  </si>
  <si>
    <t xml:space="preserve">University of Milano-Bicocca </t>
  </si>
  <si>
    <t>571-580</t>
  </si>
  <si>
    <t>Universitat de Valencia</t>
  </si>
  <si>
    <t>University of Rome "Tor Vergata"</t>
  </si>
  <si>
    <t>University at Buffalo SUNY</t>
  </si>
  <si>
    <t xml:space="preserve">Hunan University </t>
  </si>
  <si>
    <t>Universidad de Sevilla</t>
  </si>
  <si>
    <t>581-590</t>
  </si>
  <si>
    <t>University of Jordan</t>
  </si>
  <si>
    <t>JO</t>
  </si>
  <si>
    <t>Jilin University</t>
  </si>
  <si>
    <t>701-750</t>
  </si>
  <si>
    <t>National Sun Yat-sen University</t>
  </si>
  <si>
    <t>Oregon State University</t>
  </si>
  <si>
    <t>Università Cattolica del Sacro Cuore</t>
  </si>
  <si>
    <t xml:space="preserve">SOAS University of London </t>
  </si>
  <si>
    <t>Université Paul Sabatier Toulouse III</t>
  </si>
  <si>
    <t>Boğaziçi University</t>
  </si>
  <si>
    <t>801-1000</t>
  </si>
  <si>
    <t>VN</t>
  </si>
  <si>
    <t>Pontificia Universidad Católica Argentina</t>
  </si>
  <si>
    <t>MD</t>
  </si>
  <si>
    <t>598=</t>
  </si>
  <si>
    <t>The University of Georgia</t>
  </si>
  <si>
    <t>Universität Bremen</t>
  </si>
  <si>
    <t>Universidad Austral</t>
  </si>
  <si>
    <t>University of Texas Dallas</t>
  </si>
  <si>
    <t>358=</t>
  </si>
  <si>
    <t>Universidad de Zaragoza</t>
  </si>
  <si>
    <t>MGIMO University</t>
  </si>
  <si>
    <t>Sabanci University</t>
  </si>
  <si>
    <t>University of Madras</t>
  </si>
  <si>
    <t xml:space="preserve">Edith Cowan University </t>
  </si>
  <si>
    <t>Christian-Albrechts-University zu Kiel</t>
  </si>
  <si>
    <t>390=</t>
  </si>
  <si>
    <t>Universidad de Palermo</t>
  </si>
  <si>
    <t xml:space="preserve">China Agricultural University </t>
  </si>
  <si>
    <t>695=</t>
  </si>
  <si>
    <t>Peter the Great St. Petersburg Polytechnic University</t>
  </si>
  <si>
    <t>Universidad de Alcalá</t>
  </si>
  <si>
    <t>661=</t>
  </si>
  <si>
    <t>Universidad Nacional de La Plata</t>
  </si>
  <si>
    <t>612=</t>
  </si>
  <si>
    <t>University Ulm</t>
  </si>
  <si>
    <t>Universidad de Costa Rica</t>
  </si>
  <si>
    <t>CR</t>
  </si>
  <si>
    <t>City University of New York</t>
  </si>
  <si>
    <t>Singapore Management University</t>
  </si>
  <si>
    <t>531=</t>
  </si>
  <si>
    <t>Northumbria University at Newcastle</t>
  </si>
  <si>
    <t>Canadian University Dubai</t>
  </si>
  <si>
    <t xml:space="preserve">Hasselt University </t>
  </si>
  <si>
    <t>596=</t>
  </si>
  <si>
    <t>University of Nebraska - Lincoln</t>
  </si>
  <si>
    <t>Universiti Teknologi MARA - UiTM</t>
  </si>
  <si>
    <t>751-800</t>
  </si>
  <si>
    <t>INTI International University</t>
  </si>
  <si>
    <t>Politecnico di Bari</t>
  </si>
  <si>
    <t>Renmin University of China</t>
  </si>
  <si>
    <t>665=</t>
  </si>
  <si>
    <t>Université de Fribourg</t>
  </si>
  <si>
    <t>Universidad Adolfo Ibáñez</t>
  </si>
  <si>
    <t>Indian Institute of Technology Varanasi</t>
  </si>
  <si>
    <t xml:space="preserve">HUFS - Hankuk University of Foreign Studies </t>
  </si>
  <si>
    <t>University of South Carolina</t>
  </si>
  <si>
    <t>University of Tromsø The Arctic University of Norway</t>
  </si>
  <si>
    <t>Applied Science University - Bahrain</t>
  </si>
  <si>
    <t>BH</t>
  </si>
  <si>
    <t>Universidad Católica Andres Bello</t>
  </si>
  <si>
    <t>VE</t>
  </si>
  <si>
    <t>Universidad Pontificia Comillas</t>
  </si>
  <si>
    <t>National Research Tomsk Polytechnic University</t>
  </si>
  <si>
    <t>University of Missouri, Columbia</t>
  </si>
  <si>
    <t>Prince Mohammad Bin Fahd university</t>
  </si>
  <si>
    <t>Pontifícia Universidade Católica do Rio de Janeiro</t>
  </si>
  <si>
    <t>Università Vita-Salute San Raffaele</t>
  </si>
  <si>
    <t>Nanjing University of Science and Technology</t>
  </si>
  <si>
    <t>441=</t>
  </si>
  <si>
    <t>Universität des Saarlandes</t>
  </si>
  <si>
    <t>601-610</t>
  </si>
  <si>
    <t>Abo Akademi University</t>
  </si>
  <si>
    <t>644=</t>
  </si>
  <si>
    <t>-</t>
  </si>
  <si>
    <t xml:space="preserve">Charles Darwin University </t>
  </si>
  <si>
    <t>Kingston University, London</t>
  </si>
  <si>
    <t>669=</t>
  </si>
  <si>
    <t xml:space="preserve">Umm Al-Qura University </t>
  </si>
  <si>
    <t>Universidad de Concepción</t>
  </si>
  <si>
    <t>HU</t>
  </si>
  <si>
    <t>611-620</t>
  </si>
  <si>
    <t>Auezov South Kazakhstan University</t>
  </si>
  <si>
    <t>Martin-Luther-Universität Halle-Wittenberg</t>
  </si>
  <si>
    <t>Tokyo Medical and Dental University</t>
  </si>
  <si>
    <t>621-630</t>
  </si>
  <si>
    <t>Asia Pacific University of Technology and Innovation</t>
  </si>
  <si>
    <t>Management and Science University</t>
  </si>
  <si>
    <t>University of Kwazulu-Natal</t>
  </si>
  <si>
    <t>SI</t>
  </si>
  <si>
    <t>631-640</t>
  </si>
  <si>
    <t xml:space="preserve">Ajou University </t>
  </si>
  <si>
    <t>Palacký University Olomouc</t>
  </si>
  <si>
    <t xml:space="preserve">Saint Joseph University of Beirut </t>
  </si>
  <si>
    <t>673=</t>
  </si>
  <si>
    <t>Universidad Central de Venezuela</t>
  </si>
  <si>
    <t>Université de Lille</t>
  </si>
  <si>
    <t>University of New Mexico</t>
  </si>
  <si>
    <t>641-650</t>
  </si>
  <si>
    <t>Kazakh National Agrarian University KazNAU</t>
  </si>
  <si>
    <t>Lingnan University, Hong Kong</t>
  </si>
  <si>
    <t>Pakistan Institute of Engineering and Applied Sciences</t>
  </si>
  <si>
    <t>Universidad de La Habana</t>
  </si>
  <si>
    <t>CU</t>
  </si>
  <si>
    <t>469=</t>
  </si>
  <si>
    <t>University of Oklahoma</t>
  </si>
  <si>
    <t>651-660</t>
  </si>
  <si>
    <t>1001-1200</t>
  </si>
  <si>
    <t>Instituto Tecnológico Autónomo de México</t>
  </si>
  <si>
    <t xml:space="preserve">Southern Cross University </t>
  </si>
  <si>
    <t>656=</t>
  </si>
  <si>
    <t>Universidad de Montevideo</t>
  </si>
  <si>
    <t>UY</t>
  </si>
  <si>
    <t>661-670</t>
  </si>
  <si>
    <t xml:space="preserve">Ca' Foscari University of Venice </t>
  </si>
  <si>
    <t xml:space="preserve">Holy Spirit University of Kaslik </t>
  </si>
  <si>
    <t>Karl-Franzens-Universitaet Graz</t>
  </si>
  <si>
    <t>Universidad Panamericana</t>
  </si>
  <si>
    <t>Università degli Studi di Perugia</t>
  </si>
  <si>
    <t>Universitat Rovira i Virgili</t>
  </si>
  <si>
    <t>671-680</t>
  </si>
  <si>
    <t>American University of the Middle East</t>
  </si>
  <si>
    <t>KW</t>
  </si>
  <si>
    <t xml:space="preserve">Dongguk University </t>
  </si>
  <si>
    <t>636=</t>
  </si>
  <si>
    <t>681-690</t>
  </si>
  <si>
    <t>Abai Kazakh National Pedagogical University</t>
  </si>
  <si>
    <t>Colegio de México</t>
  </si>
  <si>
    <t>Paris Lodron University of Salzburg</t>
  </si>
  <si>
    <t>Pontificia Universidad Católica de Valparaíso</t>
  </si>
  <si>
    <t>Soochow University</t>
  </si>
  <si>
    <t>UA</t>
  </si>
  <si>
    <t>The National University of Science and Technology MISIS</t>
  </si>
  <si>
    <t>691-700</t>
  </si>
  <si>
    <t>Indian Institute of Technology Hyderabad</t>
  </si>
  <si>
    <t>Universidad Iberoamericana IBERO</t>
  </si>
  <si>
    <t xml:space="preserve">Universidade Federal de Minas Gerais      </t>
  </si>
  <si>
    <t xml:space="preserve">Universidade Federal do Rio Grande Do Sul </t>
  </si>
  <si>
    <t>University of Cincinnati</t>
  </si>
  <si>
    <t>BD</t>
  </si>
  <si>
    <t>652=</t>
  </si>
  <si>
    <t xml:space="preserve">University of Mons </t>
  </si>
  <si>
    <t>V. N. Karazin Kharkiv National University</t>
  </si>
  <si>
    <t>701-710</t>
  </si>
  <si>
    <t>Czech University of Life Sciences in Prague</t>
  </si>
  <si>
    <t>Eötvös Loránd University</t>
  </si>
  <si>
    <t>Universidad de Antioquia</t>
  </si>
  <si>
    <t>Universidade de Santiago de Compostela</t>
  </si>
  <si>
    <t>711-720</t>
  </si>
  <si>
    <t xml:space="preserve">Beirut Arab University </t>
  </si>
  <si>
    <t>China University of Petroleum</t>
  </si>
  <si>
    <t>International Islamic University Malaysia</t>
  </si>
  <si>
    <t>Universidad del Rosario</t>
  </si>
  <si>
    <t>Université de Rennes 1</t>
  </si>
  <si>
    <t>University of New Brunswick</t>
  </si>
  <si>
    <t xml:space="preserve">Victoria University </t>
  </si>
  <si>
    <t>721-730</t>
  </si>
  <si>
    <t xml:space="preserve">Ain Shams University </t>
  </si>
  <si>
    <t>Beijing University of Chemical Technology</t>
  </si>
  <si>
    <t>Universita' Politecnica delle Marche</t>
  </si>
  <si>
    <t>Université Côte d\'Azur</t>
  </si>
  <si>
    <t>Université de Lorraine</t>
  </si>
  <si>
    <t>RS</t>
  </si>
  <si>
    <t xml:space="preserve">University of Colorado, Denver </t>
  </si>
  <si>
    <t>731-740</t>
  </si>
  <si>
    <t>Adam Mickiewicz University, Poznań</t>
  </si>
  <si>
    <t>Indian Institute of Technology Bhubaneswar</t>
  </si>
  <si>
    <t>Jordan University of Science &amp; Technology</t>
  </si>
  <si>
    <t>National Technical University of Ukraine "Igor Sikorsky Kyiv Polytechnic Institute"</t>
  </si>
  <si>
    <t>Universidad EAFIT</t>
  </si>
  <si>
    <t>Universidade Federal de São Paulo</t>
  </si>
  <si>
    <t>741-750</t>
  </si>
  <si>
    <t>Instituto Politécnico Nacional</t>
  </si>
  <si>
    <t>Sofia University "St. Kliment Ohridski"</t>
  </si>
  <si>
    <t>BG</t>
  </si>
  <si>
    <t>584=</t>
  </si>
  <si>
    <t>Swarthmore College</t>
  </si>
  <si>
    <t>Universität Regensburg</t>
  </si>
  <si>
    <t xml:space="preserve">University of Agriculture, Faisalabad </t>
  </si>
  <si>
    <t>University of Bari</t>
  </si>
  <si>
    <t>751-760</t>
  </si>
  <si>
    <t>Ahlia University</t>
  </si>
  <si>
    <t>ISCTE - Instituto Universitario de Lisboa</t>
  </si>
  <si>
    <t>LV</t>
  </si>
  <si>
    <t>Technische Universität Braunschweig</t>
  </si>
  <si>
    <t xml:space="preserve">Universidad Externado de Colombia </t>
  </si>
  <si>
    <t>Université du Québec</t>
  </si>
  <si>
    <t>478=</t>
  </si>
  <si>
    <t>University of Mumbai</t>
  </si>
  <si>
    <t xml:space="preserve">University of Ulsan </t>
  </si>
  <si>
    <t>HR</t>
  </si>
  <si>
    <t>761-770</t>
  </si>
  <si>
    <t xml:space="preserve">Hacettepe University </t>
  </si>
  <si>
    <t xml:space="preserve">Philipps-Universität Marburg </t>
  </si>
  <si>
    <t>Universidad de Belgrano</t>
  </si>
  <si>
    <t>Universität Rostock</t>
  </si>
  <si>
    <t>Universiti Tenaga Nasional</t>
  </si>
  <si>
    <t>771-780</t>
  </si>
  <si>
    <t>Chandigarh University</t>
  </si>
  <si>
    <t>Comenius University Bratislava</t>
  </si>
  <si>
    <t>SK</t>
  </si>
  <si>
    <t>Rutgers University–Newark</t>
  </si>
  <si>
    <t>Universidad Anáhuac México</t>
  </si>
  <si>
    <t>Universidad ORT Uruguay</t>
  </si>
  <si>
    <t>Universität Duisburg-Essen</t>
  </si>
  <si>
    <t>685=</t>
  </si>
  <si>
    <t>Université de Nantes</t>
  </si>
  <si>
    <t>601=</t>
  </si>
  <si>
    <t>University at Albany SUNY</t>
  </si>
  <si>
    <t>781-790</t>
  </si>
  <si>
    <t>1201-1400</t>
  </si>
  <si>
    <t>University of Northern British Columbia</t>
  </si>
  <si>
    <t>China University of Mining and Technology</t>
  </si>
  <si>
    <t xml:space="preserve">Keele University </t>
  </si>
  <si>
    <t>Khoja Akhmet Yassawi International Kazakh-Turkish University</t>
  </si>
  <si>
    <t>Nanjing Agricultural University</t>
  </si>
  <si>
    <t>National Institute of Technology Tiruchirappalli</t>
  </si>
  <si>
    <t xml:space="preserve">The Catholic University of Korea </t>
  </si>
  <si>
    <t>Universiti Malaysia Pahang</t>
  </si>
  <si>
    <t>791-800</t>
  </si>
  <si>
    <t>Instituto Tecnológico de Buenos Aires</t>
  </si>
  <si>
    <t>Lanzhou University</t>
  </si>
  <si>
    <t>Universidad de La Sabana</t>
  </si>
  <si>
    <t>University of Engineering &amp; Technology Lahore</t>
  </si>
  <si>
    <t>801-850</t>
  </si>
  <si>
    <t>Babes-Bolyai University</t>
  </si>
  <si>
    <t>RO</t>
  </si>
  <si>
    <t>Beijing University of Technology</t>
  </si>
  <si>
    <t>Belarusian National Technical University</t>
  </si>
  <si>
    <t xml:space="preserve">Charles Sturt University </t>
  </si>
  <si>
    <t>China University of Geosciences</t>
  </si>
  <si>
    <t>GE</t>
  </si>
  <si>
    <t xml:space="preserve">Konkuk University </t>
  </si>
  <si>
    <t>Poznan University of Life Sciences</t>
  </si>
  <si>
    <t>Ritsumeikan Asia Pacific University</t>
  </si>
  <si>
    <t xml:space="preserve">Tokyo University of Agriculture and Technology </t>
  </si>
  <si>
    <t>Universidad de la República</t>
  </si>
  <si>
    <t>Universidad de San Andrés - UdeSA</t>
  </si>
  <si>
    <t xml:space="preserve">Universidad Pontificia Bolivariana </t>
  </si>
  <si>
    <t>EC</t>
  </si>
  <si>
    <t>Universidad Técnica Federico Santa María</t>
  </si>
  <si>
    <t>Universidade de Brasília</t>
  </si>
  <si>
    <t>683=</t>
  </si>
  <si>
    <t xml:space="preserve">Universidade Federal de Santa Catarina </t>
  </si>
  <si>
    <t xml:space="preserve">Universitas Brawijaya </t>
  </si>
  <si>
    <t>617=</t>
  </si>
  <si>
    <t>Université de Sherbrooke</t>
  </si>
  <si>
    <t>Universiti Tunku Abdul Rahman</t>
  </si>
  <si>
    <t>University Duesseldorf</t>
  </si>
  <si>
    <t>University of Balamand</t>
  </si>
  <si>
    <t>University of Hyderabad</t>
  </si>
  <si>
    <t>University of Massachusetts Boston</t>
  </si>
  <si>
    <t>University of Pecs</t>
  </si>
  <si>
    <t>Vilnius Gediminas Technical University</t>
  </si>
  <si>
    <t>Karaganda State Technical University</t>
  </si>
  <si>
    <t>851-900</t>
  </si>
  <si>
    <t>Addis Ababa University</t>
  </si>
  <si>
    <t>ET</t>
  </si>
  <si>
    <t>Beijing University of Posts and Telecommunications</t>
  </si>
  <si>
    <t>Catania University</t>
  </si>
  <si>
    <t>Clemson University</t>
  </si>
  <si>
    <t>Gdańsk University of Technology</t>
  </si>
  <si>
    <t>Gulf University for Science and Technology</t>
  </si>
  <si>
    <t>Huazhong Agricultural University</t>
  </si>
  <si>
    <t xml:space="preserve">Kansas State University </t>
  </si>
  <si>
    <t>KG</t>
  </si>
  <si>
    <t>Michigan Technological University</t>
  </si>
  <si>
    <t xml:space="preserve">Oklahoma State University </t>
  </si>
  <si>
    <t>Pavol Jozef Šafárik University in Košice</t>
  </si>
  <si>
    <t>Queen Margaret University , Edinburgh</t>
  </si>
  <si>
    <t>Ryerson University</t>
  </si>
  <si>
    <t>Universidad Católica del Uruguay</t>
  </si>
  <si>
    <t>Universidad Central "Marta Abreu" de Las Villas</t>
  </si>
  <si>
    <t>Universidad de Guadalajara</t>
  </si>
  <si>
    <t>Universidad Torcuato Di Tella</t>
  </si>
  <si>
    <t>Universita' degli Studi di Ferrara</t>
  </si>
  <si>
    <t>571=</t>
  </si>
  <si>
    <t>MT</t>
  </si>
  <si>
    <t>University Paris 2 Panthéon-Assas</t>
  </si>
  <si>
    <t>Vellore Institute of Technology</t>
  </si>
  <si>
    <t>Wesleyan University</t>
  </si>
  <si>
    <t>Wuhan University of Technology</t>
  </si>
  <si>
    <t>901-950</t>
  </si>
  <si>
    <t>AGH University of Science and Technology</t>
  </si>
  <si>
    <t xml:space="preserve">Alexandria University </t>
  </si>
  <si>
    <t>Ankara Üniversitesi</t>
  </si>
  <si>
    <t>Asia University Taiwan</t>
  </si>
  <si>
    <t>Beijing Jiaotong University</t>
  </si>
  <si>
    <t>College of William and Mary</t>
  </si>
  <si>
    <t>D. Serikbayev East Kazakhstan state technical university</t>
  </si>
  <si>
    <t xml:space="preserve">Hallym University </t>
  </si>
  <si>
    <t>Loyola University Chicago</t>
  </si>
  <si>
    <t>National Technical University "Kharkiv Polytechnic Institute"</t>
  </si>
  <si>
    <t xml:space="preserve">Nicolaus Copernicus University </t>
  </si>
  <si>
    <t>Northern Borders University</t>
  </si>
  <si>
    <t>Notre Dame University-Louaize NDU</t>
  </si>
  <si>
    <t>Ocean University of China</t>
  </si>
  <si>
    <t>Pontificia Universidad Católica del Ecuador</t>
  </si>
  <si>
    <t>Princess Sumaya University for Technology</t>
  </si>
  <si>
    <t xml:space="preserve">Rhodes University </t>
  </si>
  <si>
    <t>Riga Stradins University</t>
  </si>
  <si>
    <t>S.D. Asfendiyarov Kazakh National Medical University</t>
  </si>
  <si>
    <t>Samara National Research University</t>
  </si>
  <si>
    <t xml:space="preserve">Sophia University </t>
  </si>
  <si>
    <t>St. Louis University</t>
  </si>
  <si>
    <t>Sungshin Women's University</t>
  </si>
  <si>
    <t>Universidad Autónoma Metropolitana</t>
  </si>
  <si>
    <t>Universidad ICESI</t>
  </si>
  <si>
    <t>Universidad Nacional Mayor de San Marcos</t>
  </si>
  <si>
    <t>Universidade Católica Portuguesa - UCP</t>
  </si>
  <si>
    <t>Universidade de Vigo</t>
  </si>
  <si>
    <t>Università degli studi Roma Tre</t>
  </si>
  <si>
    <t>University of Alabama, Birmingham</t>
  </si>
  <si>
    <t>University of Petroleum and Energy Studies</t>
  </si>
  <si>
    <t>University of Vermont</t>
  </si>
  <si>
    <t>542=</t>
  </si>
  <si>
    <t>University of Wroclaw</t>
  </si>
  <si>
    <t>Wroclaw University of Science and Technology</t>
  </si>
  <si>
    <t>951-1000</t>
  </si>
  <si>
    <t>Bielefeld University</t>
  </si>
  <si>
    <t>Indiana University–Purdue University Indianapolis</t>
  </si>
  <si>
    <t xml:space="preserve">King Mongkut's University of Technology Thonburi </t>
  </si>
  <si>
    <t>UG</t>
  </si>
  <si>
    <t>Manipal Academy of Higher Education, Manipal, Karnataka, India</t>
  </si>
  <si>
    <t>NJSC KIMEP University</t>
  </si>
  <si>
    <t>Northwest Agriculture and Forestry University</t>
  </si>
  <si>
    <t>Saint Petersburg Electrotechnical University ETU-LETI</t>
  </si>
  <si>
    <t>Shahid Beheshti University</t>
  </si>
  <si>
    <t>Tecnológico de Costa Rica -TEC</t>
  </si>
  <si>
    <t>Thapar Institute of Engineering &amp; Technology</t>
  </si>
  <si>
    <t>Universidad de Castilla-La Mancha</t>
  </si>
  <si>
    <t>Universidad de las Américas Puebla</t>
  </si>
  <si>
    <t>Universidad de los Andes - Chile</t>
  </si>
  <si>
    <t>Universidad de Valladolid</t>
  </si>
  <si>
    <t>Universidad Diego Portales</t>
  </si>
  <si>
    <t>Universidad Nacional de Córdoba - UNC</t>
  </si>
  <si>
    <t>Universidad Nacional de Ingeniería Peru</t>
  </si>
  <si>
    <t>Universidad Nacional de Rosario</t>
  </si>
  <si>
    <t>Universidad Rey Juan Carlos</t>
  </si>
  <si>
    <t>Universidad Simón Bolívar</t>
  </si>
  <si>
    <t>Universidad Tecnológica de Panamá</t>
  </si>
  <si>
    <t>PA</t>
  </si>
  <si>
    <t>Panama</t>
  </si>
  <si>
    <t>Université de Tunis El Manar</t>
  </si>
  <si>
    <t>TN</t>
  </si>
  <si>
    <t>Université Toulouse 1 Capitole</t>
  </si>
  <si>
    <t>IQ</t>
  </si>
  <si>
    <t>University of Bahrain</t>
  </si>
  <si>
    <t>UNIVERSITY OF GDANSK</t>
  </si>
  <si>
    <t>GH</t>
  </si>
  <si>
    <t>University of New England Australia</t>
  </si>
  <si>
    <t xml:space="preserve">University of Seoul </t>
  </si>
  <si>
    <t>Viet Nam National University Ho Chi Minh City</t>
  </si>
  <si>
    <t xml:space="preserve">Vietnam National University, Hanoi </t>
  </si>
  <si>
    <t xml:space="preserve">Yeungnam University </t>
  </si>
  <si>
    <t>Yildiz Technical University</t>
  </si>
  <si>
    <t>Università del Salento</t>
  </si>
  <si>
    <t>Vancouver Island University</t>
  </si>
  <si>
    <t>Al Quds University The Arab University in Jerusalem</t>
  </si>
  <si>
    <t>PS</t>
  </si>
  <si>
    <t>Palestinian Territory, Occupied</t>
  </si>
  <si>
    <t xml:space="preserve">Assiut University </t>
  </si>
  <si>
    <t>AZ</t>
  </si>
  <si>
    <t>Beijing Foreign Studies University</t>
  </si>
  <si>
    <t>Beijing University of Chinese Medicine</t>
  </si>
  <si>
    <t>Bina Nusantara University</t>
  </si>
  <si>
    <t>Binghamton University SUNY</t>
  </si>
  <si>
    <t xml:space="preserve">Birmingham City University </t>
  </si>
  <si>
    <t>Brigham Young University</t>
  </si>
  <si>
    <t>Chang Jung Christian University</t>
  </si>
  <si>
    <t>Corvinus University of Budapest</t>
  </si>
  <si>
    <t xml:space="preserve">Dankook University </t>
  </si>
  <si>
    <t>EGE UNIVERSITY</t>
  </si>
  <si>
    <t>Escuela Politécnica Nacional</t>
  </si>
  <si>
    <t>Escuela Superior Politécnica del Litoral</t>
  </si>
  <si>
    <t xml:space="preserve">Fordham University </t>
  </si>
  <si>
    <t>Fundación CEU San Pablo</t>
  </si>
  <si>
    <t>Gazi Üniversitesi</t>
  </si>
  <si>
    <t>Imam Mohammad Ibn Saud Islamic University – IMSIU</t>
  </si>
  <si>
    <t>Instituto Tecnológico de Santo Domingo</t>
  </si>
  <si>
    <t>DO</t>
  </si>
  <si>
    <t>ITESO, Universidad Jesuita de Guadalajara</t>
  </si>
  <si>
    <t xml:space="preserve">Kangwon National University </t>
  </si>
  <si>
    <t>Kazakh Ablai Khan University of International Relations and World Languages</t>
  </si>
  <si>
    <t>Kent State University</t>
  </si>
  <si>
    <t xml:space="preserve">Kookmin University </t>
  </si>
  <si>
    <t xml:space="preserve">Kyushu Institute of Technology </t>
  </si>
  <si>
    <t>Lobachevsky University</t>
  </si>
  <si>
    <t>Mykolas Romeris University</t>
  </si>
  <si>
    <t>National University of Kyiv-Mohyla Academy</t>
  </si>
  <si>
    <t>Northern Arizona University</t>
  </si>
  <si>
    <t>Odessa I.I. Mechnikov National University</t>
  </si>
  <si>
    <t>Ohio University</t>
  </si>
  <si>
    <t>Paul Valéry University Montpellier</t>
  </si>
  <si>
    <t>Pontifícia Universidade Católica de São Paulo</t>
  </si>
  <si>
    <t>Poznań University of Technology</t>
  </si>
  <si>
    <t>Seoul National University of Science and Technology</t>
  </si>
  <si>
    <t>Shanghai International Studies University</t>
  </si>
  <si>
    <t xml:space="preserve">Shinshu University </t>
  </si>
  <si>
    <t>Siberian Federal University, SibFU</t>
  </si>
  <si>
    <t>Southern Methodist University</t>
  </si>
  <si>
    <t>Southwest University</t>
  </si>
  <si>
    <t>Széchenyi István University</t>
  </si>
  <si>
    <t xml:space="preserve">Tallinn University </t>
  </si>
  <si>
    <t>Technical University of Kosice</t>
  </si>
  <si>
    <t>The University of Lahore</t>
  </si>
  <si>
    <t>The University of Northampton</t>
  </si>
  <si>
    <t>The University of Texas at Arlington</t>
  </si>
  <si>
    <t>Tomas Bata University in Zlin</t>
  </si>
  <si>
    <t xml:space="preserve">Ufa State Aviation Technical University </t>
  </si>
  <si>
    <t>Universidad Andrés Bello</t>
  </si>
  <si>
    <t>Universidad Austral de Chile</t>
  </si>
  <si>
    <t>Universidad Autónoma Chapingo</t>
  </si>
  <si>
    <t>1401+</t>
  </si>
  <si>
    <t>Universidad Autónoma de Guadalajara</t>
  </si>
  <si>
    <t>LO</t>
  </si>
  <si>
    <t>Universidad Autónoma de Nuevo León</t>
  </si>
  <si>
    <t>Universidad Autónoma del Estado de Hidalgo</t>
  </si>
  <si>
    <t>Universidad Autónoma del Estado de México</t>
  </si>
  <si>
    <t>Universidad de Córdoba - España</t>
  </si>
  <si>
    <t>Universidad de León</t>
  </si>
  <si>
    <t>Universidad de Lima</t>
  </si>
  <si>
    <t>Universidad de Los Andes - Mérida</t>
  </si>
  <si>
    <t>Universidad de Monterrey</t>
  </si>
  <si>
    <t>Universidad de Oriente Santiago de Cuba</t>
  </si>
  <si>
    <t>Universidad de Oviedo</t>
  </si>
  <si>
    <t>Universidad de Puerto Rico</t>
  </si>
  <si>
    <t>PR</t>
  </si>
  <si>
    <t>Universidad de Talca</t>
  </si>
  <si>
    <t xml:space="preserve">Universidad del Norte </t>
  </si>
  <si>
    <t>Universidad del Pacífico</t>
  </si>
  <si>
    <t>Universidad Industrial de Santander - UIS</t>
  </si>
  <si>
    <t>Universidad La Salle</t>
  </si>
  <si>
    <t>Universidad Metropolitana</t>
  </si>
  <si>
    <t>Universidad Nacional de Cuyo</t>
  </si>
  <si>
    <t>Universidad Nacional de la Asunción</t>
  </si>
  <si>
    <t>PY</t>
  </si>
  <si>
    <t>Universidad Nacional de San Luis</t>
  </si>
  <si>
    <t>Universidad Nacional del Centro de la Provincia de Buenos Aires</t>
  </si>
  <si>
    <t>Universidad Nacional, Costa Rica</t>
  </si>
  <si>
    <t>Universidad Peruana de Ciencias Aplicadas</t>
  </si>
  <si>
    <t>Universidad Tecnológica Nacional</t>
  </si>
  <si>
    <t xml:space="preserve">Universidade da Coruña </t>
  </si>
  <si>
    <t xml:space="preserve">Universidade Federal de Pernambuco </t>
  </si>
  <si>
    <t>Universidade Federal de São Carlos</t>
  </si>
  <si>
    <t>Universidade Federal do Paraná - UFPR</t>
  </si>
  <si>
    <t>Universita' degli Studi "G. d'Annunzio" Chieti Pescara</t>
  </si>
  <si>
    <t>Università degli Studi della Tuscia</t>
  </si>
  <si>
    <t>Università degli Studi di Udine</t>
  </si>
  <si>
    <t>Universitas Hasanuddin</t>
  </si>
  <si>
    <t>Universitat de Lleida</t>
  </si>
  <si>
    <t>Universität Siegen</t>
  </si>
  <si>
    <t>Université de Caen Normandie</t>
  </si>
  <si>
    <t>Université de Poitiers</t>
  </si>
  <si>
    <t>Université de Sfax</t>
  </si>
  <si>
    <t>Université de Sousse</t>
  </si>
  <si>
    <t>Université de Toulouse II-Le Mirail</t>
  </si>
  <si>
    <t>Université Lumière Lyon 2</t>
  </si>
  <si>
    <t>Universiti Malaysia Sabah</t>
  </si>
  <si>
    <t>Universiti Malaysia Sarawak</t>
  </si>
  <si>
    <t>Universiti Malaysia Terengganu</t>
  </si>
  <si>
    <t>Universiti Tun Hussein Onn University of Malaysia</t>
  </si>
  <si>
    <t xml:space="preserve">University of Arkansas Fayetteville </t>
  </si>
  <si>
    <t>LK</t>
  </si>
  <si>
    <t>University of Hradec Kralove</t>
  </si>
  <si>
    <t>University of Idaho</t>
  </si>
  <si>
    <t>University of Louisville</t>
  </si>
  <si>
    <t>University of Mississippi</t>
  </si>
  <si>
    <t>University of Missouri, Kansas City</t>
  </si>
  <si>
    <t>KE</t>
  </si>
  <si>
    <t>University of Naples Parthenope</t>
  </si>
  <si>
    <t>University of New Hampshire</t>
  </si>
  <si>
    <t>University of North Texas</t>
  </si>
  <si>
    <t xml:space="preserve">University of Rhode Island </t>
  </si>
  <si>
    <t>University of San Francisco</t>
  </si>
  <si>
    <t>University of South Bohemia</t>
  </si>
  <si>
    <t>University of Texas at San Antonio</t>
  </si>
  <si>
    <t xml:space="preserve">University of Texas El Paso </t>
  </si>
  <si>
    <t xml:space="preserve">University of the Sunshine Coast </t>
  </si>
  <si>
    <t>University of Tulsa</t>
  </si>
  <si>
    <t>University of Tyumen</t>
  </si>
  <si>
    <t xml:space="preserve">University of Wisconsin Milwaukee </t>
  </si>
  <si>
    <t>University of Žilina</t>
  </si>
  <si>
    <t xml:space="preserve">Utah State University </t>
  </si>
  <si>
    <t>Warsaw University of Life Sciences – SGGW</t>
  </si>
  <si>
    <t>Xi'an Jiaotong Liverpool University</t>
  </si>
  <si>
    <t xml:space="preserve">Yamaguchi University </t>
  </si>
  <si>
    <t>AM</t>
  </si>
  <si>
    <t xml:space="preserve"> Don State Technical University</t>
  </si>
  <si>
    <t>Atma Jaya Catholic University Jakarta</t>
  </si>
  <si>
    <t>Azerbaijan State Oil and Industry University</t>
  </si>
  <si>
    <t xml:space="preserve">Bahauddin Zakariya University </t>
  </si>
  <si>
    <t>Benemérita Universidad Autónoma de Puebla</t>
  </si>
  <si>
    <t>Birzeit university</t>
  </si>
  <si>
    <t>British University in Egypt</t>
  </si>
  <si>
    <t>Brock University</t>
  </si>
  <si>
    <t>California Polytechnic State University</t>
  </si>
  <si>
    <t>Católica de Córdoba</t>
  </si>
  <si>
    <t>China University of Political Science and Law</t>
  </si>
  <si>
    <t>Chittagong University of Engineering and Technology</t>
  </si>
  <si>
    <t>Cleveland State University</t>
  </si>
  <si>
    <t>CUNY The City College of New York</t>
  </si>
  <si>
    <t>Daffodil International University</t>
  </si>
  <si>
    <t>Damascus University</t>
  </si>
  <si>
    <t>SY</t>
  </si>
  <si>
    <t>Syrian Arab Republic</t>
  </si>
  <si>
    <t>Dokuz Eylül Üniversitesi</t>
  </si>
  <si>
    <t>East West University</t>
  </si>
  <si>
    <t>Erciyes Üniversitesi</t>
  </si>
  <si>
    <t>Florida Atlantic University - Boca Raton</t>
  </si>
  <si>
    <t>Fundación Universidad De Bogotá-Jorge Tadeo Lozano</t>
  </si>
  <si>
    <t>Gebze Yüksek Teknoloji Enstitüsü</t>
  </si>
  <si>
    <t xml:space="preserve">Helwan University </t>
  </si>
  <si>
    <t>Hohai University</t>
  </si>
  <si>
    <t xml:space="preserve">Hongik University </t>
  </si>
  <si>
    <t>Indiana State University</t>
  </si>
  <si>
    <t>International Islamic University Islamabad</t>
  </si>
  <si>
    <t xml:space="preserve">Istanbul Aydin University  </t>
  </si>
  <si>
    <t>Istanbul Bilgi Üniversitesi</t>
  </si>
  <si>
    <t>Jamia Hamdard</t>
  </si>
  <si>
    <t xml:space="preserve">Jeju National University </t>
  </si>
  <si>
    <t>Kenyatta University</t>
  </si>
  <si>
    <t xml:space="preserve">Kharkiv National University of Radio Electronics </t>
  </si>
  <si>
    <t>Khulna University of Engineering and Technology</t>
  </si>
  <si>
    <t>King Mongkut\'s Institute of Technology Ladkrabang</t>
  </si>
  <si>
    <t>Korkyt Ata Kyzylorda University</t>
  </si>
  <si>
    <t>M.Kh. Dulaty Taraz Regional University</t>
  </si>
  <si>
    <t>Miami University</t>
  </si>
  <si>
    <t>Moscow Pedagogical State University</t>
  </si>
  <si>
    <t>National Research University Moscow Power Engineering Institute</t>
  </si>
  <si>
    <t>National University of Modern Languages, Islamabad</t>
  </si>
  <si>
    <t>Óbuda University</t>
  </si>
  <si>
    <t>OSMANIA UNIVERSITY</t>
  </si>
  <si>
    <t>Perm State National Research University</t>
  </si>
  <si>
    <t>Pontificia Universidad Catolica Madre y Maestra</t>
  </si>
  <si>
    <t>Pontifícia Universidade Católica do Rio Grande do Sul</t>
  </si>
  <si>
    <t xml:space="preserve">Pukyong National University </t>
  </si>
  <si>
    <t>Russian State Agrarian University - Moscow Timiryazev Agricultural Academy</t>
  </si>
  <si>
    <t xml:space="preserve">Russian State University for the Humanities </t>
  </si>
  <si>
    <t>Rutgers, The State University of New Jersey, Camden</t>
  </si>
  <si>
    <t>Saken Seifullin Kazakh Agrotechnical University</t>
  </si>
  <si>
    <t>San Francisco State University</t>
  </si>
  <si>
    <t>Seattle University</t>
  </si>
  <si>
    <t>Shanghai Normal University</t>
  </si>
  <si>
    <t>Shanghai University of Finance and Economics</t>
  </si>
  <si>
    <t>Siksha 'O' Anusandhan</t>
  </si>
  <si>
    <t xml:space="preserve">Sookmyung Women's University </t>
  </si>
  <si>
    <t>SRM INSTITUTE OF SCIENCE AND TECHNOLOGY</t>
  </si>
  <si>
    <t>Stefan cel Mare University of Suceava</t>
  </si>
  <si>
    <t>Suleyman Demirel University</t>
  </si>
  <si>
    <t>Suleyman Demirel University, Kazakhstan</t>
  </si>
  <si>
    <t xml:space="preserve">Suranaree University of Technology </t>
  </si>
  <si>
    <t xml:space="preserve">Tanta University </t>
  </si>
  <si>
    <t>625=</t>
  </si>
  <si>
    <t>Technical University of Lublin</t>
  </si>
  <si>
    <t>The "Gheorghe Asachi" Technical University of Iasi</t>
  </si>
  <si>
    <t>The Herzen State Pedagogical University of Russia</t>
  </si>
  <si>
    <t>The Josip Juraj Strossmayer University of Osijek</t>
  </si>
  <si>
    <t>The National Research University "Belgorod State University"</t>
  </si>
  <si>
    <t>Transilvania University of Brasov</t>
  </si>
  <si>
    <t>Universidad Alberto Hurtado</t>
  </si>
  <si>
    <t>Universidad Autónoma de Aguascalientes</t>
  </si>
  <si>
    <t>Universidad Autónoma de Baja California</t>
  </si>
  <si>
    <t>Universidad Bernardo O'Higgins</t>
  </si>
  <si>
    <t>Universidad Católica de Temuco</t>
  </si>
  <si>
    <t>Universidad Católica del Norte</t>
  </si>
  <si>
    <t>Universidad Central del Ecuador</t>
  </si>
  <si>
    <t>Universidad de Córdoba - Colombia</t>
  </si>
  <si>
    <t>Universidad de Guanajuato</t>
  </si>
  <si>
    <t>Universidad de La Frontera</t>
  </si>
  <si>
    <t>Universidad de Las Américas Ecuador</t>
  </si>
  <si>
    <t>Universidad de las Fuerzas Armadas ESPE</t>
  </si>
  <si>
    <t>Universidad de Medellín</t>
  </si>
  <si>
    <t>Universidad de Panama</t>
  </si>
  <si>
    <t>Universidad de Piura</t>
  </si>
  <si>
    <t>Universidad de San Carlos de Guatemala - USAC</t>
  </si>
  <si>
    <t>GT</t>
  </si>
  <si>
    <t>Guatemala</t>
  </si>
  <si>
    <t>Universidad de Valparaíso</t>
  </si>
  <si>
    <t>Universidad del Bío-Bío</t>
  </si>
  <si>
    <t>Universidad del Cauca</t>
  </si>
  <si>
    <t>Universidad del Salvador</t>
  </si>
  <si>
    <t>Universidad del Zulia</t>
  </si>
  <si>
    <t>Universidad Mayor de San Andrés</t>
  </si>
  <si>
    <t>BO</t>
  </si>
  <si>
    <t>Universidad Nacional Agraria la Molina</t>
  </si>
  <si>
    <t>Universidad Nacional de Mar del Plata</t>
  </si>
  <si>
    <t>Universidad Nacional de Río Cuarto - UNRC</t>
  </si>
  <si>
    <t>Universidad Nacional de San Martín</t>
  </si>
  <si>
    <t>Universidad Nacional del Comahue</t>
  </si>
  <si>
    <t>Universidad Popular Autónoma del Estado de Puebla</t>
  </si>
  <si>
    <t>Universidad Tecnológica de la Habana José Antonio Echeverría, Cujae</t>
  </si>
  <si>
    <t>Universidad Veracruzana</t>
  </si>
  <si>
    <t>Universidade do Estado do Rio de Janeiro</t>
  </si>
  <si>
    <t>Universidade Federal de Juiz de Fora-</t>
  </si>
  <si>
    <t xml:space="preserve">Universidade Federal de Pelotas </t>
  </si>
  <si>
    <t>Universidade Federal de Santa Maria</t>
  </si>
  <si>
    <t>Universidade Federal de Viçosa</t>
  </si>
  <si>
    <t>Universidade Federal do Ceará</t>
  </si>
  <si>
    <t xml:space="preserve">Universidade Federal Fluminense </t>
  </si>
  <si>
    <t>Universidade Presbiteriana Mackenzie</t>
  </si>
  <si>
    <t>Università degli studi di Bergamo</t>
  </si>
  <si>
    <t>Universitas Islam Indonesia</t>
  </si>
  <si>
    <t>Universitatea de Vest din Timisoara / West University of Timisoara</t>
  </si>
  <si>
    <t>Université de Franche-Comté</t>
  </si>
  <si>
    <t>Université de Limoges</t>
  </si>
  <si>
    <t>Université de Tunis</t>
  </si>
  <si>
    <t>Université Jean Moulin Lyon 3</t>
  </si>
  <si>
    <t>Université Mohammed V de Rabat</t>
  </si>
  <si>
    <t>MA</t>
  </si>
  <si>
    <t>Université Paris-Nanterre</t>
  </si>
  <si>
    <t>Universiti Sains Islam Malaysia</t>
  </si>
  <si>
    <t>University of Bialystok</t>
  </si>
  <si>
    <t>University of Central Oklahoma</t>
  </si>
  <si>
    <t>IS</t>
  </si>
  <si>
    <t>University of International Business and Economics</t>
  </si>
  <si>
    <t>University of Khartoum</t>
  </si>
  <si>
    <t>SD</t>
  </si>
  <si>
    <t xml:space="preserve">University of Miskolc </t>
  </si>
  <si>
    <t>University of Missouri Saint Louis</t>
  </si>
  <si>
    <t xml:space="preserve">University of Montana Missoula </t>
  </si>
  <si>
    <t>University of Niš</t>
  </si>
  <si>
    <t>University of North Carolina at Greensboro</t>
  </si>
  <si>
    <t xml:space="preserve">University of Peradeniya </t>
  </si>
  <si>
    <t>University of Rzeszów</t>
  </si>
  <si>
    <t>University of San Carlos</t>
  </si>
  <si>
    <t>University of San Diego</t>
  </si>
  <si>
    <t xml:space="preserve">University of Sarajevo </t>
  </si>
  <si>
    <t>BA</t>
  </si>
  <si>
    <t>University of South Alabama</t>
  </si>
  <si>
    <t>University of the Pacific</t>
  </si>
  <si>
    <t xml:space="preserve">University of West Bohemia </t>
  </si>
  <si>
    <t>University POLITEHNICA of Bucharest</t>
  </si>
  <si>
    <t>Yogyakarta State University</t>
  </si>
  <si>
    <t>Youngsan University</t>
  </si>
  <si>
    <t>Akdeniz Üniversitesi</t>
  </si>
  <si>
    <t>Ataturk University</t>
  </si>
  <si>
    <t>California State University - Los Angeles</t>
  </si>
  <si>
    <t>California State University Long Beach</t>
  </si>
  <si>
    <t>Guru Gobind Singh Indraprastha University</t>
  </si>
  <si>
    <t>Illinois State University</t>
  </si>
  <si>
    <t>Indian Statistical Institute</t>
  </si>
  <si>
    <t>International University of Business, Agriculture and Technology</t>
  </si>
  <si>
    <t>Moscow City University</t>
  </si>
  <si>
    <t>Nara Institute of Science and Technology</t>
  </si>
  <si>
    <t>Pontificia Universidade Católica do Campinas - PUC Campinas</t>
  </si>
  <si>
    <t>Pontificia Universidade Católica do Minas Gerais - PUC Minas</t>
  </si>
  <si>
    <t>Pontifícia Universidade Católica do Paraná</t>
  </si>
  <si>
    <t>Rajshahi University</t>
  </si>
  <si>
    <t>Stamford University Bangladesh</t>
  </si>
  <si>
    <t>Sudan University of Science and Technology</t>
  </si>
  <si>
    <t>Technische Universität Bergakademie Freiberg</t>
  </si>
  <si>
    <t>Technische Universität Hamburg-Harburg</t>
  </si>
  <si>
    <t>Technische Universität Kaiserslautern</t>
  </si>
  <si>
    <t>The University of Notre Dame, Australia</t>
  </si>
  <si>
    <t>Udayana University</t>
  </si>
  <si>
    <t>Universidad Autónoma de Chile</t>
  </si>
  <si>
    <t>Universidad Autónoma de Querétaro</t>
  </si>
  <si>
    <t>Universidad Autónoma de San Luis de Potosí</t>
  </si>
  <si>
    <t>Universidad Autonoma de Yucatan</t>
  </si>
  <si>
    <t>Universidad Autónoma del Estado de Morelos</t>
  </si>
  <si>
    <t>Universidad Católica Boliviana "San Pablo"</t>
  </si>
  <si>
    <t xml:space="preserve">Universidad Católica de Colombia </t>
  </si>
  <si>
    <t>Universidad Católica de La Santísima Concepción - UCSC</t>
  </si>
  <si>
    <t>Universidad Católica de Santiago de Guayaquil</t>
  </si>
  <si>
    <t>Universidad Central de Chile</t>
  </si>
  <si>
    <t>Universidad de Caldas</t>
  </si>
  <si>
    <t>Universidad de Cuenca</t>
  </si>
  <si>
    <t>Universidad de La Salle</t>
  </si>
  <si>
    <t>Universidad de La Serena</t>
  </si>
  <si>
    <t>Universidad de Santander - UDES</t>
  </si>
  <si>
    <t>Universidad de Sonora</t>
  </si>
  <si>
    <t>Universidad de Tarapaca</t>
  </si>
  <si>
    <t>Universidad del Valle de Mexico</t>
  </si>
  <si>
    <t>Universidad Mayor de San Simón Cochabamba</t>
  </si>
  <si>
    <t>Universidad Michoacana de San Nicolás de Hidalgo</t>
  </si>
  <si>
    <t>Universidad Nacional Autónoma de Honduras</t>
  </si>
  <si>
    <t>HN</t>
  </si>
  <si>
    <t>Honduras</t>
  </si>
  <si>
    <t>Universidad Nacional de Quilmes</t>
  </si>
  <si>
    <t>Universidad Nacional de Tucumán</t>
  </si>
  <si>
    <t>Universidad Nacional del Sur</t>
  </si>
  <si>
    <t>UNIVERSIDAD POLITECNICA SALESIANA</t>
  </si>
  <si>
    <t>Universidad Tecnica Particular De Loja</t>
  </si>
  <si>
    <t>Universidad Tecnológica de Bolívar</t>
  </si>
  <si>
    <t>Universidad Tecnológica de Pereira</t>
  </si>
  <si>
    <t>Universidade Estadual de Londrina</t>
  </si>
  <si>
    <t>Universidade Federal da Paraíba</t>
  </si>
  <si>
    <t>Universidade Federal de Goiás</t>
  </si>
  <si>
    <t>Universidade Federal de Uberlândia</t>
  </si>
  <si>
    <t>Universidade Federal do Estado do Rio de Janeiro - UNIRIO</t>
  </si>
  <si>
    <t>Universidade Federal do Parà - UFPA</t>
  </si>
  <si>
    <t>Universidade Federal do Rio Grande Do Norte</t>
  </si>
  <si>
    <t>Universitas Kristen Petra</t>
  </si>
  <si>
    <t>Universitas Muhammadiyah Surakarta</t>
  </si>
  <si>
    <t>Université Sorbonne Paris Nord</t>
  </si>
  <si>
    <t>NG</t>
  </si>
  <si>
    <t>University Politehnica of Timisoara, UPT</t>
  </si>
  <si>
    <t>Western Washington University</t>
  </si>
  <si>
    <t>Zürcher Hochschule Winterthur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</si>
</sst>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F230-AA80-4469-A004-59C06913D087}">
  <dimension ref="A1:Y2672"/>
  <sheetViews>
    <sheetView workbookViewId="0">
      <selection activeCell="C1" sqref="C1:C1048576"/>
    </sheetView>
  </sheetViews>
  <sheetFormatPr defaultRowHeight="15"/>
  <cols>
    <col min="3" max="3" width="29.7109375" customWidth="1"/>
    <col min="5" max="5" width="20.42578125" customWidth="1"/>
    <col min="6" max="6" width="15.42578125" customWidth="1"/>
    <col min="7" max="7" width="20.85546875" customWidth="1"/>
    <col min="8" max="8" width="15.7109375" customWidth="1"/>
    <col min="12" max="12" width="21.85546875" customWidth="1"/>
    <col min="13" max="13" width="20.140625" customWidth="1"/>
    <col min="14" max="14" width="27.42578125" customWidth="1"/>
    <col min="16" max="16" width="11.5703125" customWidth="1"/>
    <col min="19" max="19" width="20" customWidth="1"/>
    <col min="22" max="22" width="42.855468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10</v>
      </c>
      <c r="B2">
        <v>1</v>
      </c>
      <c r="C2" t="s">
        <v>25</v>
      </c>
      <c r="D2">
        <v>98.5</v>
      </c>
      <c r="E2">
        <v>10</v>
      </c>
      <c r="F2">
        <v>96.6</v>
      </c>
      <c r="G2">
        <v>5</v>
      </c>
      <c r="H2">
        <v>100</v>
      </c>
      <c r="I2">
        <v>2</v>
      </c>
      <c r="J2">
        <v>99</v>
      </c>
      <c r="K2">
        <v>5</v>
      </c>
      <c r="L2">
        <v>98.7</v>
      </c>
      <c r="M2">
        <v>77</v>
      </c>
      <c r="N2">
        <v>97.5</v>
      </c>
      <c r="O2">
        <v>14</v>
      </c>
      <c r="P2" t="s">
        <v>26</v>
      </c>
      <c r="Q2" s="1">
        <v>21750</v>
      </c>
      <c r="R2">
        <v>10.9</v>
      </c>
      <c r="S2" s="2">
        <v>0.42</v>
      </c>
      <c r="T2" s="3">
        <v>2.0770833333333334</v>
      </c>
      <c r="U2" s="2">
        <v>0.23</v>
      </c>
      <c r="V2" t="s">
        <v>25</v>
      </c>
      <c r="W2" t="s">
        <v>27</v>
      </c>
      <c r="X2" t="b">
        <v>0</v>
      </c>
      <c r="Y2" t="b">
        <v>0</v>
      </c>
    </row>
    <row r="3" spans="1:25">
      <c r="A3">
        <v>20</v>
      </c>
      <c r="B3">
        <v>2</v>
      </c>
      <c r="C3" t="s">
        <v>28</v>
      </c>
      <c r="D3">
        <v>98</v>
      </c>
      <c r="E3">
        <v>20</v>
      </c>
      <c r="F3">
        <v>99</v>
      </c>
      <c r="G3">
        <v>1</v>
      </c>
      <c r="H3">
        <v>97.8</v>
      </c>
      <c r="I3">
        <v>8</v>
      </c>
      <c r="J3">
        <v>99.6</v>
      </c>
      <c r="K3">
        <v>2</v>
      </c>
      <c r="L3">
        <v>100</v>
      </c>
      <c r="M3">
        <v>25</v>
      </c>
      <c r="N3">
        <v>87</v>
      </c>
      <c r="O3">
        <v>168</v>
      </c>
      <c r="P3" t="s">
        <v>29</v>
      </c>
      <c r="Q3" s="1">
        <v>14517</v>
      </c>
      <c r="R3">
        <v>6.4</v>
      </c>
      <c r="S3" s="2">
        <v>0.23</v>
      </c>
      <c r="T3" s="3">
        <v>1.9951388888888888</v>
      </c>
      <c r="U3" s="2">
        <v>0.22</v>
      </c>
      <c r="V3" t="s">
        <v>28</v>
      </c>
      <c r="W3" t="s">
        <v>30</v>
      </c>
      <c r="X3" t="b">
        <v>0</v>
      </c>
      <c r="Y3" t="b">
        <v>0</v>
      </c>
    </row>
    <row r="4" spans="1:25">
      <c r="A4">
        <v>30</v>
      </c>
      <c r="B4">
        <v>3</v>
      </c>
      <c r="C4" t="s">
        <v>31</v>
      </c>
      <c r="D4">
        <v>97.9</v>
      </c>
      <c r="E4">
        <v>30</v>
      </c>
      <c r="F4">
        <v>98.6</v>
      </c>
      <c r="G4">
        <v>2</v>
      </c>
      <c r="H4">
        <v>96.2</v>
      </c>
      <c r="I4">
        <v>11</v>
      </c>
      <c r="J4">
        <v>99.7</v>
      </c>
      <c r="K4">
        <v>1</v>
      </c>
      <c r="L4">
        <v>100</v>
      </c>
      <c r="M4">
        <v>16</v>
      </c>
      <c r="N4">
        <v>93.8</v>
      </c>
      <c r="O4">
        <v>66</v>
      </c>
      <c r="P4" t="s">
        <v>29</v>
      </c>
      <c r="Q4" s="1">
        <v>11085</v>
      </c>
      <c r="R4">
        <v>8</v>
      </c>
      <c r="S4" s="2">
        <v>0.33</v>
      </c>
      <c r="T4" s="3">
        <v>1.7493055555555554</v>
      </c>
      <c r="U4" s="2">
        <v>0.4</v>
      </c>
      <c r="V4" t="s">
        <v>31</v>
      </c>
      <c r="W4" t="s">
        <v>32</v>
      </c>
      <c r="X4" t="b">
        <v>0</v>
      </c>
      <c r="Y4" t="b">
        <v>0</v>
      </c>
    </row>
    <row r="5" spans="1:25">
      <c r="A5">
        <v>40</v>
      </c>
      <c r="B5">
        <v>4</v>
      </c>
      <c r="C5" t="s">
        <v>33</v>
      </c>
      <c r="D5">
        <v>97.8</v>
      </c>
      <c r="E5">
        <v>40</v>
      </c>
      <c r="F5">
        <v>97.7</v>
      </c>
      <c r="G5">
        <v>3</v>
      </c>
      <c r="H5">
        <v>99.9</v>
      </c>
      <c r="I5">
        <v>3</v>
      </c>
      <c r="J5">
        <v>99.4</v>
      </c>
      <c r="K5">
        <v>3</v>
      </c>
      <c r="L5">
        <v>84.2</v>
      </c>
      <c r="M5">
        <v>216</v>
      </c>
      <c r="N5">
        <v>90.8</v>
      </c>
      <c r="O5">
        <v>120</v>
      </c>
      <c r="P5" t="s">
        <v>29</v>
      </c>
      <c r="Q5" s="1">
        <v>20050</v>
      </c>
      <c r="R5">
        <v>9</v>
      </c>
      <c r="S5" s="2">
        <v>0.25</v>
      </c>
      <c r="T5" s="3">
        <v>2.1590277777777778</v>
      </c>
      <c r="U5" s="2">
        <v>0.12</v>
      </c>
      <c r="V5" t="s">
        <v>33</v>
      </c>
      <c r="W5" t="s">
        <v>34</v>
      </c>
      <c r="X5" t="b">
        <v>0</v>
      </c>
      <c r="Y5" t="b">
        <v>0</v>
      </c>
    </row>
    <row r="6" spans="1:25">
      <c r="A6">
        <v>50</v>
      </c>
      <c r="B6">
        <v>5</v>
      </c>
      <c r="C6" t="s">
        <v>35</v>
      </c>
      <c r="D6">
        <v>97.5</v>
      </c>
      <c r="E6">
        <v>50</v>
      </c>
      <c r="F6">
        <v>95.8</v>
      </c>
      <c r="G6">
        <v>7</v>
      </c>
      <c r="H6">
        <v>100</v>
      </c>
      <c r="I6">
        <v>1</v>
      </c>
      <c r="J6">
        <v>98</v>
      </c>
      <c r="K6">
        <v>12</v>
      </c>
      <c r="L6">
        <v>87.9</v>
      </c>
      <c r="M6">
        <v>180</v>
      </c>
      <c r="N6">
        <v>97.4</v>
      </c>
      <c r="O6">
        <v>15</v>
      </c>
      <c r="P6" t="s">
        <v>26</v>
      </c>
      <c r="Q6" s="1">
        <v>20565</v>
      </c>
      <c r="R6">
        <v>11.5</v>
      </c>
      <c r="S6" s="2">
        <v>0.38</v>
      </c>
      <c r="T6" s="3">
        <v>2.036111111111111</v>
      </c>
      <c r="U6" s="2">
        <v>0.27</v>
      </c>
      <c r="V6" t="s">
        <v>35</v>
      </c>
      <c r="W6" t="s">
        <v>36</v>
      </c>
      <c r="X6" t="b">
        <v>0</v>
      </c>
      <c r="Y6" t="b">
        <v>0</v>
      </c>
    </row>
    <row r="7" spans="1:25">
      <c r="A7">
        <v>60</v>
      </c>
      <c r="B7">
        <v>6</v>
      </c>
      <c r="C7" t="s">
        <v>37</v>
      </c>
      <c r="D7">
        <v>96.9</v>
      </c>
      <c r="E7">
        <v>60</v>
      </c>
      <c r="F7">
        <v>96.3</v>
      </c>
      <c r="G7">
        <v>6</v>
      </c>
      <c r="H7">
        <v>97.9</v>
      </c>
      <c r="I7">
        <v>7</v>
      </c>
      <c r="J7">
        <v>98.8</v>
      </c>
      <c r="K7">
        <v>7</v>
      </c>
      <c r="L7">
        <v>95.1</v>
      </c>
      <c r="M7">
        <v>118</v>
      </c>
      <c r="N7">
        <v>89.1</v>
      </c>
      <c r="O7">
        <v>136</v>
      </c>
      <c r="P7" t="s">
        <v>29</v>
      </c>
      <c r="Q7" s="1">
        <v>7753</v>
      </c>
      <c r="R7">
        <v>7.3</v>
      </c>
      <c r="S7" s="2">
        <v>0.23</v>
      </c>
      <c r="T7" s="3">
        <v>1.9951388888888888</v>
      </c>
      <c r="U7" s="2">
        <v>0.43</v>
      </c>
      <c r="V7" t="s">
        <v>37</v>
      </c>
      <c r="W7" t="s">
        <v>38</v>
      </c>
      <c r="X7" t="b">
        <v>0</v>
      </c>
      <c r="Y7" t="b">
        <v>0</v>
      </c>
    </row>
    <row r="8" spans="1:25">
      <c r="A8">
        <v>70</v>
      </c>
      <c r="B8">
        <v>7</v>
      </c>
      <c r="C8" t="s">
        <v>39</v>
      </c>
      <c r="D8">
        <v>96.5</v>
      </c>
      <c r="E8">
        <v>70</v>
      </c>
      <c r="F8">
        <v>96.6</v>
      </c>
      <c r="G8">
        <v>4</v>
      </c>
      <c r="H8">
        <v>98</v>
      </c>
      <c r="I8">
        <v>6</v>
      </c>
      <c r="J8">
        <v>95.9</v>
      </c>
      <c r="K8">
        <v>38</v>
      </c>
      <c r="L8">
        <v>100</v>
      </c>
      <c r="M8">
        <v>2</v>
      </c>
      <c r="N8">
        <v>90.6</v>
      </c>
      <c r="O8">
        <v>124</v>
      </c>
      <c r="P8" t="s">
        <v>29</v>
      </c>
      <c r="Q8" s="1">
        <v>2240</v>
      </c>
      <c r="R8">
        <v>6.1</v>
      </c>
      <c r="S8" s="2">
        <v>0.33</v>
      </c>
      <c r="T8" t="s">
        <v>40</v>
      </c>
      <c r="U8" s="2">
        <v>0.49</v>
      </c>
      <c r="V8" t="s">
        <v>41</v>
      </c>
      <c r="W8" t="s">
        <v>42</v>
      </c>
      <c r="X8" t="b">
        <v>0</v>
      </c>
      <c r="Y8" t="b">
        <v>0</v>
      </c>
    </row>
    <row r="9" spans="1:25">
      <c r="A9">
        <v>80</v>
      </c>
      <c r="B9">
        <v>8</v>
      </c>
      <c r="C9" t="s">
        <v>43</v>
      </c>
      <c r="D9">
        <v>95.1</v>
      </c>
      <c r="E9">
        <v>80</v>
      </c>
      <c r="F9">
        <v>90.9</v>
      </c>
      <c r="G9">
        <v>12</v>
      </c>
      <c r="H9">
        <v>95.5</v>
      </c>
      <c r="I9">
        <v>12</v>
      </c>
      <c r="J9">
        <v>98.6</v>
      </c>
      <c r="K9">
        <v>8</v>
      </c>
      <c r="L9">
        <v>90.9</v>
      </c>
      <c r="M9">
        <v>157</v>
      </c>
      <c r="N9">
        <v>98.3</v>
      </c>
      <c r="O9">
        <v>6</v>
      </c>
      <c r="P9" t="s">
        <v>26</v>
      </c>
      <c r="Q9" s="1">
        <v>20275</v>
      </c>
      <c r="R9">
        <v>11.8</v>
      </c>
      <c r="S9" s="2">
        <v>0.61</v>
      </c>
      <c r="T9" s="3">
        <v>1.7902777777777779</v>
      </c>
      <c r="U9" s="2">
        <v>0.28000000000000003</v>
      </c>
      <c r="V9" t="s">
        <v>43</v>
      </c>
      <c r="W9" t="s">
        <v>44</v>
      </c>
      <c r="X9" t="b">
        <v>0</v>
      </c>
      <c r="Y9" t="b">
        <v>0</v>
      </c>
    </row>
    <row r="10" spans="1:25">
      <c r="A10">
        <v>90</v>
      </c>
      <c r="B10">
        <v>9</v>
      </c>
      <c r="C10" t="s">
        <v>45</v>
      </c>
      <c r="D10">
        <v>94.6</v>
      </c>
      <c r="E10">
        <v>90</v>
      </c>
      <c r="F10">
        <v>87.2</v>
      </c>
      <c r="G10">
        <v>18</v>
      </c>
      <c r="H10">
        <v>98.8</v>
      </c>
      <c r="I10">
        <v>4</v>
      </c>
      <c r="J10">
        <v>99</v>
      </c>
      <c r="K10">
        <v>4</v>
      </c>
      <c r="L10">
        <v>99.4</v>
      </c>
      <c r="M10">
        <v>63</v>
      </c>
      <c r="N10">
        <v>86.8</v>
      </c>
      <c r="O10">
        <v>172</v>
      </c>
      <c r="P10" t="s">
        <v>29</v>
      </c>
      <c r="Q10" s="1">
        <v>39991</v>
      </c>
      <c r="R10">
        <v>17.899999999999999</v>
      </c>
      <c r="S10" s="2">
        <v>0.22</v>
      </c>
      <c r="T10" s="3">
        <v>2.2000000000000002</v>
      </c>
      <c r="U10" s="2">
        <v>0.36</v>
      </c>
      <c r="V10" t="s">
        <v>45</v>
      </c>
      <c r="W10" t="s">
        <v>46</v>
      </c>
      <c r="X10" t="b">
        <v>0</v>
      </c>
      <c r="Y10" t="b">
        <v>0</v>
      </c>
    </row>
    <row r="11" spans="1:25">
      <c r="A11">
        <v>100</v>
      </c>
      <c r="B11">
        <v>10</v>
      </c>
      <c r="C11" t="s">
        <v>47</v>
      </c>
      <c r="D11">
        <v>94.2</v>
      </c>
      <c r="E11">
        <v>100</v>
      </c>
      <c r="F11">
        <v>94</v>
      </c>
      <c r="G11">
        <v>10</v>
      </c>
      <c r="H11">
        <v>94.9</v>
      </c>
      <c r="I11">
        <v>13</v>
      </c>
      <c r="J11">
        <v>97.7</v>
      </c>
      <c r="K11">
        <v>18</v>
      </c>
      <c r="L11">
        <v>86.5</v>
      </c>
      <c r="M11">
        <v>192</v>
      </c>
      <c r="N11">
        <v>82.4</v>
      </c>
      <c r="O11">
        <v>217</v>
      </c>
      <c r="P11" t="s">
        <v>29</v>
      </c>
      <c r="Q11" s="1">
        <v>11924</v>
      </c>
      <c r="R11">
        <v>5.2</v>
      </c>
      <c r="S11" s="2">
        <v>0.21</v>
      </c>
      <c r="T11" s="3">
        <v>2.1590277777777778</v>
      </c>
      <c r="U11" s="2">
        <v>0.13</v>
      </c>
      <c r="V11" t="s">
        <v>47</v>
      </c>
      <c r="W11" t="s">
        <v>48</v>
      </c>
      <c r="X11" t="b">
        <v>0</v>
      </c>
      <c r="Y11" t="b">
        <v>0</v>
      </c>
    </row>
    <row r="12" spans="1:25">
      <c r="A12">
        <v>110</v>
      </c>
      <c r="B12">
        <v>11</v>
      </c>
      <c r="C12" t="s">
        <v>49</v>
      </c>
      <c r="D12">
        <v>93.1</v>
      </c>
      <c r="E12">
        <v>110</v>
      </c>
      <c r="F12">
        <v>87.6</v>
      </c>
      <c r="G12">
        <v>16</v>
      </c>
      <c r="H12">
        <v>96.8</v>
      </c>
      <c r="I12">
        <v>10</v>
      </c>
      <c r="J12">
        <v>95.6</v>
      </c>
      <c r="K12">
        <v>41</v>
      </c>
      <c r="L12">
        <v>82.9</v>
      </c>
      <c r="M12">
        <v>229</v>
      </c>
      <c r="N12">
        <v>95.6</v>
      </c>
      <c r="O12">
        <v>36</v>
      </c>
      <c r="P12" t="s">
        <v>50</v>
      </c>
      <c r="Q12" s="1">
        <v>22619</v>
      </c>
      <c r="R12">
        <v>15.4</v>
      </c>
      <c r="S12" s="2">
        <v>0.43</v>
      </c>
      <c r="T12" t="s">
        <v>51</v>
      </c>
      <c r="U12" s="2">
        <v>0.43</v>
      </c>
      <c r="V12" t="s">
        <v>49</v>
      </c>
      <c r="W12" t="s">
        <v>52</v>
      </c>
      <c r="X12" t="b">
        <v>0</v>
      </c>
      <c r="Y12" t="b">
        <v>0</v>
      </c>
    </row>
    <row r="13" spans="1:25">
      <c r="A13">
        <v>120</v>
      </c>
      <c r="B13">
        <v>12</v>
      </c>
      <c r="C13" t="s">
        <v>53</v>
      </c>
      <c r="D13">
        <v>92.4</v>
      </c>
      <c r="E13">
        <v>120</v>
      </c>
      <c r="F13">
        <v>95.3</v>
      </c>
      <c r="G13">
        <v>9</v>
      </c>
      <c r="H13">
        <v>98.1</v>
      </c>
      <c r="I13">
        <v>5</v>
      </c>
      <c r="J13">
        <v>93.2</v>
      </c>
      <c r="K13">
        <v>73</v>
      </c>
      <c r="L13">
        <v>99.9</v>
      </c>
      <c r="M13">
        <v>38</v>
      </c>
      <c r="N13">
        <v>51.7</v>
      </c>
      <c r="O13">
        <v>752</v>
      </c>
      <c r="P13" t="s">
        <v>54</v>
      </c>
      <c r="Q13" s="1">
        <v>38518</v>
      </c>
      <c r="R13">
        <v>11.2</v>
      </c>
      <c r="S13" s="2">
        <v>0.1</v>
      </c>
      <c r="U13" s="2">
        <v>0.42</v>
      </c>
      <c r="V13" t="s">
        <v>55</v>
      </c>
      <c r="W13" t="s">
        <v>56</v>
      </c>
      <c r="X13" t="b">
        <v>0</v>
      </c>
      <c r="Y13" t="b">
        <v>0</v>
      </c>
    </row>
    <row r="14" spans="1:25">
      <c r="A14">
        <v>130</v>
      </c>
      <c r="B14">
        <v>13</v>
      </c>
      <c r="C14" t="s">
        <v>57</v>
      </c>
      <c r="D14">
        <v>92.1</v>
      </c>
      <c r="E14">
        <v>130</v>
      </c>
      <c r="F14">
        <v>89.6</v>
      </c>
      <c r="G14">
        <v>13</v>
      </c>
      <c r="H14">
        <v>91.2</v>
      </c>
      <c r="I14">
        <v>19</v>
      </c>
      <c r="J14">
        <v>97.6</v>
      </c>
      <c r="K14">
        <v>20</v>
      </c>
      <c r="L14">
        <v>93.8</v>
      </c>
      <c r="M14">
        <v>129</v>
      </c>
      <c r="N14">
        <v>82.3</v>
      </c>
      <c r="O14">
        <v>220</v>
      </c>
      <c r="P14" t="s">
        <v>29</v>
      </c>
      <c r="Q14" s="1">
        <v>15792</v>
      </c>
      <c r="R14">
        <v>6.2</v>
      </c>
      <c r="S14" s="2">
        <v>0.36</v>
      </c>
      <c r="T14" s="3">
        <v>1.9951388888888888</v>
      </c>
      <c r="U14" s="2">
        <v>0.28999999999999998</v>
      </c>
      <c r="V14" t="s">
        <v>57</v>
      </c>
      <c r="W14" t="s">
        <v>58</v>
      </c>
      <c r="X14" t="b">
        <v>0</v>
      </c>
      <c r="Y14" t="b">
        <v>0</v>
      </c>
    </row>
    <row r="15" spans="1:25">
      <c r="A15">
        <v>140</v>
      </c>
      <c r="B15">
        <v>14</v>
      </c>
      <c r="C15" t="s">
        <v>59</v>
      </c>
      <c r="D15">
        <v>91.8</v>
      </c>
      <c r="E15">
        <v>140</v>
      </c>
      <c r="F15">
        <v>95.6</v>
      </c>
      <c r="G15">
        <v>8</v>
      </c>
      <c r="H15">
        <v>97.3</v>
      </c>
      <c r="I15">
        <v>9</v>
      </c>
      <c r="J15">
        <v>87.2</v>
      </c>
      <c r="K15">
        <v>172</v>
      </c>
      <c r="L15">
        <v>98.8</v>
      </c>
      <c r="M15">
        <v>72</v>
      </c>
      <c r="N15">
        <v>70.2</v>
      </c>
      <c r="O15">
        <v>405</v>
      </c>
      <c r="P15" t="s">
        <v>54</v>
      </c>
      <c r="Q15" s="1">
        <v>33064</v>
      </c>
      <c r="R15">
        <v>10.9</v>
      </c>
      <c r="S15" s="2">
        <v>0.14000000000000001</v>
      </c>
      <c r="U15" s="2">
        <v>0.33</v>
      </c>
      <c r="V15" t="s">
        <v>59</v>
      </c>
      <c r="W15" t="s">
        <v>60</v>
      </c>
      <c r="X15" t="b">
        <v>0</v>
      </c>
      <c r="Y15" t="b">
        <v>0</v>
      </c>
    </row>
    <row r="16" spans="1:25">
      <c r="A16">
        <v>150</v>
      </c>
      <c r="B16">
        <v>15</v>
      </c>
      <c r="C16" t="s">
        <v>61</v>
      </c>
      <c r="D16">
        <v>91.1</v>
      </c>
      <c r="E16">
        <v>150</v>
      </c>
      <c r="F16">
        <v>84.4</v>
      </c>
      <c r="G16">
        <v>23</v>
      </c>
      <c r="H16">
        <v>92.3</v>
      </c>
      <c r="I16">
        <v>17</v>
      </c>
      <c r="J16">
        <v>97.2</v>
      </c>
      <c r="K16">
        <v>27</v>
      </c>
      <c r="L16">
        <v>100</v>
      </c>
      <c r="M16">
        <v>11</v>
      </c>
      <c r="N16">
        <v>84.2</v>
      </c>
      <c r="O16">
        <v>199</v>
      </c>
      <c r="P16" t="s">
        <v>29</v>
      </c>
      <c r="Q16" s="1">
        <v>15772</v>
      </c>
      <c r="R16">
        <v>4.0999999999999996</v>
      </c>
      <c r="S16" s="2">
        <v>0.28000000000000003</v>
      </c>
      <c r="T16" s="3">
        <v>2.3638888888888889</v>
      </c>
      <c r="U16" s="2">
        <v>0.15</v>
      </c>
      <c r="V16" t="s">
        <v>61</v>
      </c>
      <c r="W16" t="s">
        <v>62</v>
      </c>
      <c r="X16" t="b">
        <v>0</v>
      </c>
      <c r="Y16" t="b">
        <v>0</v>
      </c>
    </row>
    <row r="17" spans="1:25">
      <c r="A17">
        <v>160</v>
      </c>
      <c r="B17">
        <v>16</v>
      </c>
      <c r="C17" t="s">
        <v>63</v>
      </c>
      <c r="D17">
        <v>91</v>
      </c>
      <c r="E17">
        <v>160</v>
      </c>
      <c r="F17">
        <v>87.7</v>
      </c>
      <c r="G17">
        <v>15</v>
      </c>
      <c r="H17">
        <v>89.7</v>
      </c>
      <c r="I17">
        <v>21</v>
      </c>
      <c r="J17">
        <v>97.6</v>
      </c>
      <c r="K17">
        <v>23</v>
      </c>
      <c r="L17">
        <v>97.7</v>
      </c>
      <c r="M17">
        <v>90</v>
      </c>
      <c r="N17">
        <v>78.8</v>
      </c>
      <c r="O17">
        <v>269</v>
      </c>
      <c r="P17" t="s">
        <v>29</v>
      </c>
      <c r="Q17" s="1">
        <v>21312</v>
      </c>
      <c r="R17">
        <v>6.2</v>
      </c>
      <c r="S17" s="2">
        <v>0.22</v>
      </c>
      <c r="T17" s="3">
        <v>2.2819444444444446</v>
      </c>
      <c r="U17" s="2">
        <v>0.13</v>
      </c>
      <c r="V17" t="s">
        <v>63</v>
      </c>
      <c r="W17" t="s">
        <v>64</v>
      </c>
      <c r="X17" t="b">
        <v>0</v>
      </c>
      <c r="Y17" t="b">
        <v>0</v>
      </c>
    </row>
    <row r="18" spans="1:25">
      <c r="A18">
        <v>170</v>
      </c>
      <c r="B18">
        <v>17</v>
      </c>
      <c r="C18" t="s">
        <v>65</v>
      </c>
      <c r="D18">
        <v>90.9</v>
      </c>
      <c r="E18">
        <v>170</v>
      </c>
      <c r="F18">
        <v>88.6</v>
      </c>
      <c r="G18">
        <v>14</v>
      </c>
      <c r="H18">
        <v>89.7</v>
      </c>
      <c r="I18">
        <v>20</v>
      </c>
      <c r="J18">
        <v>97.4</v>
      </c>
      <c r="K18">
        <v>25</v>
      </c>
      <c r="L18">
        <v>75.2</v>
      </c>
      <c r="M18">
        <v>332</v>
      </c>
      <c r="N18">
        <v>86.9</v>
      </c>
      <c r="O18">
        <v>169</v>
      </c>
      <c r="P18" t="s">
        <v>29</v>
      </c>
      <c r="Q18" s="1">
        <v>25914</v>
      </c>
      <c r="R18">
        <v>5.2</v>
      </c>
      <c r="S18" s="2">
        <v>0.35</v>
      </c>
      <c r="U18" s="2">
        <v>0.23</v>
      </c>
      <c r="V18" t="s">
        <v>65</v>
      </c>
      <c r="W18" t="s">
        <v>66</v>
      </c>
      <c r="X18" t="b">
        <v>0</v>
      </c>
      <c r="Y18" t="b">
        <v>0</v>
      </c>
    </row>
    <row r="19" spans="1:25">
      <c r="A19">
        <v>180</v>
      </c>
      <c r="B19">
        <v>18</v>
      </c>
      <c r="C19" t="s">
        <v>67</v>
      </c>
      <c r="D19">
        <v>90.1</v>
      </c>
      <c r="E19">
        <v>180</v>
      </c>
      <c r="F19">
        <v>85.7</v>
      </c>
      <c r="G19">
        <v>19</v>
      </c>
      <c r="H19">
        <v>91.9</v>
      </c>
      <c r="I19">
        <v>18</v>
      </c>
      <c r="J19">
        <v>96.4</v>
      </c>
      <c r="K19">
        <v>34</v>
      </c>
      <c r="L19">
        <v>92.3</v>
      </c>
      <c r="M19">
        <v>143</v>
      </c>
      <c r="N19">
        <v>74.3</v>
      </c>
      <c r="O19">
        <v>342</v>
      </c>
      <c r="P19" t="s">
        <v>29</v>
      </c>
      <c r="Q19" s="1">
        <v>42634</v>
      </c>
      <c r="R19">
        <v>9.6</v>
      </c>
      <c r="S19" s="2">
        <v>0.15</v>
      </c>
      <c r="T19" s="3">
        <v>2.3638888888888889</v>
      </c>
      <c r="U19" s="2">
        <v>0.21</v>
      </c>
      <c r="V19" t="s">
        <v>67</v>
      </c>
      <c r="W19" t="s">
        <v>68</v>
      </c>
      <c r="X19" t="b">
        <v>0</v>
      </c>
      <c r="Y19" t="b">
        <v>0</v>
      </c>
    </row>
    <row r="20" spans="1:25">
      <c r="A20">
        <v>190</v>
      </c>
      <c r="B20">
        <v>19</v>
      </c>
      <c r="C20" t="s">
        <v>69</v>
      </c>
      <c r="D20">
        <v>90</v>
      </c>
      <c r="E20">
        <v>190</v>
      </c>
      <c r="F20">
        <v>78.8</v>
      </c>
      <c r="G20">
        <v>25</v>
      </c>
      <c r="H20">
        <v>94</v>
      </c>
      <c r="I20">
        <v>16</v>
      </c>
      <c r="J20">
        <v>95.4</v>
      </c>
      <c r="K20">
        <v>47</v>
      </c>
      <c r="L20">
        <v>100</v>
      </c>
      <c r="M20">
        <v>19</v>
      </c>
      <c r="N20">
        <v>91.1</v>
      </c>
      <c r="O20">
        <v>117</v>
      </c>
      <c r="P20" t="s">
        <v>70</v>
      </c>
      <c r="Q20" s="1">
        <v>33334</v>
      </c>
      <c r="R20">
        <v>20</v>
      </c>
      <c r="S20" s="2">
        <v>0.24</v>
      </c>
      <c r="T20" s="3">
        <v>2.0770833333333334</v>
      </c>
      <c r="U20" s="2">
        <v>0.28000000000000003</v>
      </c>
      <c r="V20" t="s">
        <v>71</v>
      </c>
      <c r="W20" t="s">
        <v>72</v>
      </c>
      <c r="X20" t="b">
        <v>0</v>
      </c>
      <c r="Y20" t="b">
        <v>0</v>
      </c>
    </row>
    <row r="21" spans="1:25">
      <c r="A21">
        <v>200</v>
      </c>
      <c r="B21">
        <v>20</v>
      </c>
      <c r="C21" t="s">
        <v>73</v>
      </c>
      <c r="D21">
        <v>89.5</v>
      </c>
      <c r="E21">
        <v>200</v>
      </c>
      <c r="F21">
        <v>85.7</v>
      </c>
      <c r="G21">
        <v>20</v>
      </c>
      <c r="H21">
        <v>88.7</v>
      </c>
      <c r="I21">
        <v>22</v>
      </c>
      <c r="J21">
        <v>97.6</v>
      </c>
      <c r="K21">
        <v>22</v>
      </c>
      <c r="L21">
        <v>69.400000000000006</v>
      </c>
      <c r="M21">
        <v>447</v>
      </c>
      <c r="N21">
        <v>86</v>
      </c>
      <c r="O21">
        <v>176</v>
      </c>
      <c r="P21" t="s">
        <v>29</v>
      </c>
      <c r="Q21" s="1">
        <v>23620</v>
      </c>
      <c r="R21">
        <v>10</v>
      </c>
      <c r="S21" s="2">
        <v>0.24</v>
      </c>
      <c r="T21" s="3">
        <v>2.1590277777777778</v>
      </c>
      <c r="U21" s="2">
        <v>0.25</v>
      </c>
      <c r="V21" t="s">
        <v>73</v>
      </c>
      <c r="W21" t="s">
        <v>74</v>
      </c>
      <c r="X21" t="b">
        <v>0</v>
      </c>
      <c r="Y21" t="b">
        <v>0</v>
      </c>
    </row>
    <row r="22" spans="1:25">
      <c r="A22">
        <v>210</v>
      </c>
      <c r="B22">
        <v>21</v>
      </c>
      <c r="C22" t="s">
        <v>75</v>
      </c>
      <c r="D22">
        <v>88.6</v>
      </c>
      <c r="E22">
        <v>210</v>
      </c>
      <c r="F22">
        <v>77.5</v>
      </c>
      <c r="G22">
        <v>28</v>
      </c>
      <c r="H22">
        <v>94.1</v>
      </c>
      <c r="I22">
        <v>15</v>
      </c>
      <c r="J22">
        <v>92.8</v>
      </c>
      <c r="K22">
        <v>81</v>
      </c>
      <c r="L22">
        <v>96.1</v>
      </c>
      <c r="M22">
        <v>103</v>
      </c>
      <c r="N22">
        <v>90.7</v>
      </c>
      <c r="O22">
        <v>123</v>
      </c>
      <c r="P22" t="s">
        <v>76</v>
      </c>
      <c r="Q22" s="1">
        <v>79282</v>
      </c>
      <c r="R22">
        <v>25.8</v>
      </c>
      <c r="S22" s="2">
        <v>0.27</v>
      </c>
      <c r="T22" s="3">
        <v>2.3638888888888889</v>
      </c>
      <c r="U22" s="2">
        <v>0.17</v>
      </c>
      <c r="V22" t="s">
        <v>75</v>
      </c>
      <c r="W22" t="s">
        <v>77</v>
      </c>
      <c r="X22" t="b">
        <v>0</v>
      </c>
      <c r="Y22" t="b">
        <v>0</v>
      </c>
    </row>
    <row r="23" spans="1:25">
      <c r="A23">
        <v>220</v>
      </c>
      <c r="B23">
        <v>22</v>
      </c>
      <c r="C23" t="s">
        <v>78</v>
      </c>
      <c r="D23">
        <v>88.1</v>
      </c>
      <c r="E23">
        <v>220</v>
      </c>
      <c r="F23">
        <v>78.400000000000006</v>
      </c>
      <c r="G23">
        <v>26</v>
      </c>
      <c r="H23">
        <v>86.4</v>
      </c>
      <c r="I23">
        <v>24</v>
      </c>
      <c r="J23">
        <v>98.6</v>
      </c>
      <c r="K23">
        <v>9</v>
      </c>
      <c r="L23">
        <v>75.2</v>
      </c>
      <c r="M23">
        <v>335</v>
      </c>
      <c r="N23">
        <v>97.9</v>
      </c>
      <c r="O23">
        <v>8</v>
      </c>
      <c r="P23" t="s">
        <v>26</v>
      </c>
      <c r="Q23" s="1">
        <v>41110</v>
      </c>
      <c r="R23">
        <v>11.3</v>
      </c>
      <c r="S23" s="2">
        <v>0.61</v>
      </c>
      <c r="T23" s="3">
        <v>2.4868055555555557</v>
      </c>
      <c r="U23" s="2">
        <v>0.21</v>
      </c>
      <c r="V23" t="s">
        <v>79</v>
      </c>
      <c r="W23" t="s">
        <v>80</v>
      </c>
      <c r="X23" t="b">
        <v>0</v>
      </c>
      <c r="Y23" t="b">
        <v>0</v>
      </c>
    </row>
    <row r="24" spans="1:25">
      <c r="A24">
        <v>230</v>
      </c>
      <c r="B24">
        <v>23</v>
      </c>
      <c r="C24" t="s">
        <v>81</v>
      </c>
      <c r="D24">
        <v>87.4</v>
      </c>
      <c r="E24">
        <v>230</v>
      </c>
      <c r="F24">
        <v>84.7</v>
      </c>
      <c r="G24">
        <v>22</v>
      </c>
      <c r="H24">
        <v>87.4</v>
      </c>
      <c r="I24">
        <v>23</v>
      </c>
      <c r="J24">
        <v>95.5</v>
      </c>
      <c r="K24">
        <v>45</v>
      </c>
      <c r="L24">
        <v>80.7</v>
      </c>
      <c r="M24">
        <v>255</v>
      </c>
      <c r="N24">
        <v>69</v>
      </c>
      <c r="O24">
        <v>422</v>
      </c>
      <c r="P24" t="s">
        <v>29</v>
      </c>
      <c r="Q24" s="1">
        <v>45783</v>
      </c>
      <c r="R24">
        <v>8.1</v>
      </c>
      <c r="S24" s="2">
        <v>0.16</v>
      </c>
      <c r="T24" s="3">
        <v>2.1590277777777778</v>
      </c>
      <c r="U24" s="2">
        <v>0.22</v>
      </c>
      <c r="V24" t="s">
        <v>81</v>
      </c>
      <c r="W24" t="s">
        <v>82</v>
      </c>
      <c r="X24" t="b">
        <v>0</v>
      </c>
      <c r="Y24" t="b">
        <v>0</v>
      </c>
    </row>
    <row r="25" spans="1:25">
      <c r="A25">
        <v>240</v>
      </c>
      <c r="B25">
        <v>24</v>
      </c>
      <c r="C25" t="s">
        <v>83</v>
      </c>
      <c r="D25">
        <v>86.3</v>
      </c>
      <c r="E25">
        <v>240</v>
      </c>
      <c r="F25">
        <v>75</v>
      </c>
      <c r="G25">
        <v>32</v>
      </c>
      <c r="H25">
        <v>84.6</v>
      </c>
      <c r="I25">
        <v>26</v>
      </c>
      <c r="J25">
        <v>98.9</v>
      </c>
      <c r="K25">
        <v>6</v>
      </c>
      <c r="L25">
        <v>87.3</v>
      </c>
      <c r="M25">
        <v>182</v>
      </c>
      <c r="N25">
        <v>85.5</v>
      </c>
      <c r="O25">
        <v>185</v>
      </c>
      <c r="P25" t="s">
        <v>29</v>
      </c>
      <c r="Q25" s="1">
        <v>13562</v>
      </c>
      <c r="R25">
        <v>11.9</v>
      </c>
      <c r="S25" s="2">
        <v>0.44</v>
      </c>
      <c r="T25" s="3">
        <v>1.8722222222222222</v>
      </c>
      <c r="U25" s="2">
        <v>0.43</v>
      </c>
      <c r="V25" t="s">
        <v>83</v>
      </c>
      <c r="W25" t="s">
        <v>84</v>
      </c>
      <c r="X25" t="b">
        <v>0</v>
      </c>
      <c r="Y25" t="b">
        <v>0</v>
      </c>
    </row>
    <row r="26" spans="1:25">
      <c r="A26">
        <v>250</v>
      </c>
      <c r="B26">
        <v>25</v>
      </c>
      <c r="C26" t="s">
        <v>85</v>
      </c>
      <c r="D26">
        <v>85.3</v>
      </c>
      <c r="E26">
        <v>250</v>
      </c>
      <c r="F26">
        <v>78</v>
      </c>
      <c r="G26">
        <v>27</v>
      </c>
      <c r="H26">
        <v>83.5</v>
      </c>
      <c r="I26">
        <v>29</v>
      </c>
      <c r="J26">
        <v>98.2</v>
      </c>
      <c r="K26">
        <v>11</v>
      </c>
      <c r="L26">
        <v>77.599999999999994</v>
      </c>
      <c r="M26">
        <v>294</v>
      </c>
      <c r="N26">
        <v>73.2</v>
      </c>
      <c r="O26">
        <v>363</v>
      </c>
      <c r="P26" t="s">
        <v>29</v>
      </c>
      <c r="Q26" s="1">
        <v>49486</v>
      </c>
      <c r="R26">
        <v>10.1</v>
      </c>
      <c r="S26" s="2">
        <v>0.16</v>
      </c>
      <c r="T26" s="3">
        <v>2.3638888888888889</v>
      </c>
      <c r="U26" s="2">
        <v>0.2</v>
      </c>
      <c r="V26" t="s">
        <v>85</v>
      </c>
      <c r="W26" t="s">
        <v>86</v>
      </c>
      <c r="X26" t="b">
        <v>0</v>
      </c>
      <c r="Y26" t="b">
        <v>0</v>
      </c>
    </row>
    <row r="27" spans="1:25">
      <c r="A27">
        <v>260</v>
      </c>
      <c r="B27">
        <v>26</v>
      </c>
      <c r="C27" t="s">
        <v>87</v>
      </c>
      <c r="D27">
        <v>83.9</v>
      </c>
      <c r="E27">
        <v>260</v>
      </c>
      <c r="F27">
        <v>79.3</v>
      </c>
      <c r="G27">
        <v>24</v>
      </c>
      <c r="H27">
        <v>76.099999999999994</v>
      </c>
      <c r="I27">
        <v>41</v>
      </c>
      <c r="J27">
        <v>96.2</v>
      </c>
      <c r="K27">
        <v>36</v>
      </c>
      <c r="L27">
        <v>100</v>
      </c>
      <c r="M27">
        <v>6</v>
      </c>
      <c r="N27">
        <v>74.8</v>
      </c>
      <c r="O27">
        <v>332</v>
      </c>
      <c r="P27" t="s">
        <v>29</v>
      </c>
      <c r="Q27" s="1">
        <v>15527</v>
      </c>
      <c r="R27">
        <v>3.9</v>
      </c>
      <c r="S27" s="2">
        <v>0.18</v>
      </c>
      <c r="T27" s="3">
        <v>2.2000000000000002</v>
      </c>
      <c r="U27" s="2">
        <v>0.15</v>
      </c>
      <c r="V27" t="s">
        <v>87</v>
      </c>
      <c r="W27" t="s">
        <v>88</v>
      </c>
      <c r="X27" t="b">
        <v>0</v>
      </c>
      <c r="Y27" t="b">
        <v>0</v>
      </c>
    </row>
    <row r="28" spans="1:25">
      <c r="A28">
        <v>270</v>
      </c>
      <c r="B28">
        <v>27</v>
      </c>
      <c r="C28" t="s">
        <v>89</v>
      </c>
      <c r="D28">
        <v>83.5</v>
      </c>
      <c r="E28">
        <v>270</v>
      </c>
      <c r="F28">
        <v>73.2</v>
      </c>
      <c r="G28">
        <v>36</v>
      </c>
      <c r="H28">
        <v>84</v>
      </c>
      <c r="I28">
        <v>28</v>
      </c>
      <c r="J28">
        <v>94.9</v>
      </c>
      <c r="K28">
        <v>49</v>
      </c>
      <c r="L28">
        <v>75.400000000000006</v>
      </c>
      <c r="M28">
        <v>330</v>
      </c>
      <c r="N28">
        <v>80.7</v>
      </c>
      <c r="O28">
        <v>246</v>
      </c>
      <c r="P28" t="s">
        <v>29</v>
      </c>
      <c r="Q28" s="1">
        <v>48461</v>
      </c>
      <c r="R28">
        <v>11.8</v>
      </c>
      <c r="S28" s="2">
        <v>0.42</v>
      </c>
      <c r="T28" s="3">
        <v>2.4458333333333333</v>
      </c>
      <c r="U28" s="2">
        <v>0.21</v>
      </c>
      <c r="V28" t="s">
        <v>89</v>
      </c>
      <c r="W28" t="s">
        <v>90</v>
      </c>
      <c r="X28" t="b">
        <v>0</v>
      </c>
      <c r="Y28" t="b">
        <v>0</v>
      </c>
    </row>
    <row r="29" spans="1:25">
      <c r="A29">
        <v>280</v>
      </c>
      <c r="B29">
        <v>28</v>
      </c>
      <c r="C29" t="s">
        <v>91</v>
      </c>
      <c r="D29">
        <v>83.2</v>
      </c>
      <c r="E29">
        <v>280</v>
      </c>
      <c r="F29">
        <v>72.3</v>
      </c>
      <c r="G29">
        <v>37</v>
      </c>
      <c r="H29">
        <v>78.8</v>
      </c>
      <c r="I29">
        <v>34</v>
      </c>
      <c r="J29">
        <v>97.8</v>
      </c>
      <c r="K29">
        <v>15</v>
      </c>
      <c r="L29">
        <v>99.7</v>
      </c>
      <c r="M29">
        <v>50</v>
      </c>
      <c r="N29">
        <v>75.900000000000006</v>
      </c>
      <c r="O29">
        <v>316</v>
      </c>
      <c r="P29" t="s">
        <v>29</v>
      </c>
      <c r="Q29" s="1">
        <v>18894</v>
      </c>
      <c r="R29">
        <v>13.1</v>
      </c>
      <c r="S29" s="2">
        <v>0.18</v>
      </c>
      <c r="T29" s="3">
        <v>2.2000000000000002</v>
      </c>
      <c r="U29" s="2">
        <v>0.18</v>
      </c>
      <c r="V29" t="s">
        <v>91</v>
      </c>
      <c r="W29" t="s">
        <v>92</v>
      </c>
      <c r="X29" t="b">
        <v>0</v>
      </c>
      <c r="Y29" t="b">
        <v>0</v>
      </c>
    </row>
    <row r="30" spans="1:25">
      <c r="A30">
        <v>290</v>
      </c>
      <c r="B30">
        <v>29</v>
      </c>
      <c r="C30" t="s">
        <v>93</v>
      </c>
      <c r="D30">
        <v>83.1</v>
      </c>
      <c r="E30">
        <v>290</v>
      </c>
      <c r="F30">
        <v>93.9</v>
      </c>
      <c r="G30">
        <v>11</v>
      </c>
      <c r="H30">
        <v>94.2</v>
      </c>
      <c r="I30">
        <v>14</v>
      </c>
      <c r="J30">
        <v>67.8</v>
      </c>
      <c r="K30">
        <v>608</v>
      </c>
      <c r="L30">
        <v>100</v>
      </c>
      <c r="M30">
        <v>27</v>
      </c>
      <c r="N30">
        <v>49.7</v>
      </c>
      <c r="O30">
        <v>814</v>
      </c>
      <c r="P30" t="s">
        <v>94</v>
      </c>
      <c r="Q30" s="1">
        <v>26345</v>
      </c>
      <c r="R30">
        <v>10.3</v>
      </c>
      <c r="S30" s="2">
        <v>0.15</v>
      </c>
      <c r="U30" s="2">
        <v>0.35</v>
      </c>
      <c r="V30" t="s">
        <v>93</v>
      </c>
      <c r="W30" t="s">
        <v>95</v>
      </c>
      <c r="X30" t="b">
        <v>0</v>
      </c>
      <c r="Y30" t="b">
        <v>0</v>
      </c>
    </row>
    <row r="31" spans="1:25">
      <c r="A31">
        <v>300</v>
      </c>
      <c r="B31">
        <f>30</f>
        <v>30</v>
      </c>
      <c r="C31" t="s">
        <v>96</v>
      </c>
      <c r="D31">
        <v>82.5</v>
      </c>
      <c r="E31">
        <v>300</v>
      </c>
      <c r="F31">
        <v>70.7</v>
      </c>
      <c r="G31">
        <v>41</v>
      </c>
      <c r="H31">
        <v>77.5</v>
      </c>
      <c r="I31">
        <v>37</v>
      </c>
      <c r="J31">
        <v>96.9</v>
      </c>
      <c r="K31">
        <v>30</v>
      </c>
      <c r="L31">
        <v>71.099999999999994</v>
      </c>
      <c r="M31">
        <v>404</v>
      </c>
      <c r="N31">
        <v>97</v>
      </c>
      <c r="O31">
        <v>22</v>
      </c>
      <c r="P31" t="s">
        <v>26</v>
      </c>
      <c r="Q31" s="1">
        <v>33940</v>
      </c>
      <c r="R31">
        <v>11.5</v>
      </c>
      <c r="S31" s="2">
        <v>0.46</v>
      </c>
      <c r="T31" s="3">
        <v>2.5687500000000001</v>
      </c>
      <c r="U31" s="2">
        <v>0.24</v>
      </c>
      <c r="V31" t="s">
        <v>96</v>
      </c>
      <c r="W31" t="s">
        <v>97</v>
      </c>
      <c r="X31" t="b">
        <v>0</v>
      </c>
      <c r="Y31" t="b">
        <v>0</v>
      </c>
    </row>
    <row r="32" spans="1:25">
      <c r="A32">
        <v>310</v>
      </c>
      <c r="B32">
        <f>30</f>
        <v>30</v>
      </c>
      <c r="C32" t="s">
        <v>98</v>
      </c>
      <c r="D32">
        <v>82.5</v>
      </c>
      <c r="E32">
        <v>310</v>
      </c>
      <c r="F32">
        <v>69.8</v>
      </c>
      <c r="G32">
        <v>44</v>
      </c>
      <c r="H32">
        <v>85.1</v>
      </c>
      <c r="I32">
        <v>25</v>
      </c>
      <c r="J32">
        <v>90</v>
      </c>
      <c r="K32">
        <v>128</v>
      </c>
      <c r="L32">
        <v>100</v>
      </c>
      <c r="M32">
        <v>26</v>
      </c>
      <c r="N32">
        <v>83.1</v>
      </c>
      <c r="O32">
        <v>209</v>
      </c>
      <c r="P32" t="s">
        <v>99</v>
      </c>
      <c r="Q32" s="1">
        <v>35506</v>
      </c>
      <c r="R32">
        <v>44.4</v>
      </c>
      <c r="S32" s="2">
        <v>0.39</v>
      </c>
      <c r="T32" t="s">
        <v>40</v>
      </c>
      <c r="U32" s="2">
        <v>0.36</v>
      </c>
      <c r="V32" t="s">
        <v>98</v>
      </c>
      <c r="W32" t="s">
        <v>100</v>
      </c>
      <c r="X32" t="b">
        <v>0</v>
      </c>
      <c r="Y32" t="b">
        <v>0</v>
      </c>
    </row>
    <row r="33" spans="1:25">
      <c r="A33">
        <v>320</v>
      </c>
      <c r="B33">
        <v>32</v>
      </c>
      <c r="C33" t="s">
        <v>101</v>
      </c>
      <c r="D33">
        <v>82.3</v>
      </c>
      <c r="E33">
        <v>320</v>
      </c>
      <c r="F33">
        <v>66.2</v>
      </c>
      <c r="G33">
        <v>52</v>
      </c>
      <c r="H33">
        <v>80.900000000000006</v>
      </c>
      <c r="I33">
        <v>32</v>
      </c>
      <c r="J33">
        <v>94.5</v>
      </c>
      <c r="K33">
        <v>54</v>
      </c>
      <c r="L33">
        <v>99.7</v>
      </c>
      <c r="M33">
        <v>49</v>
      </c>
      <c r="N33">
        <v>93.3</v>
      </c>
      <c r="O33">
        <v>78</v>
      </c>
      <c r="P33" t="s">
        <v>70</v>
      </c>
      <c r="Q33" s="1">
        <v>25895</v>
      </c>
      <c r="R33">
        <v>16.7</v>
      </c>
      <c r="S33" s="2">
        <v>0.27</v>
      </c>
      <c r="T33" s="3">
        <v>2.0770833333333334</v>
      </c>
      <c r="U33" s="2">
        <v>0.38</v>
      </c>
      <c r="V33" t="s">
        <v>102</v>
      </c>
      <c r="W33" t="s">
        <v>103</v>
      </c>
      <c r="X33" t="b">
        <v>0</v>
      </c>
      <c r="Y33" t="b">
        <v>0</v>
      </c>
    </row>
    <row r="34" spans="1:25">
      <c r="A34">
        <v>330</v>
      </c>
      <c r="B34">
        <v>33</v>
      </c>
      <c r="C34" t="s">
        <v>104</v>
      </c>
      <c r="D34">
        <v>81.400000000000006</v>
      </c>
      <c r="E34">
        <v>330</v>
      </c>
      <c r="F34">
        <v>74.5</v>
      </c>
      <c r="G34">
        <v>33</v>
      </c>
      <c r="H34">
        <v>73.2</v>
      </c>
      <c r="I34">
        <v>50</v>
      </c>
      <c r="J34">
        <v>90.3</v>
      </c>
      <c r="K34">
        <v>120</v>
      </c>
      <c r="L34">
        <v>99.8</v>
      </c>
      <c r="M34">
        <v>40</v>
      </c>
      <c r="N34">
        <v>95.8</v>
      </c>
      <c r="O34">
        <v>33</v>
      </c>
      <c r="P34" t="s">
        <v>50</v>
      </c>
      <c r="Q34" s="1">
        <v>12543</v>
      </c>
      <c r="R34">
        <v>13.5</v>
      </c>
      <c r="S34" s="2">
        <v>0.64</v>
      </c>
      <c r="T34" t="s">
        <v>105</v>
      </c>
      <c r="U34" s="2">
        <v>0.44</v>
      </c>
      <c r="V34" t="s">
        <v>104</v>
      </c>
      <c r="W34" t="s">
        <v>106</v>
      </c>
      <c r="X34" t="b">
        <v>0</v>
      </c>
      <c r="Y34" t="b">
        <v>0</v>
      </c>
    </row>
    <row r="35" spans="1:25">
      <c r="A35">
        <v>340</v>
      </c>
      <c r="B35">
        <v>34</v>
      </c>
      <c r="C35" t="s">
        <v>107</v>
      </c>
      <c r="D35">
        <v>81</v>
      </c>
      <c r="E35">
        <v>340</v>
      </c>
      <c r="F35">
        <v>66</v>
      </c>
      <c r="G35">
        <v>53</v>
      </c>
      <c r="H35">
        <v>78.400000000000006</v>
      </c>
      <c r="I35">
        <v>35</v>
      </c>
      <c r="J35">
        <v>97.6</v>
      </c>
      <c r="K35">
        <v>19</v>
      </c>
      <c r="L35">
        <v>100</v>
      </c>
      <c r="M35">
        <v>1</v>
      </c>
      <c r="N35">
        <v>74.3</v>
      </c>
      <c r="O35">
        <v>343</v>
      </c>
      <c r="P35" t="s">
        <v>29</v>
      </c>
      <c r="Q35" s="1">
        <v>40596</v>
      </c>
      <c r="R35">
        <v>12</v>
      </c>
      <c r="S35" s="2">
        <v>0.19</v>
      </c>
      <c r="T35" s="3">
        <v>1.9131944444444444</v>
      </c>
      <c r="U35" s="2">
        <v>0.21</v>
      </c>
      <c r="V35" t="s">
        <v>107</v>
      </c>
      <c r="W35" t="s">
        <v>108</v>
      </c>
      <c r="X35" t="b">
        <v>0</v>
      </c>
      <c r="Y35" t="b">
        <v>0</v>
      </c>
    </row>
    <row r="36" spans="1:25">
      <c r="A36">
        <v>350</v>
      </c>
      <c r="B36">
        <v>35</v>
      </c>
      <c r="C36" t="s">
        <v>109</v>
      </c>
      <c r="D36">
        <v>80.3</v>
      </c>
      <c r="E36">
        <v>350</v>
      </c>
      <c r="F36">
        <v>65.599999999999994</v>
      </c>
      <c r="G36">
        <v>55</v>
      </c>
      <c r="H36">
        <v>72.3</v>
      </c>
      <c r="I36">
        <v>52</v>
      </c>
      <c r="J36">
        <v>96.4</v>
      </c>
      <c r="K36">
        <v>35</v>
      </c>
      <c r="L36">
        <v>95.2</v>
      </c>
      <c r="M36">
        <v>116</v>
      </c>
      <c r="N36">
        <v>96.8</v>
      </c>
      <c r="O36">
        <v>23</v>
      </c>
      <c r="P36" t="s">
        <v>110</v>
      </c>
      <c r="Q36" s="1">
        <v>18103</v>
      </c>
      <c r="R36">
        <v>18.3</v>
      </c>
      <c r="S36" s="2">
        <v>0.43</v>
      </c>
      <c r="T36" s="3">
        <v>2.3229166666666665</v>
      </c>
      <c r="U36" s="2">
        <v>0.36</v>
      </c>
      <c r="V36" t="s">
        <v>109</v>
      </c>
      <c r="W36" t="s">
        <v>111</v>
      </c>
      <c r="X36" t="b">
        <v>0</v>
      </c>
      <c r="Y36" t="b">
        <v>0</v>
      </c>
    </row>
    <row r="37" spans="1:25">
      <c r="A37">
        <v>360</v>
      </c>
      <c r="B37">
        <v>36</v>
      </c>
      <c r="C37" t="s">
        <v>112</v>
      </c>
      <c r="D37">
        <v>80</v>
      </c>
      <c r="E37">
        <v>360</v>
      </c>
      <c r="F37">
        <v>63.4</v>
      </c>
      <c r="G37">
        <v>63</v>
      </c>
      <c r="H37">
        <v>78.900000000000006</v>
      </c>
      <c r="I37">
        <v>33</v>
      </c>
      <c r="J37">
        <v>94.1</v>
      </c>
      <c r="K37">
        <v>57</v>
      </c>
      <c r="L37">
        <v>94.6</v>
      </c>
      <c r="M37">
        <v>123</v>
      </c>
      <c r="N37">
        <v>84.8</v>
      </c>
      <c r="O37">
        <v>191</v>
      </c>
      <c r="P37" t="s">
        <v>29</v>
      </c>
      <c r="Q37" s="1">
        <v>32079</v>
      </c>
      <c r="R37">
        <v>28</v>
      </c>
      <c r="S37" s="2">
        <v>0.28999999999999998</v>
      </c>
      <c r="T37" t="s">
        <v>113</v>
      </c>
      <c r="U37" s="2">
        <v>0.43</v>
      </c>
      <c r="V37" t="s">
        <v>112</v>
      </c>
      <c r="W37" t="s">
        <v>114</v>
      </c>
      <c r="X37" t="b">
        <v>0</v>
      </c>
      <c r="Y37" t="b">
        <v>0</v>
      </c>
    </row>
    <row r="38" spans="1:25">
      <c r="A38">
        <v>370</v>
      </c>
      <c r="B38">
        <v>37</v>
      </c>
      <c r="C38" t="s">
        <v>115</v>
      </c>
      <c r="D38">
        <v>79.2</v>
      </c>
      <c r="E38">
        <v>370</v>
      </c>
      <c r="F38">
        <v>64.8</v>
      </c>
      <c r="G38">
        <v>57</v>
      </c>
      <c r="H38">
        <v>76.400000000000006</v>
      </c>
      <c r="I38">
        <v>40</v>
      </c>
      <c r="J38">
        <v>90.1</v>
      </c>
      <c r="K38">
        <v>126</v>
      </c>
      <c r="L38">
        <v>98.3</v>
      </c>
      <c r="M38">
        <v>84</v>
      </c>
      <c r="N38">
        <v>92.7</v>
      </c>
      <c r="O38">
        <v>90</v>
      </c>
      <c r="P38" t="s">
        <v>116</v>
      </c>
      <c r="Q38" s="1">
        <v>51307</v>
      </c>
      <c r="R38">
        <v>25.1</v>
      </c>
      <c r="S38" s="2">
        <v>0.47</v>
      </c>
      <c r="T38" s="3">
        <v>2.4458333333333333</v>
      </c>
      <c r="U38" s="2">
        <v>0.18</v>
      </c>
      <c r="V38" t="s">
        <v>117</v>
      </c>
      <c r="W38" t="s">
        <v>118</v>
      </c>
      <c r="X38" t="b">
        <v>0</v>
      </c>
      <c r="Y38" t="b">
        <v>0</v>
      </c>
    </row>
    <row r="39" spans="1:25">
      <c r="A39">
        <v>380</v>
      </c>
      <c r="B39">
        <f>38</f>
        <v>38</v>
      </c>
      <c r="C39" t="s">
        <v>119</v>
      </c>
      <c r="D39">
        <v>79</v>
      </c>
      <c r="E39">
        <v>380</v>
      </c>
      <c r="F39">
        <v>59.8</v>
      </c>
      <c r="G39">
        <v>74</v>
      </c>
      <c r="H39">
        <v>75.099999999999994</v>
      </c>
      <c r="I39">
        <v>47</v>
      </c>
      <c r="J39">
        <v>97.7</v>
      </c>
      <c r="K39">
        <v>17</v>
      </c>
      <c r="L39">
        <v>74.2</v>
      </c>
      <c r="M39">
        <v>347</v>
      </c>
      <c r="N39">
        <v>97.5</v>
      </c>
      <c r="O39">
        <v>13</v>
      </c>
      <c r="P39" t="s">
        <v>26</v>
      </c>
      <c r="Q39" s="1">
        <v>32835</v>
      </c>
      <c r="R39">
        <v>13.9</v>
      </c>
      <c r="S39" s="2">
        <v>0.53</v>
      </c>
      <c r="T39" s="3">
        <v>2.6506944444444445</v>
      </c>
      <c r="U39" s="2">
        <v>0.12</v>
      </c>
      <c r="V39" t="s">
        <v>119</v>
      </c>
      <c r="W39" t="s">
        <v>120</v>
      </c>
      <c r="X39" t="b">
        <v>0</v>
      </c>
      <c r="Y39" t="b">
        <v>0</v>
      </c>
    </row>
    <row r="40" spans="1:25">
      <c r="A40">
        <v>390</v>
      </c>
      <c r="B40">
        <f>38</f>
        <v>38</v>
      </c>
      <c r="C40" t="s">
        <v>121</v>
      </c>
      <c r="D40">
        <v>79</v>
      </c>
      <c r="E40">
        <v>390</v>
      </c>
      <c r="F40">
        <v>65.3</v>
      </c>
      <c r="G40">
        <v>56</v>
      </c>
      <c r="H40">
        <v>76.8</v>
      </c>
      <c r="I40">
        <v>38</v>
      </c>
      <c r="J40">
        <v>92.2</v>
      </c>
      <c r="K40">
        <v>89</v>
      </c>
      <c r="L40">
        <v>100</v>
      </c>
      <c r="M40">
        <v>15</v>
      </c>
      <c r="N40">
        <v>76.900000000000006</v>
      </c>
      <c r="O40">
        <v>299</v>
      </c>
      <c r="P40" t="s">
        <v>99</v>
      </c>
      <c r="Q40" s="1">
        <v>34622</v>
      </c>
      <c r="R40">
        <v>33.5</v>
      </c>
      <c r="S40" s="2">
        <v>0.18</v>
      </c>
      <c r="T40" s="3">
        <v>2.6097222222222221</v>
      </c>
      <c r="U40" s="2">
        <v>0.21</v>
      </c>
      <c r="V40" t="s">
        <v>122</v>
      </c>
      <c r="W40" t="s">
        <v>123</v>
      </c>
      <c r="X40" t="b">
        <v>0</v>
      </c>
      <c r="Y40" t="b">
        <v>0</v>
      </c>
    </row>
    <row r="41" spans="1:25">
      <c r="A41">
        <v>400</v>
      </c>
      <c r="B41">
        <v>40</v>
      </c>
      <c r="C41" t="s">
        <v>124</v>
      </c>
      <c r="D41">
        <v>78.5</v>
      </c>
      <c r="E41">
        <v>400</v>
      </c>
      <c r="F41">
        <v>75.7</v>
      </c>
      <c r="G41">
        <v>31</v>
      </c>
      <c r="H41">
        <v>72.8</v>
      </c>
      <c r="I41">
        <v>51</v>
      </c>
      <c r="J41">
        <v>83.2</v>
      </c>
      <c r="K41">
        <v>253</v>
      </c>
      <c r="L41">
        <v>99.7</v>
      </c>
      <c r="M41">
        <v>51</v>
      </c>
      <c r="N41">
        <v>81.599999999999994</v>
      </c>
      <c r="O41">
        <v>232</v>
      </c>
      <c r="P41" t="s">
        <v>125</v>
      </c>
      <c r="Q41" s="1">
        <v>16120</v>
      </c>
      <c r="R41">
        <v>15</v>
      </c>
      <c r="S41" s="2">
        <v>0.22</v>
      </c>
      <c r="T41" s="3">
        <v>2.1590277777777778</v>
      </c>
      <c r="U41" s="2">
        <v>0.3</v>
      </c>
      <c r="V41" t="s">
        <v>124</v>
      </c>
      <c r="W41" t="s">
        <v>126</v>
      </c>
      <c r="X41" t="b">
        <v>0</v>
      </c>
      <c r="Y41" t="b">
        <v>0</v>
      </c>
    </row>
    <row r="42" spans="1:25">
      <c r="A42">
        <v>410</v>
      </c>
      <c r="B42">
        <v>41</v>
      </c>
      <c r="C42" t="s">
        <v>127</v>
      </c>
      <c r="D42">
        <v>78</v>
      </c>
      <c r="E42">
        <v>410</v>
      </c>
      <c r="F42">
        <v>62.5</v>
      </c>
      <c r="G42">
        <v>66</v>
      </c>
      <c r="H42">
        <v>76.599999999999994</v>
      </c>
      <c r="I42">
        <v>39</v>
      </c>
      <c r="J42">
        <v>90.5</v>
      </c>
      <c r="K42">
        <v>118</v>
      </c>
      <c r="L42">
        <v>76.7</v>
      </c>
      <c r="M42">
        <v>304</v>
      </c>
      <c r="N42">
        <v>95</v>
      </c>
      <c r="O42">
        <v>49</v>
      </c>
      <c r="P42" t="s">
        <v>76</v>
      </c>
      <c r="Q42" s="1">
        <v>58987</v>
      </c>
      <c r="R42">
        <v>19.399999999999999</v>
      </c>
      <c r="S42" s="2">
        <v>0.34</v>
      </c>
      <c r="T42" s="3">
        <v>2.3229166666666665</v>
      </c>
      <c r="U42" s="2">
        <v>0.21</v>
      </c>
      <c r="V42" t="s">
        <v>127</v>
      </c>
      <c r="W42" t="s">
        <v>128</v>
      </c>
      <c r="X42" t="b">
        <v>0</v>
      </c>
      <c r="Y42" t="b">
        <v>0</v>
      </c>
    </row>
    <row r="43" spans="1:25">
      <c r="A43">
        <v>420</v>
      </c>
      <c r="B43">
        <v>42</v>
      </c>
      <c r="C43" t="s">
        <v>129</v>
      </c>
      <c r="D43">
        <v>77.900000000000006</v>
      </c>
      <c r="E43">
        <v>420</v>
      </c>
      <c r="F43">
        <v>69.5</v>
      </c>
      <c r="G43">
        <v>45</v>
      </c>
      <c r="H43">
        <v>81.5</v>
      </c>
      <c r="I43">
        <v>31</v>
      </c>
      <c r="J43">
        <v>85.2</v>
      </c>
      <c r="K43">
        <v>206</v>
      </c>
      <c r="L43">
        <v>85.3</v>
      </c>
      <c r="M43">
        <v>206</v>
      </c>
      <c r="N43">
        <v>64</v>
      </c>
      <c r="O43">
        <v>503</v>
      </c>
      <c r="P43" t="s">
        <v>29</v>
      </c>
      <c r="Q43" s="1">
        <v>50250</v>
      </c>
      <c r="R43">
        <v>19.600000000000001</v>
      </c>
      <c r="S43" s="2">
        <v>0.23</v>
      </c>
      <c r="T43" s="3">
        <v>2.1590277777777778</v>
      </c>
      <c r="U43" s="2">
        <v>0.35</v>
      </c>
      <c r="V43" t="s">
        <v>129</v>
      </c>
      <c r="W43" t="s">
        <v>130</v>
      </c>
      <c r="X43" t="b">
        <v>0</v>
      </c>
      <c r="Y43" t="b">
        <v>0</v>
      </c>
    </row>
    <row r="44" spans="1:25">
      <c r="A44">
        <v>430</v>
      </c>
      <c r="B44">
        <v>43</v>
      </c>
      <c r="C44" t="s">
        <v>131</v>
      </c>
      <c r="D44">
        <v>77.7</v>
      </c>
      <c r="E44">
        <v>430</v>
      </c>
      <c r="F44">
        <v>76.599999999999994</v>
      </c>
      <c r="G44">
        <v>29</v>
      </c>
      <c r="H44">
        <v>82.5</v>
      </c>
      <c r="I44">
        <v>30</v>
      </c>
      <c r="J44">
        <v>75.400000000000006</v>
      </c>
      <c r="K44">
        <v>433</v>
      </c>
      <c r="L44">
        <v>100</v>
      </c>
      <c r="M44">
        <v>24</v>
      </c>
      <c r="N44">
        <v>60.6</v>
      </c>
      <c r="O44">
        <v>573</v>
      </c>
      <c r="P44" t="s">
        <v>54</v>
      </c>
      <c r="Q44" s="1">
        <v>38472</v>
      </c>
      <c r="R44">
        <v>12.6</v>
      </c>
      <c r="S44" s="2">
        <v>0.09</v>
      </c>
      <c r="T44" t="s">
        <v>40</v>
      </c>
      <c r="U44" s="2">
        <v>0.31</v>
      </c>
      <c r="V44" t="s">
        <v>132</v>
      </c>
      <c r="W44" t="s">
        <v>133</v>
      </c>
      <c r="X44" t="b">
        <v>0</v>
      </c>
      <c r="Y44" t="b">
        <v>0</v>
      </c>
    </row>
    <row r="45" spans="1:25">
      <c r="A45">
        <v>440</v>
      </c>
      <c r="B45">
        <v>44</v>
      </c>
      <c r="C45" t="s">
        <v>134</v>
      </c>
      <c r="D45">
        <v>77.5</v>
      </c>
      <c r="E45">
        <v>440</v>
      </c>
      <c r="F45">
        <v>76.5</v>
      </c>
      <c r="G45">
        <v>30</v>
      </c>
      <c r="H45">
        <v>75.3</v>
      </c>
      <c r="I45">
        <v>43</v>
      </c>
      <c r="J45">
        <v>83.5</v>
      </c>
      <c r="K45">
        <v>246</v>
      </c>
      <c r="L45">
        <v>96</v>
      </c>
      <c r="M45">
        <v>104</v>
      </c>
      <c r="N45">
        <v>56.1</v>
      </c>
      <c r="O45">
        <v>659</v>
      </c>
      <c r="P45" t="s">
        <v>54</v>
      </c>
      <c r="Q45" s="1">
        <v>38101</v>
      </c>
      <c r="R45">
        <v>12.6</v>
      </c>
      <c r="S45" s="2">
        <v>0.09</v>
      </c>
      <c r="T45" s="3">
        <v>2.2000000000000002</v>
      </c>
      <c r="U45" s="2">
        <v>0.24</v>
      </c>
      <c r="V45" t="s">
        <v>134</v>
      </c>
      <c r="W45" t="s">
        <v>135</v>
      </c>
      <c r="X45" t="b">
        <v>0</v>
      </c>
      <c r="Y45" t="b">
        <v>0</v>
      </c>
    </row>
    <row r="46" spans="1:25">
      <c r="A46">
        <v>450</v>
      </c>
      <c r="B46">
        <v>45</v>
      </c>
      <c r="C46" t="s">
        <v>136</v>
      </c>
      <c r="D46">
        <v>77</v>
      </c>
      <c r="E46">
        <v>450</v>
      </c>
      <c r="F46">
        <v>60.1</v>
      </c>
      <c r="G46">
        <v>72</v>
      </c>
      <c r="H46">
        <v>74.900000000000006</v>
      </c>
      <c r="I46">
        <v>48</v>
      </c>
      <c r="J46">
        <v>91.9</v>
      </c>
      <c r="K46">
        <v>95</v>
      </c>
      <c r="L46">
        <v>100</v>
      </c>
      <c r="M46">
        <v>13</v>
      </c>
      <c r="N46">
        <v>79.599999999999994</v>
      </c>
      <c r="O46">
        <v>260</v>
      </c>
      <c r="P46" t="s">
        <v>137</v>
      </c>
      <c r="Q46" s="1">
        <v>49435</v>
      </c>
      <c r="R46">
        <v>37.299999999999997</v>
      </c>
      <c r="S46" s="2">
        <v>0.19</v>
      </c>
      <c r="T46" s="3">
        <v>2.2000000000000002</v>
      </c>
      <c r="U46" s="2">
        <v>0.23</v>
      </c>
      <c r="V46" t="s">
        <v>136</v>
      </c>
      <c r="W46" t="s">
        <v>138</v>
      </c>
      <c r="X46" t="b">
        <v>0</v>
      </c>
      <c r="Y46" t="b">
        <v>0</v>
      </c>
    </row>
    <row r="47" spans="1:25">
      <c r="A47">
        <v>460</v>
      </c>
      <c r="B47">
        <v>46</v>
      </c>
      <c r="C47" t="s">
        <v>139</v>
      </c>
      <c r="D47">
        <v>76.8</v>
      </c>
      <c r="E47">
        <v>460</v>
      </c>
      <c r="F47">
        <v>59.5</v>
      </c>
      <c r="G47">
        <v>77</v>
      </c>
      <c r="H47">
        <v>73.5</v>
      </c>
      <c r="I47">
        <v>49</v>
      </c>
      <c r="J47">
        <v>95.4</v>
      </c>
      <c r="K47">
        <v>46</v>
      </c>
      <c r="L47">
        <v>55.9</v>
      </c>
      <c r="M47">
        <v>716</v>
      </c>
      <c r="N47">
        <v>94.1</v>
      </c>
      <c r="O47">
        <v>63</v>
      </c>
      <c r="P47" t="s">
        <v>26</v>
      </c>
      <c r="Q47" s="1">
        <v>11945</v>
      </c>
      <c r="R47">
        <v>12.6</v>
      </c>
      <c r="S47" s="2">
        <v>0.72</v>
      </c>
      <c r="T47" s="3">
        <v>2.3638888888888889</v>
      </c>
      <c r="U47" s="2">
        <v>0.15</v>
      </c>
      <c r="V47" t="s">
        <v>139</v>
      </c>
      <c r="W47" t="s">
        <v>140</v>
      </c>
      <c r="X47" t="b">
        <v>0</v>
      </c>
      <c r="Y47" t="b">
        <v>0</v>
      </c>
    </row>
    <row r="48" spans="1:25">
      <c r="A48">
        <v>470</v>
      </c>
      <c r="B48">
        <v>47</v>
      </c>
      <c r="C48" t="s">
        <v>141</v>
      </c>
      <c r="D48">
        <v>76.7</v>
      </c>
      <c r="E48">
        <v>470</v>
      </c>
      <c r="F48">
        <v>67.7</v>
      </c>
      <c r="G48">
        <v>49</v>
      </c>
      <c r="H48">
        <v>64.3</v>
      </c>
      <c r="I48">
        <v>69</v>
      </c>
      <c r="J48">
        <v>94.6</v>
      </c>
      <c r="K48">
        <v>51</v>
      </c>
      <c r="L48">
        <v>99.3</v>
      </c>
      <c r="M48">
        <v>66</v>
      </c>
      <c r="N48">
        <v>76.400000000000006</v>
      </c>
      <c r="O48">
        <v>305</v>
      </c>
      <c r="P48" t="s">
        <v>99</v>
      </c>
      <c r="Q48" s="1">
        <v>19315</v>
      </c>
      <c r="R48">
        <v>13.3</v>
      </c>
      <c r="S48" s="2">
        <v>0.2</v>
      </c>
      <c r="T48" s="3">
        <v>2.3229166666666665</v>
      </c>
      <c r="U48" s="2">
        <v>0.2</v>
      </c>
      <c r="V48" t="s">
        <v>141</v>
      </c>
      <c r="W48" t="s">
        <v>142</v>
      </c>
      <c r="X48" t="b">
        <v>0</v>
      </c>
      <c r="Y48" t="b">
        <v>0</v>
      </c>
    </row>
    <row r="49" spans="1:25">
      <c r="A49">
        <v>480</v>
      </c>
      <c r="B49">
        <v>48</v>
      </c>
      <c r="C49" t="s">
        <v>143</v>
      </c>
      <c r="D49">
        <v>76.3</v>
      </c>
      <c r="E49">
        <v>480</v>
      </c>
      <c r="F49">
        <v>66.7</v>
      </c>
      <c r="G49">
        <v>51</v>
      </c>
      <c r="H49">
        <v>78.2</v>
      </c>
      <c r="I49">
        <v>36</v>
      </c>
      <c r="J49">
        <v>76.5</v>
      </c>
      <c r="K49">
        <v>405</v>
      </c>
      <c r="L49">
        <v>100</v>
      </c>
      <c r="M49">
        <v>5</v>
      </c>
      <c r="N49">
        <v>92.8</v>
      </c>
      <c r="O49">
        <v>86</v>
      </c>
      <c r="P49" t="s">
        <v>144</v>
      </c>
      <c r="Q49" s="1">
        <v>21262</v>
      </c>
      <c r="R49">
        <v>15.9</v>
      </c>
      <c r="S49" s="2">
        <v>0.3</v>
      </c>
      <c r="T49" t="s">
        <v>145</v>
      </c>
      <c r="U49" s="2">
        <v>0.5</v>
      </c>
      <c r="V49" t="s">
        <v>143</v>
      </c>
      <c r="W49" t="s">
        <v>146</v>
      </c>
      <c r="X49" t="b">
        <v>0</v>
      </c>
      <c r="Y49" t="b">
        <v>0</v>
      </c>
    </row>
    <row r="50" spans="1:25">
      <c r="A50">
        <v>490</v>
      </c>
      <c r="B50">
        <v>49</v>
      </c>
      <c r="C50" t="s">
        <v>147</v>
      </c>
      <c r="D50">
        <v>76</v>
      </c>
      <c r="E50">
        <v>490</v>
      </c>
      <c r="F50">
        <v>62.3</v>
      </c>
      <c r="G50">
        <v>68</v>
      </c>
      <c r="H50">
        <v>72.3</v>
      </c>
      <c r="I50">
        <v>53</v>
      </c>
      <c r="J50">
        <v>88.8</v>
      </c>
      <c r="K50">
        <v>141</v>
      </c>
      <c r="L50">
        <v>76.099999999999994</v>
      </c>
      <c r="M50">
        <v>315</v>
      </c>
      <c r="N50">
        <v>92.5</v>
      </c>
      <c r="O50">
        <v>93</v>
      </c>
      <c r="P50" t="s">
        <v>76</v>
      </c>
      <c r="Q50" s="1">
        <v>30821</v>
      </c>
      <c r="R50">
        <v>11.9</v>
      </c>
      <c r="S50" s="2">
        <v>0.28999999999999998</v>
      </c>
      <c r="T50" s="3">
        <v>2.5687500000000001</v>
      </c>
      <c r="U50" s="2">
        <v>0.22</v>
      </c>
      <c r="V50" t="s">
        <v>147</v>
      </c>
      <c r="W50" t="s">
        <v>148</v>
      </c>
      <c r="X50" t="b">
        <v>0</v>
      </c>
      <c r="Y50" t="b">
        <v>0</v>
      </c>
    </row>
    <row r="51" spans="1:25">
      <c r="A51">
        <v>500</v>
      </c>
      <c r="B51">
        <v>50</v>
      </c>
      <c r="C51" t="s">
        <v>149</v>
      </c>
      <c r="D51">
        <v>75.900000000000006</v>
      </c>
      <c r="E51">
        <v>500</v>
      </c>
      <c r="F51">
        <v>58.9</v>
      </c>
      <c r="G51">
        <v>82</v>
      </c>
      <c r="H51">
        <v>67.900000000000006</v>
      </c>
      <c r="I51">
        <v>56</v>
      </c>
      <c r="J51">
        <v>95.3</v>
      </c>
      <c r="K51">
        <v>48</v>
      </c>
      <c r="L51">
        <v>96</v>
      </c>
      <c r="M51">
        <v>106</v>
      </c>
      <c r="N51">
        <v>85.7</v>
      </c>
      <c r="O51">
        <v>182</v>
      </c>
      <c r="P51" t="s">
        <v>150</v>
      </c>
      <c r="Q51" s="1">
        <v>8085</v>
      </c>
      <c r="R51">
        <v>9.9</v>
      </c>
      <c r="S51" s="2">
        <v>0.27</v>
      </c>
      <c r="T51" s="3">
        <v>2.9375</v>
      </c>
      <c r="U51" s="2">
        <v>0.04</v>
      </c>
      <c r="V51" t="s">
        <v>149</v>
      </c>
      <c r="W51" t="s">
        <v>151</v>
      </c>
      <c r="X51" t="b">
        <v>0</v>
      </c>
      <c r="Y51" t="b">
        <v>0</v>
      </c>
    </row>
    <row r="52" spans="1:25">
      <c r="A52">
        <v>510</v>
      </c>
      <c r="B52">
        <v>51</v>
      </c>
      <c r="C52" t="s">
        <v>152</v>
      </c>
      <c r="D52">
        <v>75.599999999999994</v>
      </c>
      <c r="E52">
        <v>510</v>
      </c>
      <c r="F52">
        <v>61.4</v>
      </c>
      <c r="G52">
        <v>69</v>
      </c>
      <c r="H52">
        <v>67.099999999999994</v>
      </c>
      <c r="I52">
        <v>60</v>
      </c>
      <c r="J52">
        <v>93.1</v>
      </c>
      <c r="K52">
        <v>74</v>
      </c>
      <c r="L52">
        <v>73.099999999999994</v>
      </c>
      <c r="M52">
        <v>367</v>
      </c>
      <c r="N52">
        <v>95.6</v>
      </c>
      <c r="O52">
        <v>37</v>
      </c>
      <c r="P52" t="s">
        <v>26</v>
      </c>
      <c r="Q52" s="1">
        <v>40725</v>
      </c>
      <c r="R52">
        <v>15.6</v>
      </c>
      <c r="S52" s="2">
        <v>0.45</v>
      </c>
      <c r="T52" s="3">
        <v>2.3638888888888889</v>
      </c>
      <c r="U52" s="2">
        <v>0.26</v>
      </c>
      <c r="V52" t="s">
        <v>152</v>
      </c>
      <c r="W52" t="s">
        <v>153</v>
      </c>
      <c r="X52" t="b">
        <v>0</v>
      </c>
      <c r="Y52" t="b">
        <v>0</v>
      </c>
    </row>
    <row r="53" spans="1:25">
      <c r="A53">
        <v>520</v>
      </c>
      <c r="B53">
        <v>52</v>
      </c>
      <c r="C53" t="s">
        <v>154</v>
      </c>
      <c r="D53">
        <v>75.5</v>
      </c>
      <c r="E53">
        <v>520</v>
      </c>
      <c r="F53">
        <v>66</v>
      </c>
      <c r="G53">
        <v>54</v>
      </c>
      <c r="H53">
        <v>75.7</v>
      </c>
      <c r="I53">
        <v>42</v>
      </c>
      <c r="J53">
        <v>91</v>
      </c>
      <c r="K53">
        <v>109</v>
      </c>
      <c r="L53">
        <v>81.400000000000006</v>
      </c>
      <c r="M53">
        <v>247</v>
      </c>
      <c r="N53">
        <v>47.3</v>
      </c>
      <c r="O53">
        <v>883</v>
      </c>
      <c r="P53" t="s">
        <v>29</v>
      </c>
      <c r="Q53" s="1">
        <v>48558</v>
      </c>
      <c r="R53">
        <v>16.399999999999999</v>
      </c>
      <c r="S53" s="2">
        <v>0.08</v>
      </c>
      <c r="T53" s="3">
        <v>2.3229166666666665</v>
      </c>
      <c r="U53" s="2">
        <v>0.36</v>
      </c>
      <c r="V53" t="s">
        <v>154</v>
      </c>
      <c r="W53" t="s">
        <v>155</v>
      </c>
      <c r="X53" t="b">
        <v>0</v>
      </c>
      <c r="Y53" t="b">
        <v>0</v>
      </c>
    </row>
    <row r="54" spans="1:25">
      <c r="A54">
        <v>530</v>
      </c>
      <c r="B54">
        <v>53</v>
      </c>
      <c r="C54" t="s">
        <v>156</v>
      </c>
      <c r="D54">
        <v>75.400000000000006</v>
      </c>
      <c r="E54">
        <v>530</v>
      </c>
      <c r="F54">
        <v>59.1</v>
      </c>
      <c r="G54">
        <v>80</v>
      </c>
      <c r="H54">
        <v>61.5</v>
      </c>
      <c r="I54">
        <v>80</v>
      </c>
      <c r="J54">
        <v>97.6</v>
      </c>
      <c r="K54">
        <v>21</v>
      </c>
      <c r="L54">
        <v>95.9</v>
      </c>
      <c r="M54">
        <v>107</v>
      </c>
      <c r="N54">
        <v>93.6</v>
      </c>
      <c r="O54">
        <v>69</v>
      </c>
      <c r="P54" t="s">
        <v>110</v>
      </c>
      <c r="Q54" s="1">
        <v>18290</v>
      </c>
      <c r="R54">
        <v>18.8</v>
      </c>
      <c r="S54" s="2">
        <v>0.25</v>
      </c>
      <c r="U54" s="2">
        <v>0.25</v>
      </c>
      <c r="V54" t="s">
        <v>157</v>
      </c>
      <c r="W54" t="s">
        <v>158</v>
      </c>
      <c r="X54" t="b">
        <v>0</v>
      </c>
      <c r="Y54" t="b">
        <v>0</v>
      </c>
    </row>
    <row r="55" spans="1:25">
      <c r="A55">
        <v>540</v>
      </c>
      <c r="B55">
        <v>54</v>
      </c>
      <c r="C55" t="s">
        <v>159</v>
      </c>
      <c r="D55">
        <v>75.2</v>
      </c>
      <c r="E55">
        <v>540</v>
      </c>
      <c r="F55">
        <v>55.3</v>
      </c>
      <c r="G55">
        <v>96</v>
      </c>
      <c r="H55">
        <v>67.8</v>
      </c>
      <c r="I55">
        <v>58</v>
      </c>
      <c r="J55">
        <v>94.7</v>
      </c>
      <c r="K55">
        <v>50</v>
      </c>
      <c r="L55">
        <v>99.7</v>
      </c>
      <c r="M55">
        <v>48</v>
      </c>
      <c r="N55">
        <v>91.1</v>
      </c>
      <c r="O55">
        <v>116</v>
      </c>
      <c r="P55" t="s">
        <v>116</v>
      </c>
      <c r="Q55" s="1">
        <v>58460</v>
      </c>
      <c r="R55">
        <v>43.1</v>
      </c>
      <c r="S55" s="2">
        <v>0.38</v>
      </c>
      <c r="T55" s="3">
        <v>2.3638888888888889</v>
      </c>
      <c r="U55" s="2">
        <v>0.21</v>
      </c>
      <c r="V55" t="s">
        <v>159</v>
      </c>
      <c r="W55" t="s">
        <v>160</v>
      </c>
      <c r="X55" t="b">
        <v>0</v>
      </c>
      <c r="Y55" t="b">
        <v>0</v>
      </c>
    </row>
    <row r="56" spans="1:25">
      <c r="A56">
        <v>550</v>
      </c>
      <c r="B56">
        <f>55</f>
        <v>55</v>
      </c>
      <c r="C56" t="s">
        <v>161</v>
      </c>
      <c r="D56">
        <v>75</v>
      </c>
      <c r="E56">
        <v>550</v>
      </c>
      <c r="F56">
        <v>85.4</v>
      </c>
      <c r="G56">
        <v>21</v>
      </c>
      <c r="H56">
        <v>84.3</v>
      </c>
      <c r="I56">
        <v>27</v>
      </c>
      <c r="J56">
        <v>60</v>
      </c>
      <c r="K56">
        <v>781</v>
      </c>
      <c r="L56">
        <v>100</v>
      </c>
      <c r="M56">
        <v>14</v>
      </c>
      <c r="N56">
        <v>45.7</v>
      </c>
      <c r="O56">
        <v>942</v>
      </c>
      <c r="P56" t="s">
        <v>94</v>
      </c>
      <c r="Q56" s="1">
        <v>21817</v>
      </c>
      <c r="R56">
        <v>9</v>
      </c>
      <c r="S56" s="2">
        <v>0.11</v>
      </c>
      <c r="T56" t="s">
        <v>162</v>
      </c>
      <c r="U56" s="2">
        <v>0.32</v>
      </c>
      <c r="V56" t="s">
        <v>161</v>
      </c>
      <c r="W56" t="s">
        <v>163</v>
      </c>
      <c r="X56" t="b">
        <v>0</v>
      </c>
      <c r="Y56" t="b">
        <v>0</v>
      </c>
    </row>
    <row r="57" spans="1:25">
      <c r="A57">
        <v>560</v>
      </c>
      <c r="B57">
        <f>55</f>
        <v>55</v>
      </c>
      <c r="C57" t="s">
        <v>164</v>
      </c>
      <c r="D57">
        <v>75</v>
      </c>
      <c r="E57">
        <v>560</v>
      </c>
      <c r="F57">
        <v>70.2</v>
      </c>
      <c r="G57">
        <v>42</v>
      </c>
      <c r="H57">
        <v>75.3</v>
      </c>
      <c r="I57">
        <v>45</v>
      </c>
      <c r="J57">
        <v>78.7</v>
      </c>
      <c r="K57">
        <v>350</v>
      </c>
      <c r="L57">
        <v>99</v>
      </c>
      <c r="M57">
        <v>69</v>
      </c>
      <c r="N57">
        <v>65.5</v>
      </c>
      <c r="O57">
        <v>476</v>
      </c>
      <c r="P57" t="s">
        <v>54</v>
      </c>
      <c r="Q57" s="1">
        <v>48169</v>
      </c>
      <c r="R57">
        <v>12</v>
      </c>
      <c r="S57" s="2">
        <v>0.16</v>
      </c>
      <c r="U57" s="2">
        <v>0.32</v>
      </c>
      <c r="V57" t="s">
        <v>165</v>
      </c>
      <c r="W57" t="s">
        <v>166</v>
      </c>
      <c r="X57" t="b">
        <v>0</v>
      </c>
      <c r="Y57" t="b">
        <v>0</v>
      </c>
    </row>
    <row r="58" spans="1:25">
      <c r="A58">
        <v>570</v>
      </c>
      <c r="B58">
        <v>57</v>
      </c>
      <c r="C58" t="s">
        <v>167</v>
      </c>
      <c r="D58">
        <v>74.8</v>
      </c>
      <c r="E58">
        <v>570</v>
      </c>
      <c r="F58">
        <v>74.3</v>
      </c>
      <c r="G58">
        <v>34</v>
      </c>
      <c r="H58">
        <v>66.3</v>
      </c>
      <c r="I58">
        <v>62</v>
      </c>
      <c r="J58">
        <v>88.2</v>
      </c>
      <c r="K58">
        <v>152</v>
      </c>
      <c r="L58">
        <v>95.6</v>
      </c>
      <c r="M58">
        <v>112</v>
      </c>
      <c r="N58">
        <v>45.4</v>
      </c>
      <c r="O58">
        <v>953</v>
      </c>
      <c r="P58" t="s">
        <v>54</v>
      </c>
      <c r="Q58" s="1">
        <v>20252</v>
      </c>
      <c r="R58">
        <v>8.1</v>
      </c>
      <c r="S58" s="2">
        <v>0.05</v>
      </c>
      <c r="U58" s="2">
        <v>0.43</v>
      </c>
      <c r="V58" t="s">
        <v>168</v>
      </c>
      <c r="W58" t="s">
        <v>169</v>
      </c>
      <c r="X58" t="b">
        <v>0</v>
      </c>
      <c r="Y58" t="b">
        <v>0</v>
      </c>
    </row>
    <row r="59" spans="1:25">
      <c r="A59">
        <v>580</v>
      </c>
      <c r="B59">
        <v>58</v>
      </c>
      <c r="C59" t="s">
        <v>170</v>
      </c>
      <c r="D59">
        <v>74.400000000000006</v>
      </c>
      <c r="E59">
        <v>580</v>
      </c>
      <c r="F59">
        <v>70.900000000000006</v>
      </c>
      <c r="G59">
        <v>40</v>
      </c>
      <c r="H59">
        <v>66.099999999999994</v>
      </c>
      <c r="I59">
        <v>63</v>
      </c>
      <c r="J59">
        <v>82.4</v>
      </c>
      <c r="K59">
        <v>277</v>
      </c>
      <c r="L59">
        <v>92.4</v>
      </c>
      <c r="M59">
        <v>140</v>
      </c>
      <c r="N59">
        <v>78.599999999999994</v>
      </c>
      <c r="O59">
        <v>277</v>
      </c>
      <c r="P59" t="s">
        <v>125</v>
      </c>
      <c r="Q59" s="1">
        <v>31662</v>
      </c>
      <c r="R59">
        <v>13</v>
      </c>
      <c r="S59" s="2">
        <v>0.24</v>
      </c>
      <c r="T59" s="3">
        <v>2.1180555555555554</v>
      </c>
      <c r="U59" s="2">
        <v>0.35</v>
      </c>
      <c r="V59" t="s">
        <v>170</v>
      </c>
      <c r="W59" t="s">
        <v>171</v>
      </c>
      <c r="X59" t="b">
        <v>0</v>
      </c>
      <c r="Y59" t="b">
        <v>0</v>
      </c>
    </row>
    <row r="60" spans="1:25">
      <c r="A60">
        <v>590</v>
      </c>
      <c r="B60">
        <v>59</v>
      </c>
      <c r="C60" t="s">
        <v>172</v>
      </c>
      <c r="D60">
        <v>74.099999999999994</v>
      </c>
      <c r="E60">
        <v>590</v>
      </c>
      <c r="F60">
        <v>63.7</v>
      </c>
      <c r="G60">
        <v>61</v>
      </c>
      <c r="H60">
        <v>67.8</v>
      </c>
      <c r="I60">
        <v>57</v>
      </c>
      <c r="J60">
        <v>87.2</v>
      </c>
      <c r="K60">
        <v>170</v>
      </c>
      <c r="L60">
        <v>91.5</v>
      </c>
      <c r="M60">
        <v>147</v>
      </c>
      <c r="N60">
        <v>78.7</v>
      </c>
      <c r="O60">
        <v>272</v>
      </c>
      <c r="P60" t="s">
        <v>29</v>
      </c>
      <c r="Q60" s="1">
        <v>37926</v>
      </c>
      <c r="R60">
        <v>13.3</v>
      </c>
      <c r="S60" s="2">
        <v>0.18</v>
      </c>
      <c r="T60" s="3">
        <v>2.5277777777777777</v>
      </c>
      <c r="U60" s="2">
        <v>0.22</v>
      </c>
      <c r="V60" t="s">
        <v>172</v>
      </c>
      <c r="W60" t="s">
        <v>173</v>
      </c>
      <c r="X60" t="b">
        <v>0</v>
      </c>
      <c r="Y60" t="b">
        <v>0</v>
      </c>
    </row>
    <row r="61" spans="1:25">
      <c r="A61">
        <v>600</v>
      </c>
      <c r="B61">
        <v>60</v>
      </c>
      <c r="C61" t="s">
        <v>174</v>
      </c>
      <c r="D61">
        <v>73.8</v>
      </c>
      <c r="E61">
        <v>600</v>
      </c>
      <c r="F61">
        <v>52.6</v>
      </c>
      <c r="G61">
        <v>115</v>
      </c>
      <c r="H61">
        <v>68.900000000000006</v>
      </c>
      <c r="I61">
        <v>54</v>
      </c>
      <c r="J61">
        <v>92</v>
      </c>
      <c r="K61">
        <v>93</v>
      </c>
      <c r="L61">
        <v>97.7</v>
      </c>
      <c r="M61">
        <v>91</v>
      </c>
      <c r="N61">
        <v>90.2</v>
      </c>
      <c r="O61">
        <v>127</v>
      </c>
      <c r="P61" t="s">
        <v>116</v>
      </c>
      <c r="Q61" s="1">
        <v>57414</v>
      </c>
      <c r="R61">
        <v>23.1</v>
      </c>
      <c r="S61" s="2">
        <v>0.51</v>
      </c>
      <c r="T61" s="3">
        <v>2.4458333333333333</v>
      </c>
      <c r="U61" s="2">
        <v>0.18</v>
      </c>
      <c r="V61" t="s">
        <v>175</v>
      </c>
      <c r="W61" t="s">
        <v>176</v>
      </c>
      <c r="X61" t="b">
        <v>0</v>
      </c>
      <c r="Y61" t="b">
        <v>0</v>
      </c>
    </row>
    <row r="62" spans="1:25">
      <c r="A62">
        <v>610</v>
      </c>
      <c r="B62">
        <v>61</v>
      </c>
      <c r="C62" t="s">
        <v>177</v>
      </c>
      <c r="D62">
        <v>73.599999999999994</v>
      </c>
      <c r="E62">
        <v>610</v>
      </c>
      <c r="F62">
        <v>55</v>
      </c>
      <c r="G62">
        <v>99</v>
      </c>
      <c r="H62">
        <v>63.1</v>
      </c>
      <c r="I62">
        <v>74</v>
      </c>
      <c r="J62">
        <v>96.7</v>
      </c>
      <c r="K62">
        <v>33</v>
      </c>
      <c r="L62">
        <v>77.599999999999994</v>
      </c>
      <c r="M62">
        <v>292</v>
      </c>
      <c r="N62">
        <v>93.2</v>
      </c>
      <c r="O62">
        <v>80</v>
      </c>
      <c r="P62" t="s">
        <v>144</v>
      </c>
      <c r="Q62" s="1">
        <v>28649</v>
      </c>
      <c r="R62">
        <v>13.2</v>
      </c>
      <c r="S62" s="2">
        <v>0.36</v>
      </c>
      <c r="T62" s="3">
        <v>2.5277777777777777</v>
      </c>
      <c r="U62" s="2">
        <v>0.16</v>
      </c>
      <c r="V62" t="s">
        <v>178</v>
      </c>
      <c r="W62" t="s">
        <v>179</v>
      </c>
      <c r="X62" t="b">
        <v>0</v>
      </c>
      <c r="Y62" t="b">
        <v>0</v>
      </c>
    </row>
    <row r="63" spans="1:25">
      <c r="A63">
        <v>620</v>
      </c>
      <c r="B63">
        <v>62</v>
      </c>
      <c r="C63" t="s">
        <v>180</v>
      </c>
      <c r="D63">
        <v>73.400000000000006</v>
      </c>
      <c r="E63">
        <v>620</v>
      </c>
      <c r="F63">
        <v>74.2</v>
      </c>
      <c r="G63">
        <v>35</v>
      </c>
      <c r="H63">
        <v>75.3</v>
      </c>
      <c r="I63">
        <v>44</v>
      </c>
      <c r="J63">
        <v>74.599999999999994</v>
      </c>
      <c r="K63">
        <v>452</v>
      </c>
      <c r="L63">
        <v>100</v>
      </c>
      <c r="M63">
        <v>23</v>
      </c>
      <c r="N63">
        <v>43.7</v>
      </c>
      <c r="O63">
        <v>1000</v>
      </c>
      <c r="P63" t="s">
        <v>181</v>
      </c>
      <c r="Q63" s="1">
        <v>28620</v>
      </c>
      <c r="R63">
        <v>16.100000000000001</v>
      </c>
      <c r="S63" s="2">
        <v>0.13</v>
      </c>
      <c r="U63" s="2">
        <v>0.26</v>
      </c>
      <c r="V63" t="s">
        <v>180</v>
      </c>
      <c r="W63" t="s">
        <v>182</v>
      </c>
      <c r="X63" t="b">
        <v>0</v>
      </c>
      <c r="Y63" t="b">
        <v>0</v>
      </c>
    </row>
    <row r="64" spans="1:25">
      <c r="A64">
        <v>630</v>
      </c>
      <c r="B64">
        <v>63</v>
      </c>
      <c r="C64" t="s">
        <v>183</v>
      </c>
      <c r="D64">
        <v>73.3</v>
      </c>
      <c r="E64">
        <v>630</v>
      </c>
      <c r="F64">
        <v>68.5</v>
      </c>
      <c r="G64">
        <v>46</v>
      </c>
      <c r="H64">
        <v>67.5</v>
      </c>
      <c r="I64">
        <v>59</v>
      </c>
      <c r="J64">
        <v>85.5</v>
      </c>
      <c r="K64">
        <v>200</v>
      </c>
      <c r="L64">
        <v>79.8</v>
      </c>
      <c r="M64">
        <v>267</v>
      </c>
      <c r="N64">
        <v>62.8</v>
      </c>
      <c r="O64">
        <v>527</v>
      </c>
      <c r="P64" t="s">
        <v>29</v>
      </c>
      <c r="Q64" s="1">
        <v>41209</v>
      </c>
      <c r="R64">
        <v>9.9</v>
      </c>
      <c r="S64" s="2">
        <v>0.13</v>
      </c>
      <c r="U64" s="2">
        <v>0.24</v>
      </c>
      <c r="V64" t="s">
        <v>183</v>
      </c>
      <c r="W64" t="s">
        <v>184</v>
      </c>
      <c r="X64" t="b">
        <v>0</v>
      </c>
      <c r="Y64" t="b">
        <v>0</v>
      </c>
    </row>
    <row r="65" spans="1:25">
      <c r="A65">
        <v>640</v>
      </c>
      <c r="B65">
        <f>64</f>
        <v>64</v>
      </c>
      <c r="C65" t="s">
        <v>185</v>
      </c>
      <c r="D65">
        <v>73</v>
      </c>
      <c r="E65">
        <v>640</v>
      </c>
      <c r="F65">
        <v>69.8</v>
      </c>
      <c r="G65">
        <v>43</v>
      </c>
      <c r="H65">
        <v>59.6</v>
      </c>
      <c r="I65">
        <v>87</v>
      </c>
      <c r="J65">
        <v>89.7</v>
      </c>
      <c r="K65">
        <v>130</v>
      </c>
      <c r="L65">
        <v>69.3</v>
      </c>
      <c r="M65">
        <v>449</v>
      </c>
      <c r="N65">
        <v>72.099999999999994</v>
      </c>
      <c r="O65">
        <v>375</v>
      </c>
      <c r="P65" t="s">
        <v>29</v>
      </c>
      <c r="Q65" s="1">
        <v>9781</v>
      </c>
      <c r="R65">
        <v>10.3</v>
      </c>
      <c r="S65" s="2">
        <v>0.19</v>
      </c>
      <c r="U65" s="2">
        <v>0.17</v>
      </c>
      <c r="V65" t="s">
        <v>185</v>
      </c>
      <c r="W65" t="s">
        <v>186</v>
      </c>
      <c r="X65" t="b">
        <v>0</v>
      </c>
      <c r="Y65" t="b">
        <v>0</v>
      </c>
    </row>
    <row r="66" spans="1:25">
      <c r="A66">
        <v>650</v>
      </c>
      <c r="B66">
        <f>64</f>
        <v>64</v>
      </c>
      <c r="C66" t="s">
        <v>187</v>
      </c>
      <c r="D66">
        <v>73</v>
      </c>
      <c r="E66">
        <v>650</v>
      </c>
      <c r="F66">
        <v>54</v>
      </c>
      <c r="G66">
        <v>105</v>
      </c>
      <c r="H66">
        <v>62.1</v>
      </c>
      <c r="I66">
        <v>76</v>
      </c>
      <c r="J66">
        <v>92.9</v>
      </c>
      <c r="K66">
        <v>77</v>
      </c>
      <c r="L66">
        <v>100</v>
      </c>
      <c r="M66">
        <v>10</v>
      </c>
      <c r="N66">
        <v>95.5</v>
      </c>
      <c r="O66">
        <v>40</v>
      </c>
      <c r="P66" t="s">
        <v>110</v>
      </c>
      <c r="Q66" s="1">
        <v>9794</v>
      </c>
      <c r="R66">
        <v>19.899999999999999</v>
      </c>
      <c r="S66" s="2">
        <v>0.3</v>
      </c>
      <c r="U66" s="2">
        <v>0.44</v>
      </c>
      <c r="V66" t="s">
        <v>188</v>
      </c>
      <c r="W66" t="s">
        <v>189</v>
      </c>
      <c r="X66" t="b">
        <v>0</v>
      </c>
      <c r="Y66" t="b">
        <v>0</v>
      </c>
    </row>
    <row r="67" spans="1:25">
      <c r="A67">
        <v>660</v>
      </c>
      <c r="B67">
        <f>64</f>
        <v>64</v>
      </c>
      <c r="C67" t="s">
        <v>190</v>
      </c>
      <c r="D67">
        <v>73</v>
      </c>
      <c r="E67">
        <v>660</v>
      </c>
      <c r="F67">
        <v>56.4</v>
      </c>
      <c r="G67">
        <v>90</v>
      </c>
      <c r="H67">
        <v>59.8</v>
      </c>
      <c r="I67">
        <v>85</v>
      </c>
      <c r="J67">
        <v>93.8</v>
      </c>
      <c r="K67">
        <v>63</v>
      </c>
      <c r="L67">
        <v>98.8</v>
      </c>
      <c r="M67">
        <v>74</v>
      </c>
      <c r="N67">
        <v>92.4</v>
      </c>
      <c r="O67">
        <v>96</v>
      </c>
      <c r="P67" t="s">
        <v>144</v>
      </c>
      <c r="Q67" s="1">
        <v>15899</v>
      </c>
      <c r="R67">
        <v>18.100000000000001</v>
      </c>
      <c r="S67" s="2">
        <v>0.28000000000000003</v>
      </c>
      <c r="T67" s="3">
        <v>2.2819444444444446</v>
      </c>
      <c r="U67" s="2">
        <v>0.28000000000000003</v>
      </c>
      <c r="V67" t="s">
        <v>190</v>
      </c>
      <c r="W67" t="s">
        <v>191</v>
      </c>
      <c r="X67" t="b">
        <v>0</v>
      </c>
      <c r="Y67" t="b">
        <v>0</v>
      </c>
    </row>
    <row r="68" spans="1:25">
      <c r="A68">
        <v>670</v>
      </c>
      <c r="B68">
        <v>67</v>
      </c>
      <c r="C68" t="s">
        <v>192</v>
      </c>
      <c r="D68">
        <v>72.599999999999994</v>
      </c>
      <c r="E68">
        <v>670</v>
      </c>
      <c r="F68">
        <v>55.9</v>
      </c>
      <c r="G68">
        <v>91</v>
      </c>
      <c r="H68">
        <v>68</v>
      </c>
      <c r="I68">
        <v>55</v>
      </c>
      <c r="J68">
        <v>86.6</v>
      </c>
      <c r="K68">
        <v>180</v>
      </c>
      <c r="L68">
        <v>82</v>
      </c>
      <c r="M68">
        <v>238</v>
      </c>
      <c r="N68">
        <v>94.8</v>
      </c>
      <c r="O68">
        <v>51</v>
      </c>
      <c r="P68" t="s">
        <v>116</v>
      </c>
      <c r="Q68" s="1">
        <v>17293</v>
      </c>
      <c r="R68">
        <v>15.1</v>
      </c>
      <c r="S68" s="2">
        <v>0.48</v>
      </c>
      <c r="T68" s="3">
        <v>2.2000000000000002</v>
      </c>
      <c r="U68" s="2">
        <v>0.28999999999999998</v>
      </c>
      <c r="V68" t="s">
        <v>193</v>
      </c>
      <c r="W68" t="s">
        <v>194</v>
      </c>
      <c r="X68" t="b">
        <v>0</v>
      </c>
      <c r="Y68" t="b">
        <v>0</v>
      </c>
    </row>
    <row r="69" spans="1:25">
      <c r="A69">
        <v>680</v>
      </c>
      <c r="B69">
        <v>68</v>
      </c>
      <c r="C69" t="s">
        <v>195</v>
      </c>
      <c r="D69">
        <v>72.3</v>
      </c>
      <c r="E69">
        <v>680</v>
      </c>
      <c r="F69">
        <v>60.8</v>
      </c>
      <c r="G69">
        <v>71</v>
      </c>
      <c r="H69">
        <v>57.2</v>
      </c>
      <c r="I69">
        <v>101</v>
      </c>
      <c r="J69">
        <v>97.5</v>
      </c>
      <c r="K69">
        <v>24</v>
      </c>
      <c r="L69">
        <v>77.8</v>
      </c>
      <c r="M69">
        <v>291</v>
      </c>
      <c r="N69">
        <v>72.7</v>
      </c>
      <c r="O69">
        <v>368</v>
      </c>
      <c r="P69" t="s">
        <v>29</v>
      </c>
      <c r="Q69" s="1">
        <v>13825</v>
      </c>
      <c r="R69">
        <v>7.3</v>
      </c>
      <c r="S69" s="2">
        <v>0.22</v>
      </c>
      <c r="T69" s="3">
        <v>2.2000000000000002</v>
      </c>
      <c r="U69" s="2">
        <v>0.12</v>
      </c>
      <c r="V69" t="s">
        <v>195</v>
      </c>
      <c r="W69" t="s">
        <v>196</v>
      </c>
      <c r="X69" t="b">
        <v>0</v>
      </c>
      <c r="Y69" t="b">
        <v>0</v>
      </c>
    </row>
    <row r="70" spans="1:25">
      <c r="A70">
        <v>690</v>
      </c>
      <c r="B70">
        <v>69</v>
      </c>
      <c r="C70" t="s">
        <v>197</v>
      </c>
      <c r="D70">
        <v>72.099999999999994</v>
      </c>
      <c r="E70">
        <v>690</v>
      </c>
      <c r="F70">
        <v>47.4</v>
      </c>
      <c r="G70">
        <v>167</v>
      </c>
      <c r="H70">
        <v>64.7</v>
      </c>
      <c r="I70">
        <v>68</v>
      </c>
      <c r="J70">
        <v>96.9</v>
      </c>
      <c r="K70">
        <v>29</v>
      </c>
      <c r="L70">
        <v>99.4</v>
      </c>
      <c r="M70">
        <v>64</v>
      </c>
      <c r="N70">
        <v>84</v>
      </c>
      <c r="O70">
        <v>201</v>
      </c>
      <c r="P70" t="s">
        <v>29</v>
      </c>
      <c r="Q70" s="1">
        <v>25540</v>
      </c>
      <c r="R70">
        <v>27.5</v>
      </c>
      <c r="S70" s="2">
        <v>0.18</v>
      </c>
      <c r="T70" s="3">
        <v>2.2819444444444446</v>
      </c>
      <c r="U70" s="2">
        <v>0.39</v>
      </c>
      <c r="V70" t="s">
        <v>197</v>
      </c>
      <c r="W70" t="s">
        <v>198</v>
      </c>
      <c r="X70" t="b">
        <v>0</v>
      </c>
      <c r="Y70" t="b">
        <v>0</v>
      </c>
    </row>
    <row r="71" spans="1:25">
      <c r="A71">
        <v>700</v>
      </c>
      <c r="B71">
        <v>70</v>
      </c>
      <c r="C71" t="s">
        <v>199</v>
      </c>
      <c r="D71">
        <v>72</v>
      </c>
      <c r="E71">
        <v>700</v>
      </c>
      <c r="F71">
        <v>52.9</v>
      </c>
      <c r="G71">
        <v>113</v>
      </c>
      <c r="H71">
        <v>64.3</v>
      </c>
      <c r="I71">
        <v>70</v>
      </c>
      <c r="J71">
        <v>89.1</v>
      </c>
      <c r="K71">
        <v>136</v>
      </c>
      <c r="L71">
        <v>99.8</v>
      </c>
      <c r="M71">
        <v>43</v>
      </c>
      <c r="N71">
        <v>94</v>
      </c>
      <c r="O71">
        <v>64</v>
      </c>
      <c r="P71" t="s">
        <v>116</v>
      </c>
      <c r="Q71" s="1">
        <v>42847</v>
      </c>
      <c r="R71">
        <v>39.1</v>
      </c>
      <c r="S71" s="2">
        <v>0.42</v>
      </c>
      <c r="T71" s="3">
        <v>2.3229166666666665</v>
      </c>
      <c r="U71" s="2">
        <v>0.21</v>
      </c>
      <c r="V71" t="s">
        <v>200</v>
      </c>
      <c r="W71" t="s">
        <v>201</v>
      </c>
      <c r="X71" t="b">
        <v>0</v>
      </c>
      <c r="Y71" t="b">
        <v>0</v>
      </c>
    </row>
    <row r="72" spans="1:25">
      <c r="A72">
        <v>710</v>
      </c>
      <c r="B72">
        <v>71</v>
      </c>
      <c r="C72" t="s">
        <v>202</v>
      </c>
      <c r="D72">
        <v>71.3</v>
      </c>
      <c r="E72">
        <v>710</v>
      </c>
      <c r="F72">
        <v>71</v>
      </c>
      <c r="G72">
        <v>39</v>
      </c>
      <c r="H72">
        <v>61.6</v>
      </c>
      <c r="I72">
        <v>79</v>
      </c>
      <c r="J72">
        <v>70.8</v>
      </c>
      <c r="K72">
        <v>543</v>
      </c>
      <c r="L72">
        <v>98.8</v>
      </c>
      <c r="M72">
        <v>71</v>
      </c>
      <c r="N72">
        <v>97.1</v>
      </c>
      <c r="O72">
        <v>21</v>
      </c>
      <c r="P72" t="s">
        <v>125</v>
      </c>
      <c r="Q72" s="1">
        <v>6073</v>
      </c>
      <c r="R72">
        <v>6.8</v>
      </c>
      <c r="S72" s="2">
        <v>0.42</v>
      </c>
      <c r="T72" t="s">
        <v>162</v>
      </c>
      <c r="U72" s="2">
        <v>0.47</v>
      </c>
      <c r="V72" t="s">
        <v>202</v>
      </c>
      <c r="W72" t="s">
        <v>203</v>
      </c>
      <c r="X72" t="b">
        <v>0</v>
      </c>
      <c r="Y72" t="b">
        <v>0</v>
      </c>
    </row>
    <row r="73" spans="1:25">
      <c r="A73">
        <v>720</v>
      </c>
      <c r="B73">
        <v>72</v>
      </c>
      <c r="C73" t="s">
        <v>204</v>
      </c>
      <c r="D73">
        <v>71.2</v>
      </c>
      <c r="E73">
        <v>720</v>
      </c>
      <c r="F73">
        <v>63.4</v>
      </c>
      <c r="G73">
        <v>64</v>
      </c>
      <c r="H73">
        <v>60.3</v>
      </c>
      <c r="I73">
        <v>83</v>
      </c>
      <c r="J73">
        <v>93.9</v>
      </c>
      <c r="K73">
        <v>60</v>
      </c>
      <c r="L73">
        <v>75.8</v>
      </c>
      <c r="M73">
        <v>321</v>
      </c>
      <c r="N73">
        <v>50.9</v>
      </c>
      <c r="O73">
        <v>777</v>
      </c>
      <c r="P73" t="s">
        <v>29</v>
      </c>
      <c r="Q73" s="1">
        <v>30782</v>
      </c>
      <c r="R73">
        <v>7.7</v>
      </c>
      <c r="S73" s="2">
        <v>0.08</v>
      </c>
      <c r="T73" s="3">
        <v>2.5277777777777777</v>
      </c>
      <c r="U73" s="2">
        <v>0.12</v>
      </c>
      <c r="V73" t="s">
        <v>204</v>
      </c>
      <c r="W73" t="s">
        <v>205</v>
      </c>
      <c r="X73" t="b">
        <v>0</v>
      </c>
      <c r="Y73" t="b">
        <v>0</v>
      </c>
    </row>
    <row r="74" spans="1:25">
      <c r="A74">
        <v>730</v>
      </c>
      <c r="B74">
        <v>73</v>
      </c>
      <c r="C74" t="s">
        <v>206</v>
      </c>
      <c r="D74">
        <v>70.900000000000006</v>
      </c>
      <c r="E74">
        <v>730</v>
      </c>
      <c r="F74">
        <v>64</v>
      </c>
      <c r="G74">
        <v>59</v>
      </c>
      <c r="H74">
        <v>61.7</v>
      </c>
      <c r="I74">
        <v>78</v>
      </c>
      <c r="J74">
        <v>85.3</v>
      </c>
      <c r="K74">
        <v>203</v>
      </c>
      <c r="L74">
        <v>96.8</v>
      </c>
      <c r="M74">
        <v>97</v>
      </c>
      <c r="N74">
        <v>61.8</v>
      </c>
      <c r="O74">
        <v>545</v>
      </c>
      <c r="P74" t="s">
        <v>54</v>
      </c>
      <c r="Q74" s="1">
        <v>36711</v>
      </c>
      <c r="R74">
        <v>16.7</v>
      </c>
      <c r="S74" s="2">
        <v>0.08</v>
      </c>
      <c r="T74" s="3">
        <v>2.2819444444444446</v>
      </c>
      <c r="U74" s="2">
        <v>0.41</v>
      </c>
      <c r="V74" t="s">
        <v>206</v>
      </c>
      <c r="W74" t="s">
        <v>207</v>
      </c>
      <c r="X74" t="b">
        <v>0</v>
      </c>
      <c r="Y74" t="b">
        <v>0</v>
      </c>
    </row>
    <row r="75" spans="1:25">
      <c r="A75">
        <v>740</v>
      </c>
      <c r="B75">
        <v>74</v>
      </c>
      <c r="C75" t="s">
        <v>208</v>
      </c>
      <c r="D75">
        <v>70.8</v>
      </c>
      <c r="E75">
        <v>740</v>
      </c>
      <c r="F75">
        <v>59.2</v>
      </c>
      <c r="G75">
        <v>79</v>
      </c>
      <c r="H75">
        <v>58.8</v>
      </c>
      <c r="I75">
        <v>90</v>
      </c>
      <c r="J75">
        <v>92.5</v>
      </c>
      <c r="K75">
        <v>85</v>
      </c>
      <c r="L75">
        <v>74.400000000000006</v>
      </c>
      <c r="M75">
        <v>345</v>
      </c>
      <c r="N75">
        <v>74.3</v>
      </c>
      <c r="O75">
        <v>346</v>
      </c>
      <c r="P75" t="s">
        <v>29</v>
      </c>
      <c r="Q75" s="1">
        <v>44083</v>
      </c>
      <c r="R75">
        <v>14.2</v>
      </c>
      <c r="S75" s="2">
        <v>0.24</v>
      </c>
      <c r="T75" s="3">
        <v>2.0770833333333334</v>
      </c>
      <c r="U75" s="2">
        <v>0.2</v>
      </c>
      <c r="V75" t="s">
        <v>208</v>
      </c>
      <c r="W75" t="s">
        <v>209</v>
      </c>
      <c r="X75" t="b">
        <v>0</v>
      </c>
      <c r="Y75" t="b">
        <v>0</v>
      </c>
    </row>
    <row r="76" spans="1:25">
      <c r="A76">
        <v>750</v>
      </c>
      <c r="B76">
        <v>75</v>
      </c>
      <c r="C76" t="s">
        <v>210</v>
      </c>
      <c r="D76">
        <v>70.5</v>
      </c>
      <c r="E76">
        <v>750</v>
      </c>
      <c r="F76">
        <v>64.7</v>
      </c>
      <c r="G76">
        <v>58</v>
      </c>
      <c r="H76">
        <v>60.8</v>
      </c>
      <c r="I76">
        <v>81</v>
      </c>
      <c r="J76">
        <v>83.7</v>
      </c>
      <c r="K76">
        <v>242</v>
      </c>
      <c r="L76">
        <v>69.5</v>
      </c>
      <c r="M76">
        <v>444</v>
      </c>
      <c r="N76">
        <v>78.8</v>
      </c>
      <c r="O76">
        <v>270</v>
      </c>
      <c r="P76" t="s">
        <v>125</v>
      </c>
      <c r="Q76" s="1">
        <v>41527</v>
      </c>
      <c r="R76">
        <v>14.5</v>
      </c>
      <c r="S76" s="2">
        <v>0.22</v>
      </c>
      <c r="T76" s="3">
        <v>2.5277777777777777</v>
      </c>
      <c r="U76" s="2">
        <v>0.32</v>
      </c>
      <c r="V76" t="s">
        <v>210</v>
      </c>
      <c r="W76" t="s">
        <v>211</v>
      </c>
      <c r="X76" t="b">
        <v>0</v>
      </c>
      <c r="Y76" t="b">
        <v>0</v>
      </c>
    </row>
    <row r="77" spans="1:25">
      <c r="A77">
        <v>760</v>
      </c>
      <c r="B77">
        <v>76</v>
      </c>
      <c r="C77" t="s">
        <v>212</v>
      </c>
      <c r="D77">
        <v>70.400000000000006</v>
      </c>
      <c r="E77">
        <v>760</v>
      </c>
      <c r="F77">
        <v>68.099999999999994</v>
      </c>
      <c r="G77">
        <v>47</v>
      </c>
      <c r="H77">
        <v>64.3</v>
      </c>
      <c r="I77">
        <v>71</v>
      </c>
      <c r="J77">
        <v>79.3</v>
      </c>
      <c r="K77">
        <v>339</v>
      </c>
      <c r="L77">
        <v>99.9</v>
      </c>
      <c r="M77">
        <v>39</v>
      </c>
      <c r="N77">
        <v>51.8</v>
      </c>
      <c r="O77">
        <v>749</v>
      </c>
      <c r="P77" t="s">
        <v>181</v>
      </c>
      <c r="Q77" s="1">
        <v>18961</v>
      </c>
      <c r="R77">
        <v>13.9</v>
      </c>
      <c r="S77" s="2">
        <v>0.17</v>
      </c>
      <c r="T77" s="3">
        <v>2.0770833333333334</v>
      </c>
      <c r="U77" s="2">
        <v>0.21</v>
      </c>
      <c r="V77" t="s">
        <v>213</v>
      </c>
      <c r="W77" t="s">
        <v>214</v>
      </c>
      <c r="X77" t="b">
        <v>0</v>
      </c>
      <c r="Y77" t="b">
        <v>0</v>
      </c>
    </row>
    <row r="78" spans="1:25">
      <c r="A78">
        <v>770</v>
      </c>
      <c r="B78">
        <v>77</v>
      </c>
      <c r="C78" t="s">
        <v>215</v>
      </c>
      <c r="D78">
        <v>70.2</v>
      </c>
      <c r="E78">
        <v>770</v>
      </c>
      <c r="F78">
        <v>46</v>
      </c>
      <c r="G78">
        <v>189</v>
      </c>
      <c r="H78">
        <v>62.7</v>
      </c>
      <c r="I78">
        <v>75</v>
      </c>
      <c r="J78">
        <v>93</v>
      </c>
      <c r="K78">
        <v>75</v>
      </c>
      <c r="L78">
        <v>98.1</v>
      </c>
      <c r="M78">
        <v>87</v>
      </c>
      <c r="N78">
        <v>87.8</v>
      </c>
      <c r="O78">
        <v>154</v>
      </c>
      <c r="P78" t="s">
        <v>144</v>
      </c>
      <c r="Q78" s="1">
        <v>35072</v>
      </c>
      <c r="R78">
        <v>19.3</v>
      </c>
      <c r="S78" s="2">
        <v>0.21</v>
      </c>
      <c r="T78" s="3">
        <v>2.5277777777777777</v>
      </c>
      <c r="U78" s="2">
        <v>0.24</v>
      </c>
      <c r="V78" t="s">
        <v>215</v>
      </c>
      <c r="W78" t="s">
        <v>216</v>
      </c>
      <c r="X78" t="b">
        <v>0</v>
      </c>
      <c r="Y78" t="b">
        <v>0</v>
      </c>
    </row>
    <row r="79" spans="1:25">
      <c r="A79">
        <v>780</v>
      </c>
      <c r="B79">
        <v>78</v>
      </c>
      <c r="C79" t="s">
        <v>217</v>
      </c>
      <c r="D79">
        <v>70.099999999999994</v>
      </c>
      <c r="E79">
        <v>780</v>
      </c>
      <c r="F79">
        <v>59.6</v>
      </c>
      <c r="G79">
        <v>76</v>
      </c>
      <c r="H79">
        <v>54.1</v>
      </c>
      <c r="I79">
        <v>115</v>
      </c>
      <c r="J79">
        <v>94.3</v>
      </c>
      <c r="K79">
        <v>56</v>
      </c>
      <c r="L79">
        <v>76.400000000000006</v>
      </c>
      <c r="M79">
        <v>311</v>
      </c>
      <c r="N79">
        <v>74.099999999999994</v>
      </c>
      <c r="O79">
        <v>348</v>
      </c>
      <c r="P79" t="s">
        <v>29</v>
      </c>
      <c r="Q79" s="1">
        <v>26677</v>
      </c>
      <c r="R79">
        <v>10.8</v>
      </c>
      <c r="S79" s="2">
        <v>0.28999999999999998</v>
      </c>
      <c r="T79" s="3">
        <v>2.4458333333333333</v>
      </c>
      <c r="U79" s="2">
        <v>0.16</v>
      </c>
      <c r="V79" t="s">
        <v>217</v>
      </c>
      <c r="W79" t="s">
        <v>218</v>
      </c>
      <c r="X79" t="b">
        <v>0</v>
      </c>
      <c r="Y79" t="b">
        <v>0</v>
      </c>
    </row>
    <row r="80" spans="1:25">
      <c r="A80">
        <v>790</v>
      </c>
      <c r="B80">
        <v>79</v>
      </c>
      <c r="C80" t="s">
        <v>219</v>
      </c>
      <c r="D80">
        <v>70</v>
      </c>
      <c r="E80">
        <v>790</v>
      </c>
      <c r="F80">
        <v>47.5</v>
      </c>
      <c r="G80">
        <v>165</v>
      </c>
      <c r="H80">
        <v>57.2</v>
      </c>
      <c r="I80">
        <v>100</v>
      </c>
      <c r="J80">
        <v>94.5</v>
      </c>
      <c r="K80">
        <v>52</v>
      </c>
      <c r="L80">
        <v>99.9</v>
      </c>
      <c r="M80">
        <v>30</v>
      </c>
      <c r="N80">
        <v>93.4</v>
      </c>
      <c r="O80">
        <v>75</v>
      </c>
      <c r="P80" t="s">
        <v>144</v>
      </c>
      <c r="Q80" s="1">
        <v>31942</v>
      </c>
      <c r="R80">
        <v>28.8</v>
      </c>
      <c r="S80" s="2">
        <v>0.28999999999999998</v>
      </c>
      <c r="T80" s="3">
        <v>2.2409722222222221</v>
      </c>
      <c r="U80" s="2">
        <v>0.17</v>
      </c>
      <c r="V80" t="s">
        <v>219</v>
      </c>
      <c r="W80" t="s">
        <v>220</v>
      </c>
      <c r="X80" t="b">
        <v>0</v>
      </c>
      <c r="Y80" t="b">
        <v>0</v>
      </c>
    </row>
    <row r="81" spans="1:25">
      <c r="A81">
        <v>800</v>
      </c>
      <c r="B81">
        <v>80</v>
      </c>
      <c r="C81" t="s">
        <v>221</v>
      </c>
      <c r="D81">
        <v>69.900000000000006</v>
      </c>
      <c r="E81">
        <v>800</v>
      </c>
      <c r="F81">
        <v>54.8</v>
      </c>
      <c r="G81">
        <v>103</v>
      </c>
      <c r="H81">
        <v>53.4</v>
      </c>
      <c r="I81">
        <v>121</v>
      </c>
      <c r="J81">
        <v>91.8</v>
      </c>
      <c r="K81">
        <v>96</v>
      </c>
      <c r="L81">
        <v>93.7</v>
      </c>
      <c r="M81">
        <v>131</v>
      </c>
      <c r="N81">
        <v>92.4</v>
      </c>
      <c r="O81">
        <v>97</v>
      </c>
      <c r="P81" t="s">
        <v>50</v>
      </c>
      <c r="Q81" s="1">
        <v>25608</v>
      </c>
      <c r="R81">
        <v>14.7</v>
      </c>
      <c r="S81" s="2">
        <v>0.24</v>
      </c>
      <c r="T81" s="3">
        <v>2.4458333333333333</v>
      </c>
      <c r="U81" s="2">
        <v>0.19</v>
      </c>
      <c r="V81" t="s">
        <v>221</v>
      </c>
      <c r="W81" t="s">
        <v>222</v>
      </c>
      <c r="X81" t="b">
        <v>0</v>
      </c>
      <c r="Y81" t="b">
        <v>0</v>
      </c>
    </row>
    <row r="82" spans="1:25">
      <c r="A82">
        <v>810</v>
      </c>
      <c r="B82">
        <v>81</v>
      </c>
      <c r="C82" t="s">
        <v>223</v>
      </c>
      <c r="D82">
        <v>69.8</v>
      </c>
      <c r="E82">
        <v>810</v>
      </c>
      <c r="F82">
        <v>48.7</v>
      </c>
      <c r="G82">
        <v>148</v>
      </c>
      <c r="H82">
        <v>56.5</v>
      </c>
      <c r="I82">
        <v>105</v>
      </c>
      <c r="J82">
        <v>97.3</v>
      </c>
      <c r="K82">
        <v>26</v>
      </c>
      <c r="L82">
        <v>72.3</v>
      </c>
      <c r="M82">
        <v>378</v>
      </c>
      <c r="N82">
        <v>92.5</v>
      </c>
      <c r="O82">
        <v>91</v>
      </c>
      <c r="P82" t="s">
        <v>26</v>
      </c>
      <c r="Q82" s="1">
        <v>27335</v>
      </c>
      <c r="R82">
        <v>14.8</v>
      </c>
      <c r="S82" s="2">
        <v>0.31</v>
      </c>
      <c r="T82" s="3">
        <v>2.3229166666666665</v>
      </c>
      <c r="U82" s="2">
        <v>0.27</v>
      </c>
      <c r="V82" t="s">
        <v>223</v>
      </c>
      <c r="W82" t="s">
        <v>224</v>
      </c>
      <c r="X82" t="b">
        <v>0</v>
      </c>
      <c r="Y82" t="b">
        <v>0</v>
      </c>
    </row>
    <row r="83" spans="1:25">
      <c r="A83">
        <v>820</v>
      </c>
      <c r="B83">
        <v>82</v>
      </c>
      <c r="C83" t="s">
        <v>225</v>
      </c>
      <c r="D83">
        <v>69.3</v>
      </c>
      <c r="E83">
        <v>820</v>
      </c>
      <c r="F83">
        <v>52.2</v>
      </c>
      <c r="G83">
        <v>116</v>
      </c>
      <c r="H83">
        <v>52.4</v>
      </c>
      <c r="I83">
        <v>124</v>
      </c>
      <c r="J83">
        <v>91.1</v>
      </c>
      <c r="K83">
        <v>105</v>
      </c>
      <c r="L83">
        <v>100</v>
      </c>
      <c r="M83">
        <v>4</v>
      </c>
      <c r="N83">
        <v>98.7</v>
      </c>
      <c r="O83">
        <v>2</v>
      </c>
      <c r="P83" t="s">
        <v>110</v>
      </c>
      <c r="Q83" s="1">
        <v>9076</v>
      </c>
      <c r="R83">
        <v>13.2</v>
      </c>
      <c r="S83" s="2">
        <v>0.67</v>
      </c>
      <c r="T83" s="3">
        <v>2.2819444444444446</v>
      </c>
      <c r="U83" s="2">
        <v>0.39</v>
      </c>
      <c r="V83" t="s">
        <v>226</v>
      </c>
      <c r="W83" t="s">
        <v>227</v>
      </c>
      <c r="X83" t="b">
        <v>0</v>
      </c>
      <c r="Y83" t="b">
        <v>0</v>
      </c>
    </row>
    <row r="84" spans="1:25">
      <c r="A84">
        <v>830</v>
      </c>
      <c r="B84">
        <v>83</v>
      </c>
      <c r="C84" t="s">
        <v>228</v>
      </c>
      <c r="D84">
        <v>69.2</v>
      </c>
      <c r="E84">
        <v>830</v>
      </c>
      <c r="F84">
        <v>67.099999999999994</v>
      </c>
      <c r="G84">
        <v>50</v>
      </c>
      <c r="H84">
        <v>65.8</v>
      </c>
      <c r="I84">
        <v>64</v>
      </c>
      <c r="J84">
        <v>77.400000000000006</v>
      </c>
      <c r="K84">
        <v>383</v>
      </c>
      <c r="L84">
        <v>100</v>
      </c>
      <c r="M84">
        <v>12</v>
      </c>
      <c r="N84">
        <v>41.6</v>
      </c>
      <c r="O84">
        <v>1066</v>
      </c>
      <c r="P84" t="s">
        <v>181</v>
      </c>
      <c r="Q84" s="1">
        <v>10130</v>
      </c>
      <c r="R84">
        <v>10.7</v>
      </c>
      <c r="S84" s="2">
        <v>0.08</v>
      </c>
      <c r="T84">
        <v>0.92986111111111114</v>
      </c>
      <c r="U84" s="2">
        <v>0.4</v>
      </c>
      <c r="V84" t="s">
        <v>228</v>
      </c>
      <c r="W84" t="s">
        <v>229</v>
      </c>
      <c r="X84" t="b">
        <v>0</v>
      </c>
      <c r="Y84" t="b">
        <v>0</v>
      </c>
    </row>
    <row r="85" spans="1:25">
      <c r="A85">
        <v>840</v>
      </c>
      <c r="B85">
        <v>84</v>
      </c>
      <c r="C85" t="s">
        <v>230</v>
      </c>
      <c r="D85">
        <v>68.900000000000006</v>
      </c>
      <c r="E85">
        <v>840</v>
      </c>
      <c r="F85">
        <v>47.2</v>
      </c>
      <c r="G85">
        <v>173</v>
      </c>
      <c r="H85">
        <v>57.4</v>
      </c>
      <c r="I85">
        <v>98</v>
      </c>
      <c r="J85">
        <v>91.1</v>
      </c>
      <c r="K85">
        <v>107</v>
      </c>
      <c r="L85">
        <v>98.6</v>
      </c>
      <c r="M85">
        <v>80</v>
      </c>
      <c r="N85">
        <v>94.5</v>
      </c>
      <c r="O85">
        <v>59</v>
      </c>
      <c r="P85" t="s">
        <v>116</v>
      </c>
      <c r="Q85" s="1">
        <v>47044</v>
      </c>
      <c r="R85">
        <v>36.6</v>
      </c>
      <c r="S85" s="2">
        <v>0.4</v>
      </c>
      <c r="T85" s="3">
        <v>1.9951388888888888</v>
      </c>
      <c r="U85" s="2">
        <v>0.26</v>
      </c>
      <c r="V85" t="s">
        <v>231</v>
      </c>
      <c r="W85" t="s">
        <v>232</v>
      </c>
      <c r="X85" t="b">
        <v>0</v>
      </c>
      <c r="Y85" t="b">
        <v>0</v>
      </c>
    </row>
    <row r="86" spans="1:25">
      <c r="A86">
        <v>850</v>
      </c>
      <c r="B86">
        <v>85</v>
      </c>
      <c r="C86" t="s">
        <v>233</v>
      </c>
      <c r="D86">
        <v>68.7</v>
      </c>
      <c r="E86">
        <v>850</v>
      </c>
      <c r="F86">
        <v>61</v>
      </c>
      <c r="G86">
        <v>70</v>
      </c>
      <c r="H86">
        <v>58.5</v>
      </c>
      <c r="I86">
        <v>92</v>
      </c>
      <c r="J86">
        <v>87.2</v>
      </c>
      <c r="K86">
        <v>171</v>
      </c>
      <c r="L86">
        <v>99.8</v>
      </c>
      <c r="M86">
        <v>42</v>
      </c>
      <c r="N86">
        <v>48.3</v>
      </c>
      <c r="O86">
        <v>859</v>
      </c>
      <c r="P86" t="s">
        <v>29</v>
      </c>
      <c r="Q86" s="1">
        <v>59556</v>
      </c>
      <c r="R86">
        <v>11.8</v>
      </c>
      <c r="S86" s="2">
        <v>0.09</v>
      </c>
      <c r="T86" s="3">
        <v>2.3229166666666665</v>
      </c>
      <c r="U86" s="2">
        <v>0.22</v>
      </c>
      <c r="V86" t="s">
        <v>233</v>
      </c>
      <c r="W86" t="s">
        <v>234</v>
      </c>
      <c r="X86" t="b">
        <v>0</v>
      </c>
      <c r="Y86" t="b">
        <v>0</v>
      </c>
    </row>
    <row r="87" spans="1:25">
      <c r="A87">
        <v>860</v>
      </c>
      <c r="B87">
        <v>86</v>
      </c>
      <c r="C87" t="s">
        <v>235</v>
      </c>
      <c r="D87">
        <v>68.5</v>
      </c>
      <c r="E87">
        <v>860</v>
      </c>
      <c r="F87">
        <v>64</v>
      </c>
      <c r="G87">
        <v>60</v>
      </c>
      <c r="H87">
        <v>65.3</v>
      </c>
      <c r="I87">
        <v>66</v>
      </c>
      <c r="J87">
        <v>71.8</v>
      </c>
      <c r="K87">
        <v>517</v>
      </c>
      <c r="L87">
        <v>84.3</v>
      </c>
      <c r="M87">
        <v>215</v>
      </c>
      <c r="N87">
        <v>76.7</v>
      </c>
      <c r="O87">
        <v>303</v>
      </c>
      <c r="P87" t="s">
        <v>29</v>
      </c>
      <c r="Q87" s="1">
        <v>42633</v>
      </c>
      <c r="R87">
        <v>18.3</v>
      </c>
      <c r="S87" s="2">
        <v>0.17</v>
      </c>
      <c r="T87" s="3">
        <v>1.8722222222222222</v>
      </c>
      <c r="U87" s="2">
        <v>0.37</v>
      </c>
      <c r="V87" t="s">
        <v>235</v>
      </c>
      <c r="W87" t="s">
        <v>236</v>
      </c>
      <c r="X87" t="b">
        <v>0</v>
      </c>
      <c r="Y87" t="b">
        <v>0</v>
      </c>
    </row>
    <row r="88" spans="1:25">
      <c r="A88">
        <v>870</v>
      </c>
      <c r="B88">
        <f>87</f>
        <v>87</v>
      </c>
      <c r="C88" t="s">
        <v>237</v>
      </c>
      <c r="D88">
        <v>68.2</v>
      </c>
      <c r="E88">
        <v>870</v>
      </c>
      <c r="F88">
        <v>48.1</v>
      </c>
      <c r="G88">
        <v>156</v>
      </c>
      <c r="H88">
        <v>51.8</v>
      </c>
      <c r="I88">
        <v>128</v>
      </c>
      <c r="J88">
        <v>96.8</v>
      </c>
      <c r="K88">
        <v>32</v>
      </c>
      <c r="L88">
        <v>69.7</v>
      </c>
      <c r="M88">
        <v>438</v>
      </c>
      <c r="N88">
        <v>96.1</v>
      </c>
      <c r="O88">
        <v>30</v>
      </c>
      <c r="P88" t="s">
        <v>26</v>
      </c>
      <c r="Q88" s="1">
        <v>32270</v>
      </c>
      <c r="R88">
        <v>14.4</v>
      </c>
      <c r="S88" s="2">
        <v>0.43</v>
      </c>
      <c r="T88" s="3">
        <v>2.4868055555555557</v>
      </c>
      <c r="U88" s="2">
        <v>0.23</v>
      </c>
      <c r="V88" t="s">
        <v>237</v>
      </c>
      <c r="W88" t="s">
        <v>238</v>
      </c>
      <c r="X88" t="b">
        <v>0</v>
      </c>
      <c r="Y88" t="b">
        <v>0</v>
      </c>
    </row>
    <row r="89" spans="1:25">
      <c r="A89">
        <v>880</v>
      </c>
      <c r="B89">
        <f>87</f>
        <v>87</v>
      </c>
      <c r="C89" t="s">
        <v>239</v>
      </c>
      <c r="D89">
        <v>68.2</v>
      </c>
      <c r="E89">
        <v>880</v>
      </c>
      <c r="F89">
        <v>45.7</v>
      </c>
      <c r="G89">
        <v>192</v>
      </c>
      <c r="H89">
        <v>54.1</v>
      </c>
      <c r="I89">
        <v>117</v>
      </c>
      <c r="J89">
        <v>94.5</v>
      </c>
      <c r="K89">
        <v>53</v>
      </c>
      <c r="L89">
        <v>87.4</v>
      </c>
      <c r="M89">
        <v>181</v>
      </c>
      <c r="N89">
        <v>96.3</v>
      </c>
      <c r="O89">
        <v>29</v>
      </c>
      <c r="P89" t="s">
        <v>110</v>
      </c>
      <c r="Q89" s="1">
        <v>20034</v>
      </c>
      <c r="R89">
        <v>30.6</v>
      </c>
      <c r="S89" s="2">
        <v>0.3</v>
      </c>
      <c r="T89" s="3">
        <v>2.1590277777777778</v>
      </c>
      <c r="U89" s="2">
        <v>0.38</v>
      </c>
      <c r="V89" t="s">
        <v>240</v>
      </c>
      <c r="W89" t="s">
        <v>241</v>
      </c>
      <c r="X89" t="b">
        <v>0</v>
      </c>
      <c r="Y89" t="b">
        <v>0</v>
      </c>
    </row>
    <row r="90" spans="1:25">
      <c r="A90">
        <v>890</v>
      </c>
      <c r="B90">
        <f>87</f>
        <v>87</v>
      </c>
      <c r="C90" t="s">
        <v>242</v>
      </c>
      <c r="D90">
        <v>68.2</v>
      </c>
      <c r="E90">
        <v>890</v>
      </c>
      <c r="F90">
        <v>55.3</v>
      </c>
      <c r="G90">
        <v>95</v>
      </c>
      <c r="H90">
        <v>63.7</v>
      </c>
      <c r="I90">
        <v>72</v>
      </c>
      <c r="J90">
        <v>82.8</v>
      </c>
      <c r="K90">
        <v>263</v>
      </c>
      <c r="L90">
        <v>65.400000000000006</v>
      </c>
      <c r="M90">
        <v>540</v>
      </c>
      <c r="N90">
        <v>79</v>
      </c>
      <c r="O90">
        <v>265</v>
      </c>
      <c r="P90" t="s">
        <v>99</v>
      </c>
      <c r="Q90" s="1">
        <v>34761</v>
      </c>
      <c r="R90">
        <v>54.5</v>
      </c>
      <c r="S90" s="2">
        <v>0.18</v>
      </c>
      <c r="U90" s="2">
        <v>0.23</v>
      </c>
      <c r="V90" t="s">
        <v>242</v>
      </c>
      <c r="W90" t="s">
        <v>243</v>
      </c>
      <c r="X90" t="b">
        <v>0</v>
      </c>
      <c r="Y90" t="b">
        <v>0</v>
      </c>
    </row>
    <row r="91" spans="1:25">
      <c r="A91">
        <v>900</v>
      </c>
      <c r="B91">
        <v>90</v>
      </c>
      <c r="C91" t="s">
        <v>244</v>
      </c>
      <c r="D91">
        <v>68</v>
      </c>
      <c r="E91">
        <v>900</v>
      </c>
      <c r="F91">
        <v>54.9</v>
      </c>
      <c r="G91">
        <v>101</v>
      </c>
      <c r="H91">
        <v>64.8</v>
      </c>
      <c r="I91">
        <v>67</v>
      </c>
      <c r="J91">
        <v>78.900000000000006</v>
      </c>
      <c r="K91">
        <v>347</v>
      </c>
      <c r="L91">
        <v>100</v>
      </c>
      <c r="M91">
        <v>22</v>
      </c>
      <c r="N91">
        <v>71.2</v>
      </c>
      <c r="O91">
        <v>391</v>
      </c>
      <c r="P91" t="s">
        <v>99</v>
      </c>
      <c r="Q91" s="1">
        <v>34914</v>
      </c>
      <c r="R91">
        <v>43.3</v>
      </c>
      <c r="S91" s="2">
        <v>0.28999999999999998</v>
      </c>
      <c r="T91" t="s">
        <v>113</v>
      </c>
      <c r="U91" s="2">
        <v>0.39</v>
      </c>
      <c r="V91" t="s">
        <v>244</v>
      </c>
      <c r="W91" t="s">
        <v>245</v>
      </c>
      <c r="X91" t="b">
        <v>0</v>
      </c>
      <c r="Y91" t="b">
        <v>0</v>
      </c>
    </row>
    <row r="92" spans="1:25">
      <c r="A92">
        <v>910</v>
      </c>
      <c r="B92">
        <v>91</v>
      </c>
      <c r="C92" t="s">
        <v>246</v>
      </c>
      <c r="D92">
        <v>67.8</v>
      </c>
      <c r="E92">
        <v>910</v>
      </c>
      <c r="F92">
        <v>51.7</v>
      </c>
      <c r="G92">
        <v>120</v>
      </c>
      <c r="H92">
        <v>57.7</v>
      </c>
      <c r="I92">
        <v>96</v>
      </c>
      <c r="J92">
        <v>89.7</v>
      </c>
      <c r="K92">
        <v>129</v>
      </c>
      <c r="L92">
        <v>82.6</v>
      </c>
      <c r="M92">
        <v>233</v>
      </c>
      <c r="N92">
        <v>73.8</v>
      </c>
      <c r="O92">
        <v>353</v>
      </c>
      <c r="P92" t="s">
        <v>99</v>
      </c>
      <c r="Q92" s="1">
        <v>26290</v>
      </c>
      <c r="R92">
        <v>44.5</v>
      </c>
      <c r="S92" s="2">
        <v>0.17</v>
      </c>
      <c r="T92" s="3">
        <v>2.4048611111111109</v>
      </c>
      <c r="U92" s="2">
        <v>0.26</v>
      </c>
      <c r="V92" t="s">
        <v>246</v>
      </c>
      <c r="W92" t="s">
        <v>247</v>
      </c>
      <c r="X92" t="b">
        <v>0</v>
      </c>
      <c r="Y92" t="b">
        <v>0</v>
      </c>
    </row>
    <row r="93" spans="1:25">
      <c r="A93">
        <v>920</v>
      </c>
      <c r="B93">
        <f>92</f>
        <v>92</v>
      </c>
      <c r="C93" t="s">
        <v>248</v>
      </c>
      <c r="D93">
        <v>67.400000000000006</v>
      </c>
      <c r="E93">
        <v>920</v>
      </c>
      <c r="F93">
        <v>47.1</v>
      </c>
      <c r="G93">
        <v>174</v>
      </c>
      <c r="H93">
        <v>53.8</v>
      </c>
      <c r="I93">
        <v>119</v>
      </c>
      <c r="J93">
        <v>93.2</v>
      </c>
      <c r="K93">
        <v>72</v>
      </c>
      <c r="L93">
        <v>96.1</v>
      </c>
      <c r="M93">
        <v>102</v>
      </c>
      <c r="N93">
        <v>80.900000000000006</v>
      </c>
      <c r="O93">
        <v>243</v>
      </c>
      <c r="P93" t="s">
        <v>29</v>
      </c>
      <c r="Q93" s="1">
        <v>35675</v>
      </c>
      <c r="R93">
        <v>16.2</v>
      </c>
      <c r="S93" s="2">
        <v>0.26</v>
      </c>
      <c r="T93" s="3">
        <v>2.2409722222222221</v>
      </c>
      <c r="U93" s="2">
        <v>0.25</v>
      </c>
      <c r="V93" t="s">
        <v>248</v>
      </c>
      <c r="W93" t="s">
        <v>249</v>
      </c>
      <c r="X93" t="b">
        <v>0</v>
      </c>
      <c r="Y93" t="b">
        <v>0</v>
      </c>
    </row>
    <row r="94" spans="1:25">
      <c r="A94">
        <v>930</v>
      </c>
      <c r="B94">
        <f>92</f>
        <v>92</v>
      </c>
      <c r="C94" t="s">
        <v>250</v>
      </c>
      <c r="D94">
        <v>67.400000000000006</v>
      </c>
      <c r="E94">
        <v>930</v>
      </c>
      <c r="F94">
        <v>54.1</v>
      </c>
      <c r="G94">
        <v>104</v>
      </c>
      <c r="H94">
        <v>48.5</v>
      </c>
      <c r="I94">
        <v>153</v>
      </c>
      <c r="J94">
        <v>96</v>
      </c>
      <c r="K94">
        <v>37</v>
      </c>
      <c r="L94">
        <v>96.5</v>
      </c>
      <c r="M94">
        <v>99</v>
      </c>
      <c r="N94">
        <v>62.9</v>
      </c>
      <c r="O94">
        <v>522</v>
      </c>
      <c r="P94" t="s">
        <v>29</v>
      </c>
      <c r="Q94" s="1">
        <v>12971</v>
      </c>
      <c r="R94">
        <v>3.9</v>
      </c>
      <c r="S94" s="2">
        <v>0.17</v>
      </c>
      <c r="T94" s="3">
        <v>2.3229166666666665</v>
      </c>
      <c r="U94" s="2">
        <v>0.16</v>
      </c>
      <c r="V94" t="s">
        <v>250</v>
      </c>
      <c r="W94" t="s">
        <v>251</v>
      </c>
      <c r="X94" t="b">
        <v>0</v>
      </c>
      <c r="Y94" t="b">
        <v>0</v>
      </c>
    </row>
    <row r="95" spans="1:25">
      <c r="A95">
        <v>940</v>
      </c>
      <c r="B95">
        <v>94</v>
      </c>
      <c r="C95" t="s">
        <v>252</v>
      </c>
      <c r="D95">
        <v>67.2</v>
      </c>
      <c r="E95">
        <v>940</v>
      </c>
      <c r="F95">
        <v>47.5</v>
      </c>
      <c r="G95">
        <v>164</v>
      </c>
      <c r="H95">
        <v>49.1</v>
      </c>
      <c r="I95">
        <v>149</v>
      </c>
      <c r="J95">
        <v>97.7</v>
      </c>
      <c r="K95">
        <v>16</v>
      </c>
      <c r="L95">
        <v>100</v>
      </c>
      <c r="M95">
        <v>3</v>
      </c>
      <c r="N95">
        <v>75.2</v>
      </c>
      <c r="O95">
        <v>328</v>
      </c>
      <c r="P95" t="s">
        <v>99</v>
      </c>
      <c r="Q95" s="1">
        <v>8868</v>
      </c>
      <c r="R95">
        <v>17.5</v>
      </c>
      <c r="S95" s="2">
        <v>0.21</v>
      </c>
      <c r="T95" s="3">
        <v>2.7326388888888888</v>
      </c>
      <c r="U95" s="2">
        <v>0.06</v>
      </c>
      <c r="V95" t="s">
        <v>252</v>
      </c>
      <c r="W95" t="s">
        <v>253</v>
      </c>
      <c r="X95" t="b">
        <v>0</v>
      </c>
      <c r="Y95" t="b">
        <v>0</v>
      </c>
    </row>
    <row r="96" spans="1:25">
      <c r="A96">
        <v>950</v>
      </c>
      <c r="B96">
        <f>95</f>
        <v>95</v>
      </c>
      <c r="C96" t="s">
        <v>254</v>
      </c>
      <c r="D96">
        <v>67</v>
      </c>
      <c r="E96">
        <v>950</v>
      </c>
      <c r="F96">
        <v>87.5</v>
      </c>
      <c r="G96">
        <v>17</v>
      </c>
      <c r="H96">
        <v>75.2</v>
      </c>
      <c r="I96">
        <v>46</v>
      </c>
      <c r="J96">
        <v>33.9</v>
      </c>
      <c r="K96">
        <v>1354</v>
      </c>
      <c r="L96">
        <v>91.1</v>
      </c>
      <c r="M96">
        <v>155</v>
      </c>
      <c r="N96">
        <v>73.8</v>
      </c>
      <c r="O96">
        <v>355</v>
      </c>
      <c r="P96" t="s">
        <v>255</v>
      </c>
      <c r="Q96" s="1">
        <v>32680</v>
      </c>
      <c r="R96">
        <v>9.6</v>
      </c>
      <c r="S96" s="2">
        <v>0.37</v>
      </c>
      <c r="T96" s="3">
        <v>2.1180555555555554</v>
      </c>
      <c r="U96" s="2">
        <v>0.39</v>
      </c>
      <c r="V96" t="s">
        <v>254</v>
      </c>
      <c r="W96" t="s">
        <v>256</v>
      </c>
      <c r="X96" t="b">
        <v>0</v>
      </c>
      <c r="Y96" t="b">
        <v>0</v>
      </c>
    </row>
    <row r="97" spans="1:25">
      <c r="A97">
        <v>960</v>
      </c>
      <c r="B97">
        <f>95</f>
        <v>95</v>
      </c>
      <c r="C97" t="s">
        <v>257</v>
      </c>
      <c r="D97">
        <v>67</v>
      </c>
      <c r="E97">
        <v>960</v>
      </c>
      <c r="F97">
        <v>49.1</v>
      </c>
      <c r="G97">
        <v>142</v>
      </c>
      <c r="H97">
        <v>56.5</v>
      </c>
      <c r="I97">
        <v>106</v>
      </c>
      <c r="J97">
        <v>89</v>
      </c>
      <c r="K97">
        <v>138</v>
      </c>
      <c r="L97">
        <v>99.8</v>
      </c>
      <c r="M97">
        <v>45</v>
      </c>
      <c r="N97">
        <v>72</v>
      </c>
      <c r="O97">
        <v>376</v>
      </c>
      <c r="P97" t="s">
        <v>99</v>
      </c>
      <c r="Q97" s="1">
        <v>21632</v>
      </c>
      <c r="R97">
        <v>27.1</v>
      </c>
      <c r="S97" s="2">
        <v>0.14000000000000001</v>
      </c>
      <c r="T97" s="3">
        <v>2.4868055555555557</v>
      </c>
      <c r="U97" s="2">
        <v>0.21</v>
      </c>
      <c r="V97" t="s">
        <v>257</v>
      </c>
      <c r="W97" t="s">
        <v>258</v>
      </c>
      <c r="X97" t="b">
        <v>0</v>
      </c>
      <c r="Y97" t="b">
        <v>0</v>
      </c>
    </row>
    <row r="98" spans="1:25">
      <c r="A98">
        <v>970</v>
      </c>
      <c r="B98">
        <f>97</f>
        <v>97</v>
      </c>
      <c r="C98" t="s">
        <v>259</v>
      </c>
      <c r="D98">
        <v>66.900000000000006</v>
      </c>
      <c r="E98">
        <v>970</v>
      </c>
      <c r="F98">
        <v>53.5</v>
      </c>
      <c r="G98">
        <v>107</v>
      </c>
      <c r="H98">
        <v>57.8</v>
      </c>
      <c r="I98">
        <v>95</v>
      </c>
      <c r="J98">
        <v>81</v>
      </c>
      <c r="K98">
        <v>300</v>
      </c>
      <c r="L98">
        <v>97.7</v>
      </c>
      <c r="M98">
        <v>89</v>
      </c>
      <c r="N98">
        <v>82.5</v>
      </c>
      <c r="O98">
        <v>214</v>
      </c>
      <c r="P98" t="s">
        <v>150</v>
      </c>
      <c r="Q98" s="1">
        <v>13269</v>
      </c>
      <c r="R98">
        <v>15.9</v>
      </c>
      <c r="S98" s="2">
        <v>0.26</v>
      </c>
      <c r="T98" t="s">
        <v>113</v>
      </c>
      <c r="U98" s="2">
        <v>0.46</v>
      </c>
      <c r="V98" t="s">
        <v>259</v>
      </c>
      <c r="W98" t="s">
        <v>260</v>
      </c>
      <c r="X98" t="b">
        <v>0</v>
      </c>
      <c r="Y98" t="b">
        <v>0</v>
      </c>
    </row>
    <row r="99" spans="1:25">
      <c r="A99">
        <v>980</v>
      </c>
      <c r="B99">
        <f>97</f>
        <v>97</v>
      </c>
      <c r="C99" t="s">
        <v>261</v>
      </c>
      <c r="D99">
        <v>66.900000000000006</v>
      </c>
      <c r="E99">
        <v>980</v>
      </c>
      <c r="F99">
        <v>48.9</v>
      </c>
      <c r="G99">
        <v>143</v>
      </c>
      <c r="H99">
        <v>50.1</v>
      </c>
      <c r="I99">
        <v>140</v>
      </c>
      <c r="J99">
        <v>92.7</v>
      </c>
      <c r="K99">
        <v>82</v>
      </c>
      <c r="L99">
        <v>73.099999999999994</v>
      </c>
      <c r="M99">
        <v>368</v>
      </c>
      <c r="N99">
        <v>96.5</v>
      </c>
      <c r="O99">
        <v>26</v>
      </c>
      <c r="P99" t="s">
        <v>26</v>
      </c>
      <c r="Q99" s="1">
        <v>19920</v>
      </c>
      <c r="R99">
        <v>13</v>
      </c>
      <c r="S99" s="2">
        <v>0.35</v>
      </c>
      <c r="T99" s="3">
        <v>2.1590277777777778</v>
      </c>
      <c r="U99" s="2">
        <v>0.32</v>
      </c>
      <c r="V99" t="s">
        <v>261</v>
      </c>
      <c r="W99" t="s">
        <v>262</v>
      </c>
      <c r="X99" t="b">
        <v>0</v>
      </c>
      <c r="Y99" t="b">
        <v>0</v>
      </c>
    </row>
    <row r="100" spans="1:25">
      <c r="A100">
        <v>990</v>
      </c>
      <c r="B100">
        <f>99</f>
        <v>99</v>
      </c>
      <c r="C100" t="s">
        <v>263</v>
      </c>
      <c r="D100">
        <v>66.7</v>
      </c>
      <c r="E100">
        <v>990</v>
      </c>
      <c r="F100">
        <v>38.5</v>
      </c>
      <c r="G100">
        <v>347</v>
      </c>
      <c r="H100">
        <v>54.1</v>
      </c>
      <c r="I100">
        <v>116</v>
      </c>
      <c r="J100">
        <v>96.9</v>
      </c>
      <c r="K100">
        <v>31</v>
      </c>
      <c r="L100">
        <v>94.7</v>
      </c>
      <c r="M100">
        <v>122</v>
      </c>
      <c r="N100">
        <v>90.6</v>
      </c>
      <c r="O100">
        <v>125</v>
      </c>
      <c r="P100" t="s">
        <v>144</v>
      </c>
      <c r="Q100" s="1">
        <v>33874</v>
      </c>
      <c r="R100">
        <v>36</v>
      </c>
      <c r="S100" s="2">
        <v>0.25</v>
      </c>
      <c r="T100" s="3">
        <v>2.2819444444444446</v>
      </c>
      <c r="U100" s="2">
        <v>0.1</v>
      </c>
      <c r="V100" t="s">
        <v>263</v>
      </c>
      <c r="W100" t="s">
        <v>264</v>
      </c>
      <c r="X100" t="b">
        <v>0</v>
      </c>
      <c r="Y100" t="b">
        <v>0</v>
      </c>
    </row>
    <row r="101" spans="1:25">
      <c r="A101">
        <v>1000</v>
      </c>
      <c r="B101">
        <f>99</f>
        <v>99</v>
      </c>
      <c r="C101" t="s">
        <v>265</v>
      </c>
      <c r="D101">
        <v>66.7</v>
      </c>
      <c r="E101">
        <v>1000</v>
      </c>
      <c r="F101">
        <v>55.8</v>
      </c>
      <c r="G101">
        <v>92</v>
      </c>
      <c r="H101">
        <v>52.7</v>
      </c>
      <c r="I101">
        <v>123</v>
      </c>
      <c r="J101">
        <v>88.4</v>
      </c>
      <c r="K101">
        <v>147</v>
      </c>
      <c r="L101">
        <v>85</v>
      </c>
      <c r="M101">
        <v>209</v>
      </c>
      <c r="N101">
        <v>67.3</v>
      </c>
      <c r="O101">
        <v>442</v>
      </c>
      <c r="P101" t="s">
        <v>29</v>
      </c>
      <c r="Q101" s="1">
        <v>55538</v>
      </c>
      <c r="R101">
        <v>11.4</v>
      </c>
      <c r="S101" s="2">
        <v>0.11</v>
      </c>
      <c r="T101" s="3">
        <v>2.1590277777777778</v>
      </c>
      <c r="U101" s="2">
        <v>0.22</v>
      </c>
      <c r="V101" t="s">
        <v>265</v>
      </c>
      <c r="W101" t="s">
        <v>266</v>
      </c>
      <c r="X101" t="b">
        <v>0</v>
      </c>
      <c r="Y101" t="b">
        <v>0</v>
      </c>
    </row>
    <row r="102" spans="1:25">
      <c r="A102">
        <v>1010</v>
      </c>
      <c r="B102">
        <v>101</v>
      </c>
      <c r="C102" t="s">
        <v>267</v>
      </c>
      <c r="D102">
        <v>66.599999999999994</v>
      </c>
      <c r="E102">
        <v>1010</v>
      </c>
      <c r="F102">
        <v>46.1</v>
      </c>
      <c r="G102">
        <v>184</v>
      </c>
      <c r="H102">
        <v>49.3</v>
      </c>
      <c r="I102">
        <v>147</v>
      </c>
      <c r="J102">
        <v>95.5</v>
      </c>
      <c r="K102">
        <v>42</v>
      </c>
      <c r="L102">
        <v>72.099999999999994</v>
      </c>
      <c r="M102">
        <v>383</v>
      </c>
      <c r="N102">
        <v>95.1</v>
      </c>
      <c r="O102">
        <v>45</v>
      </c>
      <c r="P102" t="s">
        <v>26</v>
      </c>
      <c r="Q102" s="1">
        <v>32625</v>
      </c>
      <c r="R102">
        <v>15.2</v>
      </c>
      <c r="S102" s="2">
        <v>0.32</v>
      </c>
      <c r="T102" s="3">
        <v>2.4458333333333333</v>
      </c>
      <c r="U102" s="2">
        <v>0.23</v>
      </c>
      <c r="V102" t="s">
        <v>267</v>
      </c>
      <c r="W102" t="s">
        <v>268</v>
      </c>
      <c r="X102" t="b">
        <v>0</v>
      </c>
      <c r="Y102" t="b">
        <v>0</v>
      </c>
    </row>
    <row r="103" spans="1:25">
      <c r="A103">
        <v>1020</v>
      </c>
      <c r="B103">
        <v>102</v>
      </c>
      <c r="C103" t="s">
        <v>269</v>
      </c>
      <c r="D103">
        <v>66.5</v>
      </c>
      <c r="E103">
        <v>1020</v>
      </c>
      <c r="F103">
        <v>52.1</v>
      </c>
      <c r="G103">
        <v>117</v>
      </c>
      <c r="H103">
        <v>59.7</v>
      </c>
      <c r="I103">
        <v>86</v>
      </c>
      <c r="J103">
        <v>82.5</v>
      </c>
      <c r="K103">
        <v>272</v>
      </c>
      <c r="L103">
        <v>71.599999999999994</v>
      </c>
      <c r="M103">
        <v>394</v>
      </c>
      <c r="N103">
        <v>82.4</v>
      </c>
      <c r="O103">
        <v>215</v>
      </c>
      <c r="P103" t="s">
        <v>99</v>
      </c>
      <c r="Q103" s="1">
        <v>25427</v>
      </c>
      <c r="R103">
        <v>41.5</v>
      </c>
      <c r="S103" s="2">
        <v>0.2</v>
      </c>
      <c r="T103" s="3">
        <v>2.6506944444444445</v>
      </c>
      <c r="U103" s="2">
        <v>0.23</v>
      </c>
      <c r="V103" t="s">
        <v>269</v>
      </c>
      <c r="W103" t="s">
        <v>270</v>
      </c>
      <c r="X103" t="b">
        <v>0</v>
      </c>
      <c r="Y103" t="b">
        <v>0</v>
      </c>
    </row>
    <row r="104" spans="1:25">
      <c r="A104">
        <v>1030</v>
      </c>
      <c r="B104">
        <f>103</f>
        <v>103</v>
      </c>
      <c r="C104" t="s">
        <v>271</v>
      </c>
      <c r="D104">
        <v>66.3</v>
      </c>
      <c r="E104">
        <v>1030</v>
      </c>
      <c r="F104">
        <v>49.2</v>
      </c>
      <c r="G104">
        <v>139</v>
      </c>
      <c r="H104">
        <v>51.1</v>
      </c>
      <c r="I104">
        <v>134</v>
      </c>
      <c r="J104">
        <v>91.3</v>
      </c>
      <c r="K104">
        <v>102</v>
      </c>
      <c r="L104">
        <v>89.5</v>
      </c>
      <c r="M104">
        <v>171</v>
      </c>
      <c r="N104">
        <v>80.099999999999994</v>
      </c>
      <c r="O104">
        <v>256</v>
      </c>
      <c r="P104" t="s">
        <v>272</v>
      </c>
      <c r="Q104" s="1">
        <v>31728</v>
      </c>
      <c r="R104">
        <v>4.3</v>
      </c>
      <c r="S104" s="2">
        <v>0.14000000000000001</v>
      </c>
      <c r="T104" s="3">
        <v>2.6097222222222221</v>
      </c>
      <c r="U104" s="2">
        <v>0.17</v>
      </c>
      <c r="V104" t="s">
        <v>271</v>
      </c>
      <c r="W104" t="s">
        <v>273</v>
      </c>
      <c r="X104" t="b">
        <v>0</v>
      </c>
      <c r="Y104" t="b">
        <v>0</v>
      </c>
    </row>
    <row r="105" spans="1:25">
      <c r="A105">
        <v>1040</v>
      </c>
      <c r="B105">
        <f>103</f>
        <v>103</v>
      </c>
      <c r="C105" t="s">
        <v>274</v>
      </c>
      <c r="D105">
        <v>66.3</v>
      </c>
      <c r="E105">
        <v>1040</v>
      </c>
      <c r="F105">
        <v>43.8</v>
      </c>
      <c r="G105">
        <v>224</v>
      </c>
      <c r="H105">
        <v>51.3</v>
      </c>
      <c r="I105">
        <v>133</v>
      </c>
      <c r="J105">
        <v>93</v>
      </c>
      <c r="K105">
        <v>76</v>
      </c>
      <c r="L105">
        <v>100</v>
      </c>
      <c r="M105">
        <v>17</v>
      </c>
      <c r="N105">
        <v>87.3</v>
      </c>
      <c r="O105">
        <v>163</v>
      </c>
      <c r="P105" t="s">
        <v>76</v>
      </c>
      <c r="Q105" s="1">
        <v>28254</v>
      </c>
      <c r="R105">
        <v>30.9</v>
      </c>
      <c r="S105" s="2">
        <v>0.22</v>
      </c>
      <c r="T105" s="3">
        <v>2.3638888888888889</v>
      </c>
      <c r="U105" s="2">
        <v>0.16</v>
      </c>
      <c r="V105" t="s">
        <v>274</v>
      </c>
      <c r="W105" t="s">
        <v>275</v>
      </c>
      <c r="X105" t="b">
        <v>0</v>
      </c>
      <c r="Y105" t="b">
        <v>0</v>
      </c>
    </row>
    <row r="106" spans="1:25">
      <c r="A106">
        <v>1050</v>
      </c>
      <c r="B106">
        <v>105</v>
      </c>
      <c r="C106" t="s">
        <v>276</v>
      </c>
      <c r="D106">
        <v>66.2</v>
      </c>
      <c r="E106">
        <v>1050</v>
      </c>
      <c r="F106">
        <v>48</v>
      </c>
      <c r="G106">
        <v>160</v>
      </c>
      <c r="H106">
        <v>49.5</v>
      </c>
      <c r="I106">
        <v>144</v>
      </c>
      <c r="J106">
        <v>92.3</v>
      </c>
      <c r="K106">
        <v>88</v>
      </c>
      <c r="L106">
        <v>77.5</v>
      </c>
      <c r="M106">
        <v>297</v>
      </c>
      <c r="N106">
        <v>92</v>
      </c>
      <c r="O106">
        <v>101</v>
      </c>
      <c r="P106" t="s">
        <v>26</v>
      </c>
      <c r="Q106" s="1">
        <v>27860</v>
      </c>
      <c r="R106">
        <v>15.4</v>
      </c>
      <c r="S106" s="2">
        <v>0.4</v>
      </c>
      <c r="T106" s="3">
        <v>2.2409722222222221</v>
      </c>
      <c r="U106" s="2">
        <v>0.28000000000000003</v>
      </c>
      <c r="V106" t="s">
        <v>277</v>
      </c>
      <c r="W106" t="s">
        <v>278</v>
      </c>
      <c r="X106" t="b">
        <v>0</v>
      </c>
      <c r="Y106" t="b">
        <v>0</v>
      </c>
    </row>
    <row r="107" spans="1:25">
      <c r="A107">
        <v>1060</v>
      </c>
      <c r="B107">
        <f>106</f>
        <v>106</v>
      </c>
      <c r="C107" t="s">
        <v>279</v>
      </c>
      <c r="D107">
        <v>66.099999999999994</v>
      </c>
      <c r="E107">
        <v>1060</v>
      </c>
      <c r="F107">
        <v>53.1</v>
      </c>
      <c r="G107">
        <v>109</v>
      </c>
      <c r="H107">
        <v>45.7</v>
      </c>
      <c r="I107">
        <v>183</v>
      </c>
      <c r="J107">
        <v>95.5</v>
      </c>
      <c r="K107">
        <v>43</v>
      </c>
      <c r="L107">
        <v>81.599999999999994</v>
      </c>
      <c r="M107">
        <v>241</v>
      </c>
      <c r="N107">
        <v>69.3</v>
      </c>
      <c r="O107">
        <v>415</v>
      </c>
      <c r="P107" t="s">
        <v>29</v>
      </c>
      <c r="Q107" s="1">
        <v>13127</v>
      </c>
      <c r="R107">
        <v>4</v>
      </c>
      <c r="S107" s="2">
        <v>0.19</v>
      </c>
      <c r="T107" s="3">
        <v>2.5687500000000001</v>
      </c>
      <c r="U107" s="2">
        <v>0.08</v>
      </c>
      <c r="V107" t="s">
        <v>279</v>
      </c>
      <c r="W107" t="s">
        <v>280</v>
      </c>
      <c r="X107" t="b">
        <v>0</v>
      </c>
      <c r="Y107" t="b">
        <v>0</v>
      </c>
    </row>
    <row r="108" spans="1:25">
      <c r="A108">
        <v>1070</v>
      </c>
      <c r="B108">
        <f>106</f>
        <v>106</v>
      </c>
      <c r="C108" t="s">
        <v>281</v>
      </c>
      <c r="D108">
        <v>66.099999999999994</v>
      </c>
      <c r="E108">
        <v>1070</v>
      </c>
      <c r="F108">
        <v>46.7</v>
      </c>
      <c r="G108">
        <v>177</v>
      </c>
      <c r="H108">
        <v>56.6</v>
      </c>
      <c r="I108">
        <v>104</v>
      </c>
      <c r="J108">
        <v>86.6</v>
      </c>
      <c r="K108">
        <v>181</v>
      </c>
      <c r="L108">
        <v>99.8</v>
      </c>
      <c r="M108">
        <v>41</v>
      </c>
      <c r="N108">
        <v>79.8</v>
      </c>
      <c r="O108">
        <v>259</v>
      </c>
      <c r="P108" t="s">
        <v>150</v>
      </c>
      <c r="Q108" s="1">
        <v>30349</v>
      </c>
      <c r="R108">
        <v>12</v>
      </c>
      <c r="S108" s="2">
        <v>0.18</v>
      </c>
      <c r="T108" s="3">
        <v>2.3638888888888889</v>
      </c>
      <c r="U108" s="2">
        <v>0.23</v>
      </c>
      <c r="V108" t="s">
        <v>281</v>
      </c>
      <c r="W108" t="s">
        <v>282</v>
      </c>
      <c r="X108" t="b">
        <v>0</v>
      </c>
      <c r="Y108" t="b">
        <v>0</v>
      </c>
    </row>
    <row r="109" spans="1:25">
      <c r="A109">
        <v>1080</v>
      </c>
      <c r="B109">
        <f>106</f>
        <v>106</v>
      </c>
      <c r="C109" t="s">
        <v>283</v>
      </c>
      <c r="D109">
        <v>66.099999999999994</v>
      </c>
      <c r="E109">
        <v>1080</v>
      </c>
      <c r="F109">
        <v>48.1</v>
      </c>
      <c r="G109">
        <v>158</v>
      </c>
      <c r="H109">
        <v>52.1</v>
      </c>
      <c r="I109">
        <v>126</v>
      </c>
      <c r="J109">
        <v>89</v>
      </c>
      <c r="K109">
        <v>139</v>
      </c>
      <c r="L109">
        <v>70.5</v>
      </c>
      <c r="M109">
        <v>418</v>
      </c>
      <c r="N109">
        <v>96.4</v>
      </c>
      <c r="O109">
        <v>28</v>
      </c>
      <c r="P109" t="s">
        <v>26</v>
      </c>
      <c r="Q109" s="1">
        <v>24905</v>
      </c>
      <c r="R109">
        <v>14.4</v>
      </c>
      <c r="S109" s="2">
        <v>0.44</v>
      </c>
      <c r="T109" s="3">
        <v>2.1180555555555554</v>
      </c>
      <c r="U109" s="2">
        <v>0.3</v>
      </c>
      <c r="V109" t="s">
        <v>283</v>
      </c>
      <c r="W109" t="s">
        <v>284</v>
      </c>
      <c r="X109" t="b">
        <v>0</v>
      </c>
      <c r="Y109" t="b">
        <v>0</v>
      </c>
    </row>
    <row r="110" spans="1:25">
      <c r="A110">
        <v>1090</v>
      </c>
      <c r="B110">
        <f>109</f>
        <v>109</v>
      </c>
      <c r="C110" t="s">
        <v>285</v>
      </c>
      <c r="D110">
        <v>65.900000000000006</v>
      </c>
      <c r="E110">
        <v>1090</v>
      </c>
      <c r="F110">
        <v>44.9</v>
      </c>
      <c r="G110">
        <v>205</v>
      </c>
      <c r="H110">
        <v>59</v>
      </c>
      <c r="I110">
        <v>89</v>
      </c>
      <c r="J110">
        <v>86.3</v>
      </c>
      <c r="K110">
        <v>186</v>
      </c>
      <c r="L110">
        <v>98.7</v>
      </c>
      <c r="M110">
        <v>75</v>
      </c>
      <c r="N110">
        <v>76.3</v>
      </c>
      <c r="O110">
        <v>307</v>
      </c>
      <c r="P110" t="s">
        <v>272</v>
      </c>
      <c r="Q110" s="1">
        <v>26996</v>
      </c>
      <c r="R110">
        <v>13.5</v>
      </c>
      <c r="S110" s="2">
        <v>0.09</v>
      </c>
      <c r="T110" s="3">
        <v>2.3638888888888889</v>
      </c>
      <c r="U110" s="2">
        <v>0.25</v>
      </c>
      <c r="V110" t="s">
        <v>285</v>
      </c>
      <c r="W110" t="s">
        <v>286</v>
      </c>
      <c r="X110" t="b">
        <v>0</v>
      </c>
      <c r="Y110" t="b">
        <v>0</v>
      </c>
    </row>
    <row r="111" spans="1:25">
      <c r="A111">
        <v>1100</v>
      </c>
      <c r="B111">
        <f>109</f>
        <v>109</v>
      </c>
      <c r="C111" t="s">
        <v>287</v>
      </c>
      <c r="D111">
        <v>65.900000000000006</v>
      </c>
      <c r="E111">
        <v>1100</v>
      </c>
      <c r="F111">
        <v>50.1</v>
      </c>
      <c r="G111">
        <v>132</v>
      </c>
      <c r="H111">
        <v>55.5</v>
      </c>
      <c r="I111">
        <v>109</v>
      </c>
      <c r="J111">
        <v>80.900000000000006</v>
      </c>
      <c r="K111">
        <v>301</v>
      </c>
      <c r="L111">
        <v>99.9</v>
      </c>
      <c r="M111">
        <v>29</v>
      </c>
      <c r="N111">
        <v>90.7</v>
      </c>
      <c r="O111">
        <v>122</v>
      </c>
      <c r="P111" t="s">
        <v>76</v>
      </c>
      <c r="Q111" s="1">
        <v>33730</v>
      </c>
      <c r="R111">
        <v>22.8</v>
      </c>
      <c r="S111" s="2">
        <v>0.27</v>
      </c>
      <c r="U111" s="2">
        <v>0.27</v>
      </c>
      <c r="V111" t="s">
        <v>287</v>
      </c>
      <c r="W111" t="s">
        <v>288</v>
      </c>
      <c r="X111" t="b">
        <v>0</v>
      </c>
      <c r="Y111" t="b">
        <v>0</v>
      </c>
    </row>
    <row r="112" spans="1:25">
      <c r="A112">
        <v>1110</v>
      </c>
      <c r="B112">
        <f>111</f>
        <v>111</v>
      </c>
      <c r="C112" t="s">
        <v>289</v>
      </c>
      <c r="D112">
        <v>65.8</v>
      </c>
      <c r="E112">
        <v>1110</v>
      </c>
      <c r="F112">
        <v>42.4</v>
      </c>
      <c r="G112">
        <v>253</v>
      </c>
      <c r="H112">
        <v>50.6</v>
      </c>
      <c r="I112">
        <v>138</v>
      </c>
      <c r="J112">
        <v>92.8</v>
      </c>
      <c r="K112">
        <v>78</v>
      </c>
      <c r="L112">
        <v>95</v>
      </c>
      <c r="M112">
        <v>119</v>
      </c>
      <c r="N112">
        <v>92.9</v>
      </c>
      <c r="O112">
        <v>84</v>
      </c>
      <c r="P112" t="s">
        <v>116</v>
      </c>
      <c r="Q112" s="1">
        <v>23792</v>
      </c>
      <c r="R112">
        <v>36.4</v>
      </c>
      <c r="S112" s="2">
        <v>0.31</v>
      </c>
      <c r="T112" s="3">
        <v>2.0770833333333334</v>
      </c>
      <c r="U112" s="2">
        <v>0.25</v>
      </c>
      <c r="V112" t="s">
        <v>290</v>
      </c>
      <c r="W112" t="s">
        <v>291</v>
      </c>
      <c r="X112" t="b">
        <v>0</v>
      </c>
      <c r="Y112" t="b">
        <v>0</v>
      </c>
    </row>
    <row r="113" spans="1:25">
      <c r="A113">
        <v>1120</v>
      </c>
      <c r="B113">
        <f>111</f>
        <v>111</v>
      </c>
      <c r="C113" t="s">
        <v>292</v>
      </c>
      <c r="D113">
        <v>65.8</v>
      </c>
      <c r="E113">
        <v>1120</v>
      </c>
      <c r="F113">
        <v>50</v>
      </c>
      <c r="G113">
        <v>134</v>
      </c>
      <c r="H113">
        <v>54.8</v>
      </c>
      <c r="I113">
        <v>112</v>
      </c>
      <c r="J113">
        <v>90.1</v>
      </c>
      <c r="K113">
        <v>125</v>
      </c>
      <c r="L113">
        <v>70.8</v>
      </c>
      <c r="M113">
        <v>411</v>
      </c>
      <c r="N113">
        <v>70.7</v>
      </c>
      <c r="O113">
        <v>397</v>
      </c>
      <c r="P113" t="s">
        <v>99</v>
      </c>
      <c r="Q113" s="1">
        <v>23349</v>
      </c>
      <c r="R113">
        <v>27.4</v>
      </c>
      <c r="S113" s="2">
        <v>0.14000000000000001</v>
      </c>
      <c r="T113" s="3">
        <v>2.2409722222222221</v>
      </c>
      <c r="U113" s="2">
        <v>0.27</v>
      </c>
      <c r="V113" t="s">
        <v>292</v>
      </c>
      <c r="W113" t="s">
        <v>293</v>
      </c>
      <c r="X113" t="b">
        <v>0</v>
      </c>
      <c r="Y113" t="b">
        <v>0</v>
      </c>
    </row>
    <row r="114" spans="1:25">
      <c r="A114">
        <v>1130</v>
      </c>
      <c r="B114">
        <f>111</f>
        <v>111</v>
      </c>
      <c r="C114" t="s">
        <v>294</v>
      </c>
      <c r="D114">
        <v>65.8</v>
      </c>
      <c r="E114">
        <v>1130</v>
      </c>
      <c r="F114">
        <v>51.2</v>
      </c>
      <c r="G114">
        <v>124</v>
      </c>
      <c r="H114">
        <v>54.1</v>
      </c>
      <c r="I114">
        <v>118</v>
      </c>
      <c r="J114">
        <v>81.7</v>
      </c>
      <c r="K114">
        <v>289</v>
      </c>
      <c r="L114">
        <v>96.6</v>
      </c>
      <c r="M114">
        <v>98</v>
      </c>
      <c r="N114">
        <v>87.7</v>
      </c>
      <c r="O114">
        <v>155</v>
      </c>
      <c r="P114" t="s">
        <v>76</v>
      </c>
      <c r="Q114" s="1">
        <v>39935</v>
      </c>
      <c r="R114">
        <v>20.5</v>
      </c>
      <c r="S114" s="2">
        <v>0.22</v>
      </c>
      <c r="U114" s="2">
        <v>0.15</v>
      </c>
      <c r="V114" t="s">
        <v>295</v>
      </c>
      <c r="W114" t="s">
        <v>296</v>
      </c>
      <c r="X114" t="b">
        <v>0</v>
      </c>
      <c r="Y114" t="b">
        <v>0</v>
      </c>
    </row>
    <row r="115" spans="1:25">
      <c r="A115">
        <v>1140</v>
      </c>
      <c r="B115">
        <v>114</v>
      </c>
      <c r="C115" t="s">
        <v>297</v>
      </c>
      <c r="D115">
        <v>65.7</v>
      </c>
      <c r="E115">
        <v>1140</v>
      </c>
      <c r="F115">
        <v>49.4</v>
      </c>
      <c r="G115">
        <v>138</v>
      </c>
      <c r="H115">
        <v>58.1</v>
      </c>
      <c r="I115">
        <v>93</v>
      </c>
      <c r="J115">
        <v>92.8</v>
      </c>
      <c r="K115">
        <v>79</v>
      </c>
      <c r="L115">
        <v>70.2</v>
      </c>
      <c r="M115">
        <v>429</v>
      </c>
      <c r="N115">
        <v>48.6</v>
      </c>
      <c r="O115">
        <v>848</v>
      </c>
      <c r="P115" t="s">
        <v>29</v>
      </c>
      <c r="Q115" s="1">
        <v>33988</v>
      </c>
      <c r="R115">
        <v>17</v>
      </c>
      <c r="S115" s="2">
        <v>0.09</v>
      </c>
      <c r="T115" s="3">
        <v>2.0770833333333334</v>
      </c>
      <c r="U115" s="2">
        <v>0.39</v>
      </c>
      <c r="V115" t="s">
        <v>297</v>
      </c>
      <c r="W115" t="s">
        <v>298</v>
      </c>
      <c r="X115" t="b">
        <v>0</v>
      </c>
      <c r="Y115" t="b">
        <v>0</v>
      </c>
    </row>
    <row r="116" spans="1:25">
      <c r="A116">
        <v>1150</v>
      </c>
      <c r="B116">
        <v>115</v>
      </c>
      <c r="C116" t="s">
        <v>299</v>
      </c>
      <c r="D116">
        <v>65.599999999999994</v>
      </c>
      <c r="E116">
        <v>1150</v>
      </c>
      <c r="F116">
        <v>47.2</v>
      </c>
      <c r="G116">
        <v>172</v>
      </c>
      <c r="H116">
        <v>59.3</v>
      </c>
      <c r="I116">
        <v>88</v>
      </c>
      <c r="J116">
        <v>85.3</v>
      </c>
      <c r="K116">
        <v>201</v>
      </c>
      <c r="L116">
        <v>99.7</v>
      </c>
      <c r="M116">
        <v>46</v>
      </c>
      <c r="N116">
        <v>65.7</v>
      </c>
      <c r="O116">
        <v>468</v>
      </c>
      <c r="P116" t="s">
        <v>137</v>
      </c>
      <c r="Q116" s="1">
        <v>41487</v>
      </c>
      <c r="R116">
        <v>37.6</v>
      </c>
      <c r="S116" s="2">
        <v>0.12</v>
      </c>
      <c r="T116" s="3">
        <v>2.4048611111111109</v>
      </c>
      <c r="U116" s="2">
        <v>0.28999999999999998</v>
      </c>
      <c r="V116" t="s">
        <v>299</v>
      </c>
      <c r="W116" t="s">
        <v>300</v>
      </c>
      <c r="X116" t="b">
        <v>0</v>
      </c>
      <c r="Y116" t="b">
        <v>0</v>
      </c>
    </row>
    <row r="117" spans="1:25">
      <c r="A117">
        <v>1160</v>
      </c>
      <c r="B117">
        <f>116</f>
        <v>116</v>
      </c>
      <c r="C117" t="s">
        <v>301</v>
      </c>
      <c r="D117">
        <v>65.400000000000006</v>
      </c>
      <c r="E117">
        <v>1160</v>
      </c>
      <c r="F117">
        <v>45.1</v>
      </c>
      <c r="G117">
        <v>202</v>
      </c>
      <c r="H117">
        <v>47</v>
      </c>
      <c r="I117">
        <v>167</v>
      </c>
      <c r="J117">
        <v>93.3</v>
      </c>
      <c r="K117">
        <v>69</v>
      </c>
      <c r="L117">
        <v>99.2</v>
      </c>
      <c r="M117">
        <v>67</v>
      </c>
      <c r="N117">
        <v>87</v>
      </c>
      <c r="O117">
        <v>167</v>
      </c>
      <c r="P117" t="s">
        <v>50</v>
      </c>
      <c r="Q117" s="1">
        <v>12399</v>
      </c>
      <c r="R117">
        <v>18.2</v>
      </c>
      <c r="S117" s="2">
        <v>0.16</v>
      </c>
      <c r="T117" s="3">
        <v>2.4868055555555557</v>
      </c>
      <c r="U117" s="2">
        <v>0.2</v>
      </c>
      <c r="V117" t="s">
        <v>301</v>
      </c>
      <c r="W117" t="s">
        <v>302</v>
      </c>
      <c r="X117" t="b">
        <v>0</v>
      </c>
      <c r="Y117" t="b">
        <v>0</v>
      </c>
    </row>
    <row r="118" spans="1:25">
      <c r="A118">
        <v>1170</v>
      </c>
      <c r="B118">
        <f>116</f>
        <v>116</v>
      </c>
      <c r="C118" t="s">
        <v>303</v>
      </c>
      <c r="D118">
        <v>65.400000000000006</v>
      </c>
      <c r="E118">
        <v>1170</v>
      </c>
      <c r="F118">
        <v>54.8</v>
      </c>
      <c r="G118">
        <v>102</v>
      </c>
      <c r="H118">
        <v>52.3</v>
      </c>
      <c r="I118">
        <v>125</v>
      </c>
      <c r="J118">
        <v>86.2</v>
      </c>
      <c r="K118">
        <v>189</v>
      </c>
      <c r="L118">
        <v>70</v>
      </c>
      <c r="M118">
        <v>432</v>
      </c>
      <c r="N118">
        <v>71.400000000000006</v>
      </c>
      <c r="O118">
        <v>388</v>
      </c>
      <c r="P118" t="s">
        <v>29</v>
      </c>
      <c r="Q118" s="1">
        <v>44514</v>
      </c>
      <c r="R118">
        <v>16.100000000000001</v>
      </c>
      <c r="S118" s="2">
        <v>0.11</v>
      </c>
      <c r="T118" s="3">
        <v>2.2000000000000002</v>
      </c>
      <c r="U118" s="2">
        <v>0.25</v>
      </c>
      <c r="V118" t="s">
        <v>303</v>
      </c>
      <c r="W118" t="s">
        <v>304</v>
      </c>
      <c r="X118" t="b">
        <v>0</v>
      </c>
      <c r="Y118" t="b">
        <v>0</v>
      </c>
    </row>
    <row r="119" spans="1:25">
      <c r="A119">
        <v>1180</v>
      </c>
      <c r="B119">
        <v>118</v>
      </c>
      <c r="C119" t="s">
        <v>305</v>
      </c>
      <c r="D119">
        <v>65.3</v>
      </c>
      <c r="E119">
        <v>1180</v>
      </c>
      <c r="F119">
        <v>55.2</v>
      </c>
      <c r="G119">
        <v>98</v>
      </c>
      <c r="H119">
        <v>62.1</v>
      </c>
      <c r="I119">
        <v>77</v>
      </c>
      <c r="J119">
        <v>77.3</v>
      </c>
      <c r="K119">
        <v>389</v>
      </c>
      <c r="L119">
        <v>76.400000000000006</v>
      </c>
      <c r="M119">
        <v>313</v>
      </c>
      <c r="N119">
        <v>64.099999999999994</v>
      </c>
      <c r="O119">
        <v>502</v>
      </c>
      <c r="P119" t="s">
        <v>29</v>
      </c>
      <c r="Q119" s="1">
        <v>64427</v>
      </c>
      <c r="R119">
        <v>20.5</v>
      </c>
      <c r="S119" s="2">
        <v>0.06</v>
      </c>
      <c r="T119" s="3">
        <v>1.9951388888888888</v>
      </c>
      <c r="U119" s="2">
        <v>0.35</v>
      </c>
      <c r="V119" t="s">
        <v>305</v>
      </c>
      <c r="W119" t="s">
        <v>306</v>
      </c>
      <c r="X119" t="b">
        <v>0</v>
      </c>
      <c r="Y119" t="b">
        <v>0</v>
      </c>
    </row>
    <row r="120" spans="1:25">
      <c r="A120">
        <v>1190</v>
      </c>
      <c r="B120">
        <f>119</f>
        <v>119</v>
      </c>
      <c r="C120" t="s">
        <v>307</v>
      </c>
      <c r="D120">
        <v>65.2</v>
      </c>
      <c r="E120">
        <v>1190</v>
      </c>
      <c r="F120">
        <v>56.4</v>
      </c>
      <c r="G120">
        <v>89</v>
      </c>
      <c r="H120">
        <v>45.6</v>
      </c>
      <c r="I120">
        <v>184</v>
      </c>
      <c r="J120">
        <v>86.5</v>
      </c>
      <c r="K120">
        <v>183</v>
      </c>
      <c r="L120">
        <v>73.900000000000006</v>
      </c>
      <c r="M120">
        <v>351</v>
      </c>
      <c r="N120">
        <v>85.8</v>
      </c>
      <c r="O120">
        <v>180</v>
      </c>
      <c r="P120" t="s">
        <v>29</v>
      </c>
      <c r="Q120" s="1">
        <v>7318</v>
      </c>
      <c r="R120">
        <v>9.8000000000000007</v>
      </c>
      <c r="S120" s="2">
        <v>0.26</v>
      </c>
      <c r="T120" s="3">
        <v>1.7902777777777779</v>
      </c>
      <c r="U120" s="2">
        <v>0.41</v>
      </c>
      <c r="V120" t="s">
        <v>307</v>
      </c>
      <c r="W120" t="s">
        <v>308</v>
      </c>
      <c r="X120" t="b">
        <v>0</v>
      </c>
      <c r="Y120" t="b">
        <v>0</v>
      </c>
    </row>
    <row r="121" spans="1:25">
      <c r="A121">
        <v>1200</v>
      </c>
      <c r="B121">
        <f>119</f>
        <v>119</v>
      </c>
      <c r="C121" t="s">
        <v>309</v>
      </c>
      <c r="D121">
        <v>65.2</v>
      </c>
      <c r="E121">
        <v>1200</v>
      </c>
      <c r="F121">
        <v>48.7</v>
      </c>
      <c r="G121">
        <v>149</v>
      </c>
      <c r="H121">
        <v>60.3</v>
      </c>
      <c r="I121">
        <v>84</v>
      </c>
      <c r="J121">
        <v>77.400000000000006</v>
      </c>
      <c r="K121">
        <v>386</v>
      </c>
      <c r="L121">
        <v>75.900000000000006</v>
      </c>
      <c r="M121">
        <v>320</v>
      </c>
      <c r="N121">
        <v>94.9</v>
      </c>
      <c r="O121">
        <v>50</v>
      </c>
      <c r="P121" t="s">
        <v>310</v>
      </c>
      <c r="Q121" s="1">
        <v>31318</v>
      </c>
      <c r="R121">
        <v>37.4</v>
      </c>
      <c r="S121" s="2">
        <v>0.31</v>
      </c>
      <c r="T121" s="3">
        <v>2.7736111111111112</v>
      </c>
      <c r="U121" s="2">
        <v>0.33</v>
      </c>
      <c r="V121" t="s">
        <v>309</v>
      </c>
      <c r="W121" t="s">
        <v>311</v>
      </c>
      <c r="X121" t="b">
        <v>0</v>
      </c>
      <c r="Y121" t="b">
        <v>0</v>
      </c>
    </row>
    <row r="122" spans="1:25">
      <c r="A122">
        <v>1210</v>
      </c>
      <c r="B122">
        <v>121</v>
      </c>
      <c r="C122" t="s">
        <v>312</v>
      </c>
      <c r="D122">
        <v>65.099999999999994</v>
      </c>
      <c r="E122">
        <v>1210</v>
      </c>
      <c r="F122">
        <v>48.1</v>
      </c>
      <c r="G122">
        <v>157</v>
      </c>
      <c r="H122">
        <v>57.6</v>
      </c>
      <c r="I122">
        <v>97</v>
      </c>
      <c r="J122">
        <v>90.6</v>
      </c>
      <c r="K122">
        <v>114</v>
      </c>
      <c r="L122">
        <v>69.2</v>
      </c>
      <c r="M122">
        <v>451</v>
      </c>
      <c r="N122">
        <v>56.7</v>
      </c>
      <c r="O122">
        <v>648</v>
      </c>
      <c r="P122" t="s">
        <v>313</v>
      </c>
      <c r="Q122" s="1">
        <v>22887</v>
      </c>
      <c r="R122">
        <v>15.9</v>
      </c>
      <c r="S122" s="2">
        <v>0.05</v>
      </c>
      <c r="T122" s="3">
        <v>2.8145833333333332</v>
      </c>
      <c r="U122" s="2">
        <v>0.2</v>
      </c>
      <c r="V122" t="s">
        <v>312</v>
      </c>
      <c r="W122" t="s">
        <v>314</v>
      </c>
      <c r="X122" t="b">
        <v>0</v>
      </c>
      <c r="Y122" t="b">
        <v>0</v>
      </c>
    </row>
    <row r="123" spans="1:25">
      <c r="A123">
        <v>1220</v>
      </c>
      <c r="B123">
        <v>122</v>
      </c>
      <c r="C123" t="s">
        <v>315</v>
      </c>
      <c r="D123">
        <v>65</v>
      </c>
      <c r="E123">
        <v>1220</v>
      </c>
      <c r="F123">
        <v>53.1</v>
      </c>
      <c r="G123">
        <v>111</v>
      </c>
      <c r="H123">
        <v>58.7</v>
      </c>
      <c r="I123">
        <v>91</v>
      </c>
      <c r="J123">
        <v>83.7</v>
      </c>
      <c r="K123">
        <v>241</v>
      </c>
      <c r="L123">
        <v>70.400000000000006</v>
      </c>
      <c r="M123">
        <v>421</v>
      </c>
      <c r="N123">
        <v>58.4</v>
      </c>
      <c r="O123">
        <v>617</v>
      </c>
      <c r="P123" t="s">
        <v>29</v>
      </c>
      <c r="Q123" s="1">
        <v>45875</v>
      </c>
      <c r="R123">
        <v>14.2</v>
      </c>
      <c r="S123" s="2">
        <v>0.15</v>
      </c>
      <c r="T123" s="3">
        <v>2.036111111111111</v>
      </c>
      <c r="U123" s="2">
        <v>0.32</v>
      </c>
      <c r="V123" t="s">
        <v>315</v>
      </c>
      <c r="W123" t="s">
        <v>316</v>
      </c>
      <c r="X123" t="b">
        <v>0</v>
      </c>
      <c r="Y123" t="b">
        <v>0</v>
      </c>
    </row>
    <row r="124" spans="1:25">
      <c r="A124">
        <v>1230</v>
      </c>
      <c r="B124">
        <f>123</f>
        <v>123</v>
      </c>
      <c r="C124" t="s">
        <v>317</v>
      </c>
      <c r="D124">
        <v>64.900000000000006</v>
      </c>
      <c r="E124">
        <v>1230</v>
      </c>
      <c r="F124">
        <v>50.8</v>
      </c>
      <c r="G124">
        <v>127</v>
      </c>
      <c r="H124">
        <v>42.9</v>
      </c>
      <c r="I124">
        <v>210</v>
      </c>
      <c r="J124">
        <v>87.7</v>
      </c>
      <c r="K124">
        <v>157</v>
      </c>
      <c r="L124">
        <v>99.4</v>
      </c>
      <c r="M124">
        <v>62</v>
      </c>
      <c r="N124">
        <v>95.4</v>
      </c>
      <c r="O124">
        <v>42</v>
      </c>
      <c r="P124" t="s">
        <v>50</v>
      </c>
      <c r="Q124" s="1">
        <v>8536</v>
      </c>
      <c r="R124">
        <v>10.4</v>
      </c>
      <c r="S124" s="2">
        <v>0.31</v>
      </c>
      <c r="T124" s="3">
        <v>2.3638888888888889</v>
      </c>
      <c r="U124" s="2">
        <v>0.18</v>
      </c>
      <c r="V124" t="s">
        <v>317</v>
      </c>
      <c r="W124" t="s">
        <v>318</v>
      </c>
      <c r="X124" t="b">
        <v>0</v>
      </c>
      <c r="Y124" t="b">
        <v>0</v>
      </c>
    </row>
    <row r="125" spans="1:25">
      <c r="A125">
        <v>1240</v>
      </c>
      <c r="B125">
        <f>123</f>
        <v>123</v>
      </c>
      <c r="C125" t="s">
        <v>319</v>
      </c>
      <c r="D125">
        <v>64.900000000000006</v>
      </c>
      <c r="E125">
        <v>1240</v>
      </c>
      <c r="F125">
        <v>54</v>
      </c>
      <c r="G125">
        <v>106</v>
      </c>
      <c r="H125">
        <v>46.9</v>
      </c>
      <c r="I125">
        <v>169</v>
      </c>
      <c r="J125">
        <v>87.3</v>
      </c>
      <c r="K125">
        <v>168</v>
      </c>
      <c r="L125">
        <v>85.6</v>
      </c>
      <c r="M125">
        <v>200</v>
      </c>
      <c r="N125">
        <v>77.3</v>
      </c>
      <c r="O125">
        <v>291</v>
      </c>
      <c r="P125" t="s">
        <v>29</v>
      </c>
      <c r="Q125" s="1">
        <v>63500</v>
      </c>
      <c r="R125">
        <v>13.3</v>
      </c>
      <c r="S125" s="2">
        <v>0.14000000000000001</v>
      </c>
      <c r="T125" s="3">
        <v>2.1180555555555554</v>
      </c>
      <c r="U125" s="2">
        <v>0.25</v>
      </c>
      <c r="V125" t="s">
        <v>319</v>
      </c>
      <c r="W125" t="s">
        <v>320</v>
      </c>
      <c r="X125" t="b">
        <v>0</v>
      </c>
      <c r="Y125" t="b">
        <v>0</v>
      </c>
    </row>
    <row r="126" spans="1:25">
      <c r="A126">
        <v>1250</v>
      </c>
      <c r="B126">
        <v>125</v>
      </c>
      <c r="C126" t="s">
        <v>321</v>
      </c>
      <c r="D126">
        <v>64.7</v>
      </c>
      <c r="E126">
        <v>1250</v>
      </c>
      <c r="F126">
        <v>40.4</v>
      </c>
      <c r="G126">
        <v>297</v>
      </c>
      <c r="H126">
        <v>51</v>
      </c>
      <c r="I126">
        <v>137</v>
      </c>
      <c r="J126">
        <v>93.4</v>
      </c>
      <c r="K126">
        <v>68</v>
      </c>
      <c r="L126">
        <v>91.5</v>
      </c>
      <c r="M126">
        <v>151</v>
      </c>
      <c r="N126">
        <v>84.3</v>
      </c>
      <c r="O126">
        <v>198</v>
      </c>
      <c r="P126" t="s">
        <v>144</v>
      </c>
      <c r="Q126" s="1">
        <v>31704</v>
      </c>
      <c r="R126">
        <v>19.2</v>
      </c>
      <c r="S126" s="2">
        <v>0.18</v>
      </c>
      <c r="T126" s="3">
        <v>2.4048611111111109</v>
      </c>
      <c r="U126" s="2">
        <v>0.19</v>
      </c>
      <c r="V126" t="s">
        <v>321</v>
      </c>
      <c r="W126" t="s">
        <v>322</v>
      </c>
      <c r="X126" t="b">
        <v>0</v>
      </c>
      <c r="Y126" t="b">
        <v>0</v>
      </c>
    </row>
    <row r="127" spans="1:25">
      <c r="A127">
        <v>1260</v>
      </c>
      <c r="B127">
        <v>126</v>
      </c>
      <c r="C127" t="s">
        <v>323</v>
      </c>
      <c r="D127">
        <v>64.599999999999994</v>
      </c>
      <c r="E127">
        <v>1260</v>
      </c>
      <c r="F127">
        <v>50.7</v>
      </c>
      <c r="G127">
        <v>129</v>
      </c>
      <c r="H127">
        <v>47.4</v>
      </c>
      <c r="I127">
        <v>162</v>
      </c>
      <c r="J127">
        <v>83.2</v>
      </c>
      <c r="K127">
        <v>257</v>
      </c>
      <c r="L127">
        <v>99.7</v>
      </c>
      <c r="M127">
        <v>52</v>
      </c>
      <c r="N127">
        <v>92.2</v>
      </c>
      <c r="O127">
        <v>99</v>
      </c>
      <c r="P127" t="s">
        <v>272</v>
      </c>
      <c r="Q127" s="1">
        <v>10410</v>
      </c>
      <c r="R127">
        <v>7.7</v>
      </c>
      <c r="S127" s="2">
        <v>0.28000000000000003</v>
      </c>
      <c r="T127" t="s">
        <v>324</v>
      </c>
      <c r="U127" s="2">
        <v>0.4</v>
      </c>
      <c r="V127" t="s">
        <v>323</v>
      </c>
      <c r="W127" t="s">
        <v>325</v>
      </c>
      <c r="X127" t="b">
        <v>0</v>
      </c>
      <c r="Y127" t="b">
        <v>0</v>
      </c>
    </row>
    <row r="128" spans="1:25">
      <c r="A128">
        <v>1270</v>
      </c>
      <c r="B128">
        <v>127</v>
      </c>
      <c r="C128" t="s">
        <v>326</v>
      </c>
      <c r="D128">
        <v>64.3</v>
      </c>
      <c r="E128">
        <v>1270</v>
      </c>
      <c r="F128">
        <v>45.6</v>
      </c>
      <c r="G128">
        <v>196</v>
      </c>
      <c r="H128">
        <v>50.6</v>
      </c>
      <c r="I128">
        <v>139</v>
      </c>
      <c r="J128">
        <v>92.1</v>
      </c>
      <c r="K128">
        <v>91</v>
      </c>
      <c r="L128">
        <v>72.3</v>
      </c>
      <c r="M128">
        <v>379</v>
      </c>
      <c r="N128">
        <v>75.599999999999994</v>
      </c>
      <c r="O128">
        <v>320</v>
      </c>
      <c r="P128" t="s">
        <v>327</v>
      </c>
      <c r="Q128" s="1">
        <v>20967</v>
      </c>
      <c r="R128">
        <v>12.5</v>
      </c>
      <c r="S128" s="2">
        <v>0.15</v>
      </c>
      <c r="T128" s="3">
        <v>2.7736111111111112</v>
      </c>
      <c r="U128" s="2">
        <v>0.22</v>
      </c>
      <c r="V128" t="s">
        <v>326</v>
      </c>
      <c r="W128" t="s">
        <v>328</v>
      </c>
      <c r="X128" t="b">
        <v>0</v>
      </c>
      <c r="Y128" t="b">
        <v>0</v>
      </c>
    </row>
    <row r="129" spans="1:25">
      <c r="A129">
        <v>1280</v>
      </c>
      <c r="B129">
        <v>128</v>
      </c>
      <c r="C129" t="s">
        <v>329</v>
      </c>
      <c r="D129">
        <v>64.099999999999994</v>
      </c>
      <c r="E129">
        <v>1280</v>
      </c>
      <c r="F129">
        <v>46.7</v>
      </c>
      <c r="G129">
        <v>176</v>
      </c>
      <c r="H129">
        <v>51.3</v>
      </c>
      <c r="I129">
        <v>132</v>
      </c>
      <c r="J129">
        <v>86.2</v>
      </c>
      <c r="K129">
        <v>188</v>
      </c>
      <c r="L129">
        <v>100</v>
      </c>
      <c r="M129">
        <v>9</v>
      </c>
      <c r="N129">
        <v>74.2</v>
      </c>
      <c r="O129">
        <v>347</v>
      </c>
      <c r="P129" t="s">
        <v>99</v>
      </c>
      <c r="Q129" s="1">
        <v>19417</v>
      </c>
      <c r="R129">
        <v>34.4</v>
      </c>
      <c r="S129" s="2">
        <v>0.17</v>
      </c>
      <c r="T129" s="3">
        <v>2.2409722222222221</v>
      </c>
      <c r="U129" s="2">
        <v>0.22</v>
      </c>
      <c r="V129" t="s">
        <v>329</v>
      </c>
      <c r="W129" t="s">
        <v>330</v>
      </c>
      <c r="X129" t="b">
        <v>0</v>
      </c>
      <c r="Y129" t="b">
        <v>0</v>
      </c>
    </row>
    <row r="130" spans="1:25">
      <c r="A130">
        <v>1290</v>
      </c>
      <c r="B130">
        <v>129</v>
      </c>
      <c r="C130" t="s">
        <v>331</v>
      </c>
      <c r="D130">
        <v>63.9</v>
      </c>
      <c r="E130">
        <v>1290</v>
      </c>
      <c r="F130">
        <v>46.1</v>
      </c>
      <c r="G130">
        <v>186</v>
      </c>
      <c r="H130">
        <v>49.1</v>
      </c>
      <c r="I130">
        <v>150</v>
      </c>
      <c r="J130">
        <v>87.3</v>
      </c>
      <c r="K130">
        <v>167</v>
      </c>
      <c r="L130">
        <v>68.8</v>
      </c>
      <c r="M130">
        <v>458</v>
      </c>
      <c r="N130">
        <v>94.6</v>
      </c>
      <c r="O130">
        <v>57</v>
      </c>
      <c r="P130" t="s">
        <v>26</v>
      </c>
      <c r="Q130" s="1">
        <v>33450</v>
      </c>
      <c r="R130">
        <v>14.4</v>
      </c>
      <c r="S130" s="2">
        <v>0.32</v>
      </c>
      <c r="T130" s="3">
        <v>2.4868055555555557</v>
      </c>
      <c r="U130" s="2">
        <v>0.3</v>
      </c>
      <c r="V130" t="s">
        <v>331</v>
      </c>
      <c r="W130" t="s">
        <v>332</v>
      </c>
      <c r="X130" t="b">
        <v>0</v>
      </c>
      <c r="Y130" t="b">
        <v>0</v>
      </c>
    </row>
    <row r="131" spans="1:25">
      <c r="A131">
        <v>1300</v>
      </c>
      <c r="B131">
        <f>130</f>
        <v>130</v>
      </c>
      <c r="C131" t="s">
        <v>333</v>
      </c>
      <c r="D131">
        <v>63.8</v>
      </c>
      <c r="E131">
        <v>1300</v>
      </c>
      <c r="F131">
        <v>45.6</v>
      </c>
      <c r="G131">
        <v>195</v>
      </c>
      <c r="H131">
        <v>45.9</v>
      </c>
      <c r="I131">
        <v>180</v>
      </c>
      <c r="J131">
        <v>90.6</v>
      </c>
      <c r="K131">
        <v>115</v>
      </c>
      <c r="L131">
        <v>71.2</v>
      </c>
      <c r="M131">
        <v>402</v>
      </c>
      <c r="N131">
        <v>92.8</v>
      </c>
      <c r="O131">
        <v>87</v>
      </c>
      <c r="P131" t="s">
        <v>26</v>
      </c>
      <c r="Q131" s="1">
        <v>33520</v>
      </c>
      <c r="R131">
        <v>16</v>
      </c>
      <c r="S131" s="2">
        <v>0.27</v>
      </c>
      <c r="T131" s="3">
        <v>2.2819444444444446</v>
      </c>
      <c r="U131" s="2">
        <v>0.27</v>
      </c>
      <c r="V131" t="s">
        <v>333</v>
      </c>
      <c r="W131" t="s">
        <v>334</v>
      </c>
      <c r="X131" t="b">
        <v>0</v>
      </c>
      <c r="Y131" t="b">
        <v>0</v>
      </c>
    </row>
    <row r="132" spans="1:25">
      <c r="A132">
        <v>1310</v>
      </c>
      <c r="B132">
        <f>130</f>
        <v>130</v>
      </c>
      <c r="C132" t="s">
        <v>335</v>
      </c>
      <c r="D132">
        <v>63.8</v>
      </c>
      <c r="E132">
        <v>1310</v>
      </c>
      <c r="F132">
        <v>67.8</v>
      </c>
      <c r="G132">
        <v>48</v>
      </c>
      <c r="H132">
        <v>66.400000000000006</v>
      </c>
      <c r="I132">
        <v>61</v>
      </c>
      <c r="J132">
        <v>53.8</v>
      </c>
      <c r="K132">
        <v>926</v>
      </c>
      <c r="L132">
        <v>99.9</v>
      </c>
      <c r="M132">
        <v>37</v>
      </c>
      <c r="N132">
        <v>58.5</v>
      </c>
      <c r="O132">
        <v>614</v>
      </c>
      <c r="P132" t="s">
        <v>94</v>
      </c>
      <c r="Q132" s="1">
        <v>17409</v>
      </c>
      <c r="R132">
        <v>11.8</v>
      </c>
      <c r="S132" s="2">
        <v>0.12</v>
      </c>
      <c r="T132" t="s">
        <v>336</v>
      </c>
      <c r="U132" s="2">
        <v>0.32</v>
      </c>
      <c r="V132" t="s">
        <v>335</v>
      </c>
      <c r="W132" t="s">
        <v>337</v>
      </c>
      <c r="X132" t="b">
        <v>0</v>
      </c>
      <c r="Y132" t="b">
        <v>0</v>
      </c>
    </row>
    <row r="133" spans="1:25">
      <c r="A133">
        <v>1320</v>
      </c>
      <c r="B133">
        <v>132</v>
      </c>
      <c r="C133" t="s">
        <v>338</v>
      </c>
      <c r="D133">
        <v>63.7</v>
      </c>
      <c r="E133">
        <v>1320</v>
      </c>
      <c r="F133">
        <v>55.5</v>
      </c>
      <c r="G133">
        <v>93</v>
      </c>
      <c r="H133">
        <v>56.7</v>
      </c>
      <c r="I133">
        <v>103</v>
      </c>
      <c r="J133">
        <v>78.3</v>
      </c>
      <c r="K133">
        <v>357</v>
      </c>
      <c r="L133">
        <v>88.9</v>
      </c>
      <c r="M133">
        <v>174</v>
      </c>
      <c r="N133">
        <v>50.9</v>
      </c>
      <c r="O133">
        <v>776</v>
      </c>
      <c r="P133" t="s">
        <v>29</v>
      </c>
      <c r="Q133" s="1">
        <v>48114</v>
      </c>
      <c r="R133">
        <v>16.7</v>
      </c>
      <c r="S133" s="2">
        <v>0.09</v>
      </c>
      <c r="T133" s="3">
        <v>2.3638888888888889</v>
      </c>
      <c r="U133" s="2">
        <v>0.22</v>
      </c>
      <c r="V133" t="s">
        <v>338</v>
      </c>
      <c r="W133" t="s">
        <v>339</v>
      </c>
      <c r="X133" t="b">
        <v>0</v>
      </c>
      <c r="Y133" t="b">
        <v>0</v>
      </c>
    </row>
    <row r="134" spans="1:25">
      <c r="A134">
        <v>1330</v>
      </c>
      <c r="B134">
        <v>133</v>
      </c>
      <c r="C134" t="s">
        <v>340</v>
      </c>
      <c r="D134">
        <v>63.6</v>
      </c>
      <c r="E134">
        <v>1330</v>
      </c>
      <c r="F134">
        <v>50.8</v>
      </c>
      <c r="G134">
        <v>128</v>
      </c>
      <c r="H134">
        <v>42.9</v>
      </c>
      <c r="I134">
        <v>211</v>
      </c>
      <c r="J134">
        <v>88.3</v>
      </c>
      <c r="K134">
        <v>150</v>
      </c>
      <c r="L134">
        <v>89</v>
      </c>
      <c r="M134">
        <v>173</v>
      </c>
      <c r="N134">
        <v>81.7</v>
      </c>
      <c r="O134">
        <v>230</v>
      </c>
      <c r="P134" t="s">
        <v>29</v>
      </c>
      <c r="Q134" s="1">
        <v>9855</v>
      </c>
      <c r="R134">
        <v>7.3</v>
      </c>
      <c r="S134" s="2">
        <v>0.34</v>
      </c>
      <c r="T134" s="3">
        <v>2.1180555555555554</v>
      </c>
      <c r="U134" s="2">
        <v>0.24</v>
      </c>
      <c r="V134" t="s">
        <v>340</v>
      </c>
      <c r="W134" t="s">
        <v>341</v>
      </c>
      <c r="X134" t="b">
        <v>0</v>
      </c>
      <c r="Y134" t="b">
        <v>0</v>
      </c>
    </row>
    <row r="135" spans="1:25">
      <c r="A135">
        <v>1340</v>
      </c>
      <c r="B135">
        <v>134</v>
      </c>
      <c r="C135" t="s">
        <v>342</v>
      </c>
      <c r="D135">
        <v>63.2</v>
      </c>
      <c r="E135">
        <v>1340</v>
      </c>
      <c r="F135">
        <v>44</v>
      </c>
      <c r="G135">
        <v>220</v>
      </c>
      <c r="H135">
        <v>48.4</v>
      </c>
      <c r="I135">
        <v>154</v>
      </c>
      <c r="J135">
        <v>87.6</v>
      </c>
      <c r="K135">
        <v>160</v>
      </c>
      <c r="L135">
        <v>76.599999999999994</v>
      </c>
      <c r="M135">
        <v>309</v>
      </c>
      <c r="N135">
        <v>91.4</v>
      </c>
      <c r="O135">
        <v>111</v>
      </c>
      <c r="P135" t="s">
        <v>343</v>
      </c>
      <c r="Q135" s="1">
        <v>18778</v>
      </c>
      <c r="R135">
        <v>22.2</v>
      </c>
      <c r="S135" s="2">
        <v>0.34</v>
      </c>
      <c r="T135" s="3">
        <v>2.5687500000000001</v>
      </c>
      <c r="U135" s="2">
        <v>0.24</v>
      </c>
      <c r="V135" t="s">
        <v>342</v>
      </c>
      <c r="W135" t="s">
        <v>344</v>
      </c>
      <c r="X135" t="b">
        <v>0</v>
      </c>
      <c r="Y135" t="b">
        <v>0</v>
      </c>
    </row>
    <row r="136" spans="1:25">
      <c r="A136">
        <v>1350</v>
      </c>
      <c r="B136">
        <v>135</v>
      </c>
      <c r="C136" t="s">
        <v>345</v>
      </c>
      <c r="D136">
        <v>63.1</v>
      </c>
      <c r="E136">
        <v>1350</v>
      </c>
      <c r="F136">
        <v>37.6</v>
      </c>
      <c r="G136">
        <v>376</v>
      </c>
      <c r="H136">
        <v>42.6</v>
      </c>
      <c r="I136">
        <v>216</v>
      </c>
      <c r="J136">
        <v>97.9</v>
      </c>
      <c r="K136">
        <v>14</v>
      </c>
      <c r="L136">
        <v>73.900000000000006</v>
      </c>
      <c r="M136">
        <v>350</v>
      </c>
      <c r="N136">
        <v>98.1</v>
      </c>
      <c r="O136">
        <v>7</v>
      </c>
      <c r="P136" t="s">
        <v>26</v>
      </c>
      <c r="Q136" s="1">
        <v>22205</v>
      </c>
      <c r="R136">
        <v>14.6</v>
      </c>
      <c r="S136" s="2">
        <v>0.45</v>
      </c>
      <c r="T136" s="3">
        <v>2.2819444444444446</v>
      </c>
      <c r="U136" s="2">
        <v>0.23</v>
      </c>
      <c r="V136" t="s">
        <v>345</v>
      </c>
      <c r="W136" t="s">
        <v>346</v>
      </c>
      <c r="X136" t="b">
        <v>0</v>
      </c>
      <c r="Y136" t="b">
        <v>0</v>
      </c>
    </row>
    <row r="137" spans="1:25">
      <c r="A137">
        <v>1360</v>
      </c>
      <c r="B137">
        <f>136</f>
        <v>136</v>
      </c>
      <c r="C137" t="s">
        <v>347</v>
      </c>
      <c r="D137">
        <v>63</v>
      </c>
      <c r="E137">
        <v>1360</v>
      </c>
      <c r="F137">
        <v>44.7</v>
      </c>
      <c r="G137">
        <v>208</v>
      </c>
      <c r="H137">
        <v>53.3</v>
      </c>
      <c r="I137">
        <v>122</v>
      </c>
      <c r="J137">
        <v>84.8</v>
      </c>
      <c r="K137">
        <v>216</v>
      </c>
      <c r="L137">
        <v>98.6</v>
      </c>
      <c r="M137">
        <v>78</v>
      </c>
      <c r="N137">
        <v>65.7</v>
      </c>
      <c r="O137">
        <v>471</v>
      </c>
      <c r="P137" t="s">
        <v>99</v>
      </c>
      <c r="Q137" s="1">
        <v>29240</v>
      </c>
      <c r="R137">
        <v>58.5</v>
      </c>
      <c r="S137" s="2">
        <v>0.13</v>
      </c>
      <c r="T137" s="3">
        <v>2.4458333333333333</v>
      </c>
      <c r="U137" s="2">
        <v>0.22</v>
      </c>
      <c r="V137" t="s">
        <v>347</v>
      </c>
      <c r="W137" t="s">
        <v>348</v>
      </c>
      <c r="X137" t="b">
        <v>0</v>
      </c>
      <c r="Y137" t="b">
        <v>0</v>
      </c>
    </row>
    <row r="138" spans="1:25">
      <c r="A138">
        <v>1370</v>
      </c>
      <c r="B138">
        <f>136</f>
        <v>136</v>
      </c>
      <c r="C138" t="s">
        <v>349</v>
      </c>
      <c r="D138">
        <v>63</v>
      </c>
      <c r="E138">
        <v>1370</v>
      </c>
      <c r="F138">
        <v>47.8</v>
      </c>
      <c r="G138">
        <v>162</v>
      </c>
      <c r="H138">
        <v>55.6</v>
      </c>
      <c r="I138">
        <v>108</v>
      </c>
      <c r="J138">
        <v>78.099999999999994</v>
      </c>
      <c r="K138">
        <v>364</v>
      </c>
      <c r="L138">
        <v>99.9</v>
      </c>
      <c r="M138">
        <v>36</v>
      </c>
      <c r="N138">
        <v>71.3</v>
      </c>
      <c r="O138">
        <v>389</v>
      </c>
      <c r="P138" t="s">
        <v>99</v>
      </c>
      <c r="Q138" s="1">
        <v>20425</v>
      </c>
      <c r="R138">
        <v>49.6</v>
      </c>
      <c r="S138" s="2">
        <v>0.28999999999999998</v>
      </c>
      <c r="T138" t="s">
        <v>350</v>
      </c>
      <c r="U138" s="2">
        <v>0.48</v>
      </c>
      <c r="V138" t="s">
        <v>349</v>
      </c>
      <c r="W138" t="s">
        <v>351</v>
      </c>
      <c r="X138" t="b">
        <v>0</v>
      </c>
      <c r="Y138" t="b">
        <v>0</v>
      </c>
    </row>
    <row r="139" spans="1:25">
      <c r="A139">
        <v>1380</v>
      </c>
      <c r="B139">
        <f>138</f>
        <v>138</v>
      </c>
      <c r="C139" t="s">
        <v>352</v>
      </c>
      <c r="D139">
        <v>62.9</v>
      </c>
      <c r="E139">
        <v>1380</v>
      </c>
      <c r="F139">
        <v>46.5</v>
      </c>
      <c r="G139">
        <v>181</v>
      </c>
      <c r="H139">
        <v>51.9</v>
      </c>
      <c r="I139">
        <v>127</v>
      </c>
      <c r="J139">
        <v>88.6</v>
      </c>
      <c r="K139">
        <v>145</v>
      </c>
      <c r="L139">
        <v>82.8</v>
      </c>
      <c r="M139">
        <v>231</v>
      </c>
      <c r="N139">
        <v>56.6</v>
      </c>
      <c r="O139">
        <v>651</v>
      </c>
      <c r="P139" t="s">
        <v>29</v>
      </c>
      <c r="Q139" s="1">
        <v>35844</v>
      </c>
      <c r="R139">
        <v>16.5</v>
      </c>
      <c r="S139" s="2">
        <v>0.08</v>
      </c>
      <c r="T139" s="3">
        <v>1.9131944444444444</v>
      </c>
      <c r="U139" s="2">
        <v>0.45</v>
      </c>
      <c r="V139" t="s">
        <v>352</v>
      </c>
      <c r="W139" t="s">
        <v>353</v>
      </c>
      <c r="X139" t="b">
        <v>0</v>
      </c>
      <c r="Y139" t="b">
        <v>0</v>
      </c>
    </row>
    <row r="140" spans="1:25">
      <c r="A140">
        <v>1390</v>
      </c>
      <c r="B140">
        <f>138</f>
        <v>138</v>
      </c>
      <c r="C140" t="s">
        <v>354</v>
      </c>
      <c r="D140">
        <v>62.9</v>
      </c>
      <c r="E140">
        <v>1390</v>
      </c>
      <c r="F140">
        <v>41.4</v>
      </c>
      <c r="G140">
        <v>270</v>
      </c>
      <c r="H140">
        <v>47.1</v>
      </c>
      <c r="I140">
        <v>166</v>
      </c>
      <c r="J140">
        <v>86.1</v>
      </c>
      <c r="K140">
        <v>190</v>
      </c>
      <c r="L140">
        <v>98.1</v>
      </c>
      <c r="M140">
        <v>88</v>
      </c>
      <c r="N140">
        <v>97.4</v>
      </c>
      <c r="O140">
        <v>18</v>
      </c>
      <c r="P140" t="s">
        <v>144</v>
      </c>
      <c r="Q140" s="1">
        <v>21337</v>
      </c>
      <c r="R140">
        <v>19.600000000000001</v>
      </c>
      <c r="S140" s="2">
        <v>0.56999999999999995</v>
      </c>
      <c r="T140" s="3">
        <v>2.5277777777777777</v>
      </c>
      <c r="U140" s="2">
        <v>0.1</v>
      </c>
      <c r="V140" t="s">
        <v>354</v>
      </c>
      <c r="W140" t="s">
        <v>355</v>
      </c>
      <c r="X140" t="b">
        <v>0</v>
      </c>
      <c r="Y140" t="b">
        <v>0</v>
      </c>
    </row>
    <row r="141" spans="1:25">
      <c r="A141">
        <v>1400</v>
      </c>
      <c r="B141">
        <f>140</f>
        <v>140</v>
      </c>
      <c r="C141" t="s">
        <v>356</v>
      </c>
      <c r="D141">
        <v>62.8</v>
      </c>
      <c r="E141">
        <v>1400</v>
      </c>
      <c r="F141">
        <v>49.9</v>
      </c>
      <c r="G141">
        <v>137</v>
      </c>
      <c r="H141">
        <v>56.8</v>
      </c>
      <c r="I141">
        <v>102</v>
      </c>
      <c r="J141">
        <v>72.5</v>
      </c>
      <c r="K141">
        <v>499</v>
      </c>
      <c r="L141">
        <v>99.9</v>
      </c>
      <c r="M141">
        <v>32</v>
      </c>
      <c r="N141">
        <v>77.599999999999994</v>
      </c>
      <c r="O141">
        <v>287</v>
      </c>
      <c r="P141" t="s">
        <v>99</v>
      </c>
      <c r="Q141" s="1">
        <v>21448</v>
      </c>
      <c r="R141">
        <v>20.5</v>
      </c>
      <c r="S141" s="2">
        <v>0.25</v>
      </c>
      <c r="T141" t="s">
        <v>357</v>
      </c>
      <c r="U141" s="2">
        <v>0.5</v>
      </c>
      <c r="V141" t="s">
        <v>356</v>
      </c>
      <c r="W141" t="s">
        <v>358</v>
      </c>
      <c r="X141" t="b">
        <v>0</v>
      </c>
      <c r="Y141" t="b">
        <v>0</v>
      </c>
    </row>
    <row r="142" spans="1:25">
      <c r="A142">
        <v>1410</v>
      </c>
      <c r="B142">
        <f>140</f>
        <v>140</v>
      </c>
      <c r="C142" t="s">
        <v>359</v>
      </c>
      <c r="D142">
        <v>62.8</v>
      </c>
      <c r="E142">
        <v>1410</v>
      </c>
      <c r="F142">
        <v>39.1</v>
      </c>
      <c r="G142">
        <v>334</v>
      </c>
      <c r="H142">
        <v>51</v>
      </c>
      <c r="I142">
        <v>136</v>
      </c>
      <c r="J142">
        <v>91.3</v>
      </c>
      <c r="K142">
        <v>103</v>
      </c>
      <c r="L142">
        <v>81.400000000000006</v>
      </c>
      <c r="M142">
        <v>246</v>
      </c>
      <c r="N142">
        <v>77.7</v>
      </c>
      <c r="O142">
        <v>285</v>
      </c>
      <c r="P142" t="s">
        <v>144</v>
      </c>
      <c r="Q142" s="1">
        <v>23004</v>
      </c>
      <c r="R142">
        <v>18.2</v>
      </c>
      <c r="S142" s="2">
        <v>0.12</v>
      </c>
      <c r="T142" s="3">
        <v>2.4048611111111109</v>
      </c>
      <c r="U142" s="2">
        <v>0.15</v>
      </c>
      <c r="V142" t="s">
        <v>359</v>
      </c>
      <c r="W142" t="s">
        <v>360</v>
      </c>
      <c r="X142" t="b">
        <v>0</v>
      </c>
      <c r="Y142" t="b">
        <v>0</v>
      </c>
    </row>
    <row r="143" spans="1:25">
      <c r="A143">
        <v>1420</v>
      </c>
      <c r="B143">
        <f>140</f>
        <v>140</v>
      </c>
      <c r="C143" t="s">
        <v>361</v>
      </c>
      <c r="D143">
        <v>62.8</v>
      </c>
      <c r="E143">
        <v>1420</v>
      </c>
      <c r="F143">
        <v>43.9</v>
      </c>
      <c r="G143">
        <v>222</v>
      </c>
      <c r="H143">
        <v>55</v>
      </c>
      <c r="I143">
        <v>111</v>
      </c>
      <c r="J143">
        <v>81.3</v>
      </c>
      <c r="K143">
        <v>296</v>
      </c>
      <c r="L143">
        <v>97.7</v>
      </c>
      <c r="M143">
        <v>92</v>
      </c>
      <c r="N143">
        <v>74.7</v>
      </c>
      <c r="O143">
        <v>337</v>
      </c>
      <c r="P143" t="s">
        <v>150</v>
      </c>
      <c r="Q143" s="1">
        <v>24749</v>
      </c>
      <c r="R143">
        <v>13.3</v>
      </c>
      <c r="S143" s="2">
        <v>0.17</v>
      </c>
      <c r="T143" s="3">
        <v>2.5277777777777777</v>
      </c>
      <c r="U143" s="2">
        <v>0.25</v>
      </c>
      <c r="V143" t="s">
        <v>361</v>
      </c>
      <c r="W143" t="s">
        <v>362</v>
      </c>
      <c r="X143" t="b">
        <v>0</v>
      </c>
      <c r="Y143" t="b">
        <v>0</v>
      </c>
    </row>
    <row r="144" spans="1:25">
      <c r="A144">
        <v>1430</v>
      </c>
      <c r="B144">
        <f>143</f>
        <v>143</v>
      </c>
      <c r="C144" t="s">
        <v>363</v>
      </c>
      <c r="D144">
        <v>62.7</v>
      </c>
      <c r="E144">
        <v>1430</v>
      </c>
      <c r="F144">
        <v>41.7</v>
      </c>
      <c r="G144">
        <v>267</v>
      </c>
      <c r="H144">
        <v>46.3</v>
      </c>
      <c r="I144">
        <v>175</v>
      </c>
      <c r="J144">
        <v>87.3</v>
      </c>
      <c r="K144">
        <v>166</v>
      </c>
      <c r="L144">
        <v>99.5</v>
      </c>
      <c r="M144">
        <v>59</v>
      </c>
      <c r="N144">
        <v>90.4</v>
      </c>
      <c r="O144">
        <v>126</v>
      </c>
      <c r="P144" t="s">
        <v>50</v>
      </c>
      <c r="Q144" s="1">
        <v>14478</v>
      </c>
      <c r="R144">
        <v>10.5</v>
      </c>
      <c r="S144" s="2">
        <v>0.23</v>
      </c>
      <c r="U144" s="2">
        <v>0.14000000000000001</v>
      </c>
      <c r="V144" t="s">
        <v>363</v>
      </c>
      <c r="W144" t="s">
        <v>364</v>
      </c>
      <c r="X144" t="b">
        <v>0</v>
      </c>
      <c r="Y144" t="b">
        <v>0</v>
      </c>
    </row>
    <row r="145" spans="1:25">
      <c r="A145">
        <v>1440</v>
      </c>
      <c r="B145">
        <f>143</f>
        <v>143</v>
      </c>
      <c r="C145" t="s">
        <v>365</v>
      </c>
      <c r="D145">
        <v>62.7</v>
      </c>
      <c r="E145">
        <v>1440</v>
      </c>
      <c r="F145">
        <v>37.700000000000003</v>
      </c>
      <c r="G145">
        <v>368</v>
      </c>
      <c r="H145">
        <v>48.6</v>
      </c>
      <c r="I145">
        <v>152</v>
      </c>
      <c r="J145">
        <v>88.7</v>
      </c>
      <c r="K145">
        <v>144</v>
      </c>
      <c r="L145">
        <v>97.2</v>
      </c>
      <c r="M145">
        <v>94</v>
      </c>
      <c r="N145">
        <v>93.5</v>
      </c>
      <c r="O145">
        <v>74</v>
      </c>
      <c r="P145" t="s">
        <v>116</v>
      </c>
      <c r="Q145" s="1">
        <v>19382</v>
      </c>
      <c r="R145">
        <v>22.4</v>
      </c>
      <c r="S145" s="2">
        <v>0.26</v>
      </c>
      <c r="T145" s="3">
        <v>2.1180555555555554</v>
      </c>
      <c r="U145" s="2">
        <v>0.23</v>
      </c>
      <c r="V145" t="s">
        <v>365</v>
      </c>
      <c r="W145" t="s">
        <v>366</v>
      </c>
      <c r="X145" t="b">
        <v>0</v>
      </c>
      <c r="Y145" t="b">
        <v>0</v>
      </c>
    </row>
    <row r="146" spans="1:25">
      <c r="A146">
        <v>1450</v>
      </c>
      <c r="B146">
        <f>145</f>
        <v>145</v>
      </c>
      <c r="C146" t="s">
        <v>367</v>
      </c>
      <c r="D146">
        <v>62.5</v>
      </c>
      <c r="E146">
        <v>1450</v>
      </c>
      <c r="F146">
        <v>49.1</v>
      </c>
      <c r="G146">
        <v>141</v>
      </c>
      <c r="H146">
        <v>46.1</v>
      </c>
      <c r="I146">
        <v>178</v>
      </c>
      <c r="J146">
        <v>92.4</v>
      </c>
      <c r="K146">
        <v>87</v>
      </c>
      <c r="L146">
        <v>76.099999999999994</v>
      </c>
      <c r="M146">
        <v>316</v>
      </c>
      <c r="N146">
        <v>50.9</v>
      </c>
      <c r="O146">
        <v>778</v>
      </c>
      <c r="P146" t="s">
        <v>29</v>
      </c>
      <c r="Q146" s="1">
        <v>26305</v>
      </c>
      <c r="R146">
        <v>5.4</v>
      </c>
      <c r="S146" s="2">
        <v>0.1</v>
      </c>
      <c r="T146" s="3">
        <v>2.3638888888888889</v>
      </c>
      <c r="U146" s="2">
        <v>0.14000000000000001</v>
      </c>
      <c r="V146" t="s">
        <v>367</v>
      </c>
      <c r="W146" t="s">
        <v>368</v>
      </c>
      <c r="X146" t="b">
        <v>0</v>
      </c>
      <c r="Y146" t="b">
        <v>0</v>
      </c>
    </row>
    <row r="147" spans="1:25">
      <c r="A147">
        <v>1460</v>
      </c>
      <c r="B147">
        <f>145</f>
        <v>145</v>
      </c>
      <c r="C147" t="s">
        <v>369</v>
      </c>
      <c r="D147">
        <v>62.5</v>
      </c>
      <c r="E147">
        <v>1460</v>
      </c>
      <c r="F147">
        <v>55.5</v>
      </c>
      <c r="G147">
        <v>94</v>
      </c>
      <c r="H147">
        <v>54.2</v>
      </c>
      <c r="I147">
        <v>114</v>
      </c>
      <c r="J147">
        <v>72.900000000000006</v>
      </c>
      <c r="K147">
        <v>486</v>
      </c>
      <c r="L147">
        <v>98.8</v>
      </c>
      <c r="M147">
        <v>73</v>
      </c>
      <c r="N147">
        <v>61.3</v>
      </c>
      <c r="O147">
        <v>555</v>
      </c>
      <c r="P147" t="s">
        <v>181</v>
      </c>
      <c r="Q147" s="1">
        <v>23402</v>
      </c>
      <c r="R147">
        <v>19.399999999999999</v>
      </c>
      <c r="S147" s="2">
        <v>0.19</v>
      </c>
      <c r="U147" s="2">
        <v>0.22</v>
      </c>
      <c r="V147" t="s">
        <v>369</v>
      </c>
      <c r="W147" t="s">
        <v>370</v>
      </c>
      <c r="X147" t="b">
        <v>0</v>
      </c>
      <c r="Y147" t="b">
        <v>0</v>
      </c>
    </row>
    <row r="148" spans="1:25">
      <c r="A148">
        <v>1470</v>
      </c>
      <c r="B148">
        <v>147</v>
      </c>
      <c r="C148" t="s">
        <v>371</v>
      </c>
      <c r="D148">
        <v>62.4</v>
      </c>
      <c r="E148">
        <v>1470</v>
      </c>
      <c r="F148">
        <v>42.4</v>
      </c>
      <c r="G148">
        <v>256</v>
      </c>
      <c r="H148">
        <v>44.8</v>
      </c>
      <c r="I148">
        <v>191</v>
      </c>
      <c r="J148">
        <v>90.8</v>
      </c>
      <c r="K148">
        <v>112</v>
      </c>
      <c r="L148">
        <v>66.900000000000006</v>
      </c>
      <c r="M148">
        <v>507</v>
      </c>
      <c r="N148">
        <v>93.1</v>
      </c>
      <c r="O148">
        <v>83</v>
      </c>
      <c r="P148" t="s">
        <v>26</v>
      </c>
      <c r="Q148" s="1">
        <v>19505</v>
      </c>
      <c r="R148">
        <v>16.100000000000001</v>
      </c>
      <c r="S148" s="2">
        <v>0.31</v>
      </c>
      <c r="T148" s="3">
        <v>2.3638888888888889</v>
      </c>
      <c r="U148" s="2">
        <v>0.28000000000000003</v>
      </c>
      <c r="V148" t="s">
        <v>371</v>
      </c>
      <c r="W148" t="s">
        <v>372</v>
      </c>
      <c r="X148" t="b">
        <v>0</v>
      </c>
      <c r="Y148" t="b">
        <v>0</v>
      </c>
    </row>
    <row r="149" spans="1:25">
      <c r="A149">
        <v>1480</v>
      </c>
      <c r="B149">
        <v>148</v>
      </c>
      <c r="C149" t="s">
        <v>373</v>
      </c>
      <c r="D149">
        <v>62.3</v>
      </c>
      <c r="E149">
        <v>1480</v>
      </c>
      <c r="F149">
        <v>36.200000000000003</v>
      </c>
      <c r="G149">
        <v>421</v>
      </c>
      <c r="H149">
        <v>43.3</v>
      </c>
      <c r="I149">
        <v>207</v>
      </c>
      <c r="J149">
        <v>95.9</v>
      </c>
      <c r="K149">
        <v>39</v>
      </c>
      <c r="L149">
        <v>78.900000000000006</v>
      </c>
      <c r="M149">
        <v>278</v>
      </c>
      <c r="N149">
        <v>94.3</v>
      </c>
      <c r="O149">
        <v>60</v>
      </c>
      <c r="P149" t="s">
        <v>116</v>
      </c>
      <c r="Q149" s="1">
        <v>28223</v>
      </c>
      <c r="R149">
        <v>37.4</v>
      </c>
      <c r="S149" s="2">
        <v>0.25</v>
      </c>
      <c r="T149" s="3">
        <v>2.1180555555555554</v>
      </c>
      <c r="U149" s="2">
        <v>0.33</v>
      </c>
      <c r="V149" t="s">
        <v>374</v>
      </c>
      <c r="W149" t="s">
        <v>375</v>
      </c>
      <c r="X149" t="b">
        <v>0</v>
      </c>
      <c r="Y149" t="b">
        <v>0</v>
      </c>
    </row>
    <row r="150" spans="1:25">
      <c r="A150">
        <v>1490</v>
      </c>
      <c r="B150">
        <v>149</v>
      </c>
      <c r="C150" t="s">
        <v>376</v>
      </c>
      <c r="D150">
        <v>62.2</v>
      </c>
      <c r="E150">
        <v>1490</v>
      </c>
      <c r="F150">
        <v>58.1</v>
      </c>
      <c r="G150">
        <v>85</v>
      </c>
      <c r="H150">
        <v>51.5</v>
      </c>
      <c r="I150">
        <v>130</v>
      </c>
      <c r="J150">
        <v>77.2</v>
      </c>
      <c r="K150">
        <v>392</v>
      </c>
      <c r="L150">
        <v>100</v>
      </c>
      <c r="M150">
        <v>21</v>
      </c>
      <c r="N150">
        <v>40</v>
      </c>
      <c r="O150">
        <v>1118</v>
      </c>
      <c r="P150" t="s">
        <v>181</v>
      </c>
      <c r="Q150" s="1">
        <v>3300</v>
      </c>
      <c r="R150">
        <v>10.5</v>
      </c>
      <c r="S150" s="2">
        <v>0.05</v>
      </c>
      <c r="U150" s="2">
        <v>0.42</v>
      </c>
      <c r="V150" t="s">
        <v>377</v>
      </c>
      <c r="W150" t="s">
        <v>378</v>
      </c>
      <c r="X150" t="b">
        <v>0</v>
      </c>
      <c r="Y150" t="b">
        <v>0</v>
      </c>
    </row>
    <row r="151" spans="1:25">
      <c r="A151">
        <v>1500</v>
      </c>
      <c r="B151">
        <f>150</f>
        <v>150</v>
      </c>
      <c r="C151" t="s">
        <v>379</v>
      </c>
      <c r="D151">
        <v>62</v>
      </c>
      <c r="E151">
        <v>1500</v>
      </c>
      <c r="F151">
        <v>39.700000000000003</v>
      </c>
      <c r="G151">
        <v>316</v>
      </c>
      <c r="H151">
        <v>45.7</v>
      </c>
      <c r="I151">
        <v>182</v>
      </c>
      <c r="J151">
        <v>88.3</v>
      </c>
      <c r="K151">
        <v>148</v>
      </c>
      <c r="L151">
        <v>95.8</v>
      </c>
      <c r="M151">
        <v>109</v>
      </c>
      <c r="N151">
        <v>89.9</v>
      </c>
      <c r="O151">
        <v>130</v>
      </c>
      <c r="P151" t="s">
        <v>380</v>
      </c>
      <c r="Q151" s="1">
        <v>35663</v>
      </c>
      <c r="R151">
        <v>24.4</v>
      </c>
      <c r="S151" s="2">
        <v>0.31</v>
      </c>
      <c r="T151" s="3">
        <v>2.4048611111111109</v>
      </c>
      <c r="U151" s="2">
        <v>0.24</v>
      </c>
      <c r="V151" t="s">
        <v>381</v>
      </c>
      <c r="W151" t="s">
        <v>382</v>
      </c>
      <c r="X151" t="b">
        <v>0</v>
      </c>
      <c r="Y151" t="b">
        <v>0</v>
      </c>
    </row>
    <row r="152" spans="1:25">
      <c r="A152">
        <v>1510</v>
      </c>
      <c r="B152">
        <f>150</f>
        <v>150</v>
      </c>
      <c r="C152" t="s">
        <v>383</v>
      </c>
      <c r="D152">
        <v>62</v>
      </c>
      <c r="E152">
        <v>1510</v>
      </c>
      <c r="F152">
        <v>59.1</v>
      </c>
      <c r="G152">
        <v>81</v>
      </c>
      <c r="H152">
        <v>57.3</v>
      </c>
      <c r="I152">
        <v>99</v>
      </c>
      <c r="J152">
        <v>69.3</v>
      </c>
      <c r="K152">
        <v>574</v>
      </c>
      <c r="L152">
        <v>93.2</v>
      </c>
      <c r="M152">
        <v>135</v>
      </c>
      <c r="N152">
        <v>46.1</v>
      </c>
      <c r="O152">
        <v>929</v>
      </c>
      <c r="P152" t="s">
        <v>54</v>
      </c>
      <c r="Q152" s="1">
        <v>49117</v>
      </c>
      <c r="R152">
        <v>15.9</v>
      </c>
      <c r="S152" s="2">
        <v>0.05</v>
      </c>
      <c r="U152" s="2">
        <v>0.28000000000000003</v>
      </c>
      <c r="V152" t="s">
        <v>383</v>
      </c>
      <c r="W152" t="s">
        <v>384</v>
      </c>
      <c r="X152" t="b">
        <v>0</v>
      </c>
      <c r="Y152" t="b">
        <v>0</v>
      </c>
    </row>
    <row r="153" spans="1:25">
      <c r="A153">
        <v>1520</v>
      </c>
      <c r="B153">
        <f>152</f>
        <v>152</v>
      </c>
      <c r="C153" t="s">
        <v>385</v>
      </c>
      <c r="D153">
        <v>61.9</v>
      </c>
      <c r="E153">
        <v>1520</v>
      </c>
      <c r="F153">
        <v>42.4</v>
      </c>
      <c r="G153">
        <v>254</v>
      </c>
      <c r="H153">
        <v>47.3</v>
      </c>
      <c r="I153">
        <v>163</v>
      </c>
      <c r="J153">
        <v>91.4</v>
      </c>
      <c r="K153">
        <v>100</v>
      </c>
      <c r="L153">
        <v>83.9</v>
      </c>
      <c r="M153">
        <v>218</v>
      </c>
      <c r="N153">
        <v>65.2</v>
      </c>
      <c r="O153">
        <v>482</v>
      </c>
      <c r="P153" t="s">
        <v>386</v>
      </c>
      <c r="Q153" s="1">
        <v>44365</v>
      </c>
      <c r="R153">
        <v>15.3</v>
      </c>
      <c r="S153" s="2">
        <v>0.11</v>
      </c>
      <c r="T153" s="3">
        <v>2.6916666666666669</v>
      </c>
      <c r="U153" s="2">
        <v>0.17</v>
      </c>
      <c r="V153" t="s">
        <v>385</v>
      </c>
      <c r="W153" t="s">
        <v>387</v>
      </c>
      <c r="X153" t="b">
        <v>0</v>
      </c>
      <c r="Y153" t="b">
        <v>0</v>
      </c>
    </row>
    <row r="154" spans="1:25">
      <c r="A154">
        <v>1530</v>
      </c>
      <c r="B154">
        <f>152</f>
        <v>152</v>
      </c>
      <c r="C154" t="s">
        <v>388</v>
      </c>
      <c r="D154">
        <v>61.9</v>
      </c>
      <c r="E154">
        <v>1530</v>
      </c>
      <c r="F154">
        <v>57.3</v>
      </c>
      <c r="G154">
        <v>88</v>
      </c>
      <c r="H154">
        <v>54.8</v>
      </c>
      <c r="I154">
        <v>113</v>
      </c>
      <c r="J154">
        <v>70.8</v>
      </c>
      <c r="K154">
        <v>545</v>
      </c>
      <c r="L154">
        <v>99.9</v>
      </c>
      <c r="M154">
        <v>33</v>
      </c>
      <c r="N154">
        <v>51.2</v>
      </c>
      <c r="O154">
        <v>768</v>
      </c>
      <c r="P154" t="s">
        <v>389</v>
      </c>
      <c r="Q154" s="1">
        <v>24744</v>
      </c>
      <c r="R154">
        <v>11.1</v>
      </c>
      <c r="S154" s="2">
        <v>0.13</v>
      </c>
      <c r="T154" s="3">
        <v>1.7493055555555554</v>
      </c>
      <c r="U154" s="2">
        <v>0.31</v>
      </c>
      <c r="V154" t="s">
        <v>388</v>
      </c>
      <c r="W154" t="s">
        <v>390</v>
      </c>
      <c r="X154" t="b">
        <v>0</v>
      </c>
      <c r="Y154" t="b">
        <v>0</v>
      </c>
    </row>
    <row r="155" spans="1:25">
      <c r="A155">
        <v>1540</v>
      </c>
      <c r="B155">
        <f>152</f>
        <v>152</v>
      </c>
      <c r="C155" t="s">
        <v>391</v>
      </c>
      <c r="D155">
        <v>61.9</v>
      </c>
      <c r="E155">
        <v>1540</v>
      </c>
      <c r="F155">
        <v>47.9</v>
      </c>
      <c r="G155">
        <v>161</v>
      </c>
      <c r="H155">
        <v>42.7</v>
      </c>
      <c r="I155">
        <v>214</v>
      </c>
      <c r="J155">
        <v>90.6</v>
      </c>
      <c r="K155">
        <v>116</v>
      </c>
      <c r="L155">
        <v>68.3</v>
      </c>
      <c r="M155">
        <v>472</v>
      </c>
      <c r="N155">
        <v>73.2</v>
      </c>
      <c r="O155">
        <v>362</v>
      </c>
      <c r="P155" t="s">
        <v>125</v>
      </c>
      <c r="Q155" s="1">
        <v>61690</v>
      </c>
      <c r="R155">
        <v>16.899999999999999</v>
      </c>
      <c r="S155" s="2">
        <v>0.18</v>
      </c>
      <c r="T155" s="3">
        <v>2.7736111111111112</v>
      </c>
      <c r="U155" s="2">
        <v>0.21</v>
      </c>
      <c r="V155" t="s">
        <v>392</v>
      </c>
      <c r="W155" t="s">
        <v>393</v>
      </c>
      <c r="X155" t="b">
        <v>0</v>
      </c>
      <c r="Y155" t="b">
        <v>0</v>
      </c>
    </row>
    <row r="156" spans="1:25">
      <c r="A156">
        <v>1550</v>
      </c>
      <c r="B156">
        <f>155</f>
        <v>155</v>
      </c>
      <c r="C156" t="s">
        <v>394</v>
      </c>
      <c r="D156">
        <v>61.8</v>
      </c>
      <c r="E156">
        <v>1550</v>
      </c>
      <c r="F156">
        <v>48.7</v>
      </c>
      <c r="G156">
        <v>147</v>
      </c>
      <c r="H156">
        <v>51.3</v>
      </c>
      <c r="I156">
        <v>131</v>
      </c>
      <c r="J156">
        <v>85.7</v>
      </c>
      <c r="K156">
        <v>193</v>
      </c>
      <c r="L156">
        <v>84</v>
      </c>
      <c r="M156">
        <v>217</v>
      </c>
      <c r="N156">
        <v>47</v>
      </c>
      <c r="O156">
        <v>891</v>
      </c>
      <c r="P156" t="s">
        <v>29</v>
      </c>
      <c r="Q156" s="1">
        <v>45517</v>
      </c>
      <c r="R156">
        <v>19.899999999999999</v>
      </c>
      <c r="S156" s="2">
        <v>7.0000000000000007E-2</v>
      </c>
      <c r="T156" s="3">
        <v>2.3638888888888889</v>
      </c>
      <c r="U156" s="2">
        <v>0.25</v>
      </c>
      <c r="V156" t="s">
        <v>394</v>
      </c>
      <c r="W156" t="s">
        <v>395</v>
      </c>
      <c r="X156" t="b">
        <v>0</v>
      </c>
      <c r="Y156" t="b">
        <v>0</v>
      </c>
    </row>
    <row r="157" spans="1:25">
      <c r="A157">
        <v>1560</v>
      </c>
      <c r="B157">
        <f>155</f>
        <v>155</v>
      </c>
      <c r="C157" t="s">
        <v>396</v>
      </c>
      <c r="D157">
        <v>61.8</v>
      </c>
      <c r="E157">
        <v>1560</v>
      </c>
      <c r="F157">
        <v>53</v>
      </c>
      <c r="G157">
        <v>112</v>
      </c>
      <c r="H157">
        <v>44.6</v>
      </c>
      <c r="I157">
        <v>193</v>
      </c>
      <c r="J157">
        <v>86.5</v>
      </c>
      <c r="K157">
        <v>182</v>
      </c>
      <c r="L157">
        <v>79.400000000000006</v>
      </c>
      <c r="M157">
        <v>272</v>
      </c>
      <c r="N157">
        <v>54.3</v>
      </c>
      <c r="O157">
        <v>687</v>
      </c>
      <c r="P157" t="s">
        <v>397</v>
      </c>
      <c r="Q157" s="1">
        <v>74105</v>
      </c>
      <c r="R157">
        <v>24.7</v>
      </c>
      <c r="S157" s="2">
        <v>0.11</v>
      </c>
      <c r="T157" s="3">
        <v>2.4048611111111109</v>
      </c>
      <c r="U157" s="2">
        <v>0.27</v>
      </c>
      <c r="V157" t="s">
        <v>396</v>
      </c>
      <c r="W157" t="s">
        <v>398</v>
      </c>
      <c r="X157" t="b">
        <v>0</v>
      </c>
      <c r="Y157" t="b">
        <v>0</v>
      </c>
    </row>
    <row r="158" spans="1:25">
      <c r="A158">
        <v>1570</v>
      </c>
      <c r="B158">
        <f>155</f>
        <v>155</v>
      </c>
      <c r="C158" t="s">
        <v>399</v>
      </c>
      <c r="D158">
        <v>61.8</v>
      </c>
      <c r="E158">
        <v>1570</v>
      </c>
      <c r="F158">
        <v>40.200000000000003</v>
      </c>
      <c r="G158">
        <v>304</v>
      </c>
      <c r="H158">
        <v>40.700000000000003</v>
      </c>
      <c r="I158">
        <v>240</v>
      </c>
      <c r="J158">
        <v>93.9</v>
      </c>
      <c r="K158">
        <v>59</v>
      </c>
      <c r="L158">
        <v>66.599999999999994</v>
      </c>
      <c r="M158">
        <v>514</v>
      </c>
      <c r="N158">
        <v>96.8</v>
      </c>
      <c r="O158">
        <v>24</v>
      </c>
      <c r="P158" t="s">
        <v>26</v>
      </c>
      <c r="Q158" s="1">
        <v>15385</v>
      </c>
      <c r="R158">
        <v>13.9</v>
      </c>
      <c r="S158" s="2">
        <v>0.38</v>
      </c>
      <c r="T158" s="3">
        <v>2.1590277777777778</v>
      </c>
      <c r="U158" s="2">
        <v>0.34</v>
      </c>
      <c r="V158" t="s">
        <v>399</v>
      </c>
      <c r="W158" t="s">
        <v>400</v>
      </c>
      <c r="X158" t="b">
        <v>0</v>
      </c>
      <c r="Y158" t="b">
        <v>0</v>
      </c>
    </row>
    <row r="159" spans="1:25">
      <c r="A159">
        <v>1580</v>
      </c>
      <c r="B159">
        <f>158</f>
        <v>158</v>
      </c>
      <c r="C159" t="s">
        <v>401</v>
      </c>
      <c r="D159">
        <v>61.7</v>
      </c>
      <c r="E159">
        <v>1580</v>
      </c>
      <c r="F159">
        <v>48.8</v>
      </c>
      <c r="G159">
        <v>145</v>
      </c>
      <c r="H159">
        <v>48.1</v>
      </c>
      <c r="I159">
        <v>156</v>
      </c>
      <c r="J159">
        <v>90</v>
      </c>
      <c r="K159">
        <v>127</v>
      </c>
      <c r="L159">
        <v>96.9</v>
      </c>
      <c r="M159">
        <v>96</v>
      </c>
      <c r="N159">
        <v>32.9</v>
      </c>
      <c r="O159">
        <v>1391</v>
      </c>
      <c r="P159" t="s">
        <v>54</v>
      </c>
      <c r="Q159" s="1">
        <v>57663</v>
      </c>
      <c r="R159">
        <v>15.5</v>
      </c>
      <c r="S159" s="2">
        <v>0.04</v>
      </c>
      <c r="U159" s="2">
        <v>0.31</v>
      </c>
      <c r="V159" t="s">
        <v>402</v>
      </c>
      <c r="W159" t="s">
        <v>403</v>
      </c>
      <c r="X159" t="b">
        <v>0</v>
      </c>
      <c r="Y159" t="b">
        <v>0</v>
      </c>
    </row>
    <row r="160" spans="1:25">
      <c r="A160">
        <v>1590</v>
      </c>
      <c r="B160">
        <f>158</f>
        <v>158</v>
      </c>
      <c r="C160" t="s">
        <v>404</v>
      </c>
      <c r="D160">
        <v>61.7</v>
      </c>
      <c r="E160">
        <v>1590</v>
      </c>
      <c r="F160">
        <v>42.2</v>
      </c>
      <c r="G160">
        <v>260</v>
      </c>
      <c r="H160">
        <v>49.3</v>
      </c>
      <c r="I160">
        <v>148</v>
      </c>
      <c r="J160">
        <v>83.7</v>
      </c>
      <c r="K160">
        <v>243</v>
      </c>
      <c r="L160">
        <v>78.3</v>
      </c>
      <c r="M160">
        <v>286</v>
      </c>
      <c r="N160">
        <v>89.3</v>
      </c>
      <c r="O160">
        <v>134</v>
      </c>
      <c r="P160" t="s">
        <v>76</v>
      </c>
      <c r="Q160" s="1">
        <v>36904</v>
      </c>
      <c r="R160">
        <v>24.2</v>
      </c>
      <c r="S160" s="2">
        <v>0.23</v>
      </c>
      <c r="T160" s="3">
        <v>1.9951388888888888</v>
      </c>
      <c r="U160" s="2">
        <v>0.39</v>
      </c>
      <c r="V160" t="s">
        <v>404</v>
      </c>
      <c r="W160" t="s">
        <v>405</v>
      </c>
      <c r="X160" t="b">
        <v>0</v>
      </c>
      <c r="Y160" t="b">
        <v>0</v>
      </c>
    </row>
    <row r="161" spans="1:25">
      <c r="A161">
        <v>1600</v>
      </c>
      <c r="B161">
        <v>160</v>
      </c>
      <c r="C161" t="s">
        <v>406</v>
      </c>
      <c r="D161">
        <v>61.5</v>
      </c>
      <c r="E161">
        <v>1600</v>
      </c>
      <c r="F161">
        <v>42.9</v>
      </c>
      <c r="G161">
        <v>240</v>
      </c>
      <c r="H161">
        <v>47.1</v>
      </c>
      <c r="I161">
        <v>165</v>
      </c>
      <c r="J161">
        <v>85.6</v>
      </c>
      <c r="K161">
        <v>197</v>
      </c>
      <c r="L161">
        <v>98.8</v>
      </c>
      <c r="M161">
        <v>70</v>
      </c>
      <c r="N161">
        <v>73.3</v>
      </c>
      <c r="O161">
        <v>359</v>
      </c>
      <c r="P161" t="s">
        <v>99</v>
      </c>
      <c r="Q161" s="1">
        <v>31299</v>
      </c>
      <c r="R161">
        <v>28.7</v>
      </c>
      <c r="S161" s="2">
        <v>0.17</v>
      </c>
      <c r="U161" s="2">
        <v>0.2</v>
      </c>
      <c r="V161" t="s">
        <v>406</v>
      </c>
      <c r="W161" t="s">
        <v>407</v>
      </c>
      <c r="X161" t="b">
        <v>0</v>
      </c>
      <c r="Y161" t="b">
        <v>0</v>
      </c>
    </row>
    <row r="162" spans="1:25">
      <c r="A162">
        <v>1610</v>
      </c>
      <c r="B162">
        <f>161</f>
        <v>161</v>
      </c>
      <c r="C162" t="s">
        <v>408</v>
      </c>
      <c r="D162">
        <v>61.4</v>
      </c>
      <c r="E162">
        <v>1610</v>
      </c>
      <c r="F162">
        <v>38.200000000000003</v>
      </c>
      <c r="G162">
        <v>357</v>
      </c>
      <c r="H162">
        <v>44.4</v>
      </c>
      <c r="I162">
        <v>195</v>
      </c>
      <c r="J162">
        <v>92.5</v>
      </c>
      <c r="K162">
        <v>84</v>
      </c>
      <c r="L162">
        <v>98.4</v>
      </c>
      <c r="M162">
        <v>81</v>
      </c>
      <c r="N162">
        <v>74.7</v>
      </c>
      <c r="O162">
        <v>335</v>
      </c>
      <c r="P162" t="s">
        <v>137</v>
      </c>
      <c r="Q162" s="1">
        <v>16168</v>
      </c>
      <c r="R162">
        <v>31.8</v>
      </c>
      <c r="S162" s="2">
        <v>0.17</v>
      </c>
      <c r="T162" s="3">
        <v>2.3638888888888889</v>
      </c>
      <c r="U162" s="2">
        <v>0.24</v>
      </c>
      <c r="V162" t="s">
        <v>408</v>
      </c>
      <c r="W162" t="s">
        <v>409</v>
      </c>
      <c r="X162" t="b">
        <v>0</v>
      </c>
      <c r="Y162" t="b">
        <v>0</v>
      </c>
    </row>
    <row r="163" spans="1:25">
      <c r="A163">
        <v>1620</v>
      </c>
      <c r="B163">
        <f>161</f>
        <v>161</v>
      </c>
      <c r="C163" t="s">
        <v>410</v>
      </c>
      <c r="D163">
        <v>61.4</v>
      </c>
      <c r="E163">
        <v>1620</v>
      </c>
      <c r="F163">
        <v>57.3</v>
      </c>
      <c r="G163">
        <v>87</v>
      </c>
      <c r="H163">
        <v>40.700000000000003</v>
      </c>
      <c r="I163">
        <v>239</v>
      </c>
      <c r="J163">
        <v>84.7</v>
      </c>
      <c r="K163">
        <v>218</v>
      </c>
      <c r="L163">
        <v>68.400000000000006</v>
      </c>
      <c r="M163">
        <v>468</v>
      </c>
      <c r="N163">
        <v>60.2</v>
      </c>
      <c r="O163">
        <v>581</v>
      </c>
      <c r="P163" t="s">
        <v>29</v>
      </c>
      <c r="Q163" s="1">
        <v>6226</v>
      </c>
      <c r="R163">
        <v>7.4</v>
      </c>
      <c r="S163" s="2">
        <v>0.16</v>
      </c>
      <c r="T163" s="3">
        <v>2.0770833333333334</v>
      </c>
      <c r="U163" s="2">
        <v>0.2</v>
      </c>
      <c r="V163" t="s">
        <v>410</v>
      </c>
      <c r="W163" t="s">
        <v>411</v>
      </c>
      <c r="X163" t="b">
        <v>0</v>
      </c>
      <c r="Y163" t="b">
        <v>0</v>
      </c>
    </row>
    <row r="164" spans="1:25">
      <c r="A164">
        <v>1630</v>
      </c>
      <c r="B164">
        <f>161</f>
        <v>161</v>
      </c>
      <c r="C164" t="s">
        <v>412</v>
      </c>
      <c r="D164">
        <v>61.4</v>
      </c>
      <c r="E164">
        <v>1630</v>
      </c>
      <c r="F164">
        <v>46.6</v>
      </c>
      <c r="G164">
        <v>180</v>
      </c>
      <c r="H164">
        <v>51.1</v>
      </c>
      <c r="I164">
        <v>135</v>
      </c>
      <c r="J164">
        <v>79.3</v>
      </c>
      <c r="K164">
        <v>338</v>
      </c>
      <c r="L164">
        <v>99.7</v>
      </c>
      <c r="M164">
        <v>53</v>
      </c>
      <c r="N164">
        <v>67.900000000000006</v>
      </c>
      <c r="O164">
        <v>434</v>
      </c>
      <c r="P164" t="s">
        <v>99</v>
      </c>
      <c r="Q164" s="1">
        <v>29719</v>
      </c>
      <c r="R164">
        <v>29.4</v>
      </c>
      <c r="S164" s="2">
        <v>0.17</v>
      </c>
      <c r="T164" s="3">
        <v>1.9131944444444444</v>
      </c>
      <c r="U164" s="2">
        <v>0.35</v>
      </c>
      <c r="V164" t="s">
        <v>412</v>
      </c>
      <c r="W164" t="s">
        <v>413</v>
      </c>
      <c r="X164" t="b">
        <v>0</v>
      </c>
      <c r="Y164" t="b">
        <v>0</v>
      </c>
    </row>
    <row r="165" spans="1:25">
      <c r="A165">
        <v>1640</v>
      </c>
      <c r="B165">
        <f>164</f>
        <v>164</v>
      </c>
      <c r="C165" t="s">
        <v>414</v>
      </c>
      <c r="D165">
        <v>61.3</v>
      </c>
      <c r="E165">
        <v>1640</v>
      </c>
      <c r="F165">
        <v>51.7</v>
      </c>
      <c r="G165">
        <v>121</v>
      </c>
      <c r="H165">
        <v>40.200000000000003</v>
      </c>
      <c r="I165">
        <v>246</v>
      </c>
      <c r="J165">
        <v>88.7</v>
      </c>
      <c r="K165">
        <v>142</v>
      </c>
      <c r="L165">
        <v>71.400000000000006</v>
      </c>
      <c r="M165">
        <v>398</v>
      </c>
      <c r="N165">
        <v>65</v>
      </c>
      <c r="O165">
        <v>485</v>
      </c>
      <c r="P165" t="s">
        <v>29</v>
      </c>
      <c r="Q165" s="1">
        <v>10294</v>
      </c>
      <c r="R165">
        <v>8.8000000000000007</v>
      </c>
      <c r="S165" s="2">
        <v>0.25</v>
      </c>
      <c r="T165" s="3">
        <v>2.1590277777777778</v>
      </c>
      <c r="U165" s="2">
        <v>0.13</v>
      </c>
      <c r="V165" t="s">
        <v>414</v>
      </c>
      <c r="W165" t="s">
        <v>415</v>
      </c>
      <c r="X165" t="b">
        <v>0</v>
      </c>
      <c r="Y165" t="b">
        <v>0</v>
      </c>
    </row>
    <row r="166" spans="1:25">
      <c r="A166">
        <v>1650</v>
      </c>
      <c r="B166">
        <f>164</f>
        <v>164</v>
      </c>
      <c r="C166" t="s">
        <v>416</v>
      </c>
      <c r="D166">
        <v>61.3</v>
      </c>
      <c r="E166">
        <v>1650</v>
      </c>
      <c r="F166">
        <v>50.9</v>
      </c>
      <c r="G166">
        <v>126</v>
      </c>
      <c r="H166">
        <v>45</v>
      </c>
      <c r="I166">
        <v>189</v>
      </c>
      <c r="J166">
        <v>88.5</v>
      </c>
      <c r="K166">
        <v>146</v>
      </c>
      <c r="L166">
        <v>90.6</v>
      </c>
      <c r="M166">
        <v>160</v>
      </c>
      <c r="N166">
        <v>41</v>
      </c>
      <c r="O166">
        <v>1084</v>
      </c>
      <c r="P166" t="s">
        <v>54</v>
      </c>
      <c r="Q166" s="1">
        <v>56066</v>
      </c>
      <c r="R166">
        <v>15</v>
      </c>
      <c r="S166" s="2">
        <v>0.05</v>
      </c>
      <c r="U166" s="2">
        <v>0.4</v>
      </c>
      <c r="V166" t="s">
        <v>416</v>
      </c>
      <c r="W166" t="s">
        <v>417</v>
      </c>
      <c r="X166" t="b">
        <v>0</v>
      </c>
      <c r="Y166" t="b">
        <v>0</v>
      </c>
    </row>
    <row r="167" spans="1:25">
      <c r="A167">
        <v>1660</v>
      </c>
      <c r="B167">
        <v>166</v>
      </c>
      <c r="C167" t="s">
        <v>418</v>
      </c>
      <c r="D167">
        <v>61.1</v>
      </c>
      <c r="E167">
        <v>1660</v>
      </c>
      <c r="F167">
        <v>51.1</v>
      </c>
      <c r="G167">
        <v>125</v>
      </c>
      <c r="H167">
        <v>40.1</v>
      </c>
      <c r="I167">
        <v>248</v>
      </c>
      <c r="J167">
        <v>88.9</v>
      </c>
      <c r="K167">
        <v>140</v>
      </c>
      <c r="L167">
        <v>79.900000000000006</v>
      </c>
      <c r="M167">
        <v>265</v>
      </c>
      <c r="N167">
        <v>60.8</v>
      </c>
      <c r="O167">
        <v>571</v>
      </c>
      <c r="P167" t="s">
        <v>29</v>
      </c>
      <c r="Q167" s="1">
        <v>25953</v>
      </c>
      <c r="R167">
        <v>8.9</v>
      </c>
      <c r="S167" s="2">
        <v>0.11</v>
      </c>
      <c r="T167" s="3">
        <v>2.2819444444444446</v>
      </c>
      <c r="U167" s="2">
        <v>0.22</v>
      </c>
      <c r="V167" t="s">
        <v>418</v>
      </c>
      <c r="W167" t="s">
        <v>419</v>
      </c>
      <c r="X167" t="b">
        <v>0</v>
      </c>
      <c r="Y167" t="b">
        <v>0</v>
      </c>
    </row>
    <row r="168" spans="1:25">
      <c r="A168">
        <v>1670</v>
      </c>
      <c r="B168">
        <v>167</v>
      </c>
      <c r="C168" t="s">
        <v>420</v>
      </c>
      <c r="D168">
        <v>60.9</v>
      </c>
      <c r="E168">
        <v>1670</v>
      </c>
      <c r="F168">
        <v>38.700000000000003</v>
      </c>
      <c r="G168">
        <v>344</v>
      </c>
      <c r="H168">
        <v>47</v>
      </c>
      <c r="I168">
        <v>168</v>
      </c>
      <c r="J168">
        <v>88.3</v>
      </c>
      <c r="K168">
        <v>149</v>
      </c>
      <c r="L168">
        <v>78.2</v>
      </c>
      <c r="M168">
        <v>287</v>
      </c>
      <c r="N168">
        <v>82.9</v>
      </c>
      <c r="O168">
        <v>211</v>
      </c>
      <c r="P168" t="s">
        <v>421</v>
      </c>
      <c r="Q168" s="1">
        <v>21961</v>
      </c>
      <c r="R168">
        <v>13.6</v>
      </c>
      <c r="S168" s="2">
        <v>0.13</v>
      </c>
      <c r="T168" s="3">
        <v>2.2819444444444446</v>
      </c>
      <c r="U168" s="2">
        <v>0.18</v>
      </c>
      <c r="V168" t="s">
        <v>422</v>
      </c>
      <c r="W168" t="s">
        <v>423</v>
      </c>
      <c r="X168" t="b">
        <v>0</v>
      </c>
      <c r="Y168" t="b">
        <v>0</v>
      </c>
    </row>
    <row r="169" spans="1:25">
      <c r="A169">
        <v>1680</v>
      </c>
      <c r="B169">
        <f>168</f>
        <v>168</v>
      </c>
      <c r="C169" t="s">
        <v>424</v>
      </c>
      <c r="D169">
        <v>60.8</v>
      </c>
      <c r="E169">
        <v>1680</v>
      </c>
      <c r="F169">
        <v>39.5</v>
      </c>
      <c r="G169">
        <v>322</v>
      </c>
      <c r="H169">
        <v>49.4</v>
      </c>
      <c r="I169">
        <v>146</v>
      </c>
      <c r="J169">
        <v>83.1</v>
      </c>
      <c r="K169">
        <v>259</v>
      </c>
      <c r="L169">
        <v>92</v>
      </c>
      <c r="M169">
        <v>145</v>
      </c>
      <c r="N169">
        <v>83.1</v>
      </c>
      <c r="O169">
        <v>207</v>
      </c>
      <c r="P169" t="s">
        <v>137</v>
      </c>
      <c r="Q169" s="1">
        <v>25409</v>
      </c>
      <c r="R169">
        <v>37.299999999999997</v>
      </c>
      <c r="S169" s="2">
        <v>0.2</v>
      </c>
      <c r="T169" s="3">
        <v>2.2819444444444446</v>
      </c>
      <c r="U169" s="2">
        <v>0.27</v>
      </c>
      <c r="V169" t="s">
        <v>424</v>
      </c>
      <c r="W169" t="s">
        <v>425</v>
      </c>
      <c r="X169" t="b">
        <v>0</v>
      </c>
      <c r="Y169" t="b">
        <v>0</v>
      </c>
    </row>
    <row r="170" spans="1:25">
      <c r="A170">
        <v>1690</v>
      </c>
      <c r="B170">
        <f>168</f>
        <v>168</v>
      </c>
      <c r="C170" t="s">
        <v>426</v>
      </c>
      <c r="D170">
        <v>60.8</v>
      </c>
      <c r="E170">
        <v>1690</v>
      </c>
      <c r="F170">
        <v>47.4</v>
      </c>
      <c r="G170">
        <v>168</v>
      </c>
      <c r="H170">
        <v>51.5</v>
      </c>
      <c r="I170">
        <v>129</v>
      </c>
      <c r="J170">
        <v>71.3</v>
      </c>
      <c r="K170">
        <v>529</v>
      </c>
      <c r="L170">
        <v>100</v>
      </c>
      <c r="M170">
        <v>7</v>
      </c>
      <c r="N170">
        <v>87.3</v>
      </c>
      <c r="O170">
        <v>162</v>
      </c>
      <c r="P170" t="s">
        <v>144</v>
      </c>
      <c r="Q170" s="1">
        <v>10611</v>
      </c>
      <c r="R170">
        <v>21.4</v>
      </c>
      <c r="S170" s="2">
        <v>0.27</v>
      </c>
      <c r="U170" s="2">
        <v>0.46</v>
      </c>
      <c r="V170" t="s">
        <v>426</v>
      </c>
      <c r="W170" t="s">
        <v>427</v>
      </c>
      <c r="X170" t="b">
        <v>0</v>
      </c>
      <c r="Y170" t="b">
        <v>0</v>
      </c>
    </row>
    <row r="171" spans="1:25">
      <c r="A171">
        <v>1700</v>
      </c>
      <c r="B171">
        <f>168</f>
        <v>168</v>
      </c>
      <c r="C171" t="s">
        <v>428</v>
      </c>
      <c r="D171">
        <v>60.8</v>
      </c>
      <c r="E171">
        <v>1700</v>
      </c>
      <c r="F171">
        <v>58.8</v>
      </c>
      <c r="G171">
        <v>83</v>
      </c>
      <c r="H171">
        <v>55.1</v>
      </c>
      <c r="I171">
        <v>110</v>
      </c>
      <c r="J171">
        <v>70.900000000000006</v>
      </c>
      <c r="K171">
        <v>540</v>
      </c>
      <c r="L171">
        <v>91.2</v>
      </c>
      <c r="M171">
        <v>154</v>
      </c>
      <c r="N171">
        <v>33.9</v>
      </c>
      <c r="O171">
        <v>1362</v>
      </c>
      <c r="P171" t="s">
        <v>54</v>
      </c>
      <c r="Q171" s="1">
        <v>30933</v>
      </c>
      <c r="R171">
        <v>10.6</v>
      </c>
      <c r="S171" s="2">
        <v>0.06</v>
      </c>
      <c r="U171" s="2">
        <v>0.44</v>
      </c>
      <c r="V171" t="s">
        <v>428</v>
      </c>
      <c r="W171" t="s">
        <v>429</v>
      </c>
      <c r="X171" t="b">
        <v>0</v>
      </c>
      <c r="Y171" t="b">
        <v>0</v>
      </c>
    </row>
    <row r="172" spans="1:25">
      <c r="A172">
        <v>1710</v>
      </c>
      <c r="B172">
        <f>168</f>
        <v>168</v>
      </c>
      <c r="C172" t="s">
        <v>430</v>
      </c>
      <c r="D172">
        <v>60.8</v>
      </c>
      <c r="E172">
        <v>1710</v>
      </c>
      <c r="F172">
        <v>38.4</v>
      </c>
      <c r="G172">
        <v>350</v>
      </c>
      <c r="H172">
        <v>40.200000000000003</v>
      </c>
      <c r="I172">
        <v>247</v>
      </c>
      <c r="J172">
        <v>93.4</v>
      </c>
      <c r="K172">
        <v>67</v>
      </c>
      <c r="L172">
        <v>64.900000000000006</v>
      </c>
      <c r="M172">
        <v>550</v>
      </c>
      <c r="N172">
        <v>96.4</v>
      </c>
      <c r="O172">
        <v>27</v>
      </c>
      <c r="P172" t="s">
        <v>26</v>
      </c>
      <c r="Q172" s="1">
        <v>25955</v>
      </c>
      <c r="R172">
        <v>14.2</v>
      </c>
      <c r="S172" s="2">
        <v>0.32</v>
      </c>
      <c r="T172" s="3">
        <v>2.2819444444444446</v>
      </c>
      <c r="U172" s="2">
        <v>0.24</v>
      </c>
      <c r="V172" t="s">
        <v>430</v>
      </c>
      <c r="W172" t="s">
        <v>431</v>
      </c>
      <c r="X172" t="b">
        <v>0</v>
      </c>
      <c r="Y172" t="b">
        <v>0</v>
      </c>
    </row>
    <row r="173" spans="1:25">
      <c r="A173">
        <v>1720</v>
      </c>
      <c r="B173">
        <f>168</f>
        <v>168</v>
      </c>
      <c r="C173" t="s">
        <v>432</v>
      </c>
      <c r="D173">
        <v>60.8</v>
      </c>
      <c r="E173">
        <v>1720</v>
      </c>
      <c r="F173">
        <v>37.200000000000003</v>
      </c>
      <c r="G173">
        <v>387</v>
      </c>
      <c r="H173">
        <v>41.1</v>
      </c>
      <c r="I173">
        <v>234</v>
      </c>
      <c r="J173">
        <v>93.8</v>
      </c>
      <c r="K173">
        <v>61</v>
      </c>
      <c r="L173">
        <v>72.099999999999994</v>
      </c>
      <c r="M173">
        <v>385</v>
      </c>
      <c r="N173">
        <v>91.3</v>
      </c>
      <c r="O173">
        <v>113</v>
      </c>
      <c r="P173" t="s">
        <v>26</v>
      </c>
      <c r="Q173" s="1">
        <v>25650</v>
      </c>
      <c r="R173">
        <v>14.8</v>
      </c>
      <c r="S173" s="2">
        <v>0.26</v>
      </c>
      <c r="T173" s="3">
        <v>2.2409722222222221</v>
      </c>
      <c r="U173" s="2">
        <v>0.22</v>
      </c>
      <c r="V173" t="s">
        <v>432</v>
      </c>
      <c r="W173" t="s">
        <v>433</v>
      </c>
      <c r="X173" t="b">
        <v>0</v>
      </c>
      <c r="Y173" t="b">
        <v>0</v>
      </c>
    </row>
    <row r="174" spans="1:25">
      <c r="A174">
        <v>1730</v>
      </c>
      <c r="B174">
        <f>168</f>
        <v>168</v>
      </c>
      <c r="C174" t="s">
        <v>434</v>
      </c>
      <c r="D174">
        <v>60.8</v>
      </c>
      <c r="E174">
        <v>1730</v>
      </c>
      <c r="F174">
        <v>60.1</v>
      </c>
      <c r="G174">
        <v>73</v>
      </c>
      <c r="H174">
        <v>42.6</v>
      </c>
      <c r="I174">
        <v>217</v>
      </c>
      <c r="J174">
        <v>82.9</v>
      </c>
      <c r="K174">
        <v>262</v>
      </c>
      <c r="L174">
        <v>34.9</v>
      </c>
      <c r="M174">
        <v>1095</v>
      </c>
      <c r="N174">
        <v>59.3</v>
      </c>
      <c r="O174">
        <v>598</v>
      </c>
      <c r="P174" t="s">
        <v>397</v>
      </c>
      <c r="Q174">
        <v>614</v>
      </c>
      <c r="R174">
        <v>7.4</v>
      </c>
      <c r="S174" s="2">
        <v>0.11</v>
      </c>
      <c r="T174" t="s">
        <v>357</v>
      </c>
      <c r="U174" s="2">
        <v>0.43</v>
      </c>
      <c r="V174" t="s">
        <v>434</v>
      </c>
      <c r="W174" t="s">
        <v>435</v>
      </c>
      <c r="X174" t="b">
        <v>0</v>
      </c>
      <c r="Y174" t="b">
        <v>0</v>
      </c>
    </row>
    <row r="175" spans="1:25">
      <c r="A175">
        <v>1740</v>
      </c>
      <c r="B175">
        <v>174</v>
      </c>
      <c r="C175" t="s">
        <v>436</v>
      </c>
      <c r="D175">
        <v>60.6</v>
      </c>
      <c r="E175">
        <v>1740</v>
      </c>
      <c r="F175">
        <v>43.5</v>
      </c>
      <c r="G175">
        <v>230</v>
      </c>
      <c r="H175">
        <v>44.5</v>
      </c>
      <c r="I175">
        <v>194</v>
      </c>
      <c r="J175">
        <v>83.5</v>
      </c>
      <c r="K175">
        <v>245</v>
      </c>
      <c r="L175">
        <v>65.599999999999994</v>
      </c>
      <c r="M175">
        <v>534</v>
      </c>
      <c r="N175">
        <v>95.8</v>
      </c>
      <c r="O175">
        <v>32</v>
      </c>
      <c r="P175" t="s">
        <v>26</v>
      </c>
      <c r="Q175" s="1">
        <v>19575</v>
      </c>
      <c r="R175">
        <v>14</v>
      </c>
      <c r="S175" s="2">
        <v>0.32</v>
      </c>
      <c r="T175" s="3">
        <v>2.2819444444444446</v>
      </c>
      <c r="U175" s="2">
        <v>0.38</v>
      </c>
      <c r="V175" t="s">
        <v>437</v>
      </c>
      <c r="W175" t="s">
        <v>438</v>
      </c>
      <c r="X175" t="b">
        <v>0</v>
      </c>
      <c r="Y175" t="b">
        <v>0</v>
      </c>
    </row>
    <row r="176" spans="1:25">
      <c r="A176">
        <v>1750</v>
      </c>
      <c r="B176">
        <f>175</f>
        <v>175</v>
      </c>
      <c r="C176" t="s">
        <v>439</v>
      </c>
      <c r="D176">
        <v>60.4</v>
      </c>
      <c r="E176">
        <v>1750</v>
      </c>
      <c r="F176">
        <v>62.5</v>
      </c>
      <c r="G176">
        <v>67</v>
      </c>
      <c r="H176">
        <v>65.7</v>
      </c>
      <c r="I176">
        <v>65</v>
      </c>
      <c r="J176">
        <v>50.5</v>
      </c>
      <c r="K176">
        <v>1010</v>
      </c>
      <c r="L176">
        <v>100</v>
      </c>
      <c r="M176">
        <v>20</v>
      </c>
      <c r="N176">
        <v>51</v>
      </c>
      <c r="O176">
        <v>775</v>
      </c>
      <c r="P176" t="s">
        <v>94</v>
      </c>
      <c r="Q176" s="1">
        <v>22274</v>
      </c>
      <c r="R176">
        <v>10.4</v>
      </c>
      <c r="S176" s="2">
        <v>0.1</v>
      </c>
      <c r="T176" t="s">
        <v>324</v>
      </c>
      <c r="U176" s="2">
        <v>0.28999999999999998</v>
      </c>
      <c r="V176" t="s">
        <v>440</v>
      </c>
      <c r="W176" t="s">
        <v>441</v>
      </c>
      <c r="X176" t="b">
        <v>0</v>
      </c>
      <c r="Y176" t="b">
        <v>0</v>
      </c>
    </row>
    <row r="177" spans="1:25">
      <c r="A177">
        <v>1760</v>
      </c>
      <c r="B177">
        <f>175</f>
        <v>175</v>
      </c>
      <c r="C177" t="s">
        <v>442</v>
      </c>
      <c r="D177">
        <v>60.4</v>
      </c>
      <c r="E177">
        <v>1760</v>
      </c>
      <c r="F177">
        <v>40.299999999999997</v>
      </c>
      <c r="G177">
        <v>301</v>
      </c>
      <c r="H177">
        <v>43.4</v>
      </c>
      <c r="I177">
        <v>206</v>
      </c>
      <c r="J177">
        <v>90.8</v>
      </c>
      <c r="K177">
        <v>111</v>
      </c>
      <c r="L177">
        <v>99.6</v>
      </c>
      <c r="M177">
        <v>58</v>
      </c>
      <c r="N177">
        <v>63.2</v>
      </c>
      <c r="O177">
        <v>515</v>
      </c>
      <c r="P177" t="s">
        <v>99</v>
      </c>
      <c r="Q177" s="1">
        <v>23637</v>
      </c>
      <c r="R177">
        <v>38.299999999999997</v>
      </c>
      <c r="S177" s="2">
        <v>0.12</v>
      </c>
      <c r="T177" s="3">
        <v>2.4868055555555557</v>
      </c>
      <c r="U177" s="2">
        <v>0.26</v>
      </c>
      <c r="V177" t="s">
        <v>442</v>
      </c>
      <c r="W177" t="s">
        <v>443</v>
      </c>
      <c r="X177" t="b">
        <v>0</v>
      </c>
      <c r="Y177" t="b">
        <v>0</v>
      </c>
    </row>
    <row r="178" spans="1:25">
      <c r="A178">
        <v>1770</v>
      </c>
      <c r="B178">
        <f>177</f>
        <v>177</v>
      </c>
      <c r="C178" t="s">
        <v>444</v>
      </c>
      <c r="D178">
        <v>60.2</v>
      </c>
      <c r="E178">
        <v>1770</v>
      </c>
      <c r="F178">
        <v>57.7</v>
      </c>
      <c r="G178">
        <v>86</v>
      </c>
      <c r="H178">
        <v>45.8</v>
      </c>
      <c r="I178">
        <v>181</v>
      </c>
      <c r="J178">
        <v>77.5</v>
      </c>
      <c r="K178">
        <v>381</v>
      </c>
      <c r="L178">
        <v>67.599999999999994</v>
      </c>
      <c r="M178">
        <v>488</v>
      </c>
      <c r="N178">
        <v>52.3</v>
      </c>
      <c r="O178">
        <v>730</v>
      </c>
      <c r="P178" t="s">
        <v>54</v>
      </c>
      <c r="Q178" s="1">
        <v>26439</v>
      </c>
      <c r="R178">
        <v>14.4</v>
      </c>
      <c r="S178" s="2">
        <v>0.09</v>
      </c>
      <c r="U178" s="2">
        <v>0.4</v>
      </c>
      <c r="V178" t="s">
        <v>444</v>
      </c>
      <c r="W178" t="s">
        <v>445</v>
      </c>
      <c r="X178" t="b">
        <v>0</v>
      </c>
      <c r="Y178" t="b">
        <v>0</v>
      </c>
    </row>
    <row r="179" spans="1:25">
      <c r="A179">
        <v>1780</v>
      </c>
      <c r="B179">
        <f>177</f>
        <v>177</v>
      </c>
      <c r="C179" t="s">
        <v>446</v>
      </c>
      <c r="D179">
        <v>60.2</v>
      </c>
      <c r="E179">
        <v>1780</v>
      </c>
      <c r="F179">
        <v>33.5</v>
      </c>
      <c r="G179">
        <v>519</v>
      </c>
      <c r="H179">
        <v>42.5</v>
      </c>
      <c r="I179">
        <v>221</v>
      </c>
      <c r="J179">
        <v>95.7</v>
      </c>
      <c r="K179">
        <v>40</v>
      </c>
      <c r="L179">
        <v>52.2</v>
      </c>
      <c r="M179">
        <v>765</v>
      </c>
      <c r="N179">
        <v>95.5</v>
      </c>
      <c r="O179">
        <v>39</v>
      </c>
      <c r="P179" t="s">
        <v>26</v>
      </c>
      <c r="Q179" s="1">
        <v>27190</v>
      </c>
      <c r="R179">
        <v>16.600000000000001</v>
      </c>
      <c r="S179" s="2">
        <v>0.28000000000000003</v>
      </c>
      <c r="T179" s="3">
        <v>2.2409722222222221</v>
      </c>
      <c r="U179" s="2">
        <v>0.27</v>
      </c>
      <c r="V179" t="s">
        <v>446</v>
      </c>
      <c r="W179" t="s">
        <v>447</v>
      </c>
      <c r="X179" t="b">
        <v>0</v>
      </c>
      <c r="Y179" t="b">
        <v>0</v>
      </c>
    </row>
    <row r="180" spans="1:25">
      <c r="A180">
        <v>1790</v>
      </c>
      <c r="B180">
        <f>177</f>
        <v>177</v>
      </c>
      <c r="C180" t="s">
        <v>448</v>
      </c>
      <c r="D180">
        <v>60.2</v>
      </c>
      <c r="E180">
        <v>1790</v>
      </c>
      <c r="F180">
        <v>39.6</v>
      </c>
      <c r="G180">
        <v>320</v>
      </c>
      <c r="H180">
        <v>46.5</v>
      </c>
      <c r="I180">
        <v>174</v>
      </c>
      <c r="J180">
        <v>84.4</v>
      </c>
      <c r="K180">
        <v>226</v>
      </c>
      <c r="L180">
        <v>80.2</v>
      </c>
      <c r="M180">
        <v>261</v>
      </c>
      <c r="N180">
        <v>86.9</v>
      </c>
      <c r="O180">
        <v>170</v>
      </c>
      <c r="P180" t="s">
        <v>76</v>
      </c>
      <c r="Q180" s="1">
        <v>38366</v>
      </c>
      <c r="R180">
        <v>27.2</v>
      </c>
      <c r="S180" s="2">
        <v>0.26</v>
      </c>
      <c r="T180" s="3">
        <v>2.4868055555555557</v>
      </c>
      <c r="U180" s="2">
        <v>0.19</v>
      </c>
      <c r="V180" t="s">
        <v>448</v>
      </c>
      <c r="W180" t="s">
        <v>449</v>
      </c>
      <c r="X180" t="b">
        <v>0</v>
      </c>
      <c r="Y180" t="b">
        <v>0</v>
      </c>
    </row>
    <row r="181" spans="1:25">
      <c r="A181">
        <v>1800</v>
      </c>
      <c r="B181">
        <v>180</v>
      </c>
      <c r="C181" t="s">
        <v>450</v>
      </c>
      <c r="D181">
        <v>60.1</v>
      </c>
      <c r="E181">
        <v>1800</v>
      </c>
      <c r="F181">
        <v>36.700000000000003</v>
      </c>
      <c r="G181">
        <v>405</v>
      </c>
      <c r="H181">
        <v>44.2</v>
      </c>
      <c r="I181">
        <v>198</v>
      </c>
      <c r="J181">
        <v>87.4</v>
      </c>
      <c r="K181">
        <v>165</v>
      </c>
      <c r="L181">
        <v>90.9</v>
      </c>
      <c r="M181">
        <v>159</v>
      </c>
      <c r="N181">
        <v>88.6</v>
      </c>
      <c r="O181">
        <v>143</v>
      </c>
      <c r="P181" t="s">
        <v>116</v>
      </c>
      <c r="Q181" s="1">
        <v>30371</v>
      </c>
      <c r="R181">
        <v>51.7</v>
      </c>
      <c r="S181" s="2">
        <v>0.22</v>
      </c>
      <c r="U181" s="2">
        <v>0.26</v>
      </c>
      <c r="V181" t="s">
        <v>450</v>
      </c>
      <c r="W181" t="s">
        <v>451</v>
      </c>
      <c r="X181" t="b">
        <v>0</v>
      </c>
      <c r="Y181" t="b">
        <v>0</v>
      </c>
    </row>
    <row r="182" spans="1:25">
      <c r="A182">
        <v>1810</v>
      </c>
      <c r="B182">
        <v>181</v>
      </c>
      <c r="C182" t="s">
        <v>452</v>
      </c>
      <c r="D182">
        <v>60</v>
      </c>
      <c r="E182">
        <v>1810</v>
      </c>
      <c r="F182">
        <v>53.5</v>
      </c>
      <c r="G182">
        <v>108</v>
      </c>
      <c r="H182">
        <v>48.1</v>
      </c>
      <c r="I182">
        <v>157</v>
      </c>
      <c r="J182">
        <v>77.900000000000006</v>
      </c>
      <c r="K182">
        <v>372</v>
      </c>
      <c r="L182">
        <v>85.4</v>
      </c>
      <c r="M182">
        <v>202</v>
      </c>
      <c r="N182">
        <v>46.5</v>
      </c>
      <c r="O182">
        <v>919</v>
      </c>
      <c r="P182" t="s">
        <v>397</v>
      </c>
      <c r="Q182" s="1">
        <v>60522</v>
      </c>
      <c r="R182">
        <v>22.2</v>
      </c>
      <c r="S182" s="2">
        <v>0.09</v>
      </c>
      <c r="T182" s="3">
        <v>2.5687500000000001</v>
      </c>
      <c r="U182" s="2">
        <v>0.26</v>
      </c>
      <c r="V182" t="s">
        <v>452</v>
      </c>
      <c r="W182" t="s">
        <v>453</v>
      </c>
      <c r="X182" t="b">
        <v>0</v>
      </c>
      <c r="Y182" t="b">
        <v>0</v>
      </c>
    </row>
    <row r="183" spans="1:25">
      <c r="A183">
        <v>1820</v>
      </c>
      <c r="B183">
        <v>182</v>
      </c>
      <c r="C183" t="s">
        <v>454</v>
      </c>
      <c r="D183">
        <v>59.9</v>
      </c>
      <c r="E183">
        <v>1820</v>
      </c>
      <c r="F183">
        <v>40.9</v>
      </c>
      <c r="G183">
        <v>280</v>
      </c>
      <c r="H183">
        <v>46.2</v>
      </c>
      <c r="I183">
        <v>177</v>
      </c>
      <c r="J183">
        <v>87.5</v>
      </c>
      <c r="K183">
        <v>161</v>
      </c>
      <c r="L183">
        <v>71.5</v>
      </c>
      <c r="M183">
        <v>395</v>
      </c>
      <c r="N183">
        <v>71.7</v>
      </c>
      <c r="O183">
        <v>379</v>
      </c>
      <c r="P183" t="s">
        <v>29</v>
      </c>
      <c r="Q183" s="1">
        <v>48870</v>
      </c>
      <c r="R183">
        <v>19.7</v>
      </c>
      <c r="S183" s="2">
        <v>0.14000000000000001</v>
      </c>
      <c r="T183" s="3">
        <v>1.9541666666666666</v>
      </c>
      <c r="U183" s="2">
        <v>0.33</v>
      </c>
      <c r="V183" t="s">
        <v>454</v>
      </c>
      <c r="W183" t="s">
        <v>455</v>
      </c>
      <c r="X183" t="b">
        <v>0</v>
      </c>
      <c r="Y183" t="b">
        <v>0</v>
      </c>
    </row>
    <row r="184" spans="1:25">
      <c r="A184">
        <v>1830</v>
      </c>
      <c r="B184">
        <v>183</v>
      </c>
      <c r="C184" t="s">
        <v>456</v>
      </c>
      <c r="D184">
        <v>59.8</v>
      </c>
      <c r="E184">
        <v>1830</v>
      </c>
      <c r="F184">
        <v>41.8</v>
      </c>
      <c r="G184">
        <v>265</v>
      </c>
      <c r="H184">
        <v>38</v>
      </c>
      <c r="I184">
        <v>287</v>
      </c>
      <c r="J184">
        <v>86.7</v>
      </c>
      <c r="K184">
        <v>179</v>
      </c>
      <c r="L184">
        <v>80.7</v>
      </c>
      <c r="M184">
        <v>254</v>
      </c>
      <c r="N184">
        <v>97.1</v>
      </c>
      <c r="O184">
        <v>20</v>
      </c>
      <c r="P184" t="s">
        <v>50</v>
      </c>
      <c r="Q184" s="1">
        <v>18865</v>
      </c>
      <c r="R184">
        <v>8.4</v>
      </c>
      <c r="S184" s="2">
        <v>0.4</v>
      </c>
      <c r="T184" s="3">
        <v>2.6097222222222221</v>
      </c>
      <c r="U184" s="2">
        <v>0.26</v>
      </c>
      <c r="V184" t="s">
        <v>456</v>
      </c>
      <c r="W184" t="s">
        <v>457</v>
      </c>
      <c r="X184" t="b">
        <v>0</v>
      </c>
      <c r="Y184" t="b">
        <v>0</v>
      </c>
    </row>
    <row r="185" spans="1:25">
      <c r="A185">
        <v>1840</v>
      </c>
      <c r="B185">
        <v>184</v>
      </c>
      <c r="C185" t="s">
        <v>458</v>
      </c>
      <c r="D185">
        <v>59.7</v>
      </c>
      <c r="E185">
        <v>1840</v>
      </c>
      <c r="F185">
        <v>43.4</v>
      </c>
      <c r="G185">
        <v>235</v>
      </c>
      <c r="H185">
        <v>46</v>
      </c>
      <c r="I185">
        <v>179</v>
      </c>
      <c r="J185">
        <v>75.099999999999994</v>
      </c>
      <c r="K185">
        <v>439</v>
      </c>
      <c r="L185">
        <v>99.6</v>
      </c>
      <c r="M185">
        <v>55</v>
      </c>
      <c r="N185">
        <v>93.3</v>
      </c>
      <c r="O185">
        <v>79</v>
      </c>
      <c r="P185" t="s">
        <v>144</v>
      </c>
      <c r="Q185" s="1">
        <v>9964</v>
      </c>
      <c r="R185">
        <v>13.9</v>
      </c>
      <c r="S185" s="2">
        <v>0.38</v>
      </c>
      <c r="T185" t="s">
        <v>40</v>
      </c>
      <c r="U185" s="2">
        <v>0.39</v>
      </c>
      <c r="V185" t="s">
        <v>458</v>
      </c>
      <c r="W185" t="s">
        <v>459</v>
      </c>
      <c r="X185" t="b">
        <v>0</v>
      </c>
      <c r="Y185" t="b">
        <v>0</v>
      </c>
    </row>
    <row r="186" spans="1:25">
      <c r="A186">
        <v>1850</v>
      </c>
      <c r="B186">
        <f>185</f>
        <v>185</v>
      </c>
      <c r="C186" t="s">
        <v>460</v>
      </c>
      <c r="D186">
        <v>59.6</v>
      </c>
      <c r="E186">
        <v>1850</v>
      </c>
      <c r="F186">
        <v>32.1</v>
      </c>
      <c r="G186">
        <v>588</v>
      </c>
      <c r="H186">
        <v>49.6</v>
      </c>
      <c r="I186">
        <v>143</v>
      </c>
      <c r="J186">
        <v>91</v>
      </c>
      <c r="K186">
        <v>108</v>
      </c>
      <c r="L186">
        <v>59.2</v>
      </c>
      <c r="M186">
        <v>660</v>
      </c>
      <c r="N186">
        <v>81.2</v>
      </c>
      <c r="O186">
        <v>237</v>
      </c>
      <c r="P186" t="s">
        <v>150</v>
      </c>
      <c r="Q186" s="1">
        <v>29774</v>
      </c>
      <c r="R186">
        <v>20.3</v>
      </c>
      <c r="S186" s="2">
        <v>0.13</v>
      </c>
      <c r="U186" s="2">
        <v>0.31</v>
      </c>
      <c r="V186" t="s">
        <v>460</v>
      </c>
      <c r="W186" t="s">
        <v>461</v>
      </c>
      <c r="X186" t="b">
        <v>0</v>
      </c>
      <c r="Y186" t="b">
        <v>0</v>
      </c>
    </row>
    <row r="187" spans="1:25">
      <c r="A187">
        <v>1860</v>
      </c>
      <c r="B187">
        <f>185</f>
        <v>185</v>
      </c>
      <c r="C187" t="s">
        <v>462</v>
      </c>
      <c r="D187">
        <v>59.6</v>
      </c>
      <c r="E187">
        <v>1860</v>
      </c>
      <c r="F187">
        <v>50</v>
      </c>
      <c r="G187">
        <v>136</v>
      </c>
      <c r="H187">
        <v>53.6</v>
      </c>
      <c r="I187">
        <v>120</v>
      </c>
      <c r="J187">
        <v>69.5</v>
      </c>
      <c r="K187">
        <v>570</v>
      </c>
      <c r="L187">
        <v>85.4</v>
      </c>
      <c r="M187">
        <v>204</v>
      </c>
      <c r="N187">
        <v>67.7</v>
      </c>
      <c r="O187">
        <v>438</v>
      </c>
      <c r="P187" t="s">
        <v>54</v>
      </c>
      <c r="Q187" s="1">
        <v>31632</v>
      </c>
      <c r="R187">
        <v>11.3</v>
      </c>
      <c r="S187" s="2">
        <v>0.15</v>
      </c>
      <c r="T187" s="3">
        <v>1.7493055555555554</v>
      </c>
      <c r="U187" s="2">
        <v>0.41</v>
      </c>
      <c r="V187" t="s">
        <v>462</v>
      </c>
      <c r="W187" t="s">
        <v>463</v>
      </c>
      <c r="X187" t="b">
        <v>0</v>
      </c>
      <c r="Y187" t="b">
        <v>0</v>
      </c>
    </row>
    <row r="188" spans="1:25">
      <c r="A188">
        <v>1870</v>
      </c>
      <c r="B188">
        <f>187</f>
        <v>187</v>
      </c>
      <c r="C188" t="s">
        <v>464</v>
      </c>
      <c r="D188">
        <v>59.5</v>
      </c>
      <c r="E188">
        <v>1870</v>
      </c>
      <c r="F188">
        <v>52.6</v>
      </c>
      <c r="G188">
        <v>114</v>
      </c>
      <c r="H188">
        <v>37</v>
      </c>
      <c r="I188">
        <v>304</v>
      </c>
      <c r="J188">
        <v>85.1</v>
      </c>
      <c r="K188">
        <v>209</v>
      </c>
      <c r="L188">
        <v>92.2</v>
      </c>
      <c r="M188">
        <v>144</v>
      </c>
      <c r="N188">
        <v>53.2</v>
      </c>
      <c r="O188">
        <v>706</v>
      </c>
      <c r="P188" t="s">
        <v>29</v>
      </c>
      <c r="Q188" s="1">
        <v>17508</v>
      </c>
      <c r="R188">
        <v>10.1</v>
      </c>
      <c r="S188" s="2">
        <v>0.18</v>
      </c>
      <c r="T188" s="3">
        <v>2.3229166666666665</v>
      </c>
      <c r="U188" s="2">
        <v>0.14000000000000001</v>
      </c>
      <c r="V188" t="s">
        <v>464</v>
      </c>
      <c r="W188" t="s">
        <v>465</v>
      </c>
      <c r="X188" t="b">
        <v>0</v>
      </c>
      <c r="Y188" t="b">
        <v>0</v>
      </c>
    </row>
    <row r="189" spans="1:25">
      <c r="A189">
        <v>1880</v>
      </c>
      <c r="B189">
        <f>187</f>
        <v>187</v>
      </c>
      <c r="C189" t="s">
        <v>466</v>
      </c>
      <c r="D189">
        <v>59.5</v>
      </c>
      <c r="E189">
        <v>1880</v>
      </c>
      <c r="F189">
        <v>36.5</v>
      </c>
      <c r="G189">
        <v>413</v>
      </c>
      <c r="H189">
        <v>45.4</v>
      </c>
      <c r="I189">
        <v>186</v>
      </c>
      <c r="J189">
        <v>90.2</v>
      </c>
      <c r="K189">
        <v>124</v>
      </c>
      <c r="L189">
        <v>93.6</v>
      </c>
      <c r="M189">
        <v>132</v>
      </c>
      <c r="N189">
        <v>63.7</v>
      </c>
      <c r="O189">
        <v>508</v>
      </c>
      <c r="P189" t="s">
        <v>99</v>
      </c>
      <c r="Q189" s="1">
        <v>7475</v>
      </c>
      <c r="R189">
        <v>57.1</v>
      </c>
      <c r="S189" s="2">
        <v>0.14000000000000001</v>
      </c>
      <c r="T189" s="3">
        <v>2.2000000000000002</v>
      </c>
      <c r="U189" s="2">
        <v>0.23</v>
      </c>
      <c r="V189" t="s">
        <v>466</v>
      </c>
      <c r="W189" t="s">
        <v>467</v>
      </c>
      <c r="X189" t="b">
        <v>0</v>
      </c>
      <c r="Y189" t="b">
        <v>0</v>
      </c>
    </row>
    <row r="190" spans="1:25">
      <c r="A190">
        <v>1890</v>
      </c>
      <c r="B190">
        <v>189</v>
      </c>
      <c r="C190" t="s">
        <v>468</v>
      </c>
      <c r="D190">
        <v>59.4</v>
      </c>
      <c r="E190">
        <v>1890</v>
      </c>
      <c r="F190">
        <v>42.7</v>
      </c>
      <c r="G190">
        <v>246</v>
      </c>
      <c r="H190">
        <v>46.6</v>
      </c>
      <c r="I190">
        <v>172</v>
      </c>
      <c r="J190">
        <v>79.400000000000006</v>
      </c>
      <c r="K190">
        <v>333</v>
      </c>
      <c r="L190">
        <v>97.1</v>
      </c>
      <c r="M190">
        <v>95</v>
      </c>
      <c r="N190">
        <v>74.099999999999994</v>
      </c>
      <c r="O190">
        <v>349</v>
      </c>
      <c r="P190" t="s">
        <v>150</v>
      </c>
      <c r="Q190" s="1">
        <v>10103</v>
      </c>
      <c r="R190">
        <v>15.4</v>
      </c>
      <c r="S190" s="2">
        <v>0.17</v>
      </c>
      <c r="T190" t="s">
        <v>324</v>
      </c>
      <c r="U190" s="2">
        <v>0.45</v>
      </c>
      <c r="V190" t="s">
        <v>468</v>
      </c>
      <c r="W190" t="s">
        <v>469</v>
      </c>
      <c r="X190" t="b">
        <v>0</v>
      </c>
      <c r="Y190" t="b">
        <v>0</v>
      </c>
    </row>
    <row r="191" spans="1:25">
      <c r="A191">
        <v>1900</v>
      </c>
      <c r="B191">
        <v>190</v>
      </c>
      <c r="C191" t="s">
        <v>470</v>
      </c>
      <c r="D191">
        <v>59.3</v>
      </c>
      <c r="E191">
        <v>1900</v>
      </c>
      <c r="F191">
        <v>35.5</v>
      </c>
      <c r="G191">
        <v>444</v>
      </c>
      <c r="H191">
        <v>39.6</v>
      </c>
      <c r="I191">
        <v>252</v>
      </c>
      <c r="J191">
        <v>91.9</v>
      </c>
      <c r="K191">
        <v>94</v>
      </c>
      <c r="L191">
        <v>70.400000000000006</v>
      </c>
      <c r="M191">
        <v>419</v>
      </c>
      <c r="N191">
        <v>92.5</v>
      </c>
      <c r="O191">
        <v>92</v>
      </c>
      <c r="P191" t="s">
        <v>26</v>
      </c>
      <c r="Q191" s="1">
        <v>28815</v>
      </c>
      <c r="R191">
        <v>15</v>
      </c>
      <c r="S191" s="2">
        <v>0.27</v>
      </c>
      <c r="T191" s="3">
        <v>2.4458333333333333</v>
      </c>
      <c r="U191" s="2">
        <v>0.24</v>
      </c>
      <c r="V191" t="s">
        <v>470</v>
      </c>
      <c r="W191" t="s">
        <v>471</v>
      </c>
      <c r="X191" t="b">
        <v>0</v>
      </c>
      <c r="Y191" t="b">
        <v>0</v>
      </c>
    </row>
    <row r="192" spans="1:25">
      <c r="A192">
        <v>1910</v>
      </c>
      <c r="B192">
        <f>191</f>
        <v>191</v>
      </c>
      <c r="C192" t="s">
        <v>472</v>
      </c>
      <c r="D192">
        <v>59.2</v>
      </c>
      <c r="E192">
        <v>1910</v>
      </c>
      <c r="F192">
        <v>59.5</v>
      </c>
      <c r="G192">
        <v>78</v>
      </c>
      <c r="H192">
        <v>63.3</v>
      </c>
      <c r="I192">
        <v>73</v>
      </c>
      <c r="J192">
        <v>49.4</v>
      </c>
      <c r="K192">
        <v>1033</v>
      </c>
      <c r="L192">
        <v>100</v>
      </c>
      <c r="M192">
        <v>28</v>
      </c>
      <c r="N192">
        <v>60.1</v>
      </c>
      <c r="O192">
        <v>582</v>
      </c>
      <c r="P192" t="s">
        <v>94</v>
      </c>
      <c r="Q192" s="1">
        <v>9928</v>
      </c>
      <c r="R192">
        <v>9.6</v>
      </c>
      <c r="S192" s="2">
        <v>0.17</v>
      </c>
      <c r="T192">
        <v>0.72499999999999998</v>
      </c>
      <c r="U192" s="2">
        <v>0.45</v>
      </c>
      <c r="V192" t="s">
        <v>472</v>
      </c>
      <c r="W192" t="s">
        <v>473</v>
      </c>
      <c r="X192" t="b">
        <v>0</v>
      </c>
      <c r="Y192" t="b">
        <v>0</v>
      </c>
    </row>
    <row r="193" spans="1:25">
      <c r="A193">
        <v>1920</v>
      </c>
      <c r="B193">
        <f>191</f>
        <v>191</v>
      </c>
      <c r="C193" t="s">
        <v>474</v>
      </c>
      <c r="D193">
        <v>59.2</v>
      </c>
      <c r="E193">
        <v>1920</v>
      </c>
      <c r="F193">
        <v>51.5</v>
      </c>
      <c r="G193">
        <v>122</v>
      </c>
      <c r="H193">
        <v>35</v>
      </c>
      <c r="I193">
        <v>350</v>
      </c>
      <c r="J193">
        <v>87.5</v>
      </c>
      <c r="K193">
        <v>164</v>
      </c>
      <c r="L193">
        <v>71.7</v>
      </c>
      <c r="M193">
        <v>392</v>
      </c>
      <c r="N193">
        <v>62.8</v>
      </c>
      <c r="O193">
        <v>526</v>
      </c>
      <c r="P193" t="s">
        <v>29</v>
      </c>
      <c r="Q193" s="1">
        <v>11611</v>
      </c>
      <c r="R193">
        <v>10.5</v>
      </c>
      <c r="S193" s="2">
        <v>0.16</v>
      </c>
      <c r="T193" s="3">
        <v>2.4048611111111109</v>
      </c>
      <c r="U193" s="2">
        <v>0.17</v>
      </c>
      <c r="V193" t="s">
        <v>474</v>
      </c>
      <c r="W193" t="s">
        <v>475</v>
      </c>
      <c r="X193" t="b">
        <v>0</v>
      </c>
      <c r="Y193" t="b">
        <v>0</v>
      </c>
    </row>
    <row r="194" spans="1:25">
      <c r="A194">
        <v>1930</v>
      </c>
      <c r="B194">
        <f>193</f>
        <v>193</v>
      </c>
      <c r="C194" t="s">
        <v>476</v>
      </c>
      <c r="D194">
        <v>59</v>
      </c>
      <c r="E194">
        <v>1930</v>
      </c>
      <c r="F194">
        <v>42.6</v>
      </c>
      <c r="G194">
        <v>249</v>
      </c>
      <c r="H194">
        <v>48.1</v>
      </c>
      <c r="I194">
        <v>155</v>
      </c>
      <c r="J194">
        <v>79.7</v>
      </c>
      <c r="K194">
        <v>327</v>
      </c>
      <c r="L194">
        <v>100</v>
      </c>
      <c r="M194">
        <v>8</v>
      </c>
      <c r="N194">
        <v>61</v>
      </c>
      <c r="O194">
        <v>563</v>
      </c>
      <c r="P194" t="s">
        <v>99</v>
      </c>
      <c r="Q194" s="1">
        <v>29467</v>
      </c>
      <c r="R194">
        <v>41.9</v>
      </c>
      <c r="S194" s="2">
        <v>0.13</v>
      </c>
      <c r="T194" s="3">
        <v>2.1590277777777778</v>
      </c>
      <c r="U194" s="2">
        <v>0.32</v>
      </c>
      <c r="V194" t="s">
        <v>476</v>
      </c>
      <c r="W194" t="s">
        <v>477</v>
      </c>
      <c r="X194" t="b">
        <v>0</v>
      </c>
      <c r="Y194" t="b">
        <v>0</v>
      </c>
    </row>
    <row r="195" spans="1:25">
      <c r="A195">
        <v>1940</v>
      </c>
      <c r="B195">
        <f>193</f>
        <v>193</v>
      </c>
      <c r="C195" t="s">
        <v>478</v>
      </c>
      <c r="D195">
        <v>59</v>
      </c>
      <c r="E195">
        <v>1940</v>
      </c>
      <c r="F195">
        <v>38.4</v>
      </c>
      <c r="G195">
        <v>351</v>
      </c>
      <c r="H195">
        <v>38.1</v>
      </c>
      <c r="I195">
        <v>285</v>
      </c>
      <c r="J195">
        <v>90.3</v>
      </c>
      <c r="K195">
        <v>121</v>
      </c>
      <c r="L195">
        <v>61.9</v>
      </c>
      <c r="M195">
        <v>615</v>
      </c>
      <c r="N195">
        <v>93.7</v>
      </c>
      <c r="O195">
        <v>68</v>
      </c>
      <c r="P195" t="s">
        <v>479</v>
      </c>
      <c r="Q195" s="1">
        <v>10908</v>
      </c>
      <c r="R195">
        <v>18.600000000000001</v>
      </c>
      <c r="S195" s="2">
        <v>0.41</v>
      </c>
      <c r="T195" s="3">
        <v>2.2819444444444446</v>
      </c>
      <c r="U195" s="2">
        <v>0.25</v>
      </c>
      <c r="V195" t="s">
        <v>478</v>
      </c>
      <c r="W195" t="s">
        <v>480</v>
      </c>
      <c r="X195" t="b">
        <v>0</v>
      </c>
      <c r="Y195" t="b">
        <v>0</v>
      </c>
    </row>
    <row r="196" spans="1:25">
      <c r="A196">
        <v>1950</v>
      </c>
      <c r="B196">
        <f>193</f>
        <v>193</v>
      </c>
      <c r="C196" t="s">
        <v>481</v>
      </c>
      <c r="D196">
        <v>59</v>
      </c>
      <c r="E196">
        <v>1950</v>
      </c>
      <c r="F196">
        <v>43.8</v>
      </c>
      <c r="G196">
        <v>225</v>
      </c>
      <c r="H196">
        <v>47.3</v>
      </c>
      <c r="I196">
        <v>164</v>
      </c>
      <c r="J196">
        <v>83.7</v>
      </c>
      <c r="K196">
        <v>240</v>
      </c>
      <c r="L196">
        <v>81.5</v>
      </c>
      <c r="M196">
        <v>244</v>
      </c>
      <c r="N196">
        <v>53.5</v>
      </c>
      <c r="O196">
        <v>703</v>
      </c>
      <c r="P196" t="s">
        <v>99</v>
      </c>
      <c r="Q196" s="1">
        <v>27529</v>
      </c>
      <c r="R196">
        <v>25.1</v>
      </c>
      <c r="S196" s="2">
        <v>0.05</v>
      </c>
      <c r="U196" s="2">
        <v>0.28000000000000003</v>
      </c>
      <c r="V196" t="s">
        <v>481</v>
      </c>
      <c r="W196" t="s">
        <v>482</v>
      </c>
      <c r="X196" t="b">
        <v>0</v>
      </c>
      <c r="Y196" t="b">
        <v>0</v>
      </c>
    </row>
    <row r="197" spans="1:25">
      <c r="A197">
        <v>1960</v>
      </c>
      <c r="B197">
        <f>193</f>
        <v>193</v>
      </c>
      <c r="C197" t="s">
        <v>483</v>
      </c>
      <c r="D197">
        <v>59</v>
      </c>
      <c r="E197">
        <v>1960</v>
      </c>
      <c r="F197">
        <v>46</v>
      </c>
      <c r="G197">
        <v>191</v>
      </c>
      <c r="H197">
        <v>42.6</v>
      </c>
      <c r="I197">
        <v>218</v>
      </c>
      <c r="J197">
        <v>77.7</v>
      </c>
      <c r="K197">
        <v>378</v>
      </c>
      <c r="L197">
        <v>63.6</v>
      </c>
      <c r="M197">
        <v>575</v>
      </c>
      <c r="N197">
        <v>95.8</v>
      </c>
      <c r="O197">
        <v>34</v>
      </c>
      <c r="P197" t="s">
        <v>26</v>
      </c>
      <c r="Q197" s="1">
        <v>10325</v>
      </c>
      <c r="R197">
        <v>12.4</v>
      </c>
      <c r="S197" s="2">
        <v>0.46</v>
      </c>
      <c r="T197" s="3">
        <v>2.4458333333333333</v>
      </c>
      <c r="U197" s="2">
        <v>0.32</v>
      </c>
      <c r="V197" t="s">
        <v>483</v>
      </c>
      <c r="W197" t="s">
        <v>484</v>
      </c>
      <c r="X197" t="b">
        <v>0</v>
      </c>
      <c r="Y197" t="b">
        <v>0</v>
      </c>
    </row>
    <row r="198" spans="1:25">
      <c r="A198">
        <v>1970</v>
      </c>
      <c r="B198">
        <f>193</f>
        <v>193</v>
      </c>
      <c r="C198" t="s">
        <v>485</v>
      </c>
      <c r="D198">
        <v>59</v>
      </c>
      <c r="E198">
        <v>1970</v>
      </c>
      <c r="F198">
        <v>40.6</v>
      </c>
      <c r="G198">
        <v>292</v>
      </c>
      <c r="H198">
        <v>41.2</v>
      </c>
      <c r="I198">
        <v>233</v>
      </c>
      <c r="J198">
        <v>87.9</v>
      </c>
      <c r="K198">
        <v>156</v>
      </c>
      <c r="L198">
        <v>99.6</v>
      </c>
      <c r="M198">
        <v>56</v>
      </c>
      <c r="N198">
        <v>63</v>
      </c>
      <c r="O198">
        <v>519</v>
      </c>
      <c r="P198" t="s">
        <v>99</v>
      </c>
      <c r="Q198" s="1">
        <v>10301</v>
      </c>
      <c r="R198">
        <v>26.4</v>
      </c>
      <c r="S198" s="2">
        <v>0.13</v>
      </c>
      <c r="T198" s="3">
        <v>2.1590277777777778</v>
      </c>
      <c r="U198" s="2">
        <v>0.24</v>
      </c>
      <c r="V198" t="s">
        <v>485</v>
      </c>
      <c r="W198" t="s">
        <v>486</v>
      </c>
      <c r="X198" t="b">
        <v>0</v>
      </c>
      <c r="Y198" t="b">
        <v>0</v>
      </c>
    </row>
    <row r="199" spans="1:25">
      <c r="A199">
        <v>1980</v>
      </c>
      <c r="B199">
        <v>198</v>
      </c>
      <c r="C199" t="s">
        <v>487</v>
      </c>
      <c r="D199">
        <v>58.9</v>
      </c>
      <c r="E199">
        <v>1980</v>
      </c>
      <c r="F199">
        <v>47.3</v>
      </c>
      <c r="G199">
        <v>170</v>
      </c>
      <c r="H199">
        <v>38.4</v>
      </c>
      <c r="I199">
        <v>273</v>
      </c>
      <c r="J199">
        <v>84.9</v>
      </c>
      <c r="K199">
        <v>212</v>
      </c>
      <c r="L199">
        <v>85.8</v>
      </c>
      <c r="M199">
        <v>198</v>
      </c>
      <c r="N199">
        <v>64.7</v>
      </c>
      <c r="O199">
        <v>492</v>
      </c>
      <c r="P199" t="s">
        <v>29</v>
      </c>
      <c r="Q199" s="1">
        <v>66389</v>
      </c>
      <c r="R199">
        <v>12.3</v>
      </c>
      <c r="S199" s="2">
        <v>0.12</v>
      </c>
      <c r="T199" s="3">
        <v>2.2819444444444446</v>
      </c>
      <c r="U199" s="2">
        <v>0.24</v>
      </c>
      <c r="V199" t="s">
        <v>487</v>
      </c>
      <c r="W199" t="s">
        <v>488</v>
      </c>
      <c r="X199" t="b">
        <v>0</v>
      </c>
      <c r="Y199" t="b">
        <v>0</v>
      </c>
    </row>
    <row r="200" spans="1:25">
      <c r="A200">
        <v>1990</v>
      </c>
      <c r="B200">
        <f>199</f>
        <v>199</v>
      </c>
      <c r="C200" t="s">
        <v>489</v>
      </c>
      <c r="D200">
        <v>58.7</v>
      </c>
      <c r="E200">
        <v>1990</v>
      </c>
      <c r="F200">
        <v>51.9</v>
      </c>
      <c r="G200">
        <v>118</v>
      </c>
      <c r="H200">
        <v>42.6</v>
      </c>
      <c r="I200">
        <v>215</v>
      </c>
      <c r="J200">
        <v>76.099999999999994</v>
      </c>
      <c r="K200">
        <v>415</v>
      </c>
      <c r="L200">
        <v>72.900000000000006</v>
      </c>
      <c r="M200">
        <v>372</v>
      </c>
      <c r="N200">
        <v>69.900000000000006</v>
      </c>
      <c r="O200">
        <v>410</v>
      </c>
      <c r="P200" t="s">
        <v>29</v>
      </c>
      <c r="Q200" s="1">
        <v>12576</v>
      </c>
      <c r="R200">
        <v>10.9</v>
      </c>
      <c r="S200" s="2">
        <v>0.12</v>
      </c>
      <c r="T200" s="3">
        <v>1.9951388888888888</v>
      </c>
      <c r="U200" s="2">
        <v>0.36</v>
      </c>
      <c r="V200" t="s">
        <v>489</v>
      </c>
      <c r="W200" t="s">
        <v>490</v>
      </c>
      <c r="X200" t="b">
        <v>0</v>
      </c>
      <c r="Y200" t="b">
        <v>0</v>
      </c>
    </row>
    <row r="201" spans="1:25">
      <c r="A201">
        <v>2000</v>
      </c>
      <c r="B201">
        <f>199</f>
        <v>199</v>
      </c>
      <c r="C201" t="s">
        <v>491</v>
      </c>
      <c r="D201">
        <v>58.7</v>
      </c>
      <c r="E201">
        <v>2000</v>
      </c>
      <c r="F201">
        <v>33.9</v>
      </c>
      <c r="G201">
        <v>499</v>
      </c>
      <c r="H201">
        <v>42.1</v>
      </c>
      <c r="I201">
        <v>225</v>
      </c>
      <c r="J201">
        <v>89.5</v>
      </c>
      <c r="K201">
        <v>133</v>
      </c>
      <c r="L201">
        <v>85.9</v>
      </c>
      <c r="M201">
        <v>195</v>
      </c>
      <c r="N201">
        <v>82.2</v>
      </c>
      <c r="O201">
        <v>221</v>
      </c>
      <c r="P201" t="s">
        <v>116</v>
      </c>
      <c r="Q201" s="1">
        <v>35164</v>
      </c>
      <c r="R201">
        <v>37.9</v>
      </c>
      <c r="S201" s="2">
        <v>0.14000000000000001</v>
      </c>
      <c r="T201" s="3">
        <v>2.2819444444444446</v>
      </c>
      <c r="U201" s="2">
        <v>0.28000000000000003</v>
      </c>
      <c r="V201" t="s">
        <v>492</v>
      </c>
      <c r="W201" t="s">
        <v>493</v>
      </c>
      <c r="X201" t="b">
        <v>0</v>
      </c>
      <c r="Y201" t="b">
        <v>0</v>
      </c>
    </row>
    <row r="202" spans="1:25">
      <c r="A202">
        <v>2010</v>
      </c>
      <c r="B202">
        <f>199</f>
        <v>199</v>
      </c>
      <c r="C202" t="s">
        <v>494</v>
      </c>
      <c r="D202">
        <v>58.7</v>
      </c>
      <c r="E202">
        <v>2010</v>
      </c>
      <c r="F202">
        <v>47.7</v>
      </c>
      <c r="G202">
        <v>163</v>
      </c>
      <c r="H202">
        <v>40.799999999999997</v>
      </c>
      <c r="I202">
        <v>238</v>
      </c>
      <c r="J202">
        <v>85</v>
      </c>
      <c r="K202">
        <v>210</v>
      </c>
      <c r="L202">
        <v>94.6</v>
      </c>
      <c r="M202">
        <v>124</v>
      </c>
      <c r="N202">
        <v>46.5</v>
      </c>
      <c r="O202">
        <v>920</v>
      </c>
      <c r="P202" t="s">
        <v>181</v>
      </c>
      <c r="Q202" s="1">
        <v>3799</v>
      </c>
      <c r="R202">
        <v>11.8</v>
      </c>
      <c r="S202" s="2">
        <v>0.09</v>
      </c>
      <c r="T202" t="s">
        <v>336</v>
      </c>
      <c r="U202" s="2">
        <v>0.42</v>
      </c>
      <c r="V202" t="s">
        <v>494</v>
      </c>
      <c r="W202" t="s">
        <v>495</v>
      </c>
      <c r="X202" t="b">
        <v>0</v>
      </c>
      <c r="Y202" t="b">
        <v>0</v>
      </c>
    </row>
    <row r="203" spans="1:25">
      <c r="A203">
        <v>2020</v>
      </c>
      <c r="B203" t="s">
        <v>496</v>
      </c>
      <c r="C203" t="s">
        <v>497</v>
      </c>
      <c r="D203" t="s">
        <v>498</v>
      </c>
      <c r="E203">
        <v>2020</v>
      </c>
      <c r="F203">
        <v>33.700000000000003</v>
      </c>
      <c r="G203">
        <v>509</v>
      </c>
      <c r="H203">
        <v>45</v>
      </c>
      <c r="I203">
        <v>187</v>
      </c>
      <c r="J203">
        <v>83</v>
      </c>
      <c r="K203">
        <v>260</v>
      </c>
      <c r="L203">
        <v>80.599999999999994</v>
      </c>
      <c r="M203">
        <v>256</v>
      </c>
      <c r="N203">
        <v>72.400000000000006</v>
      </c>
      <c r="O203">
        <v>372</v>
      </c>
      <c r="P203" t="s">
        <v>272</v>
      </c>
      <c r="Q203" s="1">
        <v>17275</v>
      </c>
      <c r="R203">
        <v>14.9</v>
      </c>
      <c r="S203" s="2">
        <v>0.12</v>
      </c>
      <c r="U203" s="2">
        <v>0.34</v>
      </c>
      <c r="V203" t="s">
        <v>497</v>
      </c>
      <c r="W203" t="s">
        <v>499</v>
      </c>
      <c r="X203" t="b">
        <v>0</v>
      </c>
      <c r="Y203" t="b">
        <v>0</v>
      </c>
    </row>
    <row r="204" spans="1:25">
      <c r="A204">
        <v>2030</v>
      </c>
      <c r="B204" t="s">
        <v>496</v>
      </c>
      <c r="C204" t="s">
        <v>500</v>
      </c>
      <c r="D204" t="s">
        <v>498</v>
      </c>
      <c r="E204">
        <v>2030</v>
      </c>
      <c r="F204">
        <v>42</v>
      </c>
      <c r="G204">
        <v>261</v>
      </c>
      <c r="H204">
        <v>43.1</v>
      </c>
      <c r="I204">
        <v>208</v>
      </c>
      <c r="J204">
        <v>79.7</v>
      </c>
      <c r="K204">
        <v>326</v>
      </c>
      <c r="L204">
        <v>87.2</v>
      </c>
      <c r="M204">
        <v>184</v>
      </c>
      <c r="N204">
        <v>81.8</v>
      </c>
      <c r="O204">
        <v>225</v>
      </c>
      <c r="P204" t="s">
        <v>313</v>
      </c>
      <c r="Q204" s="1">
        <v>14427</v>
      </c>
      <c r="R204">
        <v>20.399999999999999</v>
      </c>
      <c r="S204" s="2">
        <v>0.23</v>
      </c>
      <c r="T204" t="s">
        <v>501</v>
      </c>
      <c r="U204" s="2">
        <v>0.46</v>
      </c>
      <c r="V204" t="s">
        <v>500</v>
      </c>
      <c r="W204" t="s">
        <v>502</v>
      </c>
      <c r="X204" t="b">
        <v>0</v>
      </c>
      <c r="Y204" t="b">
        <v>0</v>
      </c>
    </row>
    <row r="205" spans="1:25">
      <c r="A205">
        <v>2040</v>
      </c>
      <c r="B205" t="s">
        <v>496</v>
      </c>
      <c r="C205" t="s">
        <v>503</v>
      </c>
      <c r="D205" t="s">
        <v>498</v>
      </c>
      <c r="E205">
        <v>2040</v>
      </c>
      <c r="F205">
        <v>36.4</v>
      </c>
      <c r="G205">
        <v>414</v>
      </c>
      <c r="H205">
        <v>35.799999999999997</v>
      </c>
      <c r="I205">
        <v>328</v>
      </c>
      <c r="J205">
        <v>81.8</v>
      </c>
      <c r="K205">
        <v>286</v>
      </c>
      <c r="L205">
        <v>78.900000000000006</v>
      </c>
      <c r="M205">
        <v>277</v>
      </c>
      <c r="N205">
        <v>97.5</v>
      </c>
      <c r="O205">
        <v>12</v>
      </c>
      <c r="P205" t="s">
        <v>26</v>
      </c>
      <c r="Q205" s="1">
        <v>12755</v>
      </c>
      <c r="R205">
        <v>15.3</v>
      </c>
      <c r="S205" s="2">
        <v>0.4</v>
      </c>
      <c r="T205" s="3">
        <v>2.4458333333333333</v>
      </c>
      <c r="U205" s="2">
        <v>0.23</v>
      </c>
      <c r="V205" t="s">
        <v>503</v>
      </c>
      <c r="W205" t="s">
        <v>504</v>
      </c>
      <c r="X205" t="b">
        <v>0</v>
      </c>
      <c r="Y205" t="b">
        <v>0</v>
      </c>
    </row>
    <row r="206" spans="1:25">
      <c r="A206">
        <v>2050</v>
      </c>
      <c r="B206" t="s">
        <v>496</v>
      </c>
      <c r="C206" t="s">
        <v>505</v>
      </c>
      <c r="D206" t="s">
        <v>498</v>
      </c>
      <c r="E206">
        <v>2050</v>
      </c>
      <c r="F206">
        <v>45.1</v>
      </c>
      <c r="G206">
        <v>200</v>
      </c>
      <c r="H206">
        <v>41.4</v>
      </c>
      <c r="I206">
        <v>228</v>
      </c>
      <c r="J206">
        <v>84.8</v>
      </c>
      <c r="K206">
        <v>215</v>
      </c>
      <c r="L206">
        <v>67.599999999999994</v>
      </c>
      <c r="M206">
        <v>487</v>
      </c>
      <c r="N206">
        <v>68.8</v>
      </c>
      <c r="O206">
        <v>424</v>
      </c>
      <c r="P206" t="s">
        <v>386</v>
      </c>
      <c r="Q206" s="1">
        <v>32901</v>
      </c>
      <c r="R206">
        <v>13.2</v>
      </c>
      <c r="S206" s="2">
        <v>0.13</v>
      </c>
      <c r="T206" s="3">
        <v>2.5277777777777777</v>
      </c>
      <c r="U206" s="2">
        <v>0.18</v>
      </c>
      <c r="V206" t="s">
        <v>506</v>
      </c>
      <c r="W206" t="s">
        <v>507</v>
      </c>
      <c r="X206" t="b">
        <v>0</v>
      </c>
      <c r="Y206" t="b">
        <v>0</v>
      </c>
    </row>
    <row r="207" spans="1:25">
      <c r="A207">
        <v>2060</v>
      </c>
      <c r="B207" t="s">
        <v>496</v>
      </c>
      <c r="C207" t="s">
        <v>508</v>
      </c>
      <c r="D207" t="s">
        <v>498</v>
      </c>
      <c r="E207">
        <v>2060</v>
      </c>
      <c r="F207">
        <v>36.5</v>
      </c>
      <c r="G207">
        <v>409</v>
      </c>
      <c r="H207">
        <v>41.4</v>
      </c>
      <c r="I207">
        <v>229</v>
      </c>
      <c r="J207">
        <v>81.7</v>
      </c>
      <c r="K207">
        <v>288</v>
      </c>
      <c r="L207">
        <v>88.8</v>
      </c>
      <c r="M207">
        <v>175</v>
      </c>
      <c r="N207">
        <v>85.2</v>
      </c>
      <c r="O207">
        <v>187</v>
      </c>
      <c r="P207" t="s">
        <v>76</v>
      </c>
      <c r="Q207" s="1">
        <v>34012</v>
      </c>
      <c r="R207">
        <v>18.8</v>
      </c>
      <c r="S207" s="2">
        <v>0.24</v>
      </c>
      <c r="T207" s="3">
        <v>2.2819444444444446</v>
      </c>
      <c r="U207" s="2">
        <v>0.21</v>
      </c>
      <c r="V207" t="s">
        <v>508</v>
      </c>
      <c r="W207" t="s">
        <v>509</v>
      </c>
      <c r="X207" t="b">
        <v>0</v>
      </c>
      <c r="Y207" t="b">
        <v>0</v>
      </c>
    </row>
    <row r="208" spans="1:25">
      <c r="A208">
        <v>2070</v>
      </c>
      <c r="B208" t="s">
        <v>496</v>
      </c>
      <c r="C208" t="s">
        <v>510</v>
      </c>
      <c r="D208" t="s">
        <v>498</v>
      </c>
      <c r="E208">
        <v>2070</v>
      </c>
      <c r="F208">
        <v>34.9</v>
      </c>
      <c r="G208">
        <v>465</v>
      </c>
      <c r="H208">
        <v>39.799999999999997</v>
      </c>
      <c r="I208">
        <v>251</v>
      </c>
      <c r="J208">
        <v>93.3</v>
      </c>
      <c r="K208">
        <v>70</v>
      </c>
      <c r="L208">
        <v>73.2</v>
      </c>
      <c r="M208">
        <v>363</v>
      </c>
      <c r="N208">
        <v>77.900000000000006</v>
      </c>
      <c r="O208">
        <v>281</v>
      </c>
      <c r="P208" t="s">
        <v>29</v>
      </c>
      <c r="Q208" s="1">
        <v>19154</v>
      </c>
      <c r="R208">
        <v>24.2</v>
      </c>
      <c r="S208" s="2">
        <v>0.12</v>
      </c>
      <c r="T208" s="3">
        <v>1.9951388888888888</v>
      </c>
      <c r="U208" s="2">
        <v>0.35</v>
      </c>
      <c r="V208" t="s">
        <v>510</v>
      </c>
      <c r="W208" t="s">
        <v>511</v>
      </c>
      <c r="X208" t="b">
        <v>0</v>
      </c>
      <c r="Y208" t="b">
        <v>0</v>
      </c>
    </row>
    <row r="209" spans="1:25">
      <c r="A209">
        <v>2080</v>
      </c>
      <c r="B209" t="s">
        <v>496</v>
      </c>
      <c r="C209" t="s">
        <v>512</v>
      </c>
      <c r="D209" t="s">
        <v>498</v>
      </c>
      <c r="E209">
        <v>2080</v>
      </c>
      <c r="F209">
        <v>30.2</v>
      </c>
      <c r="G209">
        <v>678</v>
      </c>
      <c r="H209">
        <v>36.5</v>
      </c>
      <c r="I209">
        <v>315</v>
      </c>
      <c r="J209">
        <v>87.5</v>
      </c>
      <c r="K209">
        <v>162</v>
      </c>
      <c r="L209">
        <v>78.8</v>
      </c>
      <c r="M209">
        <v>279</v>
      </c>
      <c r="N209">
        <v>94.7</v>
      </c>
      <c r="O209">
        <v>53</v>
      </c>
      <c r="P209" t="s">
        <v>116</v>
      </c>
      <c r="Q209" s="1">
        <v>29283</v>
      </c>
      <c r="R209">
        <v>20.8</v>
      </c>
      <c r="S209" s="2">
        <v>0.28999999999999998</v>
      </c>
      <c r="T209" s="3">
        <v>2.2409722222222221</v>
      </c>
      <c r="U209" s="2">
        <v>0.31</v>
      </c>
      <c r="V209" t="s">
        <v>513</v>
      </c>
      <c r="W209" t="s">
        <v>514</v>
      </c>
      <c r="X209" t="b">
        <v>0</v>
      </c>
      <c r="Y209" t="b">
        <v>0</v>
      </c>
    </row>
    <row r="210" spans="1:25">
      <c r="A210">
        <v>2090</v>
      </c>
      <c r="B210" t="s">
        <v>496</v>
      </c>
      <c r="C210" t="s">
        <v>515</v>
      </c>
      <c r="D210" t="s">
        <v>498</v>
      </c>
      <c r="E210">
        <v>2090</v>
      </c>
      <c r="F210">
        <v>43.2</v>
      </c>
      <c r="G210">
        <v>236</v>
      </c>
      <c r="H210">
        <v>42</v>
      </c>
      <c r="I210">
        <v>226</v>
      </c>
      <c r="J210">
        <v>81.8</v>
      </c>
      <c r="K210">
        <v>287</v>
      </c>
      <c r="L210">
        <v>79.8</v>
      </c>
      <c r="M210">
        <v>266</v>
      </c>
      <c r="N210">
        <v>69.3</v>
      </c>
      <c r="O210">
        <v>416</v>
      </c>
      <c r="P210" t="s">
        <v>99</v>
      </c>
      <c r="Q210" s="1">
        <v>16048</v>
      </c>
      <c r="R210">
        <v>18.899999999999999</v>
      </c>
      <c r="S210" s="2">
        <v>0.14000000000000001</v>
      </c>
      <c r="U210" s="2">
        <v>0.31</v>
      </c>
      <c r="V210" t="s">
        <v>515</v>
      </c>
      <c r="W210" t="s">
        <v>516</v>
      </c>
      <c r="X210" t="b">
        <v>0</v>
      </c>
      <c r="Y210" t="b">
        <v>0</v>
      </c>
    </row>
    <row r="211" spans="1:25">
      <c r="A211">
        <v>2100</v>
      </c>
      <c r="B211" t="s">
        <v>496</v>
      </c>
      <c r="C211" t="s">
        <v>517</v>
      </c>
      <c r="D211" t="s">
        <v>498</v>
      </c>
      <c r="E211">
        <v>2100</v>
      </c>
      <c r="F211">
        <v>48.2</v>
      </c>
      <c r="G211">
        <v>154</v>
      </c>
      <c r="H211">
        <v>35.700000000000003</v>
      </c>
      <c r="I211">
        <v>329</v>
      </c>
      <c r="J211">
        <v>86</v>
      </c>
      <c r="K211">
        <v>191</v>
      </c>
      <c r="L211">
        <v>67.3</v>
      </c>
      <c r="M211">
        <v>492</v>
      </c>
      <c r="N211">
        <v>66.099999999999994</v>
      </c>
      <c r="O211">
        <v>463</v>
      </c>
      <c r="P211" t="s">
        <v>29</v>
      </c>
      <c r="Q211" s="1">
        <v>22211</v>
      </c>
      <c r="R211">
        <v>13</v>
      </c>
      <c r="S211" s="2">
        <v>0.14000000000000001</v>
      </c>
      <c r="T211" s="3">
        <v>2.6097222222222221</v>
      </c>
      <c r="U211" s="2">
        <v>0.17</v>
      </c>
      <c r="V211" t="s">
        <v>517</v>
      </c>
      <c r="W211" t="s">
        <v>518</v>
      </c>
      <c r="X211" t="b">
        <v>0</v>
      </c>
      <c r="Y211" t="b">
        <v>0</v>
      </c>
    </row>
    <row r="212" spans="1:25">
      <c r="A212">
        <v>2110</v>
      </c>
      <c r="B212" t="s">
        <v>496</v>
      </c>
      <c r="C212" t="s">
        <v>519</v>
      </c>
      <c r="D212" t="s">
        <v>498</v>
      </c>
      <c r="E212">
        <v>2110</v>
      </c>
      <c r="F212">
        <v>40.200000000000003</v>
      </c>
      <c r="G212">
        <v>303</v>
      </c>
      <c r="H212">
        <v>38.200000000000003</v>
      </c>
      <c r="I212">
        <v>280</v>
      </c>
      <c r="J212">
        <v>82.4</v>
      </c>
      <c r="K212">
        <v>276</v>
      </c>
      <c r="L212">
        <v>74.599999999999994</v>
      </c>
      <c r="M212">
        <v>341</v>
      </c>
      <c r="N212">
        <v>70.8</v>
      </c>
      <c r="O212">
        <v>394</v>
      </c>
      <c r="P212" t="s">
        <v>99</v>
      </c>
      <c r="Q212" s="1">
        <v>28572</v>
      </c>
      <c r="R212">
        <v>14.5</v>
      </c>
      <c r="S212" s="2">
        <v>0.14000000000000001</v>
      </c>
      <c r="T212" s="3">
        <v>2.4868055555555557</v>
      </c>
      <c r="U212" s="2">
        <v>0.23</v>
      </c>
      <c r="V212" t="s">
        <v>519</v>
      </c>
      <c r="W212" t="s">
        <v>520</v>
      </c>
      <c r="X212" t="b">
        <v>0</v>
      </c>
      <c r="Y212" t="b">
        <v>0</v>
      </c>
    </row>
    <row r="213" spans="1:25">
      <c r="A213">
        <v>2120</v>
      </c>
      <c r="B213" t="s">
        <v>496</v>
      </c>
      <c r="C213" t="s">
        <v>521</v>
      </c>
      <c r="D213" t="s">
        <v>498</v>
      </c>
      <c r="E213">
        <v>2120</v>
      </c>
      <c r="F213">
        <v>34</v>
      </c>
      <c r="G213">
        <v>492</v>
      </c>
      <c r="H213">
        <v>43.4</v>
      </c>
      <c r="I213">
        <v>205</v>
      </c>
      <c r="J213">
        <v>90.2</v>
      </c>
      <c r="K213">
        <v>123</v>
      </c>
      <c r="L213">
        <v>75.400000000000006</v>
      </c>
      <c r="M213">
        <v>328</v>
      </c>
      <c r="N213">
        <v>65.7</v>
      </c>
      <c r="O213">
        <v>470</v>
      </c>
      <c r="P213" t="s">
        <v>150</v>
      </c>
      <c r="Q213" s="1">
        <v>21698</v>
      </c>
      <c r="R213">
        <v>11.9</v>
      </c>
      <c r="S213" s="2">
        <v>0.13</v>
      </c>
      <c r="U213" s="2">
        <v>0.14000000000000001</v>
      </c>
      <c r="V213" t="s">
        <v>521</v>
      </c>
      <c r="W213" t="s">
        <v>522</v>
      </c>
      <c r="X213" t="b">
        <v>0</v>
      </c>
      <c r="Y213" t="b">
        <v>0</v>
      </c>
    </row>
    <row r="214" spans="1:25">
      <c r="A214">
        <v>2130</v>
      </c>
      <c r="B214" t="s">
        <v>496</v>
      </c>
      <c r="C214" t="s">
        <v>523</v>
      </c>
      <c r="D214" t="s">
        <v>498</v>
      </c>
      <c r="E214">
        <v>2130</v>
      </c>
      <c r="F214">
        <v>42</v>
      </c>
      <c r="G214">
        <v>262</v>
      </c>
      <c r="H214">
        <v>42.5</v>
      </c>
      <c r="I214">
        <v>222</v>
      </c>
      <c r="J214">
        <v>75.8</v>
      </c>
      <c r="K214">
        <v>423</v>
      </c>
      <c r="L214">
        <v>68.3</v>
      </c>
      <c r="M214">
        <v>471</v>
      </c>
      <c r="N214">
        <v>77.3</v>
      </c>
      <c r="O214">
        <v>290</v>
      </c>
      <c r="P214" t="s">
        <v>29</v>
      </c>
      <c r="Q214" s="1">
        <v>14936</v>
      </c>
      <c r="R214">
        <v>11.3</v>
      </c>
      <c r="S214" s="2">
        <v>0.1</v>
      </c>
      <c r="T214" s="3">
        <v>2.4048611111111109</v>
      </c>
      <c r="U214" s="2">
        <v>0.28000000000000003</v>
      </c>
      <c r="V214" t="s">
        <v>523</v>
      </c>
      <c r="W214" t="s">
        <v>524</v>
      </c>
      <c r="X214" t="b">
        <v>0</v>
      </c>
      <c r="Y214" t="b">
        <v>0</v>
      </c>
    </row>
    <row r="215" spans="1:25">
      <c r="A215">
        <v>2140</v>
      </c>
      <c r="B215" t="s">
        <v>496</v>
      </c>
      <c r="C215" t="s">
        <v>525</v>
      </c>
      <c r="D215" t="s">
        <v>498</v>
      </c>
      <c r="E215">
        <v>2140</v>
      </c>
      <c r="F215">
        <v>50.3</v>
      </c>
      <c r="G215">
        <v>131</v>
      </c>
      <c r="H215">
        <v>33.9</v>
      </c>
      <c r="I215">
        <v>382</v>
      </c>
      <c r="J215">
        <v>80</v>
      </c>
      <c r="K215">
        <v>322</v>
      </c>
      <c r="L215">
        <v>76.7</v>
      </c>
      <c r="M215">
        <v>305</v>
      </c>
      <c r="N215">
        <v>61</v>
      </c>
      <c r="O215">
        <v>564</v>
      </c>
      <c r="P215" t="s">
        <v>29</v>
      </c>
      <c r="Q215" s="1">
        <v>28868</v>
      </c>
      <c r="R215">
        <v>11.4</v>
      </c>
      <c r="S215" s="2">
        <v>0.18</v>
      </c>
      <c r="T215" s="3">
        <v>2.2819444444444446</v>
      </c>
      <c r="U215" s="2">
        <v>0.19</v>
      </c>
      <c r="V215" t="s">
        <v>525</v>
      </c>
      <c r="W215" t="s">
        <v>526</v>
      </c>
      <c r="X215" t="b">
        <v>0</v>
      </c>
      <c r="Y215" t="b">
        <v>0</v>
      </c>
    </row>
    <row r="216" spans="1:25">
      <c r="A216">
        <v>2150</v>
      </c>
      <c r="B216" t="s">
        <v>496</v>
      </c>
      <c r="C216" t="s">
        <v>527</v>
      </c>
      <c r="D216" t="s">
        <v>498</v>
      </c>
      <c r="E216">
        <v>2150</v>
      </c>
      <c r="F216">
        <v>62.9</v>
      </c>
      <c r="G216">
        <v>65</v>
      </c>
      <c r="H216">
        <v>57.8</v>
      </c>
      <c r="I216">
        <v>94</v>
      </c>
      <c r="J216">
        <v>53.9</v>
      </c>
      <c r="K216">
        <v>920</v>
      </c>
      <c r="L216">
        <v>96</v>
      </c>
      <c r="M216">
        <v>105</v>
      </c>
      <c r="N216">
        <v>31.1</v>
      </c>
      <c r="O216">
        <v>1462</v>
      </c>
      <c r="P216" t="s">
        <v>528</v>
      </c>
      <c r="Q216" s="1">
        <v>4495</v>
      </c>
      <c r="R216">
        <v>9.6</v>
      </c>
      <c r="S216" s="2">
        <v>0.01</v>
      </c>
      <c r="T216" t="s">
        <v>529</v>
      </c>
      <c r="U216" s="2">
        <v>0.44</v>
      </c>
      <c r="V216" t="s">
        <v>527</v>
      </c>
      <c r="W216" t="s">
        <v>530</v>
      </c>
      <c r="X216" t="b">
        <v>0</v>
      </c>
      <c r="Y216" t="b">
        <v>0</v>
      </c>
    </row>
    <row r="217" spans="1:25">
      <c r="A217">
        <v>2160</v>
      </c>
      <c r="B217" t="s">
        <v>496</v>
      </c>
      <c r="C217" t="s">
        <v>531</v>
      </c>
      <c r="D217" t="s">
        <v>498</v>
      </c>
      <c r="E217">
        <v>2160</v>
      </c>
      <c r="F217">
        <v>46.1</v>
      </c>
      <c r="G217">
        <v>185</v>
      </c>
      <c r="H217">
        <v>37</v>
      </c>
      <c r="I217">
        <v>305</v>
      </c>
      <c r="J217">
        <v>79.900000000000006</v>
      </c>
      <c r="K217">
        <v>324</v>
      </c>
      <c r="L217">
        <v>88.6</v>
      </c>
      <c r="M217">
        <v>177</v>
      </c>
      <c r="N217">
        <v>55.8</v>
      </c>
      <c r="O217">
        <v>665</v>
      </c>
      <c r="P217" t="s">
        <v>29</v>
      </c>
      <c r="Q217" s="1">
        <v>28583</v>
      </c>
      <c r="R217">
        <v>10.9</v>
      </c>
      <c r="S217" s="2">
        <v>0.06</v>
      </c>
      <c r="T217" s="3">
        <v>2.3229166666666665</v>
      </c>
      <c r="U217" s="2">
        <v>0.18</v>
      </c>
      <c r="V217" t="s">
        <v>531</v>
      </c>
      <c r="W217" t="s">
        <v>532</v>
      </c>
      <c r="X217" t="b">
        <v>0</v>
      </c>
      <c r="Y217" t="b">
        <v>0</v>
      </c>
    </row>
    <row r="218" spans="1:25">
      <c r="A218">
        <v>2170</v>
      </c>
      <c r="B218" t="s">
        <v>496</v>
      </c>
      <c r="C218" t="s">
        <v>533</v>
      </c>
      <c r="D218" t="s">
        <v>498</v>
      </c>
      <c r="E218">
        <v>2170</v>
      </c>
      <c r="F218">
        <v>37.6</v>
      </c>
      <c r="G218">
        <v>374</v>
      </c>
      <c r="H218">
        <v>38.700000000000003</v>
      </c>
      <c r="I218">
        <v>266</v>
      </c>
      <c r="J218">
        <v>86.3</v>
      </c>
      <c r="K218">
        <v>187</v>
      </c>
      <c r="L218">
        <v>90.9</v>
      </c>
      <c r="M218">
        <v>158</v>
      </c>
      <c r="N218">
        <v>84.8</v>
      </c>
      <c r="O218">
        <v>193</v>
      </c>
      <c r="P218" t="s">
        <v>534</v>
      </c>
      <c r="Q218" s="1">
        <v>6801</v>
      </c>
      <c r="R218">
        <v>8.5</v>
      </c>
      <c r="S218" s="2">
        <v>0.15</v>
      </c>
      <c r="T218">
        <v>0.3972222222222222</v>
      </c>
      <c r="U218" s="2">
        <v>0.48</v>
      </c>
      <c r="V218" t="s">
        <v>533</v>
      </c>
      <c r="W218" t="s">
        <v>535</v>
      </c>
      <c r="X218" t="b">
        <v>0</v>
      </c>
      <c r="Y218" t="b">
        <v>0</v>
      </c>
    </row>
    <row r="219" spans="1:25">
      <c r="A219">
        <v>2180</v>
      </c>
      <c r="B219" t="s">
        <v>496</v>
      </c>
      <c r="C219" t="s">
        <v>536</v>
      </c>
      <c r="D219" t="s">
        <v>498</v>
      </c>
      <c r="E219">
        <v>2180</v>
      </c>
      <c r="F219">
        <v>48.6</v>
      </c>
      <c r="G219">
        <v>150</v>
      </c>
      <c r="H219">
        <v>46.6</v>
      </c>
      <c r="I219">
        <v>173</v>
      </c>
      <c r="J219">
        <v>72</v>
      </c>
      <c r="K219">
        <v>508</v>
      </c>
      <c r="L219">
        <v>99.7</v>
      </c>
      <c r="M219">
        <v>47</v>
      </c>
      <c r="N219">
        <v>62.5</v>
      </c>
      <c r="O219">
        <v>534</v>
      </c>
      <c r="P219" t="s">
        <v>181</v>
      </c>
      <c r="Q219" s="1">
        <v>22324</v>
      </c>
      <c r="R219">
        <v>16.3</v>
      </c>
      <c r="S219" s="2">
        <v>0.31</v>
      </c>
      <c r="U219" s="2">
        <v>0.27</v>
      </c>
      <c r="V219" t="s">
        <v>536</v>
      </c>
      <c r="W219" t="s">
        <v>537</v>
      </c>
      <c r="X219" t="b">
        <v>0</v>
      </c>
      <c r="Y219" t="b">
        <v>0</v>
      </c>
    </row>
    <row r="220" spans="1:25">
      <c r="A220">
        <v>2190</v>
      </c>
      <c r="B220" t="s">
        <v>496</v>
      </c>
      <c r="C220" t="s">
        <v>538</v>
      </c>
      <c r="D220" t="s">
        <v>498</v>
      </c>
      <c r="E220">
        <v>2190</v>
      </c>
      <c r="F220">
        <v>33.4</v>
      </c>
      <c r="G220">
        <v>528</v>
      </c>
      <c r="H220">
        <v>34.200000000000003</v>
      </c>
      <c r="I220">
        <v>372</v>
      </c>
      <c r="J220">
        <v>95.5</v>
      </c>
      <c r="K220">
        <v>44</v>
      </c>
      <c r="L220">
        <v>67.900000000000006</v>
      </c>
      <c r="M220">
        <v>482</v>
      </c>
      <c r="N220">
        <v>95.1</v>
      </c>
      <c r="O220">
        <v>46</v>
      </c>
      <c r="P220" t="s">
        <v>26</v>
      </c>
      <c r="Q220" s="1">
        <v>14000</v>
      </c>
      <c r="R220">
        <v>13.9</v>
      </c>
      <c r="S220" s="2">
        <v>0.31</v>
      </c>
      <c r="T220" s="3">
        <v>2.2819444444444446</v>
      </c>
      <c r="U220" s="2">
        <v>0.23</v>
      </c>
      <c r="V220" t="s">
        <v>539</v>
      </c>
      <c r="W220" t="s">
        <v>540</v>
      </c>
      <c r="X220" t="b">
        <v>0</v>
      </c>
      <c r="Y220" t="b">
        <v>0</v>
      </c>
    </row>
    <row r="221" spans="1:25">
      <c r="A221">
        <v>2200</v>
      </c>
      <c r="B221" t="s">
        <v>496</v>
      </c>
      <c r="C221" t="s">
        <v>541</v>
      </c>
      <c r="D221" t="s">
        <v>498</v>
      </c>
      <c r="E221">
        <v>2200</v>
      </c>
      <c r="F221">
        <v>35.799999999999997</v>
      </c>
      <c r="G221">
        <v>437</v>
      </c>
      <c r="H221">
        <v>45</v>
      </c>
      <c r="I221">
        <v>188</v>
      </c>
      <c r="J221">
        <v>83.5</v>
      </c>
      <c r="K221">
        <v>247</v>
      </c>
      <c r="L221">
        <v>76.400000000000006</v>
      </c>
      <c r="M221">
        <v>312</v>
      </c>
      <c r="N221">
        <v>89.6</v>
      </c>
      <c r="O221">
        <v>132</v>
      </c>
      <c r="P221" t="s">
        <v>137</v>
      </c>
      <c r="Q221" s="1">
        <v>30287</v>
      </c>
      <c r="R221">
        <v>51.7</v>
      </c>
      <c r="S221" s="2">
        <v>0.3</v>
      </c>
      <c r="T221" s="3">
        <v>2.4458333333333333</v>
      </c>
      <c r="U221" s="2">
        <v>0.27</v>
      </c>
      <c r="V221" t="s">
        <v>541</v>
      </c>
      <c r="W221" t="s">
        <v>542</v>
      </c>
      <c r="X221" t="b">
        <v>0</v>
      </c>
      <c r="Y221" t="b">
        <v>0</v>
      </c>
    </row>
    <row r="222" spans="1:25">
      <c r="A222">
        <v>2210</v>
      </c>
      <c r="B222" t="s">
        <v>496</v>
      </c>
      <c r="C222" t="s">
        <v>543</v>
      </c>
      <c r="D222" t="s">
        <v>498</v>
      </c>
      <c r="E222">
        <v>2210</v>
      </c>
      <c r="F222">
        <v>39.6</v>
      </c>
      <c r="G222">
        <v>319</v>
      </c>
      <c r="H222">
        <v>39.4</v>
      </c>
      <c r="I222">
        <v>256</v>
      </c>
      <c r="J222">
        <v>78.099999999999994</v>
      </c>
      <c r="K222">
        <v>363</v>
      </c>
      <c r="L222">
        <v>63</v>
      </c>
      <c r="M222">
        <v>589</v>
      </c>
      <c r="N222">
        <v>93.2</v>
      </c>
      <c r="O222">
        <v>81</v>
      </c>
      <c r="P222" t="s">
        <v>544</v>
      </c>
      <c r="Q222" s="1">
        <v>5599</v>
      </c>
      <c r="R222">
        <v>21.3</v>
      </c>
      <c r="S222" s="2">
        <v>0.49</v>
      </c>
      <c r="T222" s="3">
        <v>2.2409722222222221</v>
      </c>
      <c r="U222" s="2">
        <v>0.35</v>
      </c>
      <c r="V222" t="s">
        <v>543</v>
      </c>
      <c r="W222" t="s">
        <v>545</v>
      </c>
      <c r="X222" t="b">
        <v>0</v>
      </c>
      <c r="Y222" t="b">
        <v>0</v>
      </c>
    </row>
    <row r="223" spans="1:25">
      <c r="A223">
        <v>2220</v>
      </c>
      <c r="B223" t="s">
        <v>496</v>
      </c>
      <c r="C223" t="s">
        <v>546</v>
      </c>
      <c r="D223" t="s">
        <v>498</v>
      </c>
      <c r="E223">
        <v>2220</v>
      </c>
      <c r="F223">
        <v>32</v>
      </c>
      <c r="G223">
        <v>591</v>
      </c>
      <c r="H223">
        <v>33.5</v>
      </c>
      <c r="I223">
        <v>389</v>
      </c>
      <c r="J223">
        <v>91.6</v>
      </c>
      <c r="K223">
        <v>99</v>
      </c>
      <c r="L223">
        <v>94.9</v>
      </c>
      <c r="M223">
        <v>120</v>
      </c>
      <c r="N223">
        <v>81.900000000000006</v>
      </c>
      <c r="O223">
        <v>224</v>
      </c>
      <c r="P223" t="s">
        <v>310</v>
      </c>
      <c r="Q223" s="1">
        <v>4027</v>
      </c>
      <c r="R223">
        <v>15.5</v>
      </c>
      <c r="S223" s="2">
        <v>0.28999999999999998</v>
      </c>
      <c r="T223" s="3">
        <v>2.2819444444444446</v>
      </c>
      <c r="U223" s="2">
        <v>0.06</v>
      </c>
      <c r="V223" t="s">
        <v>546</v>
      </c>
      <c r="W223" t="s">
        <v>253</v>
      </c>
      <c r="X223" t="b">
        <v>0</v>
      </c>
      <c r="Y223" t="b">
        <v>0</v>
      </c>
    </row>
    <row r="224" spans="1:25">
      <c r="A224">
        <v>2230</v>
      </c>
      <c r="B224" t="s">
        <v>496</v>
      </c>
      <c r="C224" t="s">
        <v>547</v>
      </c>
      <c r="D224" t="s">
        <v>498</v>
      </c>
      <c r="E224">
        <v>2230</v>
      </c>
      <c r="F224">
        <v>40</v>
      </c>
      <c r="G224">
        <v>308</v>
      </c>
      <c r="H224">
        <v>28.7</v>
      </c>
      <c r="I224">
        <v>501</v>
      </c>
      <c r="J224">
        <v>93.5</v>
      </c>
      <c r="K224">
        <v>65</v>
      </c>
      <c r="L224">
        <v>94.1</v>
      </c>
      <c r="M224">
        <v>126</v>
      </c>
      <c r="N224">
        <v>81.7</v>
      </c>
      <c r="O224">
        <v>229</v>
      </c>
      <c r="P224" t="s">
        <v>310</v>
      </c>
      <c r="Q224" s="1">
        <v>7271</v>
      </c>
      <c r="R224">
        <v>8.4</v>
      </c>
      <c r="S224" s="2">
        <v>0.3</v>
      </c>
      <c r="T224" s="3">
        <v>2.2819444444444446</v>
      </c>
      <c r="U224" s="2">
        <v>0.05</v>
      </c>
      <c r="V224" t="s">
        <v>547</v>
      </c>
      <c r="W224" t="s">
        <v>253</v>
      </c>
      <c r="X224" t="b">
        <v>0</v>
      </c>
      <c r="Y224" t="b">
        <v>0</v>
      </c>
    </row>
    <row r="225" spans="1:25">
      <c r="A225">
        <v>2240</v>
      </c>
      <c r="B225" t="s">
        <v>496</v>
      </c>
      <c r="C225" t="s">
        <v>548</v>
      </c>
      <c r="D225" t="s">
        <v>498</v>
      </c>
      <c r="E225">
        <v>2240</v>
      </c>
      <c r="F225">
        <v>48.5</v>
      </c>
      <c r="G225">
        <v>153</v>
      </c>
      <c r="H225">
        <v>34.700000000000003</v>
      </c>
      <c r="I225">
        <v>357</v>
      </c>
      <c r="J225">
        <v>83.2</v>
      </c>
      <c r="K225">
        <v>252</v>
      </c>
      <c r="L225">
        <v>80.400000000000006</v>
      </c>
      <c r="M225">
        <v>258</v>
      </c>
      <c r="N225">
        <v>67.5</v>
      </c>
      <c r="O225">
        <v>440</v>
      </c>
      <c r="P225" t="s">
        <v>29</v>
      </c>
      <c r="Q225" s="1">
        <v>17060</v>
      </c>
      <c r="R225">
        <v>10.4</v>
      </c>
      <c r="S225" s="2">
        <v>0.14000000000000001</v>
      </c>
      <c r="T225" s="3">
        <v>2.2819444444444446</v>
      </c>
      <c r="U225" s="2">
        <v>0.12</v>
      </c>
      <c r="V225" t="s">
        <v>548</v>
      </c>
      <c r="W225" t="s">
        <v>549</v>
      </c>
      <c r="X225" t="b">
        <v>0</v>
      </c>
      <c r="Y225" t="b">
        <v>0</v>
      </c>
    </row>
    <row r="226" spans="1:25">
      <c r="A226">
        <v>2250</v>
      </c>
      <c r="B226" t="s">
        <v>496</v>
      </c>
      <c r="C226" t="s">
        <v>550</v>
      </c>
      <c r="D226" t="s">
        <v>498</v>
      </c>
      <c r="E226">
        <v>2250</v>
      </c>
      <c r="F226">
        <v>63.5</v>
      </c>
      <c r="G226">
        <v>62</v>
      </c>
      <c r="H226">
        <v>48.8</v>
      </c>
      <c r="I226">
        <v>151</v>
      </c>
      <c r="J226">
        <v>55.1</v>
      </c>
      <c r="K226">
        <v>886</v>
      </c>
      <c r="L226">
        <v>68.599999999999994</v>
      </c>
      <c r="M226">
        <v>464</v>
      </c>
      <c r="N226">
        <v>72.7</v>
      </c>
      <c r="O226">
        <v>367</v>
      </c>
      <c r="P226" t="s">
        <v>255</v>
      </c>
      <c r="Q226" s="1">
        <v>6111</v>
      </c>
      <c r="R226">
        <v>11.6</v>
      </c>
      <c r="S226" s="2">
        <v>0.21</v>
      </c>
      <c r="U226" s="2">
        <v>0.48</v>
      </c>
      <c r="V226" t="s">
        <v>550</v>
      </c>
      <c r="W226" t="s">
        <v>551</v>
      </c>
      <c r="X226" t="b">
        <v>0</v>
      </c>
      <c r="Y226" t="b">
        <v>0</v>
      </c>
    </row>
    <row r="227" spans="1:25">
      <c r="A227">
        <v>2260</v>
      </c>
      <c r="B227" t="s">
        <v>496</v>
      </c>
      <c r="C227" t="s">
        <v>552</v>
      </c>
      <c r="D227" t="s">
        <v>498</v>
      </c>
      <c r="E227">
        <v>2260</v>
      </c>
      <c r="F227">
        <v>55.3</v>
      </c>
      <c r="G227">
        <v>97</v>
      </c>
      <c r="H227">
        <v>55.7</v>
      </c>
      <c r="I227">
        <v>107</v>
      </c>
      <c r="J227">
        <v>54.3</v>
      </c>
      <c r="K227">
        <v>909</v>
      </c>
      <c r="L227">
        <v>99.5</v>
      </c>
      <c r="M227">
        <v>60</v>
      </c>
      <c r="N227">
        <v>41.9</v>
      </c>
      <c r="O227">
        <v>1059</v>
      </c>
      <c r="P227" t="s">
        <v>94</v>
      </c>
      <c r="Q227" s="1">
        <v>15224</v>
      </c>
      <c r="R227">
        <v>13</v>
      </c>
      <c r="S227" s="2">
        <v>0.12</v>
      </c>
      <c r="T227" t="s">
        <v>105</v>
      </c>
      <c r="U227" s="2">
        <v>0.32</v>
      </c>
      <c r="V227" t="s">
        <v>552</v>
      </c>
      <c r="W227" t="s">
        <v>553</v>
      </c>
      <c r="X227" t="b">
        <v>0</v>
      </c>
      <c r="Y227" t="b">
        <v>0</v>
      </c>
    </row>
    <row r="228" spans="1:25">
      <c r="A228">
        <v>2270</v>
      </c>
      <c r="B228" t="s">
        <v>496</v>
      </c>
      <c r="C228" t="s">
        <v>554</v>
      </c>
      <c r="D228" t="s">
        <v>498</v>
      </c>
      <c r="E228">
        <v>2270</v>
      </c>
      <c r="F228">
        <v>33.799999999999997</v>
      </c>
      <c r="G228">
        <v>503</v>
      </c>
      <c r="H228">
        <v>38.799999999999997</v>
      </c>
      <c r="I228">
        <v>264</v>
      </c>
      <c r="J228">
        <v>85.5</v>
      </c>
      <c r="K228">
        <v>199</v>
      </c>
      <c r="L228">
        <v>76.5</v>
      </c>
      <c r="M228">
        <v>310</v>
      </c>
      <c r="N228">
        <v>83.4</v>
      </c>
      <c r="O228">
        <v>205</v>
      </c>
      <c r="P228" t="s">
        <v>116</v>
      </c>
      <c r="Q228" s="1">
        <v>24608</v>
      </c>
      <c r="R228">
        <v>31.3</v>
      </c>
      <c r="S228" s="2">
        <v>0.16</v>
      </c>
      <c r="T228" s="3">
        <v>2.4048611111111109</v>
      </c>
      <c r="U228" s="2">
        <v>0.24</v>
      </c>
      <c r="V228" t="s">
        <v>555</v>
      </c>
      <c r="W228" t="s">
        <v>556</v>
      </c>
      <c r="X228" t="b">
        <v>0</v>
      </c>
      <c r="Y228" t="b">
        <v>0</v>
      </c>
    </row>
    <row r="229" spans="1:25">
      <c r="A229">
        <v>2280</v>
      </c>
      <c r="B229" t="s">
        <v>496</v>
      </c>
      <c r="C229" t="s">
        <v>557</v>
      </c>
      <c r="D229" t="s">
        <v>498</v>
      </c>
      <c r="E229">
        <v>2280</v>
      </c>
      <c r="F229">
        <v>40.200000000000003</v>
      </c>
      <c r="G229">
        <v>305</v>
      </c>
      <c r="H229">
        <v>33.6</v>
      </c>
      <c r="I229">
        <v>388</v>
      </c>
      <c r="J229">
        <v>93.3</v>
      </c>
      <c r="K229">
        <v>71</v>
      </c>
      <c r="L229">
        <v>68.900000000000006</v>
      </c>
      <c r="M229">
        <v>457</v>
      </c>
      <c r="N229">
        <v>83.3</v>
      </c>
      <c r="O229">
        <v>206</v>
      </c>
      <c r="P229" t="s">
        <v>29</v>
      </c>
      <c r="Q229" s="1">
        <v>22269</v>
      </c>
      <c r="R229">
        <v>14.1</v>
      </c>
      <c r="S229" s="2">
        <v>0.32</v>
      </c>
      <c r="T229" s="3">
        <v>2.0770833333333334</v>
      </c>
      <c r="U229" s="2">
        <v>0.34</v>
      </c>
      <c r="V229" t="s">
        <v>557</v>
      </c>
      <c r="W229" t="s">
        <v>558</v>
      </c>
      <c r="X229" t="b">
        <v>0</v>
      </c>
      <c r="Y229" t="b">
        <v>0</v>
      </c>
    </row>
    <row r="230" spans="1:25">
      <c r="A230">
        <v>2290</v>
      </c>
      <c r="B230" t="s">
        <v>496</v>
      </c>
      <c r="C230" t="s">
        <v>559</v>
      </c>
      <c r="D230" t="s">
        <v>498</v>
      </c>
      <c r="E230">
        <v>2290</v>
      </c>
      <c r="F230">
        <v>46.1</v>
      </c>
      <c r="G230">
        <v>187</v>
      </c>
      <c r="H230">
        <v>38.5</v>
      </c>
      <c r="I230">
        <v>270</v>
      </c>
      <c r="J230">
        <v>84.1</v>
      </c>
      <c r="K230">
        <v>231</v>
      </c>
      <c r="L230">
        <v>77.099999999999994</v>
      </c>
      <c r="M230">
        <v>301</v>
      </c>
      <c r="N230">
        <v>53.1</v>
      </c>
      <c r="O230">
        <v>709</v>
      </c>
      <c r="P230" t="s">
        <v>397</v>
      </c>
      <c r="Q230" s="1">
        <v>44401</v>
      </c>
      <c r="R230">
        <v>26.5</v>
      </c>
      <c r="S230" s="2">
        <v>7.0000000000000007E-2</v>
      </c>
      <c r="T230" s="3">
        <v>2.3638888888888889</v>
      </c>
      <c r="U230" s="2">
        <v>0.26</v>
      </c>
      <c r="V230" t="s">
        <v>559</v>
      </c>
      <c r="W230" t="s">
        <v>560</v>
      </c>
      <c r="X230" t="b">
        <v>0</v>
      </c>
      <c r="Y230" t="b">
        <v>0</v>
      </c>
    </row>
    <row r="231" spans="1:25">
      <c r="A231">
        <v>2300</v>
      </c>
      <c r="B231" t="s">
        <v>496</v>
      </c>
      <c r="C231" t="s">
        <v>561</v>
      </c>
      <c r="D231" t="s">
        <v>498</v>
      </c>
      <c r="E231">
        <v>2300</v>
      </c>
      <c r="F231">
        <v>42.9</v>
      </c>
      <c r="G231">
        <v>242</v>
      </c>
      <c r="H231">
        <v>49.7</v>
      </c>
      <c r="I231">
        <v>141</v>
      </c>
      <c r="J231">
        <v>71.900000000000006</v>
      </c>
      <c r="K231">
        <v>511</v>
      </c>
      <c r="L231">
        <v>95.3</v>
      </c>
      <c r="M231">
        <v>115</v>
      </c>
      <c r="N231">
        <v>65.3</v>
      </c>
      <c r="O231">
        <v>480</v>
      </c>
      <c r="P231" t="s">
        <v>397</v>
      </c>
      <c r="Q231" s="1">
        <v>38978</v>
      </c>
      <c r="R231">
        <v>25.7</v>
      </c>
      <c r="S231" s="2">
        <v>0.19</v>
      </c>
      <c r="T231" t="s">
        <v>350</v>
      </c>
      <c r="U231" s="2">
        <v>0.5</v>
      </c>
      <c r="V231" t="s">
        <v>561</v>
      </c>
      <c r="W231" t="s">
        <v>562</v>
      </c>
      <c r="X231" t="b">
        <v>0</v>
      </c>
      <c r="Y231" t="b">
        <v>0</v>
      </c>
    </row>
    <row r="232" spans="1:25">
      <c r="A232">
        <v>2310</v>
      </c>
      <c r="B232" t="s">
        <v>496</v>
      </c>
      <c r="C232" t="s">
        <v>563</v>
      </c>
      <c r="D232" t="s">
        <v>498</v>
      </c>
      <c r="E232">
        <v>2310</v>
      </c>
      <c r="F232">
        <v>35.9</v>
      </c>
      <c r="G232">
        <v>432</v>
      </c>
      <c r="H232">
        <v>38.299999999999997</v>
      </c>
      <c r="I232">
        <v>277</v>
      </c>
      <c r="J232">
        <v>90.5</v>
      </c>
      <c r="K232">
        <v>119</v>
      </c>
      <c r="L232">
        <v>78.400000000000006</v>
      </c>
      <c r="M232">
        <v>284</v>
      </c>
      <c r="N232">
        <v>74.7</v>
      </c>
      <c r="O232">
        <v>336</v>
      </c>
      <c r="P232" t="s">
        <v>386</v>
      </c>
      <c r="Q232" s="1">
        <v>12173</v>
      </c>
      <c r="R232">
        <v>22.7</v>
      </c>
      <c r="S232" s="2">
        <v>0.13</v>
      </c>
      <c r="T232" s="3">
        <v>2.5687500000000001</v>
      </c>
      <c r="U232" s="2">
        <v>0.16</v>
      </c>
      <c r="V232" t="s">
        <v>563</v>
      </c>
      <c r="W232" t="s">
        <v>564</v>
      </c>
      <c r="X232" t="b">
        <v>0</v>
      </c>
      <c r="Y232" t="b">
        <v>0</v>
      </c>
    </row>
    <row r="233" spans="1:25">
      <c r="A233">
        <v>2320</v>
      </c>
      <c r="B233" t="s">
        <v>496</v>
      </c>
      <c r="C233" t="s">
        <v>565</v>
      </c>
      <c r="D233" t="s">
        <v>498</v>
      </c>
      <c r="E233">
        <v>2320</v>
      </c>
      <c r="F233">
        <v>37.299999999999997</v>
      </c>
      <c r="G233">
        <v>383</v>
      </c>
      <c r="H233">
        <v>44.7</v>
      </c>
      <c r="I233">
        <v>192</v>
      </c>
      <c r="J233">
        <v>80.400000000000006</v>
      </c>
      <c r="K233">
        <v>316</v>
      </c>
      <c r="L233">
        <v>91</v>
      </c>
      <c r="M233">
        <v>156</v>
      </c>
      <c r="N233">
        <v>68.5</v>
      </c>
      <c r="O233">
        <v>428</v>
      </c>
      <c r="P233" t="s">
        <v>99</v>
      </c>
      <c r="Q233" s="1">
        <v>14330</v>
      </c>
      <c r="R233">
        <v>38.1</v>
      </c>
      <c r="S233" s="2">
        <v>0.16</v>
      </c>
      <c r="T233" s="3">
        <v>2.4048611111111109</v>
      </c>
      <c r="U233" s="2">
        <v>0.38</v>
      </c>
      <c r="V233" t="s">
        <v>565</v>
      </c>
      <c r="W233" t="s">
        <v>566</v>
      </c>
      <c r="X233" t="b">
        <v>0</v>
      </c>
      <c r="Y233" t="b">
        <v>0</v>
      </c>
    </row>
    <row r="234" spans="1:25">
      <c r="A234">
        <v>2330</v>
      </c>
      <c r="B234" t="s">
        <v>496</v>
      </c>
      <c r="C234" t="s">
        <v>567</v>
      </c>
      <c r="D234" t="s">
        <v>498</v>
      </c>
      <c r="E234">
        <v>2330</v>
      </c>
      <c r="F234">
        <v>34</v>
      </c>
      <c r="G234">
        <v>495</v>
      </c>
      <c r="H234">
        <v>38</v>
      </c>
      <c r="I234">
        <v>291</v>
      </c>
      <c r="J234">
        <v>88.7</v>
      </c>
      <c r="K234">
        <v>143</v>
      </c>
      <c r="L234">
        <v>65</v>
      </c>
      <c r="M234">
        <v>547</v>
      </c>
      <c r="N234">
        <v>98.4</v>
      </c>
      <c r="O234">
        <v>5</v>
      </c>
      <c r="P234" t="s">
        <v>26</v>
      </c>
      <c r="Q234" s="1">
        <v>20895</v>
      </c>
      <c r="R234">
        <v>17.2</v>
      </c>
      <c r="S234" s="2">
        <v>0.41</v>
      </c>
      <c r="T234" s="3">
        <v>2.4048611111111109</v>
      </c>
      <c r="U234" s="2">
        <v>0.24</v>
      </c>
      <c r="V234" t="s">
        <v>568</v>
      </c>
      <c r="W234" t="s">
        <v>569</v>
      </c>
      <c r="X234" t="b">
        <v>0</v>
      </c>
      <c r="Y234" t="b">
        <v>0</v>
      </c>
    </row>
    <row r="235" spans="1:25">
      <c r="A235">
        <v>2340</v>
      </c>
      <c r="B235" t="s">
        <v>496</v>
      </c>
      <c r="C235" t="s">
        <v>570</v>
      </c>
      <c r="D235" t="s">
        <v>498</v>
      </c>
      <c r="E235">
        <v>2340</v>
      </c>
      <c r="F235">
        <v>37.5</v>
      </c>
      <c r="G235">
        <v>379</v>
      </c>
      <c r="H235">
        <v>40.6</v>
      </c>
      <c r="I235">
        <v>242</v>
      </c>
      <c r="J235">
        <v>84.1</v>
      </c>
      <c r="K235">
        <v>233</v>
      </c>
      <c r="L235">
        <v>70.8</v>
      </c>
      <c r="M235">
        <v>412</v>
      </c>
      <c r="N235">
        <v>95.5</v>
      </c>
      <c r="O235">
        <v>41</v>
      </c>
      <c r="P235" t="s">
        <v>26</v>
      </c>
      <c r="Q235" s="1">
        <v>15945</v>
      </c>
      <c r="R235">
        <v>16.600000000000001</v>
      </c>
      <c r="S235" s="2">
        <v>0.31</v>
      </c>
      <c r="T235" s="3">
        <v>2.3229166666666665</v>
      </c>
      <c r="U235" s="2">
        <v>0.33</v>
      </c>
      <c r="V235" t="s">
        <v>570</v>
      </c>
      <c r="W235" t="s">
        <v>571</v>
      </c>
      <c r="X235" t="b">
        <v>0</v>
      </c>
      <c r="Y235" t="b">
        <v>0</v>
      </c>
    </row>
    <row r="236" spans="1:25">
      <c r="A236">
        <v>2350</v>
      </c>
      <c r="B236" t="s">
        <v>496</v>
      </c>
      <c r="C236" t="s">
        <v>572</v>
      </c>
      <c r="D236" t="s">
        <v>498</v>
      </c>
      <c r="E236">
        <v>2350</v>
      </c>
      <c r="F236">
        <v>46.4</v>
      </c>
      <c r="G236">
        <v>183</v>
      </c>
      <c r="H236">
        <v>37.200000000000003</v>
      </c>
      <c r="I236">
        <v>302</v>
      </c>
      <c r="J236">
        <v>78.400000000000006</v>
      </c>
      <c r="K236">
        <v>355</v>
      </c>
      <c r="L236">
        <v>80.099999999999994</v>
      </c>
      <c r="M236">
        <v>262</v>
      </c>
      <c r="N236">
        <v>63.7</v>
      </c>
      <c r="O236">
        <v>509</v>
      </c>
      <c r="P236" t="s">
        <v>29</v>
      </c>
      <c r="Q236" s="1">
        <v>46256</v>
      </c>
      <c r="R236">
        <v>11.2</v>
      </c>
      <c r="S236" s="2">
        <v>0.17</v>
      </c>
      <c r="T236" s="3">
        <v>2.2409722222222221</v>
      </c>
      <c r="U236" s="2">
        <v>0.22</v>
      </c>
      <c r="V236" t="s">
        <v>572</v>
      </c>
      <c r="W236" t="s">
        <v>573</v>
      </c>
      <c r="X236" t="b">
        <v>0</v>
      </c>
      <c r="Y236" t="b">
        <v>0</v>
      </c>
    </row>
    <row r="237" spans="1:25">
      <c r="A237">
        <v>2360</v>
      </c>
      <c r="B237" t="s">
        <v>496</v>
      </c>
      <c r="C237" t="s">
        <v>574</v>
      </c>
      <c r="D237" t="s">
        <v>498</v>
      </c>
      <c r="E237">
        <v>2360</v>
      </c>
      <c r="F237">
        <v>50.4</v>
      </c>
      <c r="G237">
        <v>130</v>
      </c>
      <c r="H237">
        <v>39</v>
      </c>
      <c r="I237">
        <v>262</v>
      </c>
      <c r="J237">
        <v>80.099999999999994</v>
      </c>
      <c r="K237">
        <v>318</v>
      </c>
      <c r="L237">
        <v>90.3</v>
      </c>
      <c r="M237">
        <v>163</v>
      </c>
      <c r="N237">
        <v>60.8</v>
      </c>
      <c r="O237">
        <v>569</v>
      </c>
      <c r="P237" t="s">
        <v>397</v>
      </c>
      <c r="Q237">
        <v>718</v>
      </c>
      <c r="R237">
        <v>7.4</v>
      </c>
      <c r="S237" s="2">
        <v>0.2</v>
      </c>
      <c r="T237" t="s">
        <v>40</v>
      </c>
      <c r="U237" s="2">
        <v>0.3</v>
      </c>
      <c r="V237" t="s">
        <v>574</v>
      </c>
      <c r="W237" t="s">
        <v>575</v>
      </c>
      <c r="X237" t="b">
        <v>0</v>
      </c>
      <c r="Y237" t="b">
        <v>0</v>
      </c>
    </row>
    <row r="238" spans="1:25">
      <c r="A238">
        <v>2370</v>
      </c>
      <c r="B238" t="s">
        <v>496</v>
      </c>
      <c r="C238" t="s">
        <v>576</v>
      </c>
      <c r="D238" t="s">
        <v>498</v>
      </c>
      <c r="E238">
        <v>2370</v>
      </c>
      <c r="F238">
        <v>59.8</v>
      </c>
      <c r="G238">
        <v>75</v>
      </c>
      <c r="H238">
        <v>60.7</v>
      </c>
      <c r="I238">
        <v>82</v>
      </c>
      <c r="J238">
        <v>57.3</v>
      </c>
      <c r="K238">
        <v>842</v>
      </c>
      <c r="L238">
        <v>68.2</v>
      </c>
      <c r="M238">
        <v>477</v>
      </c>
      <c r="N238">
        <v>42.5</v>
      </c>
      <c r="O238">
        <v>1033</v>
      </c>
      <c r="P238" t="s">
        <v>577</v>
      </c>
      <c r="Q238" s="1">
        <v>83182</v>
      </c>
      <c r="R238">
        <v>13.9</v>
      </c>
      <c r="S238" s="2">
        <v>0.02</v>
      </c>
      <c r="T238" s="3">
        <v>1.9951388888888888</v>
      </c>
      <c r="U238" s="2">
        <v>0.22</v>
      </c>
      <c r="V238" t="s">
        <v>576</v>
      </c>
      <c r="W238" t="s">
        <v>578</v>
      </c>
      <c r="X238" t="b">
        <v>0</v>
      </c>
      <c r="Y238" t="b">
        <v>0</v>
      </c>
    </row>
    <row r="239" spans="1:25">
      <c r="A239">
        <v>2380</v>
      </c>
      <c r="B239" t="s">
        <v>496</v>
      </c>
      <c r="C239" t="s">
        <v>579</v>
      </c>
      <c r="D239" t="s">
        <v>498</v>
      </c>
      <c r="E239">
        <v>2380</v>
      </c>
      <c r="F239">
        <v>32.9</v>
      </c>
      <c r="G239">
        <v>551</v>
      </c>
      <c r="H239">
        <v>40.799999999999997</v>
      </c>
      <c r="I239">
        <v>237</v>
      </c>
      <c r="J239">
        <v>92.8</v>
      </c>
      <c r="K239">
        <v>80</v>
      </c>
      <c r="L239">
        <v>60.3</v>
      </c>
      <c r="M239">
        <v>641</v>
      </c>
      <c r="N239">
        <v>69.3</v>
      </c>
      <c r="O239">
        <v>417</v>
      </c>
      <c r="P239" t="s">
        <v>54</v>
      </c>
      <c r="Q239" s="1">
        <v>6575</v>
      </c>
      <c r="R239">
        <v>9</v>
      </c>
      <c r="S239" s="2">
        <v>0.01</v>
      </c>
      <c r="U239" s="2">
        <v>0.4</v>
      </c>
      <c r="V239" t="s">
        <v>579</v>
      </c>
      <c r="W239" t="s">
        <v>580</v>
      </c>
      <c r="X239" t="b">
        <v>0</v>
      </c>
      <c r="Y239" t="b">
        <v>0</v>
      </c>
    </row>
    <row r="240" spans="1:25">
      <c r="A240">
        <v>2390</v>
      </c>
      <c r="B240" t="s">
        <v>496</v>
      </c>
      <c r="C240" t="s">
        <v>581</v>
      </c>
      <c r="D240" t="s">
        <v>498</v>
      </c>
      <c r="E240">
        <v>2390</v>
      </c>
      <c r="F240">
        <v>46.6</v>
      </c>
      <c r="G240">
        <v>179</v>
      </c>
      <c r="H240">
        <v>39.5</v>
      </c>
      <c r="I240">
        <v>255</v>
      </c>
      <c r="J240">
        <v>83.2</v>
      </c>
      <c r="K240">
        <v>256</v>
      </c>
      <c r="L240">
        <v>86.2</v>
      </c>
      <c r="M240">
        <v>194</v>
      </c>
      <c r="N240">
        <v>39.1</v>
      </c>
      <c r="O240">
        <v>1148</v>
      </c>
      <c r="P240" t="s">
        <v>54</v>
      </c>
      <c r="Q240" s="1">
        <v>61453</v>
      </c>
      <c r="R240">
        <v>15.2</v>
      </c>
      <c r="S240" s="2">
        <v>0.05</v>
      </c>
      <c r="T240" s="3">
        <v>2.036111111111111</v>
      </c>
      <c r="U240" s="2">
        <v>0.3</v>
      </c>
      <c r="V240" t="s">
        <v>581</v>
      </c>
      <c r="W240" t="s">
        <v>582</v>
      </c>
      <c r="X240" t="b">
        <v>0</v>
      </c>
      <c r="Y240" t="b">
        <v>0</v>
      </c>
    </row>
    <row r="241" spans="1:25">
      <c r="A241">
        <v>2400</v>
      </c>
      <c r="B241" t="s">
        <v>496</v>
      </c>
      <c r="C241" t="s">
        <v>583</v>
      </c>
      <c r="D241" t="s">
        <v>498</v>
      </c>
      <c r="E241">
        <v>2400</v>
      </c>
      <c r="F241">
        <v>29.7</v>
      </c>
      <c r="G241">
        <v>713</v>
      </c>
      <c r="H241">
        <v>35.6</v>
      </c>
      <c r="I241">
        <v>333</v>
      </c>
      <c r="J241">
        <v>92.7</v>
      </c>
      <c r="K241">
        <v>83</v>
      </c>
      <c r="L241">
        <v>66.099999999999994</v>
      </c>
      <c r="M241">
        <v>526</v>
      </c>
      <c r="N241">
        <v>95.4</v>
      </c>
      <c r="O241">
        <v>43</v>
      </c>
      <c r="P241" t="s">
        <v>26</v>
      </c>
      <c r="Q241" s="1">
        <v>17640</v>
      </c>
      <c r="R241">
        <v>17.3</v>
      </c>
      <c r="S241" s="2">
        <v>0.34</v>
      </c>
      <c r="T241" s="3">
        <v>2.3229166666666665</v>
      </c>
      <c r="U241" s="2">
        <v>0.21</v>
      </c>
      <c r="V241" t="s">
        <v>583</v>
      </c>
      <c r="W241" t="s">
        <v>584</v>
      </c>
      <c r="X241" t="b">
        <v>0</v>
      </c>
      <c r="Y241" t="b">
        <v>0</v>
      </c>
    </row>
    <row r="242" spans="1:25">
      <c r="A242">
        <v>2410</v>
      </c>
      <c r="B242" t="s">
        <v>496</v>
      </c>
      <c r="C242" t="s">
        <v>585</v>
      </c>
      <c r="D242" t="s">
        <v>498</v>
      </c>
      <c r="E242">
        <v>2410</v>
      </c>
      <c r="F242">
        <v>31.7</v>
      </c>
      <c r="G242">
        <v>607</v>
      </c>
      <c r="H242">
        <v>34</v>
      </c>
      <c r="I242">
        <v>379</v>
      </c>
      <c r="J242">
        <v>91.3</v>
      </c>
      <c r="K242">
        <v>104</v>
      </c>
      <c r="L242">
        <v>75.400000000000006</v>
      </c>
      <c r="M242">
        <v>331</v>
      </c>
      <c r="N242">
        <v>85.6</v>
      </c>
      <c r="O242">
        <v>184</v>
      </c>
      <c r="P242" t="s">
        <v>116</v>
      </c>
      <c r="Q242" s="1">
        <v>14324</v>
      </c>
      <c r="R242">
        <v>28.5</v>
      </c>
      <c r="S242" s="2">
        <v>0.24</v>
      </c>
      <c r="T242" s="3">
        <v>1.7902777777777779</v>
      </c>
      <c r="U242" s="2">
        <v>0.34</v>
      </c>
      <c r="V242" t="s">
        <v>585</v>
      </c>
      <c r="W242" t="s">
        <v>586</v>
      </c>
      <c r="X242" t="b">
        <v>0</v>
      </c>
      <c r="Y242" t="b">
        <v>0</v>
      </c>
    </row>
    <row r="243" spans="1:25">
      <c r="A243">
        <v>2420</v>
      </c>
      <c r="B243" t="s">
        <v>496</v>
      </c>
      <c r="C243" t="s">
        <v>587</v>
      </c>
      <c r="D243" t="s">
        <v>498</v>
      </c>
      <c r="E243">
        <v>2420</v>
      </c>
      <c r="F243">
        <v>40.700000000000003</v>
      </c>
      <c r="G243">
        <v>288</v>
      </c>
      <c r="H243">
        <v>49.7</v>
      </c>
      <c r="I243">
        <v>142</v>
      </c>
      <c r="J243">
        <v>83</v>
      </c>
      <c r="K243">
        <v>261</v>
      </c>
      <c r="L243">
        <v>76.2</v>
      </c>
      <c r="M243">
        <v>314</v>
      </c>
      <c r="N243">
        <v>52.9</v>
      </c>
      <c r="O243">
        <v>721</v>
      </c>
      <c r="P243" t="s">
        <v>588</v>
      </c>
      <c r="Q243" s="1">
        <v>24995</v>
      </c>
      <c r="R243">
        <v>24.2</v>
      </c>
      <c r="S243" s="2">
        <v>0.05</v>
      </c>
      <c r="T243" s="3">
        <v>2.4048611111111109</v>
      </c>
      <c r="U243" s="2">
        <v>0.19</v>
      </c>
      <c r="V243" t="s">
        <v>587</v>
      </c>
      <c r="W243" t="s">
        <v>589</v>
      </c>
      <c r="X243" t="b">
        <v>0</v>
      </c>
      <c r="Y243" t="b">
        <v>0</v>
      </c>
    </row>
    <row r="244" spans="1:25">
      <c r="A244">
        <v>2430</v>
      </c>
      <c r="B244" t="s">
        <v>496</v>
      </c>
      <c r="C244" t="s">
        <v>590</v>
      </c>
      <c r="D244" t="s">
        <v>498</v>
      </c>
      <c r="E244">
        <v>2430</v>
      </c>
      <c r="F244">
        <v>46.1</v>
      </c>
      <c r="G244">
        <v>188</v>
      </c>
      <c r="H244">
        <v>47.6</v>
      </c>
      <c r="I244">
        <v>160</v>
      </c>
      <c r="J244">
        <v>71.400000000000006</v>
      </c>
      <c r="K244">
        <v>526</v>
      </c>
      <c r="L244">
        <v>93.5</v>
      </c>
      <c r="M244">
        <v>133</v>
      </c>
      <c r="N244">
        <v>55.3</v>
      </c>
      <c r="O244">
        <v>670</v>
      </c>
      <c r="P244" t="s">
        <v>54</v>
      </c>
      <c r="Q244" s="1">
        <v>26486</v>
      </c>
      <c r="R244">
        <v>8.9</v>
      </c>
      <c r="S244" s="2">
        <v>0.13</v>
      </c>
      <c r="U244" s="2">
        <v>0.42</v>
      </c>
      <c r="V244" t="s">
        <v>590</v>
      </c>
      <c r="W244" t="s">
        <v>591</v>
      </c>
      <c r="X244" t="b">
        <v>0</v>
      </c>
      <c r="Y244" t="b">
        <v>0</v>
      </c>
    </row>
    <row r="245" spans="1:25">
      <c r="A245">
        <v>2440</v>
      </c>
      <c r="B245" t="s">
        <v>496</v>
      </c>
      <c r="C245" t="s">
        <v>592</v>
      </c>
      <c r="D245" t="s">
        <v>498</v>
      </c>
      <c r="E245">
        <v>2440</v>
      </c>
      <c r="F245">
        <v>32.799999999999997</v>
      </c>
      <c r="G245">
        <v>556</v>
      </c>
      <c r="H245">
        <v>44.9</v>
      </c>
      <c r="I245">
        <v>190</v>
      </c>
      <c r="J245">
        <v>80.099999999999994</v>
      </c>
      <c r="K245">
        <v>320</v>
      </c>
      <c r="L245">
        <v>82.6</v>
      </c>
      <c r="M245">
        <v>234</v>
      </c>
      <c r="N245">
        <v>84.5</v>
      </c>
      <c r="O245">
        <v>196</v>
      </c>
      <c r="P245" t="s">
        <v>144</v>
      </c>
      <c r="Q245" s="1">
        <v>13225</v>
      </c>
      <c r="R245">
        <v>32.200000000000003</v>
      </c>
      <c r="S245" s="2">
        <v>0.21</v>
      </c>
      <c r="T245" s="3">
        <v>2.1590277777777778</v>
      </c>
      <c r="U245" s="2">
        <v>0.16</v>
      </c>
      <c r="V245" t="s">
        <v>592</v>
      </c>
      <c r="W245" t="s">
        <v>593</v>
      </c>
      <c r="X245" t="b">
        <v>0</v>
      </c>
      <c r="Y245" t="b">
        <v>0</v>
      </c>
    </row>
    <row r="246" spans="1:25">
      <c r="A246">
        <v>2450</v>
      </c>
      <c r="B246" t="s">
        <v>496</v>
      </c>
      <c r="C246" t="s">
        <v>594</v>
      </c>
      <c r="D246" t="s">
        <v>498</v>
      </c>
      <c r="E246">
        <v>2450</v>
      </c>
      <c r="F246">
        <v>34.299999999999997</v>
      </c>
      <c r="G246">
        <v>485</v>
      </c>
      <c r="H246">
        <v>41.3</v>
      </c>
      <c r="I246">
        <v>232</v>
      </c>
      <c r="J246">
        <v>84</v>
      </c>
      <c r="K246">
        <v>238</v>
      </c>
      <c r="L246">
        <v>75.099999999999994</v>
      </c>
      <c r="M246">
        <v>337</v>
      </c>
      <c r="N246">
        <v>88.1</v>
      </c>
      <c r="O246">
        <v>151</v>
      </c>
      <c r="P246" t="s">
        <v>343</v>
      </c>
      <c r="Q246" s="1">
        <v>23405</v>
      </c>
      <c r="R246">
        <v>20.7</v>
      </c>
      <c r="S246" s="2">
        <v>0.25</v>
      </c>
      <c r="U246" s="2">
        <v>0.27</v>
      </c>
      <c r="V246" t="s">
        <v>594</v>
      </c>
      <c r="W246" t="s">
        <v>595</v>
      </c>
      <c r="X246" t="b">
        <v>0</v>
      </c>
      <c r="Y246" t="b">
        <v>0</v>
      </c>
    </row>
    <row r="247" spans="1:25">
      <c r="A247">
        <v>2460</v>
      </c>
      <c r="B247" t="s">
        <v>496</v>
      </c>
      <c r="C247" t="s">
        <v>596</v>
      </c>
      <c r="D247" t="s">
        <v>498</v>
      </c>
      <c r="E247">
        <v>2460</v>
      </c>
      <c r="F247">
        <v>43.5</v>
      </c>
      <c r="G247">
        <v>231</v>
      </c>
      <c r="H247">
        <v>38.5</v>
      </c>
      <c r="I247">
        <v>271</v>
      </c>
      <c r="J247">
        <v>87</v>
      </c>
      <c r="K247">
        <v>174</v>
      </c>
      <c r="L247">
        <v>83.5</v>
      </c>
      <c r="M247">
        <v>221</v>
      </c>
      <c r="N247">
        <v>40.9</v>
      </c>
      <c r="O247">
        <v>1087</v>
      </c>
      <c r="P247" t="s">
        <v>29</v>
      </c>
      <c r="Q247" s="1">
        <v>31502</v>
      </c>
      <c r="R247">
        <v>13.3</v>
      </c>
      <c r="S247" s="2">
        <v>0.08</v>
      </c>
      <c r="T247" s="3">
        <v>2.1180555555555554</v>
      </c>
      <c r="U247" s="2">
        <v>0.19</v>
      </c>
      <c r="V247" t="s">
        <v>596</v>
      </c>
      <c r="W247" t="s">
        <v>597</v>
      </c>
      <c r="X247" t="b">
        <v>0</v>
      </c>
      <c r="Y247" t="b">
        <v>0</v>
      </c>
    </row>
    <row r="248" spans="1:25">
      <c r="A248">
        <v>2470</v>
      </c>
      <c r="B248" t="s">
        <v>496</v>
      </c>
      <c r="C248" t="s">
        <v>598</v>
      </c>
      <c r="D248" t="s">
        <v>498</v>
      </c>
      <c r="E248">
        <v>2470</v>
      </c>
      <c r="F248">
        <v>37.799999999999997</v>
      </c>
      <c r="G248">
        <v>366</v>
      </c>
      <c r="H248">
        <v>42.6</v>
      </c>
      <c r="I248">
        <v>220</v>
      </c>
      <c r="J248">
        <v>80.900000000000006</v>
      </c>
      <c r="K248">
        <v>305</v>
      </c>
      <c r="L248">
        <v>92.4</v>
      </c>
      <c r="M248">
        <v>141</v>
      </c>
      <c r="N248">
        <v>78.5</v>
      </c>
      <c r="O248">
        <v>279</v>
      </c>
      <c r="P248" t="s">
        <v>137</v>
      </c>
      <c r="Q248" s="1">
        <v>14931</v>
      </c>
      <c r="R248">
        <v>35.1</v>
      </c>
      <c r="S248" s="2">
        <v>0.23</v>
      </c>
      <c r="T248" s="3">
        <v>2.4458333333333333</v>
      </c>
      <c r="U248" s="2">
        <v>0.28999999999999998</v>
      </c>
      <c r="V248" t="s">
        <v>598</v>
      </c>
      <c r="W248" t="s">
        <v>599</v>
      </c>
      <c r="X248" t="b">
        <v>0</v>
      </c>
      <c r="Y248" t="b">
        <v>0</v>
      </c>
    </row>
    <row r="249" spans="1:25">
      <c r="A249">
        <v>2480</v>
      </c>
      <c r="B249" t="s">
        <v>496</v>
      </c>
      <c r="C249" t="s">
        <v>600</v>
      </c>
      <c r="D249" t="s">
        <v>498</v>
      </c>
      <c r="E249">
        <v>2480</v>
      </c>
      <c r="F249">
        <v>40.200000000000003</v>
      </c>
      <c r="G249">
        <v>306</v>
      </c>
      <c r="H249">
        <v>42.9</v>
      </c>
      <c r="I249">
        <v>212</v>
      </c>
      <c r="J249">
        <v>75.2</v>
      </c>
      <c r="K249">
        <v>437</v>
      </c>
      <c r="L249">
        <v>99.6</v>
      </c>
      <c r="M249">
        <v>57</v>
      </c>
      <c r="N249">
        <v>87.5</v>
      </c>
      <c r="O249">
        <v>159</v>
      </c>
      <c r="P249" t="s">
        <v>76</v>
      </c>
      <c r="Q249" s="1">
        <v>30176</v>
      </c>
      <c r="R249">
        <v>33</v>
      </c>
      <c r="S249" s="2">
        <v>0.24</v>
      </c>
      <c r="T249" s="3">
        <v>2.3638888888888889</v>
      </c>
      <c r="U249" s="2">
        <v>0.21</v>
      </c>
      <c r="V249" t="s">
        <v>600</v>
      </c>
      <c r="W249" t="s">
        <v>601</v>
      </c>
      <c r="X249" t="b">
        <v>0</v>
      </c>
      <c r="Y249" t="b">
        <v>0</v>
      </c>
    </row>
    <row r="250" spans="1:25">
      <c r="A250">
        <v>2490</v>
      </c>
      <c r="B250" t="s">
        <v>496</v>
      </c>
      <c r="C250" t="s">
        <v>602</v>
      </c>
      <c r="D250" t="s">
        <v>498</v>
      </c>
      <c r="E250">
        <v>2490</v>
      </c>
      <c r="F250">
        <v>36.799999999999997</v>
      </c>
      <c r="G250">
        <v>398</v>
      </c>
      <c r="H250">
        <v>39.299999999999997</v>
      </c>
      <c r="I250">
        <v>258</v>
      </c>
      <c r="J250">
        <v>84</v>
      </c>
      <c r="K250">
        <v>239</v>
      </c>
      <c r="L250">
        <v>91.4</v>
      </c>
      <c r="M250">
        <v>153</v>
      </c>
      <c r="N250">
        <v>91.7</v>
      </c>
      <c r="O250">
        <v>105</v>
      </c>
      <c r="P250" t="s">
        <v>116</v>
      </c>
      <c r="Q250" s="1">
        <v>16328</v>
      </c>
      <c r="R250">
        <v>26.1</v>
      </c>
      <c r="S250" s="2">
        <v>0.22</v>
      </c>
      <c r="T250" s="3">
        <v>2.3229166666666665</v>
      </c>
      <c r="U250" s="2">
        <v>0.31</v>
      </c>
      <c r="V250" t="s">
        <v>603</v>
      </c>
      <c r="W250" t="s">
        <v>604</v>
      </c>
      <c r="X250" t="b">
        <v>0</v>
      </c>
      <c r="Y250" t="b">
        <v>0</v>
      </c>
    </row>
    <row r="251" spans="1:25">
      <c r="A251">
        <v>2500</v>
      </c>
      <c r="B251" t="s">
        <v>605</v>
      </c>
      <c r="C251" t="s">
        <v>606</v>
      </c>
      <c r="D251" t="s">
        <v>607</v>
      </c>
      <c r="E251">
        <v>2500</v>
      </c>
      <c r="F251">
        <v>40.799999999999997</v>
      </c>
      <c r="G251">
        <v>281</v>
      </c>
      <c r="H251">
        <v>30</v>
      </c>
      <c r="I251">
        <v>471</v>
      </c>
      <c r="J251">
        <v>85.8</v>
      </c>
      <c r="K251">
        <v>192</v>
      </c>
      <c r="L251">
        <v>25.5</v>
      </c>
      <c r="M251">
        <v>1316</v>
      </c>
      <c r="N251">
        <v>97.8</v>
      </c>
      <c r="O251">
        <v>9</v>
      </c>
      <c r="P251" t="s">
        <v>608</v>
      </c>
      <c r="Q251" s="1">
        <v>2506</v>
      </c>
      <c r="R251">
        <v>10.9</v>
      </c>
      <c r="S251" s="2">
        <v>0.6</v>
      </c>
      <c r="T251" s="3">
        <v>2.1590277777777778</v>
      </c>
      <c r="U251" s="2">
        <v>0.36</v>
      </c>
      <c r="V251" t="s">
        <v>606</v>
      </c>
      <c r="W251" t="s">
        <v>609</v>
      </c>
      <c r="X251" t="b">
        <v>0</v>
      </c>
      <c r="Y251" t="b">
        <v>0</v>
      </c>
    </row>
    <row r="252" spans="1:25">
      <c r="A252">
        <v>2510</v>
      </c>
      <c r="B252" t="s">
        <v>605</v>
      </c>
      <c r="C252" t="s">
        <v>610</v>
      </c>
      <c r="D252" t="s">
        <v>607</v>
      </c>
      <c r="E252">
        <v>2510</v>
      </c>
      <c r="F252">
        <v>34.700000000000003</v>
      </c>
      <c r="G252">
        <v>471</v>
      </c>
      <c r="H252">
        <v>35.1</v>
      </c>
      <c r="I252">
        <v>345</v>
      </c>
      <c r="J252">
        <v>80.5</v>
      </c>
      <c r="K252">
        <v>310</v>
      </c>
      <c r="L252">
        <v>65.3</v>
      </c>
      <c r="M252">
        <v>541</v>
      </c>
      <c r="N252">
        <v>95</v>
      </c>
      <c r="O252">
        <v>48</v>
      </c>
      <c r="P252" t="s">
        <v>26</v>
      </c>
      <c r="Q252" s="1">
        <v>15280</v>
      </c>
      <c r="R252">
        <v>15.8</v>
      </c>
      <c r="S252" s="2">
        <v>0.31</v>
      </c>
      <c r="T252" s="3">
        <v>1.9131944444444444</v>
      </c>
      <c r="U252" s="2">
        <v>0.3</v>
      </c>
      <c r="V252" t="s">
        <v>610</v>
      </c>
      <c r="W252" t="s">
        <v>611</v>
      </c>
      <c r="X252" t="b">
        <v>0</v>
      </c>
      <c r="Y252" t="b">
        <v>0</v>
      </c>
    </row>
    <row r="253" spans="1:25">
      <c r="A253">
        <v>2520</v>
      </c>
      <c r="B253" t="s">
        <v>605</v>
      </c>
      <c r="C253" t="s">
        <v>612</v>
      </c>
      <c r="D253" t="s">
        <v>607</v>
      </c>
      <c r="E253">
        <v>2520</v>
      </c>
      <c r="F253">
        <v>45.1</v>
      </c>
      <c r="G253">
        <v>201</v>
      </c>
      <c r="H253">
        <v>44</v>
      </c>
      <c r="I253">
        <v>200</v>
      </c>
      <c r="J253">
        <v>74.7</v>
      </c>
      <c r="K253">
        <v>444</v>
      </c>
      <c r="L253">
        <v>82.1</v>
      </c>
      <c r="M253">
        <v>237</v>
      </c>
      <c r="N253">
        <v>36.799999999999997</v>
      </c>
      <c r="O253">
        <v>1252</v>
      </c>
      <c r="P253" t="s">
        <v>54</v>
      </c>
      <c r="Q253" s="1">
        <v>34050</v>
      </c>
      <c r="R253">
        <v>13.4</v>
      </c>
      <c r="S253" s="2">
        <v>0.08</v>
      </c>
      <c r="U253" s="2">
        <v>0.45</v>
      </c>
      <c r="V253" t="s">
        <v>612</v>
      </c>
      <c r="W253" t="s">
        <v>613</v>
      </c>
      <c r="X253" t="b">
        <v>0</v>
      </c>
      <c r="Y253" t="b">
        <v>0</v>
      </c>
    </row>
    <row r="254" spans="1:25">
      <c r="A254">
        <v>2530</v>
      </c>
      <c r="B254" t="s">
        <v>605</v>
      </c>
      <c r="C254" t="s">
        <v>614</v>
      </c>
      <c r="D254" t="s">
        <v>607</v>
      </c>
      <c r="E254">
        <v>2530</v>
      </c>
      <c r="F254">
        <v>36.700000000000003</v>
      </c>
      <c r="G254">
        <v>399</v>
      </c>
      <c r="H254">
        <v>33.9</v>
      </c>
      <c r="I254">
        <v>381</v>
      </c>
      <c r="J254">
        <v>84.2</v>
      </c>
      <c r="K254">
        <v>227</v>
      </c>
      <c r="L254">
        <v>69.400000000000006</v>
      </c>
      <c r="M254">
        <v>445</v>
      </c>
      <c r="N254">
        <v>76.3</v>
      </c>
      <c r="O254">
        <v>309</v>
      </c>
      <c r="P254" t="s">
        <v>327</v>
      </c>
      <c r="Q254" s="1">
        <v>15751</v>
      </c>
      <c r="R254">
        <v>13</v>
      </c>
      <c r="S254" s="2">
        <v>0.11</v>
      </c>
      <c r="T254" s="3">
        <v>2.5687500000000001</v>
      </c>
      <c r="U254" s="2">
        <v>0.22</v>
      </c>
      <c r="V254" t="s">
        <v>614</v>
      </c>
      <c r="W254" t="s">
        <v>615</v>
      </c>
      <c r="X254" t="b">
        <v>0</v>
      </c>
      <c r="Y254" t="b">
        <v>0</v>
      </c>
    </row>
    <row r="255" spans="1:25">
      <c r="A255">
        <v>2540</v>
      </c>
      <c r="B255" t="s">
        <v>605</v>
      </c>
      <c r="C255" t="s">
        <v>616</v>
      </c>
      <c r="D255" t="s">
        <v>607</v>
      </c>
      <c r="E255">
        <v>2540</v>
      </c>
      <c r="F255">
        <v>43.5</v>
      </c>
      <c r="G255">
        <v>229</v>
      </c>
      <c r="H255">
        <v>30.5</v>
      </c>
      <c r="I255">
        <v>454</v>
      </c>
      <c r="J255">
        <v>84.6</v>
      </c>
      <c r="K255">
        <v>219</v>
      </c>
      <c r="L255">
        <v>60.7</v>
      </c>
      <c r="M255">
        <v>629</v>
      </c>
      <c r="N255">
        <v>57.8</v>
      </c>
      <c r="O255">
        <v>627</v>
      </c>
      <c r="P255" t="s">
        <v>29</v>
      </c>
      <c r="Q255" s="1">
        <v>13156</v>
      </c>
      <c r="R255">
        <v>14.9</v>
      </c>
      <c r="S255" s="2">
        <v>0.1</v>
      </c>
      <c r="T255" s="3">
        <v>2.3229166666666665</v>
      </c>
      <c r="U255" s="2">
        <v>0.21</v>
      </c>
      <c r="V255" t="s">
        <v>616</v>
      </c>
      <c r="W255" t="s">
        <v>617</v>
      </c>
      <c r="X255" t="b">
        <v>0</v>
      </c>
      <c r="Y255" t="b">
        <v>0</v>
      </c>
    </row>
    <row r="256" spans="1:25">
      <c r="A256">
        <v>2550</v>
      </c>
      <c r="B256" t="s">
        <v>605</v>
      </c>
      <c r="C256" t="s">
        <v>618</v>
      </c>
      <c r="D256" t="s">
        <v>607</v>
      </c>
      <c r="E256">
        <v>2550</v>
      </c>
      <c r="F256">
        <v>36.700000000000003</v>
      </c>
      <c r="G256">
        <v>401</v>
      </c>
      <c r="H256">
        <v>28.3</v>
      </c>
      <c r="I256">
        <v>508</v>
      </c>
      <c r="J256">
        <v>84.6</v>
      </c>
      <c r="K256">
        <v>220</v>
      </c>
      <c r="L256">
        <v>64.2</v>
      </c>
      <c r="M256">
        <v>561</v>
      </c>
      <c r="N256">
        <v>81.400000000000006</v>
      </c>
      <c r="O256">
        <v>234</v>
      </c>
      <c r="P256" t="s">
        <v>29</v>
      </c>
      <c r="Q256" s="1">
        <v>4791</v>
      </c>
      <c r="R256">
        <v>11.6</v>
      </c>
      <c r="S256" s="2">
        <v>0.33</v>
      </c>
      <c r="T256" s="3">
        <v>2.4868055555555557</v>
      </c>
      <c r="U256" s="2">
        <v>0.27</v>
      </c>
      <c r="V256" t="s">
        <v>618</v>
      </c>
      <c r="W256" t="s">
        <v>619</v>
      </c>
      <c r="X256" t="b">
        <v>0</v>
      </c>
      <c r="Y256" t="b">
        <v>0</v>
      </c>
    </row>
    <row r="257" spans="1:25">
      <c r="A257">
        <v>2560</v>
      </c>
      <c r="B257" t="s">
        <v>605</v>
      </c>
      <c r="C257" t="s">
        <v>620</v>
      </c>
      <c r="D257" t="s">
        <v>607</v>
      </c>
      <c r="E257">
        <v>2560</v>
      </c>
      <c r="F257">
        <v>35.9</v>
      </c>
      <c r="G257">
        <v>429</v>
      </c>
      <c r="H257">
        <v>35.4</v>
      </c>
      <c r="I257">
        <v>336</v>
      </c>
      <c r="J257">
        <v>85.7</v>
      </c>
      <c r="K257">
        <v>194</v>
      </c>
      <c r="L257">
        <v>70.599999999999994</v>
      </c>
      <c r="M257">
        <v>415</v>
      </c>
      <c r="N257">
        <v>77</v>
      </c>
      <c r="O257">
        <v>298</v>
      </c>
      <c r="P257" t="s">
        <v>29</v>
      </c>
      <c r="Q257" s="1">
        <v>25670</v>
      </c>
      <c r="R257">
        <v>19.600000000000001</v>
      </c>
      <c r="S257" s="2">
        <v>0.14000000000000001</v>
      </c>
      <c r="T257" s="3">
        <v>2.2409722222222221</v>
      </c>
      <c r="U257" s="2">
        <v>0.32</v>
      </c>
      <c r="V257" t="s">
        <v>620</v>
      </c>
      <c r="W257" t="s">
        <v>621</v>
      </c>
      <c r="X257" t="b">
        <v>0</v>
      </c>
      <c r="Y257" t="b">
        <v>0</v>
      </c>
    </row>
    <row r="258" spans="1:25">
      <c r="A258">
        <v>2570</v>
      </c>
      <c r="B258" t="s">
        <v>605</v>
      </c>
      <c r="C258" t="s">
        <v>622</v>
      </c>
      <c r="D258" t="s">
        <v>607</v>
      </c>
      <c r="E258">
        <v>2570</v>
      </c>
      <c r="F258">
        <v>28.3</v>
      </c>
      <c r="G258">
        <v>786</v>
      </c>
      <c r="H258">
        <v>34.6</v>
      </c>
      <c r="I258">
        <v>359</v>
      </c>
      <c r="J258">
        <v>91.4</v>
      </c>
      <c r="K258">
        <v>101</v>
      </c>
      <c r="L258">
        <v>72.2</v>
      </c>
      <c r="M258">
        <v>381</v>
      </c>
      <c r="N258">
        <v>85.7</v>
      </c>
      <c r="O258">
        <v>181</v>
      </c>
      <c r="P258" t="s">
        <v>116</v>
      </c>
      <c r="Q258" s="1">
        <v>40988</v>
      </c>
      <c r="R258">
        <v>32.700000000000003</v>
      </c>
      <c r="S258" s="2">
        <v>0.18</v>
      </c>
      <c r="T258" s="3">
        <v>2.5277777777777777</v>
      </c>
      <c r="U258" s="2">
        <v>0.24</v>
      </c>
      <c r="V258" t="s">
        <v>622</v>
      </c>
      <c r="W258" t="s">
        <v>623</v>
      </c>
      <c r="X258" t="b">
        <v>0</v>
      </c>
      <c r="Y258" t="b">
        <v>0</v>
      </c>
    </row>
    <row r="259" spans="1:25">
      <c r="A259">
        <v>2580</v>
      </c>
      <c r="B259" t="s">
        <v>605</v>
      </c>
      <c r="C259" t="s">
        <v>624</v>
      </c>
      <c r="D259" t="s">
        <v>607</v>
      </c>
      <c r="E259">
        <v>2580</v>
      </c>
      <c r="F259">
        <v>31.1</v>
      </c>
      <c r="G259">
        <v>637</v>
      </c>
      <c r="H259">
        <v>32</v>
      </c>
      <c r="I259">
        <v>416</v>
      </c>
      <c r="J259">
        <v>90.9</v>
      </c>
      <c r="K259">
        <v>110</v>
      </c>
      <c r="L259">
        <v>51.6</v>
      </c>
      <c r="M259">
        <v>782</v>
      </c>
      <c r="N259">
        <v>88.7</v>
      </c>
      <c r="O259">
        <v>141</v>
      </c>
      <c r="P259" t="s">
        <v>26</v>
      </c>
      <c r="Q259" s="1">
        <v>16475</v>
      </c>
      <c r="R259">
        <v>14.3</v>
      </c>
      <c r="S259" s="2">
        <v>0.21</v>
      </c>
      <c r="T259" s="3">
        <v>2.4048611111111109</v>
      </c>
      <c r="U259" s="2">
        <v>0.19</v>
      </c>
      <c r="V259" t="s">
        <v>624</v>
      </c>
      <c r="W259" t="s">
        <v>625</v>
      </c>
      <c r="X259" t="b">
        <v>0</v>
      </c>
      <c r="Y259" t="b">
        <v>0</v>
      </c>
    </row>
    <row r="260" spans="1:25">
      <c r="A260">
        <v>2590</v>
      </c>
      <c r="B260" t="s">
        <v>605</v>
      </c>
      <c r="C260" t="s">
        <v>626</v>
      </c>
      <c r="D260" t="s">
        <v>607</v>
      </c>
      <c r="E260">
        <v>2590</v>
      </c>
      <c r="F260">
        <v>58.5</v>
      </c>
      <c r="G260">
        <v>84</v>
      </c>
      <c r="H260">
        <v>46.8</v>
      </c>
      <c r="I260">
        <v>170</v>
      </c>
      <c r="J260">
        <v>53.9</v>
      </c>
      <c r="K260">
        <v>919</v>
      </c>
      <c r="L260">
        <v>78.5</v>
      </c>
      <c r="M260">
        <v>282</v>
      </c>
      <c r="N260">
        <v>68</v>
      </c>
      <c r="O260">
        <v>432</v>
      </c>
      <c r="P260" t="s">
        <v>125</v>
      </c>
      <c r="Q260" s="1">
        <v>2024</v>
      </c>
      <c r="R260">
        <v>7.9</v>
      </c>
      <c r="S260" s="2">
        <v>0.11</v>
      </c>
      <c r="T260" s="3">
        <v>1.83125</v>
      </c>
      <c r="U260" s="2">
        <v>0.33</v>
      </c>
      <c r="V260" t="s">
        <v>626</v>
      </c>
      <c r="W260" t="s">
        <v>627</v>
      </c>
      <c r="X260" t="b">
        <v>0</v>
      </c>
      <c r="Y260" t="b">
        <v>0</v>
      </c>
    </row>
    <row r="261" spans="1:25">
      <c r="A261">
        <v>2600</v>
      </c>
      <c r="B261" t="s">
        <v>605</v>
      </c>
      <c r="C261" t="s">
        <v>628</v>
      </c>
      <c r="D261" t="s">
        <v>607</v>
      </c>
      <c r="E261">
        <v>2600</v>
      </c>
      <c r="F261">
        <v>38.200000000000003</v>
      </c>
      <c r="G261">
        <v>358</v>
      </c>
      <c r="H261">
        <v>38.6</v>
      </c>
      <c r="I261">
        <v>269</v>
      </c>
      <c r="J261">
        <v>79.400000000000006</v>
      </c>
      <c r="K261">
        <v>334</v>
      </c>
      <c r="L261">
        <v>68.2</v>
      </c>
      <c r="M261">
        <v>475</v>
      </c>
      <c r="N261">
        <v>58.8</v>
      </c>
      <c r="O261">
        <v>611</v>
      </c>
      <c r="P261" t="s">
        <v>29</v>
      </c>
      <c r="Q261" s="1">
        <v>39831</v>
      </c>
      <c r="R261">
        <v>24.6</v>
      </c>
      <c r="S261" s="2">
        <v>0.06</v>
      </c>
      <c r="T261" s="3">
        <v>2.4458333333333333</v>
      </c>
      <c r="U261" s="2">
        <v>0.32</v>
      </c>
      <c r="V261" t="s">
        <v>628</v>
      </c>
      <c r="W261" t="s">
        <v>629</v>
      </c>
      <c r="X261" t="b">
        <v>0</v>
      </c>
      <c r="Y261" t="b">
        <v>0</v>
      </c>
    </row>
    <row r="262" spans="1:25">
      <c r="A262">
        <v>2610</v>
      </c>
      <c r="B262" t="s">
        <v>605</v>
      </c>
      <c r="C262" t="s">
        <v>630</v>
      </c>
      <c r="D262" t="s">
        <v>607</v>
      </c>
      <c r="E262">
        <v>2610</v>
      </c>
      <c r="F262">
        <v>30.5</v>
      </c>
      <c r="G262">
        <v>666</v>
      </c>
      <c r="H262">
        <v>37.799999999999997</v>
      </c>
      <c r="I262">
        <v>295</v>
      </c>
      <c r="J262">
        <v>82.7</v>
      </c>
      <c r="K262">
        <v>266</v>
      </c>
      <c r="L262">
        <v>74.599999999999994</v>
      </c>
      <c r="M262">
        <v>342</v>
      </c>
      <c r="N262">
        <v>81.8</v>
      </c>
      <c r="O262">
        <v>226</v>
      </c>
      <c r="P262" t="s">
        <v>116</v>
      </c>
      <c r="Q262" s="1">
        <v>34770</v>
      </c>
      <c r="R262">
        <v>31.6</v>
      </c>
      <c r="S262" s="2">
        <v>0.15</v>
      </c>
      <c r="T262" s="3">
        <v>2.5277777777777777</v>
      </c>
      <c r="U262" s="2">
        <v>0.21</v>
      </c>
      <c r="V262" t="s">
        <v>630</v>
      </c>
      <c r="W262" t="s">
        <v>631</v>
      </c>
      <c r="X262" t="b">
        <v>0</v>
      </c>
      <c r="Y262" t="b">
        <v>0</v>
      </c>
    </row>
    <row r="263" spans="1:25">
      <c r="A263">
        <v>2620</v>
      </c>
      <c r="B263" t="s">
        <v>605</v>
      </c>
      <c r="C263" t="s">
        <v>632</v>
      </c>
      <c r="D263" t="s">
        <v>607</v>
      </c>
      <c r="E263">
        <v>2620</v>
      </c>
      <c r="F263">
        <v>36.700000000000003</v>
      </c>
      <c r="G263">
        <v>404</v>
      </c>
      <c r="H263">
        <v>34.5</v>
      </c>
      <c r="I263">
        <v>360</v>
      </c>
      <c r="J263">
        <v>82.3</v>
      </c>
      <c r="K263">
        <v>280</v>
      </c>
      <c r="L263">
        <v>82.2</v>
      </c>
      <c r="M263">
        <v>236</v>
      </c>
      <c r="N263">
        <v>66.8</v>
      </c>
      <c r="O263">
        <v>451</v>
      </c>
      <c r="P263" t="s">
        <v>99</v>
      </c>
      <c r="Q263" s="1">
        <v>28121</v>
      </c>
      <c r="R263">
        <v>30.1</v>
      </c>
      <c r="S263" s="2">
        <v>0.13</v>
      </c>
      <c r="T263" s="3">
        <v>2.4458333333333333</v>
      </c>
      <c r="U263" s="2">
        <v>0.16</v>
      </c>
      <c r="V263" t="s">
        <v>632</v>
      </c>
      <c r="W263" t="s">
        <v>633</v>
      </c>
      <c r="X263" t="b">
        <v>0</v>
      </c>
      <c r="Y263" t="b">
        <v>0</v>
      </c>
    </row>
    <row r="264" spans="1:25">
      <c r="A264">
        <v>2630</v>
      </c>
      <c r="B264" t="s">
        <v>605</v>
      </c>
      <c r="C264" t="s">
        <v>634</v>
      </c>
      <c r="D264" t="s">
        <v>607</v>
      </c>
      <c r="E264">
        <v>2630</v>
      </c>
      <c r="F264">
        <v>35</v>
      </c>
      <c r="G264">
        <v>461</v>
      </c>
      <c r="H264">
        <v>35.5</v>
      </c>
      <c r="I264">
        <v>334</v>
      </c>
      <c r="J264">
        <v>85.7</v>
      </c>
      <c r="K264">
        <v>195</v>
      </c>
      <c r="L264">
        <v>80.5</v>
      </c>
      <c r="M264">
        <v>257</v>
      </c>
      <c r="N264">
        <v>61.7</v>
      </c>
      <c r="O264">
        <v>550</v>
      </c>
      <c r="P264" t="s">
        <v>99</v>
      </c>
      <c r="Q264" s="1">
        <v>8369</v>
      </c>
      <c r="R264">
        <v>37.700000000000003</v>
      </c>
      <c r="S264" s="2">
        <v>0.14000000000000001</v>
      </c>
      <c r="T264" s="3">
        <v>2.4048611111111109</v>
      </c>
      <c r="U264" s="2">
        <v>0.27</v>
      </c>
      <c r="V264" t="s">
        <v>634</v>
      </c>
      <c r="W264" t="s">
        <v>635</v>
      </c>
      <c r="X264" t="b">
        <v>0</v>
      </c>
      <c r="Y264" t="b">
        <v>0</v>
      </c>
    </row>
    <row r="265" spans="1:25">
      <c r="A265">
        <v>2640</v>
      </c>
      <c r="B265" t="s">
        <v>605</v>
      </c>
      <c r="C265" t="s">
        <v>636</v>
      </c>
      <c r="D265" t="s">
        <v>607</v>
      </c>
      <c r="E265">
        <v>2640</v>
      </c>
      <c r="F265">
        <v>32.299999999999997</v>
      </c>
      <c r="G265">
        <v>578</v>
      </c>
      <c r="H265">
        <v>27.9</v>
      </c>
      <c r="I265">
        <v>517</v>
      </c>
      <c r="J265">
        <v>98</v>
      </c>
      <c r="K265">
        <v>13</v>
      </c>
      <c r="L265">
        <v>62.8</v>
      </c>
      <c r="M265">
        <v>597</v>
      </c>
      <c r="N265">
        <v>67.099999999999994</v>
      </c>
      <c r="O265">
        <v>443</v>
      </c>
      <c r="P265" t="s">
        <v>397</v>
      </c>
      <c r="Q265" s="1">
        <v>1988</v>
      </c>
      <c r="R265">
        <v>17.899999999999999</v>
      </c>
      <c r="S265" s="2">
        <v>0.18</v>
      </c>
      <c r="T265" s="3">
        <v>2.4868055555555557</v>
      </c>
      <c r="U265" s="2">
        <v>0.03</v>
      </c>
      <c r="V265" t="s">
        <v>636</v>
      </c>
      <c r="W265" t="s">
        <v>637</v>
      </c>
      <c r="X265" t="b">
        <v>0</v>
      </c>
      <c r="Y265" t="b">
        <v>0</v>
      </c>
    </row>
    <row r="266" spans="1:25">
      <c r="A266">
        <v>2650</v>
      </c>
      <c r="B266" t="s">
        <v>605</v>
      </c>
      <c r="C266" t="s">
        <v>638</v>
      </c>
      <c r="D266" t="s">
        <v>607</v>
      </c>
      <c r="E266">
        <v>2650</v>
      </c>
      <c r="F266">
        <v>39.5</v>
      </c>
      <c r="G266">
        <v>324</v>
      </c>
      <c r="H266">
        <v>32.6</v>
      </c>
      <c r="I266">
        <v>405</v>
      </c>
      <c r="J266">
        <v>82.3</v>
      </c>
      <c r="K266">
        <v>281</v>
      </c>
      <c r="L266">
        <v>89</v>
      </c>
      <c r="M266">
        <v>172</v>
      </c>
      <c r="N266">
        <v>66</v>
      </c>
      <c r="O266">
        <v>464</v>
      </c>
      <c r="P266" t="s">
        <v>99</v>
      </c>
      <c r="Q266" s="1">
        <v>30755</v>
      </c>
      <c r="R266">
        <v>24.1</v>
      </c>
      <c r="S266" s="2">
        <v>0.11</v>
      </c>
      <c r="T266" s="3">
        <v>2.4868055555555557</v>
      </c>
      <c r="U266" s="2">
        <v>0.35</v>
      </c>
      <c r="V266" t="s">
        <v>638</v>
      </c>
      <c r="W266" t="s">
        <v>639</v>
      </c>
      <c r="X266" t="b">
        <v>0</v>
      </c>
      <c r="Y266" t="b">
        <v>0</v>
      </c>
    </row>
    <row r="267" spans="1:25">
      <c r="A267">
        <v>2660</v>
      </c>
      <c r="B267" t="s">
        <v>605</v>
      </c>
      <c r="C267" t="s">
        <v>640</v>
      </c>
      <c r="D267" t="s">
        <v>607</v>
      </c>
      <c r="E267">
        <v>2660</v>
      </c>
      <c r="F267">
        <v>31.7</v>
      </c>
      <c r="G267">
        <v>603</v>
      </c>
      <c r="H267">
        <v>35.9</v>
      </c>
      <c r="I267">
        <v>327</v>
      </c>
      <c r="J267">
        <v>78.400000000000006</v>
      </c>
      <c r="K267">
        <v>354</v>
      </c>
      <c r="L267">
        <v>95.6</v>
      </c>
      <c r="M267">
        <v>111</v>
      </c>
      <c r="N267">
        <v>97.4</v>
      </c>
      <c r="O267">
        <v>17</v>
      </c>
      <c r="P267" t="s">
        <v>608</v>
      </c>
      <c r="Q267" s="1">
        <v>3289</v>
      </c>
      <c r="R267">
        <v>9.3000000000000007</v>
      </c>
      <c r="S267" s="2">
        <v>0.41</v>
      </c>
      <c r="T267" s="3">
        <v>2.4458333333333333</v>
      </c>
      <c r="U267" s="2">
        <v>0.45</v>
      </c>
      <c r="V267" t="s">
        <v>640</v>
      </c>
      <c r="W267" t="s">
        <v>641</v>
      </c>
      <c r="X267" t="b">
        <v>0</v>
      </c>
      <c r="Y267" t="b">
        <v>0</v>
      </c>
    </row>
    <row r="268" spans="1:25">
      <c r="A268">
        <v>2670</v>
      </c>
      <c r="B268" t="s">
        <v>605</v>
      </c>
      <c r="C268" t="s">
        <v>642</v>
      </c>
      <c r="D268" t="s">
        <v>607</v>
      </c>
      <c r="E268">
        <v>2670</v>
      </c>
      <c r="F268">
        <v>37.799999999999997</v>
      </c>
      <c r="G268">
        <v>365</v>
      </c>
      <c r="H268">
        <v>28.6</v>
      </c>
      <c r="I268">
        <v>505</v>
      </c>
      <c r="J268">
        <v>90.7</v>
      </c>
      <c r="K268">
        <v>113</v>
      </c>
      <c r="L268">
        <v>46.1</v>
      </c>
      <c r="M268">
        <v>879</v>
      </c>
      <c r="N268">
        <v>75.400000000000006</v>
      </c>
      <c r="O268">
        <v>326</v>
      </c>
      <c r="P268" t="s">
        <v>534</v>
      </c>
      <c r="Q268" s="1">
        <v>60540</v>
      </c>
      <c r="R268">
        <v>13.9</v>
      </c>
      <c r="S268" s="2">
        <v>0.03</v>
      </c>
      <c r="T268" s="3">
        <v>2.1180555555555554</v>
      </c>
      <c r="U268" s="2">
        <v>0.32</v>
      </c>
      <c r="V268" t="s">
        <v>642</v>
      </c>
      <c r="W268" t="s">
        <v>643</v>
      </c>
      <c r="X268" t="b">
        <v>0</v>
      </c>
      <c r="Y268" t="b">
        <v>0</v>
      </c>
    </row>
    <row r="269" spans="1:25">
      <c r="A269">
        <v>2680</v>
      </c>
      <c r="B269" t="s">
        <v>605</v>
      </c>
      <c r="C269" t="s">
        <v>644</v>
      </c>
      <c r="D269" t="s">
        <v>607</v>
      </c>
      <c r="E269">
        <v>2680</v>
      </c>
      <c r="F269">
        <v>39.799999999999997</v>
      </c>
      <c r="G269">
        <v>314</v>
      </c>
      <c r="H269">
        <v>44.4</v>
      </c>
      <c r="I269">
        <v>196</v>
      </c>
      <c r="J269">
        <v>71.5</v>
      </c>
      <c r="K269">
        <v>523</v>
      </c>
      <c r="L269">
        <v>97.4</v>
      </c>
      <c r="M269">
        <v>93</v>
      </c>
      <c r="N269">
        <v>76.400000000000006</v>
      </c>
      <c r="O269">
        <v>306</v>
      </c>
      <c r="P269" t="s">
        <v>99</v>
      </c>
      <c r="Q269" s="1">
        <v>7594</v>
      </c>
      <c r="R269">
        <v>34.5</v>
      </c>
      <c r="S269" s="2">
        <v>0.11</v>
      </c>
      <c r="T269" s="3">
        <v>2.4458333333333333</v>
      </c>
      <c r="U269" s="2">
        <v>0.3</v>
      </c>
      <c r="V269" t="s">
        <v>644</v>
      </c>
      <c r="W269" t="s">
        <v>645</v>
      </c>
      <c r="X269" t="b">
        <v>0</v>
      </c>
      <c r="Y269" t="b">
        <v>0</v>
      </c>
    </row>
    <row r="270" spans="1:25">
      <c r="A270">
        <v>2690</v>
      </c>
      <c r="B270" t="s">
        <v>605</v>
      </c>
      <c r="C270" t="s">
        <v>646</v>
      </c>
      <c r="D270" t="s">
        <v>607</v>
      </c>
      <c r="E270">
        <v>2690</v>
      </c>
      <c r="F270">
        <v>40.299999999999997</v>
      </c>
      <c r="G270">
        <v>300</v>
      </c>
      <c r="H270">
        <v>40</v>
      </c>
      <c r="I270">
        <v>249</v>
      </c>
      <c r="J270">
        <v>71</v>
      </c>
      <c r="K270">
        <v>539</v>
      </c>
      <c r="L270">
        <v>95.9</v>
      </c>
      <c r="M270">
        <v>108</v>
      </c>
      <c r="N270">
        <v>71.5</v>
      </c>
      <c r="O270">
        <v>384</v>
      </c>
      <c r="P270" t="s">
        <v>181</v>
      </c>
      <c r="Q270" s="1">
        <v>20427</v>
      </c>
      <c r="R270">
        <v>17.600000000000001</v>
      </c>
      <c r="S270" s="2">
        <v>0.3</v>
      </c>
      <c r="T270" s="3">
        <v>2.3638888888888889</v>
      </c>
      <c r="U270" s="2">
        <v>0.25</v>
      </c>
      <c r="V270" t="s">
        <v>647</v>
      </c>
      <c r="W270" t="s">
        <v>648</v>
      </c>
      <c r="X270" t="b">
        <v>0</v>
      </c>
      <c r="Y270" t="b">
        <v>0</v>
      </c>
    </row>
    <row r="271" spans="1:25">
      <c r="A271">
        <v>2700</v>
      </c>
      <c r="B271" t="s">
        <v>605</v>
      </c>
      <c r="C271" t="s">
        <v>649</v>
      </c>
      <c r="D271" t="s">
        <v>607</v>
      </c>
      <c r="E271">
        <v>2700</v>
      </c>
      <c r="F271">
        <v>33.4</v>
      </c>
      <c r="G271">
        <v>527</v>
      </c>
      <c r="H271">
        <v>36.700000000000003</v>
      </c>
      <c r="I271">
        <v>308</v>
      </c>
      <c r="J271">
        <v>91.7</v>
      </c>
      <c r="K271">
        <v>97</v>
      </c>
      <c r="L271">
        <v>65.099999999999994</v>
      </c>
      <c r="M271">
        <v>545</v>
      </c>
      <c r="N271">
        <v>64.2</v>
      </c>
      <c r="O271">
        <v>500</v>
      </c>
      <c r="P271" t="s">
        <v>313</v>
      </c>
      <c r="Q271" s="1">
        <v>5028</v>
      </c>
      <c r="R271">
        <v>31.6</v>
      </c>
      <c r="S271" s="2">
        <v>0.14000000000000001</v>
      </c>
      <c r="T271" t="s">
        <v>113</v>
      </c>
      <c r="U271" s="2">
        <v>0.49</v>
      </c>
      <c r="V271" t="s">
        <v>649</v>
      </c>
      <c r="W271" t="s">
        <v>650</v>
      </c>
      <c r="X271" t="b">
        <v>0</v>
      </c>
      <c r="Y271" t="b">
        <v>0</v>
      </c>
    </row>
    <row r="272" spans="1:25">
      <c r="A272">
        <v>2710</v>
      </c>
      <c r="B272" t="s">
        <v>605</v>
      </c>
      <c r="C272" t="s">
        <v>651</v>
      </c>
      <c r="D272" t="s">
        <v>607</v>
      </c>
      <c r="E272">
        <v>2710</v>
      </c>
      <c r="F272">
        <v>28.9</v>
      </c>
      <c r="G272">
        <v>751</v>
      </c>
      <c r="H272">
        <v>35.4</v>
      </c>
      <c r="I272">
        <v>339</v>
      </c>
      <c r="J272">
        <v>88.1</v>
      </c>
      <c r="K272">
        <v>153</v>
      </c>
      <c r="L272">
        <v>73.8</v>
      </c>
      <c r="M272">
        <v>352</v>
      </c>
      <c r="N272">
        <v>88.2</v>
      </c>
      <c r="O272">
        <v>150</v>
      </c>
      <c r="P272" t="s">
        <v>116</v>
      </c>
      <c r="Q272" s="1">
        <v>19172</v>
      </c>
      <c r="R272">
        <v>28.2</v>
      </c>
      <c r="S272" s="2">
        <v>0.28999999999999998</v>
      </c>
      <c r="T272" s="3">
        <v>2.6506944444444445</v>
      </c>
      <c r="U272" s="2">
        <v>0.16</v>
      </c>
      <c r="V272" t="s">
        <v>651</v>
      </c>
      <c r="W272" t="s">
        <v>652</v>
      </c>
      <c r="X272" t="b">
        <v>0</v>
      </c>
      <c r="Y272" t="b">
        <v>0</v>
      </c>
    </row>
    <row r="273" spans="1:25">
      <c r="A273">
        <v>2720</v>
      </c>
      <c r="B273" t="s">
        <v>605</v>
      </c>
      <c r="C273" t="s">
        <v>653</v>
      </c>
      <c r="D273" t="s">
        <v>607</v>
      </c>
      <c r="E273">
        <v>2720</v>
      </c>
      <c r="F273">
        <v>40.700000000000003</v>
      </c>
      <c r="G273">
        <v>286</v>
      </c>
      <c r="H273">
        <v>38.700000000000003</v>
      </c>
      <c r="I273">
        <v>267</v>
      </c>
      <c r="J273">
        <v>73.7</v>
      </c>
      <c r="K273">
        <v>470</v>
      </c>
      <c r="L273">
        <v>94.2</v>
      </c>
      <c r="M273">
        <v>125</v>
      </c>
      <c r="N273">
        <v>76.2</v>
      </c>
      <c r="O273">
        <v>311</v>
      </c>
      <c r="P273" t="s">
        <v>76</v>
      </c>
      <c r="Q273" s="1">
        <v>30362</v>
      </c>
      <c r="R273">
        <v>17.899999999999999</v>
      </c>
      <c r="S273" s="2">
        <v>0.16</v>
      </c>
      <c r="T273" s="3">
        <v>2.4458333333333333</v>
      </c>
      <c r="U273" s="2">
        <v>0.2</v>
      </c>
      <c r="V273" t="s">
        <v>653</v>
      </c>
      <c r="W273" t="s">
        <v>654</v>
      </c>
      <c r="X273" t="b">
        <v>0</v>
      </c>
      <c r="Y273" t="b">
        <v>0</v>
      </c>
    </row>
    <row r="274" spans="1:25">
      <c r="A274">
        <v>2730</v>
      </c>
      <c r="B274" t="s">
        <v>605</v>
      </c>
      <c r="C274" t="s">
        <v>655</v>
      </c>
      <c r="D274" t="s">
        <v>607</v>
      </c>
      <c r="E274">
        <v>2730</v>
      </c>
      <c r="F274">
        <v>28.3</v>
      </c>
      <c r="G274">
        <v>789</v>
      </c>
      <c r="H274">
        <v>41.3</v>
      </c>
      <c r="I274">
        <v>231</v>
      </c>
      <c r="J274">
        <v>86.4</v>
      </c>
      <c r="K274">
        <v>185</v>
      </c>
      <c r="L274">
        <v>92.8</v>
      </c>
      <c r="M274">
        <v>137</v>
      </c>
      <c r="N274">
        <v>70.7</v>
      </c>
      <c r="O274">
        <v>398</v>
      </c>
      <c r="P274" t="s">
        <v>150</v>
      </c>
      <c r="Q274" s="1">
        <v>15233</v>
      </c>
      <c r="R274">
        <v>14.9</v>
      </c>
      <c r="S274" s="2">
        <v>0.15</v>
      </c>
      <c r="T274" s="3">
        <v>2.2819444444444446</v>
      </c>
      <c r="U274" s="2">
        <v>0.26</v>
      </c>
      <c r="V274" t="s">
        <v>655</v>
      </c>
      <c r="W274" t="s">
        <v>656</v>
      </c>
      <c r="X274" t="b">
        <v>0</v>
      </c>
      <c r="Y274" t="b">
        <v>0</v>
      </c>
    </row>
    <row r="275" spans="1:25">
      <c r="A275">
        <v>2740</v>
      </c>
      <c r="B275" t="s">
        <v>605</v>
      </c>
      <c r="C275" t="s">
        <v>657</v>
      </c>
      <c r="D275" t="s">
        <v>607</v>
      </c>
      <c r="E275">
        <v>2740</v>
      </c>
      <c r="F275">
        <v>36.5</v>
      </c>
      <c r="G275">
        <v>412</v>
      </c>
      <c r="H275">
        <v>34.4</v>
      </c>
      <c r="I275">
        <v>368</v>
      </c>
      <c r="J275">
        <v>77.400000000000006</v>
      </c>
      <c r="K275">
        <v>384</v>
      </c>
      <c r="L275">
        <v>70.2</v>
      </c>
      <c r="M275">
        <v>428</v>
      </c>
      <c r="N275">
        <v>91.5</v>
      </c>
      <c r="O275">
        <v>109</v>
      </c>
      <c r="P275" t="s">
        <v>26</v>
      </c>
      <c r="Q275" s="1">
        <v>16110</v>
      </c>
      <c r="R275">
        <v>13.9</v>
      </c>
      <c r="S275" s="2">
        <v>0.25</v>
      </c>
      <c r="T275" t="s">
        <v>658</v>
      </c>
      <c r="U275" s="2">
        <v>0.34</v>
      </c>
      <c r="V275" t="s">
        <v>657</v>
      </c>
      <c r="W275" t="s">
        <v>659</v>
      </c>
      <c r="X275" t="b">
        <v>0</v>
      </c>
      <c r="Y275" t="b">
        <v>0</v>
      </c>
    </row>
    <row r="276" spans="1:25">
      <c r="A276">
        <v>2750</v>
      </c>
      <c r="B276" t="s">
        <v>605</v>
      </c>
      <c r="C276" t="s">
        <v>660</v>
      </c>
      <c r="D276" t="s">
        <v>607</v>
      </c>
      <c r="E276">
        <v>2750</v>
      </c>
      <c r="F276">
        <v>33.1</v>
      </c>
      <c r="G276">
        <v>541</v>
      </c>
      <c r="H276">
        <v>34.200000000000003</v>
      </c>
      <c r="I276">
        <v>373</v>
      </c>
      <c r="J276">
        <v>78.900000000000006</v>
      </c>
      <c r="K276">
        <v>346</v>
      </c>
      <c r="L276">
        <v>65</v>
      </c>
      <c r="M276">
        <v>546</v>
      </c>
      <c r="N276">
        <v>94.7</v>
      </c>
      <c r="O276">
        <v>55</v>
      </c>
      <c r="P276" t="s">
        <v>479</v>
      </c>
      <c r="Q276" s="1">
        <v>14091</v>
      </c>
      <c r="R276">
        <v>41.8</v>
      </c>
      <c r="S276" s="2">
        <v>0.92</v>
      </c>
      <c r="T276" s="3">
        <v>2.4048611111111109</v>
      </c>
      <c r="U276" s="2">
        <v>0.34</v>
      </c>
      <c r="V276" t="s">
        <v>661</v>
      </c>
      <c r="W276" t="s">
        <v>662</v>
      </c>
      <c r="X276" t="b">
        <v>0</v>
      </c>
      <c r="Y276" t="b">
        <v>0</v>
      </c>
    </row>
    <row r="277" spans="1:25">
      <c r="A277">
        <v>2760</v>
      </c>
      <c r="B277" t="s">
        <v>605</v>
      </c>
      <c r="C277" t="s">
        <v>663</v>
      </c>
      <c r="D277" t="s">
        <v>607</v>
      </c>
      <c r="E277">
        <v>2760</v>
      </c>
      <c r="F277">
        <v>43.4</v>
      </c>
      <c r="G277">
        <v>233</v>
      </c>
      <c r="H277">
        <v>35.4</v>
      </c>
      <c r="I277">
        <v>340</v>
      </c>
      <c r="J277">
        <v>72.599999999999994</v>
      </c>
      <c r="K277">
        <v>494</v>
      </c>
      <c r="L277">
        <v>52.5</v>
      </c>
      <c r="M277">
        <v>761</v>
      </c>
      <c r="N277">
        <v>84.7</v>
      </c>
      <c r="O277">
        <v>194</v>
      </c>
      <c r="P277" t="s">
        <v>664</v>
      </c>
      <c r="Q277" s="1">
        <v>19346</v>
      </c>
      <c r="R277">
        <v>10.199999999999999</v>
      </c>
      <c r="S277" s="2">
        <v>0.22</v>
      </c>
      <c r="T277" s="3">
        <v>2.3229166666666665</v>
      </c>
      <c r="U277" s="2">
        <v>0.27</v>
      </c>
      <c r="V277" t="s">
        <v>663</v>
      </c>
      <c r="W277" t="s">
        <v>665</v>
      </c>
      <c r="X277" t="b">
        <v>0</v>
      </c>
      <c r="Y277" t="b">
        <v>0</v>
      </c>
    </row>
    <row r="278" spans="1:25">
      <c r="A278">
        <v>2770</v>
      </c>
      <c r="B278" t="s">
        <v>605</v>
      </c>
      <c r="C278" t="s">
        <v>666</v>
      </c>
      <c r="D278" t="s">
        <v>607</v>
      </c>
      <c r="E278">
        <v>2770</v>
      </c>
      <c r="F278">
        <v>33.200000000000003</v>
      </c>
      <c r="G278">
        <v>537</v>
      </c>
      <c r="H278">
        <v>29.3</v>
      </c>
      <c r="I278">
        <v>489</v>
      </c>
      <c r="J278">
        <v>89.6</v>
      </c>
      <c r="K278">
        <v>132</v>
      </c>
      <c r="L278">
        <v>98.6</v>
      </c>
      <c r="M278">
        <v>79</v>
      </c>
      <c r="N278">
        <v>88.3</v>
      </c>
      <c r="O278">
        <v>147</v>
      </c>
      <c r="P278" t="s">
        <v>310</v>
      </c>
      <c r="Q278" s="1">
        <v>3337</v>
      </c>
      <c r="R278">
        <v>12.9</v>
      </c>
      <c r="S278" s="2">
        <v>0.44</v>
      </c>
      <c r="T278" s="3">
        <v>2.3229166666666665</v>
      </c>
      <c r="U278" s="2">
        <v>0.04</v>
      </c>
      <c r="V278" t="s">
        <v>666</v>
      </c>
      <c r="W278" t="s">
        <v>667</v>
      </c>
      <c r="X278" t="b">
        <v>0</v>
      </c>
      <c r="Y278" t="b">
        <v>0</v>
      </c>
    </row>
    <row r="279" spans="1:25">
      <c r="A279">
        <v>2780</v>
      </c>
      <c r="B279" t="s">
        <v>605</v>
      </c>
      <c r="C279" t="s">
        <v>668</v>
      </c>
      <c r="D279" t="s">
        <v>607</v>
      </c>
      <c r="E279">
        <v>2780</v>
      </c>
      <c r="F279">
        <v>48.8</v>
      </c>
      <c r="G279">
        <v>146</v>
      </c>
      <c r="H279">
        <v>31.4</v>
      </c>
      <c r="I279">
        <v>433</v>
      </c>
      <c r="J279">
        <v>85.3</v>
      </c>
      <c r="K279">
        <v>204</v>
      </c>
      <c r="L279">
        <v>66.5</v>
      </c>
      <c r="M279">
        <v>516</v>
      </c>
      <c r="N279">
        <v>49.3</v>
      </c>
      <c r="O279">
        <v>822</v>
      </c>
      <c r="P279" t="s">
        <v>54</v>
      </c>
      <c r="Q279" s="1">
        <v>31416</v>
      </c>
      <c r="R279">
        <v>11.7</v>
      </c>
      <c r="S279" s="2">
        <v>7.0000000000000007E-2</v>
      </c>
      <c r="U279" s="2">
        <v>0.34</v>
      </c>
      <c r="V279" t="s">
        <v>669</v>
      </c>
      <c r="W279" t="s">
        <v>670</v>
      </c>
      <c r="X279" t="b">
        <v>0</v>
      </c>
      <c r="Y279" t="b">
        <v>0</v>
      </c>
    </row>
    <row r="280" spans="1:25">
      <c r="A280">
        <v>2790</v>
      </c>
      <c r="B280" t="s">
        <v>605</v>
      </c>
      <c r="C280" t="s">
        <v>671</v>
      </c>
      <c r="D280" t="s">
        <v>607</v>
      </c>
      <c r="E280">
        <v>2790</v>
      </c>
      <c r="F280">
        <v>46</v>
      </c>
      <c r="G280">
        <v>190</v>
      </c>
      <c r="H280">
        <v>41.4</v>
      </c>
      <c r="I280">
        <v>230</v>
      </c>
      <c r="J280">
        <v>73.3</v>
      </c>
      <c r="K280">
        <v>476</v>
      </c>
      <c r="L280">
        <v>79.099999999999994</v>
      </c>
      <c r="M280">
        <v>276</v>
      </c>
      <c r="N280">
        <v>61.8</v>
      </c>
      <c r="O280">
        <v>546</v>
      </c>
      <c r="P280" t="s">
        <v>29</v>
      </c>
      <c r="Q280" s="1">
        <v>31391</v>
      </c>
      <c r="R280">
        <v>15.9</v>
      </c>
      <c r="S280" s="2">
        <v>0.11</v>
      </c>
      <c r="T280" s="3">
        <v>2.0770833333333334</v>
      </c>
      <c r="U280" s="2">
        <v>0.33</v>
      </c>
      <c r="V280" t="s">
        <v>671</v>
      </c>
      <c r="W280" t="s">
        <v>672</v>
      </c>
      <c r="X280" t="b">
        <v>0</v>
      </c>
      <c r="Y280" t="b">
        <v>0</v>
      </c>
    </row>
    <row r="281" spans="1:25">
      <c r="A281">
        <v>2800</v>
      </c>
      <c r="B281" t="s">
        <v>605</v>
      </c>
      <c r="C281" t="s">
        <v>673</v>
      </c>
      <c r="D281" t="s">
        <v>607</v>
      </c>
      <c r="E281">
        <v>2800</v>
      </c>
      <c r="F281">
        <v>33.1</v>
      </c>
      <c r="G281">
        <v>542</v>
      </c>
      <c r="H281">
        <v>38.200000000000003</v>
      </c>
      <c r="I281">
        <v>281</v>
      </c>
      <c r="J281">
        <v>84.1</v>
      </c>
      <c r="K281">
        <v>230</v>
      </c>
      <c r="L281">
        <v>66</v>
      </c>
      <c r="M281">
        <v>528</v>
      </c>
      <c r="N281">
        <v>59.5</v>
      </c>
      <c r="O281">
        <v>595</v>
      </c>
      <c r="P281" t="s">
        <v>313</v>
      </c>
      <c r="Q281" s="1">
        <v>10719</v>
      </c>
      <c r="R281">
        <v>20.8</v>
      </c>
      <c r="S281" s="2">
        <v>0.08</v>
      </c>
      <c r="T281" s="3">
        <v>2.3229166666666665</v>
      </c>
      <c r="U281" s="2">
        <v>0.28999999999999998</v>
      </c>
      <c r="V281" t="s">
        <v>673</v>
      </c>
      <c r="W281" t="s">
        <v>674</v>
      </c>
      <c r="X281" t="b">
        <v>0</v>
      </c>
      <c r="Y281" t="b">
        <v>0</v>
      </c>
    </row>
    <row r="282" spans="1:25">
      <c r="A282">
        <v>2810</v>
      </c>
      <c r="B282" t="s">
        <v>605</v>
      </c>
      <c r="C282" t="s">
        <v>675</v>
      </c>
      <c r="D282" t="s">
        <v>607</v>
      </c>
      <c r="E282">
        <v>2810</v>
      </c>
      <c r="F282">
        <v>31.3</v>
      </c>
      <c r="G282">
        <v>626</v>
      </c>
      <c r="H282">
        <v>35.6</v>
      </c>
      <c r="I282">
        <v>332</v>
      </c>
      <c r="J282">
        <v>83.4</v>
      </c>
      <c r="K282">
        <v>250</v>
      </c>
      <c r="L282">
        <v>61.8</v>
      </c>
      <c r="M282">
        <v>619</v>
      </c>
      <c r="N282">
        <v>96</v>
      </c>
      <c r="O282">
        <v>31</v>
      </c>
      <c r="P282" t="s">
        <v>676</v>
      </c>
      <c r="Q282" s="1">
        <v>10081</v>
      </c>
      <c r="R282">
        <v>8.4</v>
      </c>
      <c r="S282" s="2">
        <v>0.36</v>
      </c>
      <c r="T282" s="3">
        <v>3.2243055555555555</v>
      </c>
      <c r="U282" s="2">
        <v>0.34</v>
      </c>
      <c r="V282" t="s">
        <v>675</v>
      </c>
      <c r="W282" t="s">
        <v>677</v>
      </c>
      <c r="X282" t="b">
        <v>0</v>
      </c>
      <c r="Y282" t="b">
        <v>0</v>
      </c>
    </row>
    <row r="283" spans="1:25">
      <c r="A283">
        <v>2820</v>
      </c>
      <c r="B283" t="s">
        <v>605</v>
      </c>
      <c r="C283" t="s">
        <v>678</v>
      </c>
      <c r="D283" t="s">
        <v>607</v>
      </c>
      <c r="E283">
        <v>2820</v>
      </c>
      <c r="F283">
        <v>37.5</v>
      </c>
      <c r="G283">
        <v>378</v>
      </c>
      <c r="H283">
        <v>38</v>
      </c>
      <c r="I283">
        <v>290</v>
      </c>
      <c r="J283">
        <v>72.3</v>
      </c>
      <c r="K283">
        <v>505</v>
      </c>
      <c r="L283">
        <v>94</v>
      </c>
      <c r="M283">
        <v>128</v>
      </c>
      <c r="N283">
        <v>76</v>
      </c>
      <c r="O283">
        <v>314</v>
      </c>
      <c r="P283" t="s">
        <v>76</v>
      </c>
      <c r="Q283" s="1">
        <v>27034</v>
      </c>
      <c r="R283">
        <v>25.9</v>
      </c>
      <c r="S283" s="2">
        <v>0.16</v>
      </c>
      <c r="T283" s="3">
        <v>2.4458333333333333</v>
      </c>
      <c r="U283" s="2">
        <v>0.23</v>
      </c>
      <c r="V283" t="s">
        <v>679</v>
      </c>
      <c r="W283" t="s">
        <v>680</v>
      </c>
      <c r="X283" t="b">
        <v>0</v>
      </c>
      <c r="Y283" t="b">
        <v>0</v>
      </c>
    </row>
    <row r="284" spans="1:25">
      <c r="A284">
        <v>2830</v>
      </c>
      <c r="B284" t="s">
        <v>605</v>
      </c>
      <c r="C284" t="s">
        <v>681</v>
      </c>
      <c r="D284" t="s">
        <v>607</v>
      </c>
      <c r="E284">
        <v>2830</v>
      </c>
      <c r="F284">
        <v>32.299999999999997</v>
      </c>
      <c r="G284">
        <v>579</v>
      </c>
      <c r="H284">
        <v>36.6</v>
      </c>
      <c r="I284">
        <v>314</v>
      </c>
      <c r="J284">
        <v>81.7</v>
      </c>
      <c r="K284">
        <v>290</v>
      </c>
      <c r="L284">
        <v>76.900000000000006</v>
      </c>
      <c r="M284">
        <v>303</v>
      </c>
      <c r="N284">
        <v>91.6</v>
      </c>
      <c r="O284">
        <v>107</v>
      </c>
      <c r="P284" t="s">
        <v>343</v>
      </c>
      <c r="Q284" s="1">
        <v>2703</v>
      </c>
      <c r="R284">
        <v>23.9</v>
      </c>
      <c r="S284" s="2">
        <v>0.67</v>
      </c>
      <c r="U284" s="2">
        <v>0.1</v>
      </c>
      <c r="V284" t="s">
        <v>682</v>
      </c>
      <c r="W284" t="s">
        <v>253</v>
      </c>
      <c r="X284" t="b">
        <v>0</v>
      </c>
      <c r="Y284" t="b">
        <v>0</v>
      </c>
    </row>
    <row r="285" spans="1:25">
      <c r="A285">
        <v>2840</v>
      </c>
      <c r="B285" t="s">
        <v>605</v>
      </c>
      <c r="C285" t="s">
        <v>683</v>
      </c>
      <c r="D285" t="s">
        <v>607</v>
      </c>
      <c r="E285">
        <v>2840</v>
      </c>
      <c r="F285">
        <v>35.5</v>
      </c>
      <c r="G285">
        <v>449</v>
      </c>
      <c r="H285">
        <v>36.200000000000003</v>
      </c>
      <c r="I285">
        <v>323</v>
      </c>
      <c r="J285">
        <v>83.2</v>
      </c>
      <c r="K285">
        <v>254</v>
      </c>
      <c r="L285">
        <v>73.2</v>
      </c>
      <c r="M285">
        <v>366</v>
      </c>
      <c r="N285">
        <v>92.8</v>
      </c>
      <c r="O285">
        <v>88</v>
      </c>
      <c r="P285" t="s">
        <v>116</v>
      </c>
      <c r="Q285" s="1">
        <v>32574</v>
      </c>
      <c r="R285">
        <v>24</v>
      </c>
      <c r="S285" s="2">
        <v>0.34</v>
      </c>
      <c r="T285" s="3">
        <v>2.036111111111111</v>
      </c>
      <c r="U285" s="2">
        <v>0.36</v>
      </c>
      <c r="V285" t="s">
        <v>684</v>
      </c>
      <c r="W285" t="s">
        <v>685</v>
      </c>
      <c r="X285" t="b">
        <v>0</v>
      </c>
      <c r="Y285" t="b">
        <v>0</v>
      </c>
    </row>
    <row r="286" spans="1:25">
      <c r="A286">
        <v>2850</v>
      </c>
      <c r="B286" t="s">
        <v>605</v>
      </c>
      <c r="C286" t="s">
        <v>686</v>
      </c>
      <c r="D286" t="s">
        <v>607</v>
      </c>
      <c r="E286">
        <v>2850</v>
      </c>
      <c r="F286">
        <v>39.799999999999997</v>
      </c>
      <c r="G286">
        <v>315</v>
      </c>
      <c r="H286">
        <v>46.7</v>
      </c>
      <c r="I286">
        <v>171</v>
      </c>
      <c r="J286">
        <v>72.2</v>
      </c>
      <c r="K286">
        <v>507</v>
      </c>
      <c r="L286">
        <v>85.9</v>
      </c>
      <c r="M286">
        <v>196</v>
      </c>
      <c r="N286">
        <v>60</v>
      </c>
      <c r="O286">
        <v>585</v>
      </c>
      <c r="P286" t="s">
        <v>99</v>
      </c>
      <c r="Q286" s="1">
        <v>37709</v>
      </c>
      <c r="R286">
        <v>46.7</v>
      </c>
      <c r="S286" s="2">
        <v>0.16</v>
      </c>
      <c r="T286" s="3">
        <v>2.1180555555555554</v>
      </c>
      <c r="U286" s="2">
        <v>0.3</v>
      </c>
      <c r="V286" t="s">
        <v>686</v>
      </c>
      <c r="W286" t="s">
        <v>687</v>
      </c>
      <c r="X286" t="b">
        <v>0</v>
      </c>
      <c r="Y286" t="b">
        <v>0</v>
      </c>
    </row>
    <row r="287" spans="1:25">
      <c r="A287">
        <v>2860</v>
      </c>
      <c r="B287" t="s">
        <v>605</v>
      </c>
      <c r="C287" t="s">
        <v>688</v>
      </c>
      <c r="D287" t="s">
        <v>607</v>
      </c>
      <c r="E287">
        <v>2860</v>
      </c>
      <c r="F287">
        <v>31.4</v>
      </c>
      <c r="G287">
        <v>623</v>
      </c>
      <c r="H287">
        <v>34.5</v>
      </c>
      <c r="I287">
        <v>362</v>
      </c>
      <c r="J287">
        <v>94</v>
      </c>
      <c r="K287">
        <v>58</v>
      </c>
      <c r="L287">
        <v>73.8</v>
      </c>
      <c r="M287">
        <v>353</v>
      </c>
      <c r="N287">
        <v>68.599999999999994</v>
      </c>
      <c r="O287">
        <v>426</v>
      </c>
      <c r="P287" t="s">
        <v>181</v>
      </c>
      <c r="Q287" s="1">
        <v>11678</v>
      </c>
      <c r="R287">
        <v>18.899999999999999</v>
      </c>
      <c r="S287" s="2">
        <v>0.15</v>
      </c>
      <c r="T287" s="3">
        <v>2.1590277777777778</v>
      </c>
      <c r="U287" s="2">
        <v>0.39</v>
      </c>
      <c r="V287" t="s">
        <v>688</v>
      </c>
      <c r="W287" t="s">
        <v>689</v>
      </c>
      <c r="X287" t="b">
        <v>0</v>
      </c>
      <c r="Y287" t="b">
        <v>0</v>
      </c>
    </row>
    <row r="288" spans="1:25">
      <c r="A288">
        <v>2870</v>
      </c>
      <c r="B288" t="s">
        <v>605</v>
      </c>
      <c r="C288" t="s">
        <v>690</v>
      </c>
      <c r="D288" t="s">
        <v>607</v>
      </c>
      <c r="E288">
        <v>2870</v>
      </c>
      <c r="F288">
        <v>45.2</v>
      </c>
      <c r="G288">
        <v>199</v>
      </c>
      <c r="H288">
        <v>27.8</v>
      </c>
      <c r="I288">
        <v>521</v>
      </c>
      <c r="J288">
        <v>76.900000000000006</v>
      </c>
      <c r="K288">
        <v>399</v>
      </c>
      <c r="L288">
        <v>66.400000000000006</v>
      </c>
      <c r="M288">
        <v>518</v>
      </c>
      <c r="N288">
        <v>79.900000000000006</v>
      </c>
      <c r="O288">
        <v>258</v>
      </c>
      <c r="P288" t="s">
        <v>691</v>
      </c>
      <c r="Q288" s="1">
        <v>9966</v>
      </c>
      <c r="R288">
        <v>12.8</v>
      </c>
      <c r="S288" s="2">
        <v>0.37</v>
      </c>
      <c r="T288" s="3">
        <v>2.8965277777777776</v>
      </c>
      <c r="U288" s="2">
        <v>0.06</v>
      </c>
      <c r="V288" t="s">
        <v>690</v>
      </c>
      <c r="W288" t="s">
        <v>692</v>
      </c>
      <c r="X288" t="b">
        <v>0</v>
      </c>
      <c r="Y288" t="b">
        <v>0</v>
      </c>
    </row>
    <row r="289" spans="1:25">
      <c r="A289">
        <v>2880</v>
      </c>
      <c r="B289" t="s">
        <v>605</v>
      </c>
      <c r="C289" t="s">
        <v>693</v>
      </c>
      <c r="D289" t="s">
        <v>607</v>
      </c>
      <c r="E289">
        <v>2880</v>
      </c>
      <c r="F289">
        <v>28.7</v>
      </c>
      <c r="G289">
        <v>759</v>
      </c>
      <c r="H289">
        <v>36.700000000000003</v>
      </c>
      <c r="I289">
        <v>309</v>
      </c>
      <c r="J289">
        <v>84.2</v>
      </c>
      <c r="K289">
        <v>229</v>
      </c>
      <c r="L289">
        <v>83.1</v>
      </c>
      <c r="M289">
        <v>225</v>
      </c>
      <c r="N289">
        <v>92.9</v>
      </c>
      <c r="O289">
        <v>85</v>
      </c>
      <c r="P289" t="s">
        <v>76</v>
      </c>
      <c r="Q289" s="1">
        <v>27269</v>
      </c>
      <c r="R289">
        <v>26.8</v>
      </c>
      <c r="S289" s="2">
        <v>0.31</v>
      </c>
      <c r="T289" s="3">
        <v>2.2819444444444446</v>
      </c>
      <c r="U289" s="2">
        <v>0.28000000000000003</v>
      </c>
      <c r="V289" t="s">
        <v>693</v>
      </c>
      <c r="W289" t="s">
        <v>694</v>
      </c>
      <c r="X289" t="b">
        <v>0</v>
      </c>
      <c r="Y289" t="b">
        <v>0</v>
      </c>
    </row>
    <row r="290" spans="1:25">
      <c r="A290">
        <v>2890</v>
      </c>
      <c r="B290" t="s">
        <v>605</v>
      </c>
      <c r="C290" t="s">
        <v>695</v>
      </c>
      <c r="D290" t="s">
        <v>607</v>
      </c>
      <c r="E290">
        <v>2890</v>
      </c>
      <c r="F290">
        <v>36.6</v>
      </c>
      <c r="G290">
        <v>408</v>
      </c>
      <c r="H290">
        <v>38.200000000000003</v>
      </c>
      <c r="I290">
        <v>282</v>
      </c>
      <c r="J290">
        <v>83.2</v>
      </c>
      <c r="K290">
        <v>255</v>
      </c>
      <c r="L290">
        <v>92.8</v>
      </c>
      <c r="M290">
        <v>138</v>
      </c>
      <c r="N290">
        <v>44</v>
      </c>
      <c r="O290">
        <v>992</v>
      </c>
      <c r="P290" t="s">
        <v>54</v>
      </c>
      <c r="Q290" s="1">
        <v>40449</v>
      </c>
      <c r="R290">
        <v>12.6</v>
      </c>
      <c r="S290" s="2">
        <v>0.06</v>
      </c>
      <c r="T290" t="s">
        <v>696</v>
      </c>
      <c r="U290" s="2">
        <v>0.38</v>
      </c>
      <c r="V290" t="s">
        <v>695</v>
      </c>
      <c r="W290" t="s">
        <v>697</v>
      </c>
      <c r="X290" t="b">
        <v>0</v>
      </c>
      <c r="Y290" t="b">
        <v>0</v>
      </c>
    </row>
    <row r="291" spans="1:25">
      <c r="A291">
        <v>2900</v>
      </c>
      <c r="B291" t="s">
        <v>605</v>
      </c>
      <c r="C291" t="s">
        <v>698</v>
      </c>
      <c r="D291" t="s">
        <v>607</v>
      </c>
      <c r="E291">
        <v>2900</v>
      </c>
      <c r="F291">
        <v>29.8</v>
      </c>
      <c r="G291">
        <v>701</v>
      </c>
      <c r="H291">
        <v>33.5</v>
      </c>
      <c r="I291">
        <v>391</v>
      </c>
      <c r="J291">
        <v>89.1</v>
      </c>
      <c r="K291">
        <v>137</v>
      </c>
      <c r="L291">
        <v>91.5</v>
      </c>
      <c r="M291">
        <v>150</v>
      </c>
      <c r="N291">
        <v>76.900000000000006</v>
      </c>
      <c r="O291">
        <v>300</v>
      </c>
      <c r="P291" t="s">
        <v>272</v>
      </c>
      <c r="Q291" s="1">
        <v>18279</v>
      </c>
      <c r="R291">
        <v>9.9</v>
      </c>
      <c r="S291" s="2">
        <v>0.13</v>
      </c>
      <c r="T291" s="3">
        <v>2.2000000000000002</v>
      </c>
      <c r="U291" s="2">
        <v>0.17</v>
      </c>
      <c r="V291" t="s">
        <v>698</v>
      </c>
      <c r="W291" t="s">
        <v>699</v>
      </c>
      <c r="X291" t="b">
        <v>0</v>
      </c>
      <c r="Y291" t="b">
        <v>0</v>
      </c>
    </row>
    <row r="292" spans="1:25">
      <c r="A292">
        <v>2910</v>
      </c>
      <c r="B292" t="s">
        <v>605</v>
      </c>
      <c r="C292" t="s">
        <v>700</v>
      </c>
      <c r="D292" t="s">
        <v>607</v>
      </c>
      <c r="E292">
        <v>2910</v>
      </c>
      <c r="F292">
        <v>31.7</v>
      </c>
      <c r="G292">
        <v>606</v>
      </c>
      <c r="H292">
        <v>36.4</v>
      </c>
      <c r="I292">
        <v>318</v>
      </c>
      <c r="J292">
        <v>87.6</v>
      </c>
      <c r="K292">
        <v>159</v>
      </c>
      <c r="L292">
        <v>99.9</v>
      </c>
      <c r="M292">
        <v>35</v>
      </c>
      <c r="N292">
        <v>66.7</v>
      </c>
      <c r="O292">
        <v>454</v>
      </c>
      <c r="P292" t="s">
        <v>29</v>
      </c>
      <c r="Q292" s="1">
        <v>40379</v>
      </c>
      <c r="R292">
        <v>19</v>
      </c>
      <c r="S292" s="2">
        <v>0.13</v>
      </c>
      <c r="U292" s="2">
        <v>0.19</v>
      </c>
      <c r="V292" t="s">
        <v>700</v>
      </c>
      <c r="W292" t="s">
        <v>701</v>
      </c>
      <c r="X292" t="b">
        <v>0</v>
      </c>
      <c r="Y292" t="b">
        <v>0</v>
      </c>
    </row>
    <row r="293" spans="1:25">
      <c r="A293">
        <v>2920</v>
      </c>
      <c r="B293" t="s">
        <v>605</v>
      </c>
      <c r="C293" t="s">
        <v>702</v>
      </c>
      <c r="D293" t="s">
        <v>607</v>
      </c>
      <c r="E293">
        <v>2920</v>
      </c>
      <c r="F293">
        <v>43.6</v>
      </c>
      <c r="G293">
        <v>228</v>
      </c>
      <c r="H293">
        <v>29.7</v>
      </c>
      <c r="I293">
        <v>483</v>
      </c>
      <c r="J293">
        <v>81.400000000000006</v>
      </c>
      <c r="K293">
        <v>295</v>
      </c>
      <c r="L293">
        <v>66.5</v>
      </c>
      <c r="M293">
        <v>517</v>
      </c>
      <c r="N293">
        <v>78.8</v>
      </c>
      <c r="O293">
        <v>271</v>
      </c>
      <c r="P293" t="s">
        <v>29</v>
      </c>
      <c r="Q293" s="1">
        <v>25825</v>
      </c>
      <c r="R293">
        <v>10.5</v>
      </c>
      <c r="S293" s="2">
        <v>0.19</v>
      </c>
      <c r="T293" s="3">
        <v>2.2819444444444446</v>
      </c>
      <c r="U293" s="2">
        <v>0.32</v>
      </c>
      <c r="V293" t="s">
        <v>702</v>
      </c>
      <c r="W293" t="s">
        <v>703</v>
      </c>
      <c r="X293" t="b">
        <v>0</v>
      </c>
      <c r="Y293" t="b">
        <v>0</v>
      </c>
    </row>
    <row r="294" spans="1:25">
      <c r="A294">
        <v>2930</v>
      </c>
      <c r="B294" t="s">
        <v>605</v>
      </c>
      <c r="C294" t="s">
        <v>704</v>
      </c>
      <c r="D294" t="s">
        <v>607</v>
      </c>
      <c r="E294">
        <v>2930</v>
      </c>
      <c r="F294">
        <v>44.8</v>
      </c>
      <c r="G294">
        <v>207</v>
      </c>
      <c r="H294">
        <v>49.5</v>
      </c>
      <c r="I294">
        <v>145</v>
      </c>
      <c r="J294">
        <v>63.1</v>
      </c>
      <c r="K294">
        <v>707</v>
      </c>
      <c r="L294">
        <v>99.6</v>
      </c>
      <c r="M294">
        <v>54</v>
      </c>
      <c r="N294">
        <v>58.9</v>
      </c>
      <c r="O294">
        <v>609</v>
      </c>
      <c r="P294" t="s">
        <v>99</v>
      </c>
      <c r="Q294" s="1">
        <v>15152</v>
      </c>
      <c r="R294">
        <v>25.3</v>
      </c>
      <c r="S294" s="2">
        <v>0.2</v>
      </c>
      <c r="T294" t="s">
        <v>113</v>
      </c>
      <c r="U294" s="2">
        <v>0.5</v>
      </c>
      <c r="V294" t="s">
        <v>704</v>
      </c>
      <c r="W294" t="s">
        <v>705</v>
      </c>
      <c r="X294" t="b">
        <v>0</v>
      </c>
      <c r="Y294" t="b">
        <v>0</v>
      </c>
    </row>
    <row r="295" spans="1:25">
      <c r="A295">
        <v>2940</v>
      </c>
      <c r="B295" t="s">
        <v>605</v>
      </c>
      <c r="C295" t="s">
        <v>706</v>
      </c>
      <c r="D295" t="s">
        <v>607</v>
      </c>
      <c r="E295">
        <v>2940</v>
      </c>
      <c r="F295">
        <v>31.3</v>
      </c>
      <c r="G295">
        <v>627</v>
      </c>
      <c r="H295">
        <v>34.5</v>
      </c>
      <c r="I295">
        <v>363</v>
      </c>
      <c r="J295">
        <v>88</v>
      </c>
      <c r="K295">
        <v>155</v>
      </c>
      <c r="L295">
        <v>73</v>
      </c>
      <c r="M295">
        <v>369</v>
      </c>
      <c r="N295">
        <v>96.8</v>
      </c>
      <c r="O295">
        <v>25</v>
      </c>
      <c r="P295" t="s">
        <v>26</v>
      </c>
      <c r="Q295" s="1">
        <v>14630</v>
      </c>
      <c r="R295">
        <v>16.3</v>
      </c>
      <c r="S295" s="2">
        <v>0.33</v>
      </c>
      <c r="T295" s="3">
        <v>2.2819444444444446</v>
      </c>
      <c r="U295" s="2">
        <v>0.32</v>
      </c>
      <c r="V295" t="s">
        <v>706</v>
      </c>
      <c r="W295" t="s">
        <v>707</v>
      </c>
      <c r="X295" t="b">
        <v>0</v>
      </c>
      <c r="Y295" t="b">
        <v>0</v>
      </c>
    </row>
    <row r="296" spans="1:25">
      <c r="A296">
        <v>2950</v>
      </c>
      <c r="B296" t="s">
        <v>605</v>
      </c>
      <c r="C296" t="s">
        <v>708</v>
      </c>
      <c r="D296" t="s">
        <v>607</v>
      </c>
      <c r="E296">
        <v>2950</v>
      </c>
      <c r="F296">
        <v>34.799999999999997</v>
      </c>
      <c r="G296">
        <v>470</v>
      </c>
      <c r="H296">
        <v>26.4</v>
      </c>
      <c r="I296">
        <v>560</v>
      </c>
      <c r="J296">
        <v>84</v>
      </c>
      <c r="K296">
        <v>237</v>
      </c>
      <c r="L296">
        <v>88.3</v>
      </c>
      <c r="M296">
        <v>178</v>
      </c>
      <c r="N296">
        <v>98.5</v>
      </c>
      <c r="O296">
        <v>3</v>
      </c>
      <c r="P296" t="s">
        <v>50</v>
      </c>
      <c r="Q296" s="1">
        <v>3714</v>
      </c>
      <c r="R296">
        <v>14</v>
      </c>
      <c r="S296" s="2">
        <v>0.67</v>
      </c>
      <c r="T296" s="3">
        <v>1.9541666666666666</v>
      </c>
      <c r="U296" s="2">
        <v>0.28000000000000003</v>
      </c>
      <c r="V296" t="s">
        <v>708</v>
      </c>
      <c r="W296" t="s">
        <v>709</v>
      </c>
      <c r="X296" t="b">
        <v>0</v>
      </c>
      <c r="Y296" t="b">
        <v>0</v>
      </c>
    </row>
    <row r="297" spans="1:25">
      <c r="A297">
        <v>2960</v>
      </c>
      <c r="B297" t="s">
        <v>605</v>
      </c>
      <c r="C297" t="s">
        <v>710</v>
      </c>
      <c r="D297" t="s">
        <v>607</v>
      </c>
      <c r="E297">
        <v>2960</v>
      </c>
      <c r="F297">
        <v>27.6</v>
      </c>
      <c r="G297">
        <v>840</v>
      </c>
      <c r="H297">
        <v>30.2</v>
      </c>
      <c r="I297">
        <v>467</v>
      </c>
      <c r="J297">
        <v>89.7</v>
      </c>
      <c r="K297">
        <v>131</v>
      </c>
      <c r="L297">
        <v>62.8</v>
      </c>
      <c r="M297">
        <v>600</v>
      </c>
      <c r="N297">
        <v>89.5</v>
      </c>
      <c r="O297">
        <v>133</v>
      </c>
      <c r="P297" t="s">
        <v>26</v>
      </c>
      <c r="Q297" s="1">
        <v>18505</v>
      </c>
      <c r="R297">
        <v>16.8</v>
      </c>
      <c r="S297" s="2">
        <v>0.21</v>
      </c>
      <c r="T297" s="3">
        <v>1.9951388888888888</v>
      </c>
      <c r="U297" s="2">
        <v>0.31</v>
      </c>
      <c r="V297" t="s">
        <v>710</v>
      </c>
      <c r="W297" t="s">
        <v>711</v>
      </c>
      <c r="X297" t="b">
        <v>0</v>
      </c>
      <c r="Y297" t="b">
        <v>0</v>
      </c>
    </row>
    <row r="298" spans="1:25">
      <c r="A298">
        <v>2970</v>
      </c>
      <c r="B298" t="s">
        <v>605</v>
      </c>
      <c r="C298" t="s">
        <v>712</v>
      </c>
      <c r="D298" t="s">
        <v>607</v>
      </c>
      <c r="E298">
        <v>2970</v>
      </c>
      <c r="F298">
        <v>31.6</v>
      </c>
      <c r="G298">
        <v>610</v>
      </c>
      <c r="H298">
        <v>38.4</v>
      </c>
      <c r="I298">
        <v>276</v>
      </c>
      <c r="J298">
        <v>82</v>
      </c>
      <c r="K298">
        <v>285</v>
      </c>
      <c r="L298">
        <v>70.5</v>
      </c>
      <c r="M298">
        <v>417</v>
      </c>
      <c r="N298">
        <v>90.9</v>
      </c>
      <c r="O298">
        <v>119</v>
      </c>
      <c r="P298" t="s">
        <v>116</v>
      </c>
      <c r="Q298" s="1">
        <v>16894</v>
      </c>
      <c r="R298">
        <v>22.5</v>
      </c>
      <c r="S298" s="2">
        <v>0.31</v>
      </c>
      <c r="T298" s="3">
        <v>2.5277777777777777</v>
      </c>
      <c r="U298" s="2">
        <v>0.25</v>
      </c>
      <c r="V298" t="s">
        <v>712</v>
      </c>
      <c r="W298" t="s">
        <v>713</v>
      </c>
      <c r="X298" t="b">
        <v>0</v>
      </c>
      <c r="Y298" t="b">
        <v>0</v>
      </c>
    </row>
    <row r="299" spans="1:25">
      <c r="A299">
        <v>2980</v>
      </c>
      <c r="B299" t="s">
        <v>605</v>
      </c>
      <c r="C299" t="s">
        <v>714</v>
      </c>
      <c r="D299" t="s">
        <v>607</v>
      </c>
      <c r="E299">
        <v>2980</v>
      </c>
      <c r="F299">
        <v>42.4</v>
      </c>
      <c r="G299">
        <v>255</v>
      </c>
      <c r="H299">
        <v>48.1</v>
      </c>
      <c r="I299">
        <v>158</v>
      </c>
      <c r="J299">
        <v>62.6</v>
      </c>
      <c r="K299">
        <v>719</v>
      </c>
      <c r="L299">
        <v>99.8</v>
      </c>
      <c r="M299">
        <v>44</v>
      </c>
      <c r="N299">
        <v>65.400000000000006</v>
      </c>
      <c r="O299">
        <v>477</v>
      </c>
      <c r="P299" t="s">
        <v>99</v>
      </c>
      <c r="Q299" s="1">
        <v>15882</v>
      </c>
      <c r="R299">
        <v>37</v>
      </c>
      <c r="S299" s="2">
        <v>0.19</v>
      </c>
      <c r="T299" t="s">
        <v>51</v>
      </c>
      <c r="U299" s="2">
        <v>0.48</v>
      </c>
      <c r="V299" t="s">
        <v>715</v>
      </c>
      <c r="W299" t="s">
        <v>716</v>
      </c>
      <c r="X299" t="b">
        <v>0</v>
      </c>
      <c r="Y299" t="b">
        <v>0</v>
      </c>
    </row>
    <row r="300" spans="1:25">
      <c r="A300">
        <v>2990</v>
      </c>
      <c r="B300" t="s">
        <v>605</v>
      </c>
      <c r="C300" t="s">
        <v>717</v>
      </c>
      <c r="D300" t="s">
        <v>607</v>
      </c>
      <c r="E300">
        <v>2990</v>
      </c>
      <c r="F300">
        <v>43.8</v>
      </c>
      <c r="G300">
        <v>227</v>
      </c>
      <c r="H300">
        <v>44.1</v>
      </c>
      <c r="I300">
        <v>199</v>
      </c>
      <c r="J300">
        <v>57.6</v>
      </c>
      <c r="K300">
        <v>832</v>
      </c>
      <c r="L300">
        <v>96.2</v>
      </c>
      <c r="M300">
        <v>101</v>
      </c>
      <c r="N300">
        <v>86.7</v>
      </c>
      <c r="O300">
        <v>174</v>
      </c>
      <c r="P300" t="s">
        <v>310</v>
      </c>
      <c r="Q300" s="1">
        <v>11373</v>
      </c>
      <c r="R300">
        <v>19</v>
      </c>
      <c r="S300" s="2">
        <v>0.31</v>
      </c>
      <c r="T300" t="s">
        <v>324</v>
      </c>
      <c r="U300" s="2">
        <v>0.51</v>
      </c>
      <c r="V300" t="s">
        <v>717</v>
      </c>
      <c r="W300" t="s">
        <v>718</v>
      </c>
      <c r="X300" t="b">
        <v>0</v>
      </c>
      <c r="Y300" t="b">
        <v>0</v>
      </c>
    </row>
    <row r="301" spans="1:25">
      <c r="A301">
        <v>3000</v>
      </c>
      <c r="B301" t="s">
        <v>605</v>
      </c>
      <c r="C301" t="s">
        <v>719</v>
      </c>
      <c r="D301" t="s">
        <v>607</v>
      </c>
      <c r="E301">
        <v>3000</v>
      </c>
      <c r="F301">
        <v>42.5</v>
      </c>
      <c r="G301">
        <v>252</v>
      </c>
      <c r="H301">
        <v>39.4</v>
      </c>
      <c r="I301">
        <v>257</v>
      </c>
      <c r="J301">
        <v>78.8</v>
      </c>
      <c r="K301">
        <v>349</v>
      </c>
      <c r="L301">
        <v>76.7</v>
      </c>
      <c r="M301">
        <v>306</v>
      </c>
      <c r="N301">
        <v>65.400000000000006</v>
      </c>
      <c r="O301">
        <v>478</v>
      </c>
      <c r="P301" t="s">
        <v>29</v>
      </c>
      <c r="Q301" s="1">
        <v>37225</v>
      </c>
      <c r="R301">
        <v>18.600000000000001</v>
      </c>
      <c r="S301" s="2">
        <v>0.13</v>
      </c>
      <c r="T301" s="3">
        <v>1.8722222222222222</v>
      </c>
      <c r="U301" s="2">
        <v>0.37</v>
      </c>
      <c r="V301" t="s">
        <v>720</v>
      </c>
      <c r="W301" t="s">
        <v>721</v>
      </c>
      <c r="X301" t="b">
        <v>0</v>
      </c>
      <c r="Y301" t="b">
        <v>0</v>
      </c>
    </row>
    <row r="302" spans="1:25">
      <c r="A302">
        <v>3010</v>
      </c>
      <c r="B302" t="s">
        <v>605</v>
      </c>
      <c r="C302" t="s">
        <v>722</v>
      </c>
      <c r="D302" t="s">
        <v>607</v>
      </c>
      <c r="E302">
        <v>3010</v>
      </c>
      <c r="F302">
        <v>34.6</v>
      </c>
      <c r="G302">
        <v>476</v>
      </c>
      <c r="H302">
        <v>26.9</v>
      </c>
      <c r="I302">
        <v>546</v>
      </c>
      <c r="J302">
        <v>98.3</v>
      </c>
      <c r="K302">
        <v>10</v>
      </c>
      <c r="L302">
        <v>66.8</v>
      </c>
      <c r="M302">
        <v>510</v>
      </c>
      <c r="N302">
        <v>49.8</v>
      </c>
      <c r="O302">
        <v>810</v>
      </c>
      <c r="P302" t="s">
        <v>397</v>
      </c>
      <c r="Q302" s="1">
        <v>4087</v>
      </c>
      <c r="R302">
        <v>13.9</v>
      </c>
      <c r="S302" s="2">
        <v>0.05</v>
      </c>
      <c r="T302" s="3">
        <v>2.6097222222222221</v>
      </c>
      <c r="U302" s="2">
        <v>0.03</v>
      </c>
      <c r="V302" t="s">
        <v>722</v>
      </c>
      <c r="W302" t="s">
        <v>723</v>
      </c>
      <c r="X302" t="b">
        <v>0</v>
      </c>
      <c r="Y302" t="b">
        <v>0</v>
      </c>
    </row>
    <row r="303" spans="1:25">
      <c r="A303">
        <v>3020</v>
      </c>
      <c r="B303" t="s">
        <v>605</v>
      </c>
      <c r="C303" t="s">
        <v>724</v>
      </c>
      <c r="D303" t="s">
        <v>607</v>
      </c>
      <c r="E303">
        <v>3020</v>
      </c>
      <c r="F303">
        <v>46.9</v>
      </c>
      <c r="G303">
        <v>175</v>
      </c>
      <c r="H303">
        <v>48</v>
      </c>
      <c r="I303">
        <v>159</v>
      </c>
      <c r="J303">
        <v>70</v>
      </c>
      <c r="K303">
        <v>559</v>
      </c>
      <c r="L303">
        <v>98.3</v>
      </c>
      <c r="M303">
        <v>86</v>
      </c>
      <c r="N303">
        <v>37.799999999999997</v>
      </c>
      <c r="O303">
        <v>1209</v>
      </c>
      <c r="P303" t="s">
        <v>54</v>
      </c>
      <c r="Q303" s="1">
        <v>45764</v>
      </c>
      <c r="R303">
        <v>14.7</v>
      </c>
      <c r="S303" s="2">
        <v>7.0000000000000007E-2</v>
      </c>
      <c r="T303" t="s">
        <v>350</v>
      </c>
      <c r="U303" s="2">
        <v>0.38</v>
      </c>
      <c r="V303" t="s">
        <v>724</v>
      </c>
      <c r="W303" t="s">
        <v>725</v>
      </c>
      <c r="X303" t="b">
        <v>0</v>
      </c>
      <c r="Y303" t="b">
        <v>0</v>
      </c>
    </row>
    <row r="304" spans="1:25">
      <c r="A304">
        <v>3030</v>
      </c>
      <c r="B304" t="s">
        <v>726</v>
      </c>
      <c r="C304" t="s">
        <v>727</v>
      </c>
      <c r="D304" t="s">
        <v>728</v>
      </c>
      <c r="E304">
        <v>3030</v>
      </c>
      <c r="F304">
        <v>42.9</v>
      </c>
      <c r="G304">
        <v>239</v>
      </c>
      <c r="H304">
        <v>43.5</v>
      </c>
      <c r="I304">
        <v>204</v>
      </c>
      <c r="J304">
        <v>68.599999999999994</v>
      </c>
      <c r="K304">
        <v>592</v>
      </c>
      <c r="L304">
        <v>94.7</v>
      </c>
      <c r="M304">
        <v>121</v>
      </c>
      <c r="N304">
        <v>34.5</v>
      </c>
      <c r="O304">
        <v>1335</v>
      </c>
      <c r="P304" t="s">
        <v>54</v>
      </c>
      <c r="Q304" s="1">
        <v>32854</v>
      </c>
      <c r="R304">
        <v>12.3</v>
      </c>
      <c r="S304" s="2">
        <v>0.04</v>
      </c>
      <c r="U304" s="2">
        <v>0.49</v>
      </c>
      <c r="V304" t="s">
        <v>727</v>
      </c>
      <c r="W304" t="s">
        <v>729</v>
      </c>
      <c r="X304" t="b">
        <v>0</v>
      </c>
      <c r="Y304" t="b">
        <v>0</v>
      </c>
    </row>
    <row r="305" spans="1:25">
      <c r="A305">
        <v>3040</v>
      </c>
      <c r="B305" t="s">
        <v>726</v>
      </c>
      <c r="C305" t="s">
        <v>730</v>
      </c>
      <c r="D305" t="s">
        <v>728</v>
      </c>
      <c r="E305">
        <v>3040</v>
      </c>
      <c r="F305">
        <v>34.700000000000003</v>
      </c>
      <c r="G305">
        <v>472</v>
      </c>
      <c r="H305">
        <v>29.7</v>
      </c>
      <c r="I305">
        <v>480</v>
      </c>
      <c r="J305">
        <v>78</v>
      </c>
      <c r="K305">
        <v>366</v>
      </c>
      <c r="L305">
        <v>63.5</v>
      </c>
      <c r="M305">
        <v>577</v>
      </c>
      <c r="N305">
        <v>92.4</v>
      </c>
      <c r="O305">
        <v>95</v>
      </c>
      <c r="P305" t="s">
        <v>26</v>
      </c>
      <c r="Q305" s="1">
        <v>7610</v>
      </c>
      <c r="R305">
        <v>12.5</v>
      </c>
      <c r="S305" s="2">
        <v>0.41</v>
      </c>
      <c r="T305" s="3">
        <v>2.4048611111111109</v>
      </c>
      <c r="U305" s="2">
        <v>0.24</v>
      </c>
      <c r="V305" t="s">
        <v>730</v>
      </c>
      <c r="W305" t="s">
        <v>731</v>
      </c>
      <c r="X305" t="b">
        <v>0</v>
      </c>
      <c r="Y305" t="b">
        <v>0</v>
      </c>
    </row>
    <row r="306" spans="1:25">
      <c r="A306">
        <v>3050</v>
      </c>
      <c r="B306" t="s">
        <v>726</v>
      </c>
      <c r="C306" t="s">
        <v>732</v>
      </c>
      <c r="D306" t="s">
        <v>728</v>
      </c>
      <c r="E306">
        <v>3050</v>
      </c>
      <c r="F306">
        <v>39.799999999999997</v>
      </c>
      <c r="G306">
        <v>313</v>
      </c>
      <c r="H306">
        <v>39</v>
      </c>
      <c r="I306">
        <v>261</v>
      </c>
      <c r="J306">
        <v>68.8</v>
      </c>
      <c r="K306">
        <v>585</v>
      </c>
      <c r="L306">
        <v>67.2</v>
      </c>
      <c r="M306">
        <v>493</v>
      </c>
      <c r="N306">
        <v>65</v>
      </c>
      <c r="O306">
        <v>484</v>
      </c>
      <c r="P306" t="s">
        <v>99</v>
      </c>
      <c r="Q306" s="1">
        <v>12263</v>
      </c>
      <c r="R306">
        <v>19.5</v>
      </c>
      <c r="S306" s="2">
        <v>0.13</v>
      </c>
      <c r="T306" s="3">
        <v>2.2409722222222221</v>
      </c>
      <c r="U306" s="2">
        <v>0.43</v>
      </c>
      <c r="V306" t="s">
        <v>732</v>
      </c>
      <c r="W306" t="s">
        <v>733</v>
      </c>
      <c r="X306" t="b">
        <v>0</v>
      </c>
      <c r="Y306" t="b">
        <v>0</v>
      </c>
    </row>
    <row r="307" spans="1:25">
      <c r="A307">
        <v>3060</v>
      </c>
      <c r="B307" t="s">
        <v>726</v>
      </c>
      <c r="C307" t="s">
        <v>734</v>
      </c>
      <c r="D307" t="s">
        <v>728</v>
      </c>
      <c r="E307">
        <v>3060</v>
      </c>
      <c r="F307">
        <v>39.9</v>
      </c>
      <c r="G307">
        <v>309</v>
      </c>
      <c r="H307">
        <v>34.1</v>
      </c>
      <c r="I307">
        <v>375</v>
      </c>
      <c r="J307">
        <v>76.099999999999994</v>
      </c>
      <c r="K307">
        <v>412</v>
      </c>
      <c r="L307">
        <v>74.8</v>
      </c>
      <c r="M307">
        <v>339</v>
      </c>
      <c r="N307">
        <v>71.400000000000006</v>
      </c>
      <c r="O307">
        <v>387</v>
      </c>
      <c r="P307" t="s">
        <v>29</v>
      </c>
      <c r="Q307" s="1">
        <v>27086</v>
      </c>
      <c r="R307">
        <v>17.2</v>
      </c>
      <c r="S307" s="2">
        <v>0.12</v>
      </c>
      <c r="T307" s="3">
        <v>1.9541666666666666</v>
      </c>
      <c r="U307" s="2">
        <v>0.25</v>
      </c>
      <c r="V307" t="s">
        <v>734</v>
      </c>
      <c r="W307" t="s">
        <v>735</v>
      </c>
      <c r="X307" t="b">
        <v>0</v>
      </c>
      <c r="Y307" t="b">
        <v>0</v>
      </c>
    </row>
    <row r="308" spans="1:25">
      <c r="A308">
        <v>3070</v>
      </c>
      <c r="B308" t="s">
        <v>726</v>
      </c>
      <c r="C308" t="s">
        <v>736</v>
      </c>
      <c r="D308" t="s">
        <v>728</v>
      </c>
      <c r="E308">
        <v>3070</v>
      </c>
      <c r="F308">
        <v>35.200000000000003</v>
      </c>
      <c r="G308">
        <v>455</v>
      </c>
      <c r="H308">
        <v>30</v>
      </c>
      <c r="I308">
        <v>472</v>
      </c>
      <c r="J308">
        <v>89.4</v>
      </c>
      <c r="K308">
        <v>134</v>
      </c>
      <c r="L308">
        <v>74.5</v>
      </c>
      <c r="M308">
        <v>343</v>
      </c>
      <c r="N308">
        <v>52.3</v>
      </c>
      <c r="O308">
        <v>732</v>
      </c>
      <c r="P308" t="s">
        <v>397</v>
      </c>
      <c r="Q308" s="1">
        <v>28830</v>
      </c>
      <c r="R308">
        <v>39.1</v>
      </c>
      <c r="S308" s="2">
        <v>7.0000000000000007E-2</v>
      </c>
      <c r="T308" s="3">
        <v>2.9784722222222224</v>
      </c>
      <c r="U308" s="2">
        <v>0.08</v>
      </c>
      <c r="V308" t="s">
        <v>736</v>
      </c>
      <c r="W308" t="s">
        <v>737</v>
      </c>
      <c r="X308" t="b">
        <v>0</v>
      </c>
      <c r="Y308" t="b">
        <v>0</v>
      </c>
    </row>
    <row r="309" spans="1:25">
      <c r="A309">
        <v>3080</v>
      </c>
      <c r="B309" t="s">
        <v>726</v>
      </c>
      <c r="C309" t="s">
        <v>738</v>
      </c>
      <c r="D309" t="s">
        <v>728</v>
      </c>
      <c r="E309">
        <v>3080</v>
      </c>
      <c r="F309">
        <v>27.3</v>
      </c>
      <c r="G309">
        <v>860</v>
      </c>
      <c r="H309">
        <v>32.799999999999997</v>
      </c>
      <c r="I309">
        <v>402</v>
      </c>
      <c r="J309">
        <v>92.4</v>
      </c>
      <c r="K309">
        <v>86</v>
      </c>
      <c r="L309">
        <v>89.9</v>
      </c>
      <c r="M309">
        <v>166</v>
      </c>
      <c r="N309">
        <v>49.7</v>
      </c>
      <c r="O309">
        <v>811</v>
      </c>
      <c r="P309" t="s">
        <v>389</v>
      </c>
      <c r="Q309" s="1">
        <v>7110</v>
      </c>
      <c r="R309">
        <v>14.7</v>
      </c>
      <c r="S309" s="2">
        <v>7.0000000000000007E-2</v>
      </c>
      <c r="T309" s="3">
        <v>2.4048611111111109</v>
      </c>
      <c r="U309" s="2">
        <v>0.12</v>
      </c>
      <c r="V309" t="s">
        <v>738</v>
      </c>
      <c r="W309" t="s">
        <v>739</v>
      </c>
      <c r="X309" t="b">
        <v>0</v>
      </c>
      <c r="Y309" t="b">
        <v>0</v>
      </c>
    </row>
    <row r="310" spans="1:25">
      <c r="A310">
        <v>3090</v>
      </c>
      <c r="B310" t="s">
        <v>726</v>
      </c>
      <c r="C310" t="s">
        <v>740</v>
      </c>
      <c r="D310" t="s">
        <v>728</v>
      </c>
      <c r="E310">
        <v>3090</v>
      </c>
      <c r="F310">
        <v>21.1</v>
      </c>
      <c r="G310">
        <v>1293</v>
      </c>
      <c r="H310">
        <v>32.299999999999997</v>
      </c>
      <c r="I310">
        <v>411</v>
      </c>
      <c r="J310">
        <v>92.1</v>
      </c>
      <c r="K310">
        <v>90</v>
      </c>
      <c r="L310">
        <v>43.8</v>
      </c>
      <c r="M310">
        <v>909</v>
      </c>
      <c r="N310">
        <v>91.5</v>
      </c>
      <c r="O310">
        <v>108</v>
      </c>
      <c r="P310" t="s">
        <v>272</v>
      </c>
      <c r="Q310" s="1">
        <v>16785</v>
      </c>
      <c r="R310">
        <v>27.5</v>
      </c>
      <c r="S310" s="2">
        <v>0.23</v>
      </c>
      <c r="T310" s="3">
        <v>2.036111111111111</v>
      </c>
      <c r="U310" s="2">
        <v>0.21</v>
      </c>
      <c r="V310" t="s">
        <v>740</v>
      </c>
      <c r="W310" t="s">
        <v>741</v>
      </c>
      <c r="X310" t="b">
        <v>0</v>
      </c>
      <c r="Y310" t="b">
        <v>0</v>
      </c>
    </row>
    <row r="311" spans="1:25">
      <c r="A311">
        <v>3100</v>
      </c>
      <c r="B311" t="s">
        <v>726</v>
      </c>
      <c r="C311" t="s">
        <v>742</v>
      </c>
      <c r="D311" t="s">
        <v>728</v>
      </c>
      <c r="E311">
        <v>3100</v>
      </c>
      <c r="F311">
        <v>30.8</v>
      </c>
      <c r="G311">
        <v>648</v>
      </c>
      <c r="H311">
        <v>31.6</v>
      </c>
      <c r="I311">
        <v>427</v>
      </c>
      <c r="J311">
        <v>78.900000000000006</v>
      </c>
      <c r="K311">
        <v>345</v>
      </c>
      <c r="L311">
        <v>71.7</v>
      </c>
      <c r="M311">
        <v>391</v>
      </c>
      <c r="N311">
        <v>89.1</v>
      </c>
      <c r="O311">
        <v>135</v>
      </c>
      <c r="P311" t="s">
        <v>76</v>
      </c>
      <c r="Q311" s="1">
        <v>17314</v>
      </c>
      <c r="R311">
        <v>14.7</v>
      </c>
      <c r="S311" s="2">
        <v>0.27</v>
      </c>
      <c r="T311" s="3">
        <v>2.2819444444444446</v>
      </c>
      <c r="U311" s="2">
        <v>0.2</v>
      </c>
      <c r="V311" t="s">
        <v>742</v>
      </c>
      <c r="W311" t="s">
        <v>743</v>
      </c>
      <c r="X311" t="b">
        <v>0</v>
      </c>
      <c r="Y311" t="b">
        <v>0</v>
      </c>
    </row>
    <row r="312" spans="1:25">
      <c r="A312">
        <v>3110</v>
      </c>
      <c r="B312" t="s">
        <v>726</v>
      </c>
      <c r="C312" t="s">
        <v>744</v>
      </c>
      <c r="D312" t="s">
        <v>728</v>
      </c>
      <c r="E312">
        <v>3110</v>
      </c>
      <c r="F312">
        <v>44.1</v>
      </c>
      <c r="G312">
        <v>214</v>
      </c>
      <c r="H312">
        <v>26</v>
      </c>
      <c r="I312">
        <v>571</v>
      </c>
      <c r="J312">
        <v>79.599999999999994</v>
      </c>
      <c r="K312">
        <v>328</v>
      </c>
      <c r="L312">
        <v>75.599999999999994</v>
      </c>
      <c r="M312">
        <v>322</v>
      </c>
      <c r="N312">
        <v>62.2</v>
      </c>
      <c r="O312">
        <v>539</v>
      </c>
      <c r="P312" t="s">
        <v>29</v>
      </c>
      <c r="Q312" s="1">
        <v>16910</v>
      </c>
      <c r="R312">
        <v>11</v>
      </c>
      <c r="S312" s="2">
        <v>0.15</v>
      </c>
      <c r="T312" s="3">
        <v>2.1590277777777778</v>
      </c>
      <c r="U312" s="2">
        <v>0.2</v>
      </c>
      <c r="V312" t="s">
        <v>744</v>
      </c>
      <c r="W312" t="s">
        <v>745</v>
      </c>
      <c r="X312" t="b">
        <v>0</v>
      </c>
      <c r="Y312" t="b">
        <v>0</v>
      </c>
    </row>
    <row r="313" spans="1:25">
      <c r="A313">
        <v>3120</v>
      </c>
      <c r="B313" t="s">
        <v>726</v>
      </c>
      <c r="C313" t="s">
        <v>746</v>
      </c>
      <c r="D313" t="s">
        <v>728</v>
      </c>
      <c r="E313">
        <v>3120</v>
      </c>
      <c r="F313">
        <v>26.7</v>
      </c>
      <c r="G313">
        <v>891</v>
      </c>
      <c r="H313">
        <v>32.1</v>
      </c>
      <c r="I313">
        <v>415</v>
      </c>
      <c r="J313">
        <v>84.9</v>
      </c>
      <c r="K313">
        <v>211</v>
      </c>
      <c r="L313">
        <v>83</v>
      </c>
      <c r="M313">
        <v>226</v>
      </c>
      <c r="N313">
        <v>91.1</v>
      </c>
      <c r="O313">
        <v>115</v>
      </c>
      <c r="P313" t="s">
        <v>26</v>
      </c>
      <c r="Q313" s="1">
        <v>14145</v>
      </c>
      <c r="R313">
        <v>18.100000000000001</v>
      </c>
      <c r="S313" s="2">
        <v>0.25</v>
      </c>
      <c r="T313" s="3">
        <v>2.7326388888888888</v>
      </c>
      <c r="U313" s="2">
        <v>0.14000000000000001</v>
      </c>
      <c r="V313" t="s">
        <v>746</v>
      </c>
      <c r="W313" t="s">
        <v>747</v>
      </c>
      <c r="X313" t="b">
        <v>0</v>
      </c>
      <c r="Y313" t="b">
        <v>0</v>
      </c>
    </row>
    <row r="314" spans="1:25">
      <c r="A314">
        <v>3130</v>
      </c>
      <c r="B314" t="s">
        <v>726</v>
      </c>
      <c r="C314" t="s">
        <v>748</v>
      </c>
      <c r="D314" t="s">
        <v>728</v>
      </c>
      <c r="E314">
        <v>3130</v>
      </c>
      <c r="F314">
        <v>42.7</v>
      </c>
      <c r="G314">
        <v>247</v>
      </c>
      <c r="H314">
        <v>35.1</v>
      </c>
      <c r="I314">
        <v>346</v>
      </c>
      <c r="J314">
        <v>76.3</v>
      </c>
      <c r="K314">
        <v>409</v>
      </c>
      <c r="L314">
        <v>66.3</v>
      </c>
      <c r="M314">
        <v>520</v>
      </c>
      <c r="N314">
        <v>56.4</v>
      </c>
      <c r="O314">
        <v>655</v>
      </c>
      <c r="P314" t="s">
        <v>54</v>
      </c>
      <c r="Q314" s="1">
        <v>28787</v>
      </c>
      <c r="R314">
        <v>14.1</v>
      </c>
      <c r="S314" s="2">
        <v>0.08</v>
      </c>
      <c r="T314" s="3">
        <v>2.6916666666666669</v>
      </c>
      <c r="U314" s="2">
        <v>0.35</v>
      </c>
      <c r="V314" t="s">
        <v>749</v>
      </c>
      <c r="W314" t="s">
        <v>750</v>
      </c>
      <c r="X314" t="b">
        <v>0</v>
      </c>
      <c r="Y314" t="b">
        <v>0</v>
      </c>
    </row>
    <row r="315" spans="1:25">
      <c r="A315">
        <v>3140</v>
      </c>
      <c r="B315" t="s">
        <v>726</v>
      </c>
      <c r="C315" t="s">
        <v>751</v>
      </c>
      <c r="D315" t="s">
        <v>728</v>
      </c>
      <c r="E315">
        <v>3140</v>
      </c>
      <c r="F315">
        <v>30</v>
      </c>
      <c r="G315">
        <v>685</v>
      </c>
      <c r="H315">
        <v>31.8</v>
      </c>
      <c r="I315">
        <v>419</v>
      </c>
      <c r="J315">
        <v>81</v>
      </c>
      <c r="K315">
        <v>299</v>
      </c>
      <c r="L315">
        <v>57.7</v>
      </c>
      <c r="M315">
        <v>690</v>
      </c>
      <c r="N315">
        <v>97.4</v>
      </c>
      <c r="O315">
        <v>16</v>
      </c>
      <c r="P315" t="s">
        <v>26</v>
      </c>
      <c r="Q315" s="1">
        <v>15540</v>
      </c>
      <c r="R315">
        <v>16</v>
      </c>
      <c r="S315" s="2">
        <v>0.41</v>
      </c>
      <c r="T315" s="3">
        <v>2.2819444444444446</v>
      </c>
      <c r="U315" s="2">
        <v>0.25</v>
      </c>
      <c r="V315" t="s">
        <v>751</v>
      </c>
      <c r="W315" t="s">
        <v>752</v>
      </c>
      <c r="X315" t="b">
        <v>0</v>
      </c>
      <c r="Y315" t="b">
        <v>0</v>
      </c>
    </row>
    <row r="316" spans="1:25">
      <c r="A316">
        <v>3150</v>
      </c>
      <c r="B316" t="s">
        <v>726</v>
      </c>
      <c r="C316" t="s">
        <v>753</v>
      </c>
      <c r="D316" t="s">
        <v>728</v>
      </c>
      <c r="E316">
        <v>3150</v>
      </c>
      <c r="F316">
        <v>29.2</v>
      </c>
      <c r="G316">
        <v>734</v>
      </c>
      <c r="H316">
        <v>35.4</v>
      </c>
      <c r="I316">
        <v>337</v>
      </c>
      <c r="J316">
        <v>78.400000000000006</v>
      </c>
      <c r="K316">
        <v>353</v>
      </c>
      <c r="L316">
        <v>71</v>
      </c>
      <c r="M316">
        <v>406</v>
      </c>
      <c r="N316">
        <v>88.9</v>
      </c>
      <c r="O316">
        <v>139</v>
      </c>
      <c r="P316" t="s">
        <v>116</v>
      </c>
      <c r="Q316" s="1">
        <v>17422</v>
      </c>
      <c r="R316">
        <v>29.4</v>
      </c>
      <c r="S316" s="2">
        <v>0.33</v>
      </c>
      <c r="T316" s="3">
        <v>2.7736111111111112</v>
      </c>
      <c r="U316" s="2">
        <v>0.15</v>
      </c>
      <c r="V316" t="s">
        <v>753</v>
      </c>
      <c r="W316" t="s">
        <v>754</v>
      </c>
      <c r="X316" t="b">
        <v>0</v>
      </c>
      <c r="Y316" t="b">
        <v>0</v>
      </c>
    </row>
    <row r="317" spans="1:25">
      <c r="A317">
        <v>3160</v>
      </c>
      <c r="B317" t="s">
        <v>726</v>
      </c>
      <c r="C317" t="s">
        <v>755</v>
      </c>
      <c r="D317" t="s">
        <v>728</v>
      </c>
      <c r="E317">
        <v>3160</v>
      </c>
      <c r="F317">
        <v>32.9</v>
      </c>
      <c r="G317">
        <v>546</v>
      </c>
      <c r="H317">
        <v>33.799999999999997</v>
      </c>
      <c r="I317">
        <v>383</v>
      </c>
      <c r="J317">
        <v>76.7</v>
      </c>
      <c r="K317">
        <v>402</v>
      </c>
      <c r="L317">
        <v>83</v>
      </c>
      <c r="M317">
        <v>227</v>
      </c>
      <c r="N317">
        <v>77.599999999999994</v>
      </c>
      <c r="O317">
        <v>286</v>
      </c>
      <c r="P317" t="s">
        <v>343</v>
      </c>
      <c r="Q317" s="1">
        <v>15734</v>
      </c>
      <c r="R317">
        <v>26.1</v>
      </c>
      <c r="S317" s="2">
        <v>0.16</v>
      </c>
      <c r="T317" s="3">
        <v>2.4868055555555557</v>
      </c>
      <c r="U317" s="2">
        <v>0.25</v>
      </c>
      <c r="V317" t="s">
        <v>756</v>
      </c>
      <c r="W317" t="s">
        <v>757</v>
      </c>
      <c r="X317" t="b">
        <v>0</v>
      </c>
      <c r="Y317" t="b">
        <v>0</v>
      </c>
    </row>
    <row r="318" spans="1:25">
      <c r="A318">
        <v>3170</v>
      </c>
      <c r="B318" t="s">
        <v>726</v>
      </c>
      <c r="C318" t="s">
        <v>758</v>
      </c>
      <c r="D318" t="s">
        <v>728</v>
      </c>
      <c r="E318">
        <v>3170</v>
      </c>
      <c r="F318">
        <v>42.2</v>
      </c>
      <c r="G318">
        <v>258</v>
      </c>
      <c r="H318">
        <v>37.9</v>
      </c>
      <c r="I318">
        <v>293</v>
      </c>
      <c r="J318">
        <v>66.900000000000006</v>
      </c>
      <c r="K318">
        <v>625</v>
      </c>
      <c r="L318">
        <v>69.099999999999994</v>
      </c>
      <c r="M318">
        <v>452</v>
      </c>
      <c r="N318">
        <v>71.599999999999994</v>
      </c>
      <c r="O318">
        <v>381</v>
      </c>
      <c r="P318" t="s">
        <v>125</v>
      </c>
      <c r="Q318" s="1">
        <v>51244</v>
      </c>
      <c r="R318">
        <v>18.399999999999999</v>
      </c>
      <c r="S318" s="2">
        <v>0.17</v>
      </c>
      <c r="T318" s="3">
        <v>2.2409722222222221</v>
      </c>
      <c r="U318" s="2">
        <v>0.39</v>
      </c>
      <c r="V318" t="s">
        <v>758</v>
      </c>
      <c r="W318" t="s">
        <v>759</v>
      </c>
      <c r="X318" t="b">
        <v>0</v>
      </c>
      <c r="Y318" t="b">
        <v>0</v>
      </c>
    </row>
    <row r="319" spans="1:25">
      <c r="A319">
        <v>3180</v>
      </c>
      <c r="B319" t="s">
        <v>726</v>
      </c>
      <c r="C319" t="s">
        <v>760</v>
      </c>
      <c r="D319" t="s">
        <v>728</v>
      </c>
      <c r="E319">
        <v>3180</v>
      </c>
      <c r="F319">
        <v>45.4</v>
      </c>
      <c r="G319">
        <v>198</v>
      </c>
      <c r="H319">
        <v>40.4</v>
      </c>
      <c r="I319">
        <v>245</v>
      </c>
      <c r="J319">
        <v>62</v>
      </c>
      <c r="K319">
        <v>736</v>
      </c>
      <c r="L319">
        <v>99.4</v>
      </c>
      <c r="M319">
        <v>65</v>
      </c>
      <c r="N319">
        <v>66.5</v>
      </c>
      <c r="O319">
        <v>457</v>
      </c>
      <c r="P319" t="s">
        <v>181</v>
      </c>
      <c r="Q319" s="1">
        <v>19344</v>
      </c>
      <c r="R319">
        <v>13.2</v>
      </c>
      <c r="S319" s="2">
        <v>0.21</v>
      </c>
      <c r="U319" s="2">
        <v>0.35</v>
      </c>
      <c r="V319" t="s">
        <v>760</v>
      </c>
      <c r="W319" t="s">
        <v>761</v>
      </c>
      <c r="X319" t="b">
        <v>0</v>
      </c>
      <c r="Y319" t="b">
        <v>0</v>
      </c>
    </row>
    <row r="320" spans="1:25">
      <c r="A320">
        <v>3190</v>
      </c>
      <c r="B320" t="s">
        <v>726</v>
      </c>
      <c r="C320" t="s">
        <v>762</v>
      </c>
      <c r="D320" t="s">
        <v>728</v>
      </c>
      <c r="E320">
        <v>3190</v>
      </c>
      <c r="F320">
        <v>46.4</v>
      </c>
      <c r="G320">
        <v>182</v>
      </c>
      <c r="H320">
        <v>36.299999999999997</v>
      </c>
      <c r="I320">
        <v>320</v>
      </c>
      <c r="J320">
        <v>68.900000000000006</v>
      </c>
      <c r="K320">
        <v>582</v>
      </c>
      <c r="L320">
        <v>71</v>
      </c>
      <c r="M320">
        <v>407</v>
      </c>
      <c r="N320">
        <v>46.8</v>
      </c>
      <c r="O320">
        <v>898</v>
      </c>
      <c r="P320" t="s">
        <v>588</v>
      </c>
      <c r="Q320" s="1">
        <v>19267</v>
      </c>
      <c r="R320">
        <v>8.9</v>
      </c>
      <c r="S320" s="2">
        <v>0.05</v>
      </c>
      <c r="T320" s="3">
        <v>2.4458333333333333</v>
      </c>
      <c r="U320" s="2">
        <v>0.24</v>
      </c>
      <c r="V320" t="s">
        <v>762</v>
      </c>
      <c r="W320" t="s">
        <v>763</v>
      </c>
      <c r="X320" t="b">
        <v>0</v>
      </c>
      <c r="Y320" t="b">
        <v>0</v>
      </c>
    </row>
    <row r="321" spans="1:25">
      <c r="A321">
        <v>3200</v>
      </c>
      <c r="B321" t="s">
        <v>726</v>
      </c>
      <c r="C321" t="s">
        <v>764</v>
      </c>
      <c r="D321" t="s">
        <v>728</v>
      </c>
      <c r="E321">
        <v>3200</v>
      </c>
      <c r="F321">
        <v>34</v>
      </c>
      <c r="G321">
        <v>493</v>
      </c>
      <c r="H321">
        <v>28.9</v>
      </c>
      <c r="I321">
        <v>499</v>
      </c>
      <c r="J321">
        <v>77.2</v>
      </c>
      <c r="K321">
        <v>391</v>
      </c>
      <c r="L321">
        <v>69.599999999999994</v>
      </c>
      <c r="M321">
        <v>440</v>
      </c>
      <c r="N321">
        <v>97.8</v>
      </c>
      <c r="O321">
        <v>10</v>
      </c>
      <c r="P321" t="s">
        <v>110</v>
      </c>
      <c r="Q321" s="1">
        <v>7460</v>
      </c>
      <c r="R321">
        <v>10.199999999999999</v>
      </c>
      <c r="S321" s="2">
        <v>0.55000000000000004</v>
      </c>
      <c r="T321" s="3">
        <v>2.7326388888888888</v>
      </c>
      <c r="U321" s="2">
        <v>0.28000000000000003</v>
      </c>
      <c r="V321" t="s">
        <v>765</v>
      </c>
      <c r="W321" t="s">
        <v>766</v>
      </c>
      <c r="X321" t="b">
        <v>0</v>
      </c>
      <c r="Y321" t="b">
        <v>0</v>
      </c>
    </row>
    <row r="322" spans="1:25">
      <c r="A322">
        <v>3210</v>
      </c>
      <c r="B322" t="s">
        <v>726</v>
      </c>
      <c r="C322" t="s">
        <v>767</v>
      </c>
      <c r="D322" t="s">
        <v>728</v>
      </c>
      <c r="E322">
        <v>3210</v>
      </c>
      <c r="F322">
        <v>34.4</v>
      </c>
      <c r="G322">
        <v>481</v>
      </c>
      <c r="H322">
        <v>33.1</v>
      </c>
      <c r="I322">
        <v>401</v>
      </c>
      <c r="J322">
        <v>70.3</v>
      </c>
      <c r="K322">
        <v>554</v>
      </c>
      <c r="L322">
        <v>79.599999999999994</v>
      </c>
      <c r="M322">
        <v>269</v>
      </c>
      <c r="N322">
        <v>94.7</v>
      </c>
      <c r="O322">
        <v>54</v>
      </c>
      <c r="P322" t="s">
        <v>310</v>
      </c>
      <c r="Q322" s="1">
        <v>15315</v>
      </c>
      <c r="R322">
        <v>23.7</v>
      </c>
      <c r="S322" s="2">
        <v>0.48</v>
      </c>
      <c r="T322" s="3">
        <v>2.3229166666666665</v>
      </c>
      <c r="U322" s="2">
        <v>0.26</v>
      </c>
      <c r="V322" t="s">
        <v>767</v>
      </c>
      <c r="W322" t="s">
        <v>768</v>
      </c>
      <c r="X322" t="b">
        <v>0</v>
      </c>
      <c r="Y322" t="b">
        <v>0</v>
      </c>
    </row>
    <row r="323" spans="1:25">
      <c r="A323">
        <v>3220</v>
      </c>
      <c r="B323" t="s">
        <v>726</v>
      </c>
      <c r="C323" t="s">
        <v>769</v>
      </c>
      <c r="D323" t="s">
        <v>728</v>
      </c>
      <c r="E323">
        <v>3220</v>
      </c>
      <c r="F323">
        <v>33.299999999999997</v>
      </c>
      <c r="G323">
        <v>531</v>
      </c>
      <c r="H323">
        <v>33.299999999999997</v>
      </c>
      <c r="I323">
        <v>397</v>
      </c>
      <c r="J323">
        <v>81.599999999999994</v>
      </c>
      <c r="K323">
        <v>291</v>
      </c>
      <c r="L323">
        <v>63</v>
      </c>
      <c r="M323">
        <v>588</v>
      </c>
      <c r="N323">
        <v>62.9</v>
      </c>
      <c r="O323">
        <v>520</v>
      </c>
      <c r="P323" t="s">
        <v>99</v>
      </c>
      <c r="Q323" s="1">
        <v>29463</v>
      </c>
      <c r="R323">
        <v>23.9</v>
      </c>
      <c r="S323" s="2">
        <v>0.08</v>
      </c>
      <c r="T323" s="3">
        <v>2.2819444444444446</v>
      </c>
      <c r="U323" s="2">
        <v>0.34</v>
      </c>
      <c r="V323" t="s">
        <v>769</v>
      </c>
      <c r="W323" t="s">
        <v>770</v>
      </c>
      <c r="X323" t="b">
        <v>0</v>
      </c>
      <c r="Y323" t="b">
        <v>0</v>
      </c>
    </row>
    <row r="324" spans="1:25">
      <c r="A324">
        <v>3230</v>
      </c>
      <c r="B324" t="s">
        <v>726</v>
      </c>
      <c r="C324" t="s">
        <v>771</v>
      </c>
      <c r="D324" t="s">
        <v>728</v>
      </c>
      <c r="E324">
        <v>3230</v>
      </c>
      <c r="F324">
        <v>55</v>
      </c>
      <c r="G324">
        <v>100</v>
      </c>
      <c r="H324">
        <v>47.5</v>
      </c>
      <c r="I324">
        <v>161</v>
      </c>
      <c r="J324">
        <v>51.2</v>
      </c>
      <c r="K324">
        <v>991</v>
      </c>
      <c r="L324">
        <v>98.4</v>
      </c>
      <c r="M324">
        <v>82</v>
      </c>
      <c r="N324">
        <v>48.8</v>
      </c>
      <c r="O324">
        <v>837</v>
      </c>
      <c r="P324" t="s">
        <v>94</v>
      </c>
      <c r="Q324" s="1">
        <v>18220</v>
      </c>
      <c r="R324">
        <v>7.7</v>
      </c>
      <c r="S324" s="2">
        <v>0.13</v>
      </c>
      <c r="T324" t="s">
        <v>336</v>
      </c>
      <c r="U324" s="2">
        <v>0.3</v>
      </c>
      <c r="V324" t="s">
        <v>771</v>
      </c>
      <c r="W324" t="s">
        <v>772</v>
      </c>
      <c r="X324" t="b">
        <v>0</v>
      </c>
      <c r="Y324" t="b">
        <v>0</v>
      </c>
    </row>
    <row r="325" spans="1:25">
      <c r="A325">
        <v>3240</v>
      </c>
      <c r="B325" t="s">
        <v>726</v>
      </c>
      <c r="C325" t="s">
        <v>773</v>
      </c>
      <c r="D325" t="s">
        <v>728</v>
      </c>
      <c r="E325">
        <v>3240</v>
      </c>
      <c r="F325">
        <v>33.5</v>
      </c>
      <c r="G325">
        <v>521</v>
      </c>
      <c r="H325">
        <v>38.700000000000003</v>
      </c>
      <c r="I325">
        <v>268</v>
      </c>
      <c r="J325">
        <v>72.7</v>
      </c>
      <c r="K325">
        <v>492</v>
      </c>
      <c r="L325">
        <v>95.5</v>
      </c>
      <c r="M325">
        <v>114</v>
      </c>
      <c r="N325">
        <v>73.599999999999994</v>
      </c>
      <c r="O325">
        <v>357</v>
      </c>
      <c r="P325" t="s">
        <v>137</v>
      </c>
      <c r="Q325" s="1">
        <v>23545</v>
      </c>
      <c r="R325">
        <v>29.2</v>
      </c>
      <c r="S325" s="2">
        <v>0.2</v>
      </c>
      <c r="T325" s="3">
        <v>2.4458333333333333</v>
      </c>
      <c r="U325" s="2">
        <v>0.26</v>
      </c>
      <c r="V325" t="s">
        <v>773</v>
      </c>
      <c r="W325" t="s">
        <v>774</v>
      </c>
      <c r="X325" t="b">
        <v>0</v>
      </c>
      <c r="Y325" t="b">
        <v>0</v>
      </c>
    </row>
    <row r="326" spans="1:25">
      <c r="A326">
        <v>3250</v>
      </c>
      <c r="B326" t="s">
        <v>726</v>
      </c>
      <c r="C326" t="s">
        <v>775</v>
      </c>
      <c r="D326" t="s">
        <v>728</v>
      </c>
      <c r="E326">
        <v>3250</v>
      </c>
      <c r="F326">
        <v>38.299999999999997</v>
      </c>
      <c r="G326">
        <v>355</v>
      </c>
      <c r="H326">
        <v>35.6</v>
      </c>
      <c r="I326">
        <v>331</v>
      </c>
      <c r="J326">
        <v>74.7</v>
      </c>
      <c r="K326">
        <v>447</v>
      </c>
      <c r="L326">
        <v>68.099999999999994</v>
      </c>
      <c r="M326">
        <v>479</v>
      </c>
      <c r="N326">
        <v>68.5</v>
      </c>
      <c r="O326">
        <v>427</v>
      </c>
      <c r="P326" t="s">
        <v>125</v>
      </c>
      <c r="Q326" s="1">
        <v>40734</v>
      </c>
      <c r="R326">
        <v>20.5</v>
      </c>
      <c r="S326" s="2">
        <v>0.15</v>
      </c>
      <c r="T326" s="3">
        <v>2.3229166666666665</v>
      </c>
      <c r="U326" s="2">
        <v>0.25</v>
      </c>
      <c r="V326" t="s">
        <v>775</v>
      </c>
      <c r="W326" t="s">
        <v>776</v>
      </c>
      <c r="X326" t="b">
        <v>0</v>
      </c>
      <c r="Y326" t="b">
        <v>0</v>
      </c>
    </row>
    <row r="327" spans="1:25">
      <c r="A327">
        <v>3260</v>
      </c>
      <c r="B327" t="s">
        <v>726</v>
      </c>
      <c r="C327" t="s">
        <v>777</v>
      </c>
      <c r="D327" t="s">
        <v>728</v>
      </c>
      <c r="E327">
        <v>3260</v>
      </c>
      <c r="F327">
        <v>35.6</v>
      </c>
      <c r="G327">
        <v>441</v>
      </c>
      <c r="H327">
        <v>30.4</v>
      </c>
      <c r="I327">
        <v>460</v>
      </c>
      <c r="J327">
        <v>82.3</v>
      </c>
      <c r="K327">
        <v>282</v>
      </c>
      <c r="L327">
        <v>79.099999999999994</v>
      </c>
      <c r="M327">
        <v>275</v>
      </c>
      <c r="N327">
        <v>74.400000000000006</v>
      </c>
      <c r="O327">
        <v>340</v>
      </c>
      <c r="P327" t="s">
        <v>386</v>
      </c>
      <c r="Q327" s="1">
        <v>11969</v>
      </c>
      <c r="R327">
        <v>14.3</v>
      </c>
      <c r="S327" s="2">
        <v>0.26</v>
      </c>
      <c r="T327" s="3">
        <v>2.2819444444444446</v>
      </c>
      <c r="U327" s="2">
        <v>0.16</v>
      </c>
      <c r="V327" t="s">
        <v>777</v>
      </c>
      <c r="W327" t="s">
        <v>778</v>
      </c>
      <c r="X327" t="b">
        <v>0</v>
      </c>
      <c r="Y327" t="b">
        <v>0</v>
      </c>
    </row>
    <row r="328" spans="1:25">
      <c r="A328">
        <v>3270</v>
      </c>
      <c r="B328" t="s">
        <v>726</v>
      </c>
      <c r="C328" t="s">
        <v>779</v>
      </c>
      <c r="D328" t="s">
        <v>728</v>
      </c>
      <c r="E328">
        <v>3270</v>
      </c>
      <c r="F328">
        <v>37.4</v>
      </c>
      <c r="G328">
        <v>382</v>
      </c>
      <c r="H328">
        <v>40.6</v>
      </c>
      <c r="I328">
        <v>241</v>
      </c>
      <c r="J328">
        <v>74.7</v>
      </c>
      <c r="K328">
        <v>448</v>
      </c>
      <c r="L328">
        <v>86.7</v>
      </c>
      <c r="M328">
        <v>189</v>
      </c>
      <c r="N328">
        <v>48.4</v>
      </c>
      <c r="O328">
        <v>857</v>
      </c>
      <c r="P328" t="s">
        <v>54</v>
      </c>
      <c r="Q328" s="1">
        <v>36797</v>
      </c>
      <c r="R328">
        <v>14.5</v>
      </c>
      <c r="S328" s="2">
        <v>0.04</v>
      </c>
      <c r="T328" t="s">
        <v>162</v>
      </c>
      <c r="U328" s="2">
        <v>0.45</v>
      </c>
      <c r="V328" t="s">
        <v>779</v>
      </c>
      <c r="W328" t="s">
        <v>780</v>
      </c>
      <c r="X328" t="b">
        <v>0</v>
      </c>
      <c r="Y328" t="b">
        <v>0</v>
      </c>
    </row>
    <row r="329" spans="1:25">
      <c r="A329">
        <v>3280</v>
      </c>
      <c r="B329" t="s">
        <v>726</v>
      </c>
      <c r="C329" t="s">
        <v>781</v>
      </c>
      <c r="D329" t="s">
        <v>728</v>
      </c>
      <c r="E329">
        <v>3280</v>
      </c>
      <c r="F329">
        <v>36</v>
      </c>
      <c r="G329">
        <v>426</v>
      </c>
      <c r="H329">
        <v>38.4</v>
      </c>
      <c r="I329">
        <v>274</v>
      </c>
      <c r="J329">
        <v>74.7</v>
      </c>
      <c r="K329">
        <v>449</v>
      </c>
      <c r="L329">
        <v>67.8</v>
      </c>
      <c r="M329">
        <v>484</v>
      </c>
      <c r="N329">
        <v>66.2</v>
      </c>
      <c r="O329">
        <v>462</v>
      </c>
      <c r="P329" t="s">
        <v>327</v>
      </c>
      <c r="Q329" s="1">
        <v>37865</v>
      </c>
      <c r="R329">
        <v>15</v>
      </c>
      <c r="S329" s="2">
        <v>0.09</v>
      </c>
      <c r="T329" s="3">
        <v>2.0770833333333334</v>
      </c>
      <c r="U329" s="2">
        <v>0.36</v>
      </c>
      <c r="V329" t="s">
        <v>781</v>
      </c>
      <c r="W329" t="s">
        <v>782</v>
      </c>
      <c r="X329" t="b">
        <v>0</v>
      </c>
      <c r="Y329" t="b">
        <v>0</v>
      </c>
    </row>
    <row r="330" spans="1:25">
      <c r="A330">
        <v>3290</v>
      </c>
      <c r="B330" t="s">
        <v>726</v>
      </c>
      <c r="C330" t="s">
        <v>783</v>
      </c>
      <c r="D330" t="s">
        <v>728</v>
      </c>
      <c r="E330">
        <v>3290</v>
      </c>
      <c r="F330">
        <v>39.1</v>
      </c>
      <c r="G330">
        <v>332</v>
      </c>
      <c r="H330">
        <v>21.3</v>
      </c>
      <c r="I330">
        <v>756</v>
      </c>
      <c r="J330">
        <v>91.7</v>
      </c>
      <c r="K330">
        <v>98</v>
      </c>
      <c r="L330">
        <v>86.8</v>
      </c>
      <c r="M330">
        <v>188</v>
      </c>
      <c r="N330">
        <v>34.6</v>
      </c>
      <c r="O330">
        <v>1334</v>
      </c>
      <c r="P330" t="s">
        <v>29</v>
      </c>
      <c r="Q330" s="1">
        <v>2984</v>
      </c>
      <c r="R330">
        <v>0.9</v>
      </c>
      <c r="S330" s="2">
        <v>0.03</v>
      </c>
      <c r="T330" s="3">
        <v>2.8555555555555556</v>
      </c>
      <c r="U330" s="2">
        <v>0.05</v>
      </c>
      <c r="V330" t="s">
        <v>783</v>
      </c>
      <c r="W330" t="s">
        <v>784</v>
      </c>
      <c r="X330" t="b">
        <v>0</v>
      </c>
      <c r="Y330" t="b">
        <v>0</v>
      </c>
    </row>
    <row r="331" spans="1:25">
      <c r="A331">
        <v>3300</v>
      </c>
      <c r="B331" t="s">
        <v>726</v>
      </c>
      <c r="C331" t="s">
        <v>785</v>
      </c>
      <c r="D331" t="s">
        <v>728</v>
      </c>
      <c r="E331">
        <v>3300</v>
      </c>
      <c r="F331">
        <v>35.6</v>
      </c>
      <c r="G331">
        <v>442</v>
      </c>
      <c r="H331">
        <v>35.1</v>
      </c>
      <c r="I331">
        <v>347</v>
      </c>
      <c r="J331">
        <v>75.8</v>
      </c>
      <c r="K331">
        <v>425</v>
      </c>
      <c r="L331">
        <v>68.8</v>
      </c>
      <c r="M331">
        <v>459</v>
      </c>
      <c r="N331">
        <v>81.8</v>
      </c>
      <c r="O331">
        <v>227</v>
      </c>
      <c r="P331" t="s">
        <v>380</v>
      </c>
      <c r="Q331" s="1">
        <v>19350</v>
      </c>
      <c r="R331">
        <v>20.6</v>
      </c>
      <c r="S331" s="2">
        <v>0.16</v>
      </c>
      <c r="T331" s="3">
        <v>2.5687500000000001</v>
      </c>
      <c r="U331" s="2">
        <v>0.16</v>
      </c>
      <c r="V331" t="s">
        <v>785</v>
      </c>
      <c r="W331" t="s">
        <v>786</v>
      </c>
      <c r="X331" t="b">
        <v>0</v>
      </c>
      <c r="Y331" t="b">
        <v>0</v>
      </c>
    </row>
    <row r="332" spans="1:25">
      <c r="A332">
        <v>3310</v>
      </c>
      <c r="B332" t="s">
        <v>726</v>
      </c>
      <c r="C332" t="s">
        <v>787</v>
      </c>
      <c r="D332" t="s">
        <v>728</v>
      </c>
      <c r="E332">
        <v>3310</v>
      </c>
      <c r="F332">
        <v>37.6</v>
      </c>
      <c r="G332">
        <v>375</v>
      </c>
      <c r="H332">
        <v>32.299999999999997</v>
      </c>
      <c r="I332">
        <v>412</v>
      </c>
      <c r="J332">
        <v>82.7</v>
      </c>
      <c r="K332">
        <v>267</v>
      </c>
      <c r="L332">
        <v>80.400000000000006</v>
      </c>
      <c r="M332">
        <v>259</v>
      </c>
      <c r="N332">
        <v>50.4</v>
      </c>
      <c r="O332">
        <v>795</v>
      </c>
      <c r="P332" t="s">
        <v>397</v>
      </c>
      <c r="Q332" s="1">
        <v>17701</v>
      </c>
      <c r="R332">
        <v>31.5</v>
      </c>
      <c r="S332" s="2">
        <v>0.09</v>
      </c>
      <c r="T332" s="3">
        <v>2.2819444444444446</v>
      </c>
      <c r="U332" s="2">
        <v>0.24</v>
      </c>
      <c r="V332" t="s">
        <v>787</v>
      </c>
      <c r="W332" t="s">
        <v>788</v>
      </c>
      <c r="X332" t="b">
        <v>0</v>
      </c>
      <c r="Y332" t="b">
        <v>0</v>
      </c>
    </row>
    <row r="333" spans="1:25">
      <c r="A333">
        <v>3320</v>
      </c>
      <c r="B333" t="s">
        <v>726</v>
      </c>
      <c r="C333" t="s">
        <v>789</v>
      </c>
      <c r="D333" t="s">
        <v>728</v>
      </c>
      <c r="E333">
        <v>3320</v>
      </c>
      <c r="F333">
        <v>39.9</v>
      </c>
      <c r="G333">
        <v>311</v>
      </c>
      <c r="H333">
        <v>33.5</v>
      </c>
      <c r="I333">
        <v>390</v>
      </c>
      <c r="J333">
        <v>74.3</v>
      </c>
      <c r="K333">
        <v>459</v>
      </c>
      <c r="L333">
        <v>77.5</v>
      </c>
      <c r="M333">
        <v>296</v>
      </c>
      <c r="N333">
        <v>66.900000000000006</v>
      </c>
      <c r="O333">
        <v>449</v>
      </c>
      <c r="P333" t="s">
        <v>397</v>
      </c>
      <c r="Q333" s="1">
        <v>18480</v>
      </c>
      <c r="R333">
        <v>24</v>
      </c>
      <c r="S333" s="2">
        <v>0.2</v>
      </c>
      <c r="T333" s="3">
        <v>2.4458333333333333</v>
      </c>
      <c r="U333" s="2">
        <v>0.27</v>
      </c>
      <c r="V333" t="s">
        <v>789</v>
      </c>
      <c r="W333" t="s">
        <v>790</v>
      </c>
      <c r="X333" t="b">
        <v>0</v>
      </c>
      <c r="Y333" t="b">
        <v>0</v>
      </c>
    </row>
    <row r="334" spans="1:25">
      <c r="A334">
        <v>3330</v>
      </c>
      <c r="B334" t="s">
        <v>726</v>
      </c>
      <c r="C334" t="s">
        <v>791</v>
      </c>
      <c r="D334" t="s">
        <v>728</v>
      </c>
      <c r="E334">
        <v>3330</v>
      </c>
      <c r="F334">
        <v>31.6</v>
      </c>
      <c r="G334">
        <v>609</v>
      </c>
      <c r="H334">
        <v>29.3</v>
      </c>
      <c r="I334">
        <v>490</v>
      </c>
      <c r="J334">
        <v>79</v>
      </c>
      <c r="K334">
        <v>344</v>
      </c>
      <c r="L334">
        <v>63.3</v>
      </c>
      <c r="M334">
        <v>582</v>
      </c>
      <c r="N334">
        <v>94.6</v>
      </c>
      <c r="O334">
        <v>58</v>
      </c>
      <c r="P334" t="s">
        <v>26</v>
      </c>
      <c r="Q334" s="1">
        <v>11290</v>
      </c>
      <c r="R334">
        <v>16.100000000000001</v>
      </c>
      <c r="S334" s="2">
        <v>0.31</v>
      </c>
      <c r="T334" s="3">
        <v>2.3229166666666665</v>
      </c>
      <c r="U334" s="2">
        <v>0.3</v>
      </c>
      <c r="V334" t="s">
        <v>791</v>
      </c>
      <c r="W334" t="s">
        <v>792</v>
      </c>
      <c r="X334" t="b">
        <v>0</v>
      </c>
      <c r="Y334" t="b">
        <v>0</v>
      </c>
    </row>
    <row r="335" spans="1:25">
      <c r="A335">
        <v>3340</v>
      </c>
      <c r="B335" t="s">
        <v>726</v>
      </c>
      <c r="C335" t="s">
        <v>793</v>
      </c>
      <c r="D335" t="s">
        <v>728</v>
      </c>
      <c r="E335">
        <v>3340</v>
      </c>
      <c r="F335">
        <v>23.5</v>
      </c>
      <c r="G335">
        <v>1114</v>
      </c>
      <c r="H335">
        <v>25.8</v>
      </c>
      <c r="I335">
        <v>581</v>
      </c>
      <c r="J335">
        <v>93.5</v>
      </c>
      <c r="K335">
        <v>66</v>
      </c>
      <c r="L335">
        <v>66.8</v>
      </c>
      <c r="M335">
        <v>509</v>
      </c>
      <c r="N335">
        <v>79.5</v>
      </c>
      <c r="O335">
        <v>261</v>
      </c>
      <c r="P335" t="s">
        <v>26</v>
      </c>
      <c r="Q335" s="1">
        <v>3725</v>
      </c>
      <c r="R335">
        <v>13.1</v>
      </c>
      <c r="S335" s="2">
        <v>0.18</v>
      </c>
      <c r="T335" s="3">
        <v>2.7736111111111112</v>
      </c>
      <c r="U335" s="2">
        <v>0.04</v>
      </c>
      <c r="V335" t="s">
        <v>793</v>
      </c>
      <c r="W335" t="s">
        <v>253</v>
      </c>
      <c r="X335" t="b">
        <v>0</v>
      </c>
      <c r="Y335" t="b">
        <v>0</v>
      </c>
    </row>
    <row r="336" spans="1:25">
      <c r="A336">
        <v>3350</v>
      </c>
      <c r="B336" t="s">
        <v>726</v>
      </c>
      <c r="C336" t="s">
        <v>794</v>
      </c>
      <c r="D336" t="s">
        <v>728</v>
      </c>
      <c r="E336">
        <v>3350</v>
      </c>
      <c r="F336">
        <v>39.1</v>
      </c>
      <c r="G336">
        <v>337</v>
      </c>
      <c r="H336">
        <v>37.4</v>
      </c>
      <c r="I336">
        <v>301</v>
      </c>
      <c r="J336">
        <v>78.3</v>
      </c>
      <c r="K336">
        <v>359</v>
      </c>
      <c r="L336">
        <v>86.2</v>
      </c>
      <c r="M336">
        <v>193</v>
      </c>
      <c r="N336">
        <v>37</v>
      </c>
      <c r="O336">
        <v>1243</v>
      </c>
      <c r="P336" t="s">
        <v>795</v>
      </c>
      <c r="Q336" s="1">
        <v>9389</v>
      </c>
      <c r="R336">
        <v>21.8</v>
      </c>
      <c r="S336" s="2">
        <v>0.02</v>
      </c>
      <c r="T336" t="s">
        <v>796</v>
      </c>
      <c r="U336" s="2">
        <v>0.47</v>
      </c>
      <c r="V336" t="s">
        <v>794</v>
      </c>
      <c r="W336" t="s">
        <v>797</v>
      </c>
      <c r="X336" t="b">
        <v>0</v>
      </c>
      <c r="Y336" t="b">
        <v>0</v>
      </c>
    </row>
    <row r="337" spans="1:25">
      <c r="A337">
        <v>3360</v>
      </c>
      <c r="B337" t="s">
        <v>726</v>
      </c>
      <c r="C337" t="s">
        <v>798</v>
      </c>
      <c r="D337" t="s">
        <v>728</v>
      </c>
      <c r="E337">
        <v>3360</v>
      </c>
      <c r="F337">
        <v>25</v>
      </c>
      <c r="G337">
        <v>1008</v>
      </c>
      <c r="H337">
        <v>36.799999999999997</v>
      </c>
      <c r="I337">
        <v>307</v>
      </c>
      <c r="J337">
        <v>82.5</v>
      </c>
      <c r="K337">
        <v>273</v>
      </c>
      <c r="L337">
        <v>98.3</v>
      </c>
      <c r="M337">
        <v>85</v>
      </c>
      <c r="N337">
        <v>83.5</v>
      </c>
      <c r="O337">
        <v>204</v>
      </c>
      <c r="P337" t="s">
        <v>116</v>
      </c>
      <c r="Q337" s="1">
        <v>22822</v>
      </c>
      <c r="R337">
        <v>30.2</v>
      </c>
      <c r="S337" s="2">
        <v>0.17</v>
      </c>
      <c r="T337" s="3">
        <v>2.5277777777777777</v>
      </c>
      <c r="U337" s="2">
        <v>0.23</v>
      </c>
      <c r="V337" t="s">
        <v>798</v>
      </c>
      <c r="W337" t="s">
        <v>799</v>
      </c>
      <c r="X337" t="b">
        <v>0</v>
      </c>
      <c r="Y337" t="b">
        <v>0</v>
      </c>
    </row>
    <row r="338" spans="1:25">
      <c r="A338">
        <v>3370</v>
      </c>
      <c r="B338" t="s">
        <v>726</v>
      </c>
      <c r="C338" t="s">
        <v>800</v>
      </c>
      <c r="D338" t="s">
        <v>728</v>
      </c>
      <c r="E338">
        <v>3370</v>
      </c>
      <c r="F338">
        <v>39.9</v>
      </c>
      <c r="G338">
        <v>312</v>
      </c>
      <c r="H338">
        <v>46.3</v>
      </c>
      <c r="I338">
        <v>176</v>
      </c>
      <c r="J338">
        <v>68.400000000000006</v>
      </c>
      <c r="K338">
        <v>597</v>
      </c>
      <c r="L338">
        <v>90.4</v>
      </c>
      <c r="M338">
        <v>162</v>
      </c>
      <c r="N338">
        <v>47.6</v>
      </c>
      <c r="O338">
        <v>877</v>
      </c>
      <c r="P338" t="s">
        <v>54</v>
      </c>
      <c r="Q338" s="1">
        <v>39637</v>
      </c>
      <c r="R338">
        <v>12.4</v>
      </c>
      <c r="S338" s="2">
        <v>0.04</v>
      </c>
      <c r="T338" t="s">
        <v>801</v>
      </c>
      <c r="U338" s="2">
        <v>0.44</v>
      </c>
      <c r="V338" t="s">
        <v>800</v>
      </c>
      <c r="W338" t="s">
        <v>802</v>
      </c>
      <c r="X338" t="b">
        <v>0</v>
      </c>
      <c r="Y338" t="b">
        <v>0</v>
      </c>
    </row>
    <row r="339" spans="1:25">
      <c r="A339">
        <v>3380</v>
      </c>
      <c r="B339" t="s">
        <v>726</v>
      </c>
      <c r="C339" t="s">
        <v>803</v>
      </c>
      <c r="D339" t="s">
        <v>728</v>
      </c>
      <c r="E339">
        <v>3380</v>
      </c>
      <c r="F339">
        <v>33.799999999999997</v>
      </c>
      <c r="G339">
        <v>505</v>
      </c>
      <c r="H339">
        <v>39.5</v>
      </c>
      <c r="I339">
        <v>254</v>
      </c>
      <c r="J339">
        <v>76.900000000000006</v>
      </c>
      <c r="K339">
        <v>400</v>
      </c>
      <c r="L339">
        <v>89.8</v>
      </c>
      <c r="M339">
        <v>169</v>
      </c>
      <c r="N339">
        <v>59.9</v>
      </c>
      <c r="O339">
        <v>587</v>
      </c>
      <c r="P339" t="s">
        <v>421</v>
      </c>
      <c r="Q339" s="1">
        <v>25140</v>
      </c>
      <c r="R339">
        <v>25.7</v>
      </c>
      <c r="S339" s="2">
        <v>7.0000000000000007E-2</v>
      </c>
      <c r="T339" s="3">
        <v>2.3638888888888889</v>
      </c>
      <c r="U339" s="2">
        <v>0.2</v>
      </c>
      <c r="V339" t="s">
        <v>804</v>
      </c>
      <c r="W339" t="s">
        <v>805</v>
      </c>
      <c r="X339" t="b">
        <v>0</v>
      </c>
      <c r="Y339" t="b">
        <v>0</v>
      </c>
    </row>
    <row r="340" spans="1:25">
      <c r="A340">
        <v>3390</v>
      </c>
      <c r="B340" t="s">
        <v>726</v>
      </c>
      <c r="C340" t="s">
        <v>806</v>
      </c>
      <c r="D340" t="s">
        <v>728</v>
      </c>
      <c r="E340">
        <v>3390</v>
      </c>
      <c r="F340">
        <v>32.4</v>
      </c>
      <c r="G340">
        <v>577</v>
      </c>
      <c r="H340">
        <v>35.5</v>
      </c>
      <c r="I340">
        <v>335</v>
      </c>
      <c r="J340">
        <v>71.2</v>
      </c>
      <c r="K340">
        <v>533</v>
      </c>
      <c r="L340">
        <v>75.5</v>
      </c>
      <c r="M340">
        <v>327</v>
      </c>
      <c r="N340">
        <v>91.9</v>
      </c>
      <c r="O340">
        <v>102</v>
      </c>
      <c r="P340" t="s">
        <v>26</v>
      </c>
      <c r="Q340" s="1">
        <v>20400</v>
      </c>
      <c r="R340">
        <v>16.3</v>
      </c>
      <c r="S340" s="2">
        <v>0.25</v>
      </c>
      <c r="T340" s="3">
        <v>2.1590277777777778</v>
      </c>
      <c r="U340" s="2">
        <v>0.4</v>
      </c>
      <c r="V340" t="s">
        <v>806</v>
      </c>
      <c r="W340" t="s">
        <v>807</v>
      </c>
      <c r="X340" t="b">
        <v>0</v>
      </c>
      <c r="Y340" t="b">
        <v>0</v>
      </c>
    </row>
    <row r="341" spans="1:25">
      <c r="A341">
        <v>3400</v>
      </c>
      <c r="B341" t="s">
        <v>726</v>
      </c>
      <c r="C341" t="s">
        <v>808</v>
      </c>
      <c r="D341" t="s">
        <v>728</v>
      </c>
      <c r="E341">
        <v>3400</v>
      </c>
      <c r="F341">
        <v>34.700000000000003</v>
      </c>
      <c r="G341">
        <v>473</v>
      </c>
      <c r="H341">
        <v>34.9</v>
      </c>
      <c r="I341">
        <v>352</v>
      </c>
      <c r="J341">
        <v>78.8</v>
      </c>
      <c r="K341">
        <v>348</v>
      </c>
      <c r="L341">
        <v>85.4</v>
      </c>
      <c r="M341">
        <v>203</v>
      </c>
      <c r="N341">
        <v>54.4</v>
      </c>
      <c r="O341">
        <v>686</v>
      </c>
      <c r="P341" t="s">
        <v>150</v>
      </c>
      <c r="Q341" s="1">
        <v>4437</v>
      </c>
      <c r="R341">
        <v>4.7</v>
      </c>
      <c r="S341" s="2">
        <v>0.08</v>
      </c>
      <c r="T341" s="3">
        <v>2.9784722222222224</v>
      </c>
      <c r="U341" s="2">
        <v>0.24</v>
      </c>
      <c r="V341" t="s">
        <v>808</v>
      </c>
      <c r="W341" t="s">
        <v>809</v>
      </c>
      <c r="X341" t="b">
        <v>0</v>
      </c>
      <c r="Y341" t="b">
        <v>0</v>
      </c>
    </row>
    <row r="342" spans="1:25">
      <c r="A342">
        <v>3410</v>
      </c>
      <c r="B342" t="s">
        <v>726</v>
      </c>
      <c r="C342" t="s">
        <v>810</v>
      </c>
      <c r="D342" t="s">
        <v>728</v>
      </c>
      <c r="E342">
        <v>3410</v>
      </c>
      <c r="F342">
        <v>30.6</v>
      </c>
      <c r="G342">
        <v>664</v>
      </c>
      <c r="H342">
        <v>38.4</v>
      </c>
      <c r="I342">
        <v>275</v>
      </c>
      <c r="J342">
        <v>80.900000000000006</v>
      </c>
      <c r="K342">
        <v>304</v>
      </c>
      <c r="L342">
        <v>93.1</v>
      </c>
      <c r="M342">
        <v>136</v>
      </c>
      <c r="N342">
        <v>49.8</v>
      </c>
      <c r="O342">
        <v>809</v>
      </c>
      <c r="P342" t="s">
        <v>313</v>
      </c>
      <c r="Q342" s="1">
        <v>16236</v>
      </c>
      <c r="R342">
        <v>20.7</v>
      </c>
      <c r="S342" s="2">
        <v>7.0000000000000007E-2</v>
      </c>
      <c r="T342" s="3">
        <v>2.3229166666666665</v>
      </c>
      <c r="U342" s="2">
        <v>0.27</v>
      </c>
      <c r="V342" t="s">
        <v>810</v>
      </c>
      <c r="W342" t="s">
        <v>811</v>
      </c>
      <c r="X342" t="b">
        <v>0</v>
      </c>
      <c r="Y342" t="b">
        <v>0</v>
      </c>
    </row>
    <row r="343" spans="1:25">
      <c r="A343">
        <v>3420</v>
      </c>
      <c r="B343" t="s">
        <v>726</v>
      </c>
      <c r="C343" t="s">
        <v>812</v>
      </c>
      <c r="D343" t="s">
        <v>728</v>
      </c>
      <c r="E343">
        <v>3420</v>
      </c>
      <c r="F343">
        <v>32.799999999999997</v>
      </c>
      <c r="G343">
        <v>555</v>
      </c>
      <c r="H343">
        <v>31.8</v>
      </c>
      <c r="I343">
        <v>422</v>
      </c>
      <c r="J343">
        <v>86.5</v>
      </c>
      <c r="K343">
        <v>184</v>
      </c>
      <c r="L343">
        <v>64.099999999999994</v>
      </c>
      <c r="M343">
        <v>566</v>
      </c>
      <c r="N343">
        <v>60.7</v>
      </c>
      <c r="O343">
        <v>572</v>
      </c>
      <c r="P343" t="s">
        <v>813</v>
      </c>
      <c r="Q343" s="1">
        <v>9694</v>
      </c>
      <c r="R343">
        <v>9</v>
      </c>
      <c r="S343" s="2">
        <v>0.12</v>
      </c>
      <c r="T343" s="3">
        <v>2.8555555555555556</v>
      </c>
      <c r="U343" s="2">
        <v>0.25</v>
      </c>
      <c r="V343" t="s">
        <v>812</v>
      </c>
      <c r="W343" t="s">
        <v>814</v>
      </c>
      <c r="X343" t="b">
        <v>0</v>
      </c>
      <c r="Y343" t="b">
        <v>0</v>
      </c>
    </row>
    <row r="344" spans="1:25">
      <c r="A344">
        <v>3430</v>
      </c>
      <c r="B344" t="s">
        <v>726</v>
      </c>
      <c r="C344" t="s">
        <v>815</v>
      </c>
      <c r="D344" t="s">
        <v>728</v>
      </c>
      <c r="E344">
        <v>3430</v>
      </c>
      <c r="F344">
        <v>33.799999999999997</v>
      </c>
      <c r="G344">
        <v>507</v>
      </c>
      <c r="H344">
        <v>37.799999999999997</v>
      </c>
      <c r="I344">
        <v>296</v>
      </c>
      <c r="J344">
        <v>77.7</v>
      </c>
      <c r="K344">
        <v>379</v>
      </c>
      <c r="L344">
        <v>67.900000000000006</v>
      </c>
      <c r="M344">
        <v>483</v>
      </c>
      <c r="N344">
        <v>77.8</v>
      </c>
      <c r="O344">
        <v>282</v>
      </c>
      <c r="P344" t="s">
        <v>664</v>
      </c>
      <c r="Q344" s="1">
        <v>4570</v>
      </c>
      <c r="R344">
        <v>13.1</v>
      </c>
      <c r="S344" s="2">
        <v>0.12</v>
      </c>
      <c r="T344" t="s">
        <v>40</v>
      </c>
      <c r="U344" s="2">
        <v>0.49</v>
      </c>
      <c r="V344" t="s">
        <v>816</v>
      </c>
      <c r="W344" t="s">
        <v>817</v>
      </c>
      <c r="X344" t="b">
        <v>0</v>
      </c>
      <c r="Y344" t="b">
        <v>0</v>
      </c>
    </row>
    <row r="345" spans="1:25">
      <c r="A345">
        <v>3440</v>
      </c>
      <c r="B345" t="s">
        <v>726</v>
      </c>
      <c r="C345" t="s">
        <v>818</v>
      </c>
      <c r="D345" t="s">
        <v>728</v>
      </c>
      <c r="E345">
        <v>3440</v>
      </c>
      <c r="F345">
        <v>38</v>
      </c>
      <c r="G345">
        <v>362</v>
      </c>
      <c r="H345">
        <v>31.6</v>
      </c>
      <c r="I345">
        <v>429</v>
      </c>
      <c r="J345">
        <v>84.5</v>
      </c>
      <c r="K345">
        <v>224</v>
      </c>
      <c r="L345">
        <v>72.900000000000006</v>
      </c>
      <c r="M345">
        <v>373</v>
      </c>
      <c r="N345">
        <v>56.1</v>
      </c>
      <c r="O345">
        <v>660</v>
      </c>
      <c r="P345" t="s">
        <v>29</v>
      </c>
      <c r="Q345" s="1">
        <v>28377</v>
      </c>
      <c r="R345">
        <v>17</v>
      </c>
      <c r="S345" s="2">
        <v>0.03</v>
      </c>
      <c r="U345" s="2">
        <v>0.33</v>
      </c>
      <c r="V345" t="s">
        <v>818</v>
      </c>
      <c r="W345" t="s">
        <v>819</v>
      </c>
      <c r="X345" t="b">
        <v>0</v>
      </c>
      <c r="Y345" t="b">
        <v>0</v>
      </c>
    </row>
    <row r="346" spans="1:25">
      <c r="A346">
        <v>3450</v>
      </c>
      <c r="B346" t="s">
        <v>726</v>
      </c>
      <c r="C346" t="s">
        <v>820</v>
      </c>
      <c r="D346" t="s">
        <v>728</v>
      </c>
      <c r="E346">
        <v>3450</v>
      </c>
      <c r="F346">
        <v>31.6</v>
      </c>
      <c r="G346">
        <v>611</v>
      </c>
      <c r="H346">
        <v>34.9</v>
      </c>
      <c r="I346">
        <v>353</v>
      </c>
      <c r="J346">
        <v>83.3</v>
      </c>
      <c r="K346">
        <v>251</v>
      </c>
      <c r="L346">
        <v>67</v>
      </c>
      <c r="M346">
        <v>499</v>
      </c>
      <c r="N346">
        <v>52.5</v>
      </c>
      <c r="O346">
        <v>728</v>
      </c>
      <c r="P346" t="s">
        <v>313</v>
      </c>
      <c r="Q346" s="1">
        <v>13528</v>
      </c>
      <c r="R346">
        <v>15.7</v>
      </c>
      <c r="S346" s="2">
        <v>0.06</v>
      </c>
      <c r="T346" s="3">
        <v>2.6506944444444445</v>
      </c>
      <c r="U346" s="2">
        <v>0.17</v>
      </c>
      <c r="V346" t="s">
        <v>820</v>
      </c>
      <c r="W346" t="s">
        <v>821</v>
      </c>
      <c r="X346" t="b">
        <v>0</v>
      </c>
      <c r="Y346" t="b">
        <v>0</v>
      </c>
    </row>
    <row r="347" spans="1:25">
      <c r="A347">
        <v>3460</v>
      </c>
      <c r="B347" t="s">
        <v>726</v>
      </c>
      <c r="C347" t="s">
        <v>822</v>
      </c>
      <c r="D347" t="s">
        <v>728</v>
      </c>
      <c r="E347">
        <v>3460</v>
      </c>
      <c r="F347">
        <v>27</v>
      </c>
      <c r="G347">
        <v>879</v>
      </c>
      <c r="H347">
        <v>34.5</v>
      </c>
      <c r="I347">
        <v>364</v>
      </c>
      <c r="J347">
        <v>83.2</v>
      </c>
      <c r="K347">
        <v>258</v>
      </c>
      <c r="L347">
        <v>77.400000000000006</v>
      </c>
      <c r="M347">
        <v>299</v>
      </c>
      <c r="N347">
        <v>89.1</v>
      </c>
      <c r="O347">
        <v>137</v>
      </c>
      <c r="P347" t="s">
        <v>608</v>
      </c>
      <c r="Q347" s="1">
        <v>8147</v>
      </c>
      <c r="R347">
        <v>12.6</v>
      </c>
      <c r="S347" s="2">
        <v>0.18</v>
      </c>
      <c r="T347" s="3">
        <v>3.1013888888888888</v>
      </c>
      <c r="U347" s="2">
        <v>0.31</v>
      </c>
      <c r="V347" t="s">
        <v>822</v>
      </c>
      <c r="W347" t="s">
        <v>823</v>
      </c>
      <c r="X347" t="b">
        <v>0</v>
      </c>
      <c r="Y347" t="b">
        <v>0</v>
      </c>
    </row>
    <row r="348" spans="1:25">
      <c r="A348">
        <v>3470</v>
      </c>
      <c r="B348" t="s">
        <v>726</v>
      </c>
      <c r="C348" t="s">
        <v>824</v>
      </c>
      <c r="D348" t="s">
        <v>728</v>
      </c>
      <c r="E348">
        <v>3470</v>
      </c>
      <c r="F348">
        <v>28.3</v>
      </c>
      <c r="G348">
        <v>793</v>
      </c>
      <c r="H348">
        <v>31.6</v>
      </c>
      <c r="I348">
        <v>430</v>
      </c>
      <c r="J348">
        <v>82.4</v>
      </c>
      <c r="K348">
        <v>279</v>
      </c>
      <c r="L348">
        <v>75.900000000000006</v>
      </c>
      <c r="M348">
        <v>319</v>
      </c>
      <c r="N348">
        <v>77.2</v>
      </c>
      <c r="O348">
        <v>296</v>
      </c>
      <c r="P348" t="s">
        <v>343</v>
      </c>
      <c r="Q348" s="1">
        <v>18567</v>
      </c>
      <c r="R348">
        <v>21.1</v>
      </c>
      <c r="S348" s="2">
        <v>0.16</v>
      </c>
      <c r="T348" s="3">
        <v>2.4868055555555557</v>
      </c>
      <c r="U348" s="2">
        <v>0.22</v>
      </c>
      <c r="V348" t="s">
        <v>825</v>
      </c>
      <c r="W348" t="s">
        <v>826</v>
      </c>
      <c r="X348" t="b">
        <v>0</v>
      </c>
      <c r="Y348" t="b">
        <v>0</v>
      </c>
    </row>
    <row r="349" spans="1:25">
      <c r="A349">
        <v>3480</v>
      </c>
      <c r="B349" t="s">
        <v>726</v>
      </c>
      <c r="C349" t="s">
        <v>827</v>
      </c>
      <c r="D349" t="s">
        <v>728</v>
      </c>
      <c r="E349">
        <v>3480</v>
      </c>
      <c r="F349">
        <v>36.9</v>
      </c>
      <c r="G349">
        <v>394</v>
      </c>
      <c r="H349">
        <v>34.5</v>
      </c>
      <c r="I349">
        <v>365</v>
      </c>
      <c r="J349">
        <v>74.8</v>
      </c>
      <c r="K349">
        <v>443</v>
      </c>
      <c r="L349">
        <v>82.9</v>
      </c>
      <c r="M349">
        <v>230</v>
      </c>
      <c r="N349">
        <v>60.3</v>
      </c>
      <c r="O349">
        <v>579</v>
      </c>
      <c r="P349" t="s">
        <v>29</v>
      </c>
      <c r="Q349" s="1">
        <v>28896</v>
      </c>
      <c r="R349">
        <v>18.8</v>
      </c>
      <c r="S349" s="2">
        <v>0.06</v>
      </c>
      <c r="T349" s="3">
        <v>2.3229166666666665</v>
      </c>
      <c r="U349" s="2">
        <v>0.28999999999999998</v>
      </c>
      <c r="V349" t="s">
        <v>827</v>
      </c>
      <c r="W349" t="s">
        <v>828</v>
      </c>
      <c r="X349" t="b">
        <v>0</v>
      </c>
      <c r="Y349" t="b">
        <v>0</v>
      </c>
    </row>
    <row r="350" spans="1:25">
      <c r="A350">
        <v>3490</v>
      </c>
      <c r="B350" t="s">
        <v>726</v>
      </c>
      <c r="C350" t="s">
        <v>829</v>
      </c>
      <c r="D350" t="s">
        <v>728</v>
      </c>
      <c r="E350">
        <v>3490</v>
      </c>
      <c r="F350">
        <v>29.5</v>
      </c>
      <c r="G350">
        <v>725</v>
      </c>
      <c r="H350">
        <v>31.7</v>
      </c>
      <c r="I350">
        <v>424</v>
      </c>
      <c r="J350">
        <v>87.7</v>
      </c>
      <c r="K350">
        <v>158</v>
      </c>
      <c r="L350">
        <v>51.5</v>
      </c>
      <c r="M350">
        <v>785</v>
      </c>
      <c r="N350">
        <v>87.2</v>
      </c>
      <c r="O350">
        <v>164</v>
      </c>
      <c r="P350" t="s">
        <v>116</v>
      </c>
      <c r="Q350" s="1">
        <v>35590</v>
      </c>
      <c r="R350">
        <v>41.8</v>
      </c>
      <c r="S350" s="2">
        <v>0.21</v>
      </c>
      <c r="T350" s="3">
        <v>2.4868055555555557</v>
      </c>
      <c r="U350" s="2">
        <v>0.21</v>
      </c>
      <c r="V350" t="s">
        <v>830</v>
      </c>
      <c r="W350" t="s">
        <v>831</v>
      </c>
      <c r="X350" t="b">
        <v>0</v>
      </c>
      <c r="Y350" t="b">
        <v>0</v>
      </c>
    </row>
    <row r="351" spans="1:25">
      <c r="A351">
        <v>3500</v>
      </c>
      <c r="B351" t="s">
        <v>726</v>
      </c>
      <c r="C351" t="s">
        <v>832</v>
      </c>
      <c r="D351" t="s">
        <v>728</v>
      </c>
      <c r="E351">
        <v>3500</v>
      </c>
      <c r="F351">
        <v>33</v>
      </c>
      <c r="G351">
        <v>545</v>
      </c>
      <c r="H351">
        <v>42.9</v>
      </c>
      <c r="I351">
        <v>213</v>
      </c>
      <c r="J351">
        <v>72.400000000000006</v>
      </c>
      <c r="K351">
        <v>503</v>
      </c>
      <c r="L351">
        <v>81.3</v>
      </c>
      <c r="M351">
        <v>249</v>
      </c>
      <c r="N351">
        <v>76.3</v>
      </c>
      <c r="O351">
        <v>310</v>
      </c>
      <c r="P351" t="s">
        <v>421</v>
      </c>
      <c r="Q351" s="1">
        <v>27765</v>
      </c>
      <c r="R351">
        <v>24.4</v>
      </c>
      <c r="S351" s="2">
        <v>7.0000000000000007E-2</v>
      </c>
      <c r="T351" s="3">
        <v>2.4048611111111109</v>
      </c>
      <c r="U351" s="2">
        <v>0.21</v>
      </c>
      <c r="V351" t="s">
        <v>833</v>
      </c>
      <c r="W351" t="s">
        <v>834</v>
      </c>
      <c r="X351" t="b">
        <v>0</v>
      </c>
      <c r="Y351" t="b">
        <v>0</v>
      </c>
    </row>
    <row r="352" spans="1:25">
      <c r="A352">
        <v>3510</v>
      </c>
      <c r="B352" t="s">
        <v>726</v>
      </c>
      <c r="C352" t="s">
        <v>835</v>
      </c>
      <c r="D352" t="s">
        <v>728</v>
      </c>
      <c r="E352">
        <v>3510</v>
      </c>
      <c r="F352">
        <v>38</v>
      </c>
      <c r="G352">
        <v>363</v>
      </c>
      <c r="H352">
        <v>33.5</v>
      </c>
      <c r="I352">
        <v>393</v>
      </c>
      <c r="J352">
        <v>83.7</v>
      </c>
      <c r="K352">
        <v>244</v>
      </c>
      <c r="L352">
        <v>72.099999999999994</v>
      </c>
      <c r="M352">
        <v>386</v>
      </c>
      <c r="N352">
        <v>38.4</v>
      </c>
      <c r="O352">
        <v>1177</v>
      </c>
      <c r="P352" t="s">
        <v>54</v>
      </c>
      <c r="Q352" s="1">
        <v>44715</v>
      </c>
      <c r="R352">
        <v>15.1</v>
      </c>
      <c r="S352" s="2">
        <v>0.02</v>
      </c>
      <c r="U352" s="2">
        <v>0.33</v>
      </c>
      <c r="V352" t="s">
        <v>835</v>
      </c>
      <c r="W352" t="s">
        <v>836</v>
      </c>
      <c r="X352" t="b">
        <v>0</v>
      </c>
      <c r="Y352" t="b">
        <v>0</v>
      </c>
    </row>
    <row r="353" spans="1:25">
      <c r="A353">
        <v>3520</v>
      </c>
      <c r="B353" t="s">
        <v>837</v>
      </c>
      <c r="C353" t="s">
        <v>838</v>
      </c>
      <c r="D353" t="s">
        <v>839</v>
      </c>
      <c r="E353">
        <v>3520</v>
      </c>
      <c r="F353">
        <v>43</v>
      </c>
      <c r="G353">
        <v>237</v>
      </c>
      <c r="H353">
        <v>27.2</v>
      </c>
      <c r="I353">
        <v>533</v>
      </c>
      <c r="J353">
        <v>71.900000000000006</v>
      </c>
      <c r="K353">
        <v>509</v>
      </c>
      <c r="L353">
        <v>63.2</v>
      </c>
      <c r="M353">
        <v>583</v>
      </c>
      <c r="N353">
        <v>76.3</v>
      </c>
      <c r="O353">
        <v>308</v>
      </c>
      <c r="P353" t="s">
        <v>125</v>
      </c>
      <c r="Q353" s="1">
        <v>72946</v>
      </c>
      <c r="R353">
        <v>17.3</v>
      </c>
      <c r="S353" s="2">
        <v>0.14000000000000001</v>
      </c>
      <c r="T353" s="3">
        <v>2.5277777777777777</v>
      </c>
      <c r="U353" s="2">
        <v>0.26</v>
      </c>
      <c r="V353" t="s">
        <v>838</v>
      </c>
      <c r="W353" t="s">
        <v>840</v>
      </c>
      <c r="X353" t="b">
        <v>0</v>
      </c>
      <c r="Y353" t="b">
        <v>0</v>
      </c>
    </row>
    <row r="354" spans="1:25">
      <c r="A354">
        <v>3530</v>
      </c>
      <c r="B354" t="s">
        <v>837</v>
      </c>
      <c r="C354" t="s">
        <v>841</v>
      </c>
      <c r="D354" t="s">
        <v>839</v>
      </c>
      <c r="E354">
        <v>3530</v>
      </c>
      <c r="F354">
        <v>34.799999999999997</v>
      </c>
      <c r="G354">
        <v>468</v>
      </c>
      <c r="H354">
        <v>33.700000000000003</v>
      </c>
      <c r="I354">
        <v>385</v>
      </c>
      <c r="J354">
        <v>77</v>
      </c>
      <c r="K354">
        <v>395</v>
      </c>
      <c r="L354">
        <v>85.1</v>
      </c>
      <c r="M354">
        <v>207</v>
      </c>
      <c r="N354">
        <v>38.799999999999997</v>
      </c>
      <c r="O354">
        <v>1159</v>
      </c>
      <c r="P354" t="s">
        <v>795</v>
      </c>
      <c r="Q354" s="1">
        <v>9859</v>
      </c>
      <c r="R354">
        <v>20.2</v>
      </c>
      <c r="S354" s="2">
        <v>0.03</v>
      </c>
      <c r="T354" t="s">
        <v>350</v>
      </c>
      <c r="U354" s="2">
        <v>0.47</v>
      </c>
      <c r="V354" t="s">
        <v>841</v>
      </c>
      <c r="W354" t="s">
        <v>842</v>
      </c>
      <c r="X354" t="b">
        <v>0</v>
      </c>
      <c r="Y354" t="b">
        <v>0</v>
      </c>
    </row>
    <row r="355" spans="1:25">
      <c r="A355">
        <v>3540</v>
      </c>
      <c r="B355" t="s">
        <v>837</v>
      </c>
      <c r="C355" t="s">
        <v>843</v>
      </c>
      <c r="D355" t="s">
        <v>839</v>
      </c>
      <c r="E355">
        <v>3540</v>
      </c>
      <c r="F355">
        <v>38.700000000000003</v>
      </c>
      <c r="G355">
        <v>343</v>
      </c>
      <c r="H355">
        <v>29.9</v>
      </c>
      <c r="I355">
        <v>473</v>
      </c>
      <c r="J355">
        <v>76.3</v>
      </c>
      <c r="K355">
        <v>408</v>
      </c>
      <c r="L355">
        <v>65.400000000000006</v>
      </c>
      <c r="M355">
        <v>539</v>
      </c>
      <c r="N355">
        <v>60.9</v>
      </c>
      <c r="O355">
        <v>566</v>
      </c>
      <c r="P355" t="s">
        <v>386</v>
      </c>
      <c r="Q355" s="1">
        <v>30227</v>
      </c>
      <c r="R355">
        <v>13.4</v>
      </c>
      <c r="S355" s="2">
        <v>0.15</v>
      </c>
      <c r="T355" s="3">
        <v>2.6097222222222221</v>
      </c>
      <c r="U355" s="2">
        <v>0.26</v>
      </c>
      <c r="V355" t="s">
        <v>843</v>
      </c>
      <c r="W355" t="s">
        <v>844</v>
      </c>
      <c r="X355" t="b">
        <v>0</v>
      </c>
      <c r="Y355" t="b">
        <v>0</v>
      </c>
    </row>
    <row r="356" spans="1:25">
      <c r="A356">
        <v>3550</v>
      </c>
      <c r="B356" t="s">
        <v>837</v>
      </c>
      <c r="C356" t="s">
        <v>845</v>
      </c>
      <c r="D356" t="s">
        <v>839</v>
      </c>
      <c r="E356">
        <v>3550</v>
      </c>
      <c r="F356">
        <v>38</v>
      </c>
      <c r="G356">
        <v>361</v>
      </c>
      <c r="H356">
        <v>40.799999999999997</v>
      </c>
      <c r="I356">
        <v>236</v>
      </c>
      <c r="J356">
        <v>65</v>
      </c>
      <c r="K356">
        <v>672</v>
      </c>
      <c r="L356">
        <v>83.4</v>
      </c>
      <c r="M356">
        <v>222</v>
      </c>
      <c r="N356">
        <v>67.7</v>
      </c>
      <c r="O356">
        <v>435</v>
      </c>
      <c r="P356" t="s">
        <v>99</v>
      </c>
      <c r="Q356" s="1">
        <v>8944</v>
      </c>
      <c r="R356">
        <v>24.5</v>
      </c>
      <c r="S356" s="2">
        <v>0.14000000000000001</v>
      </c>
      <c r="T356" s="3">
        <v>1.9541666666666666</v>
      </c>
      <c r="U356" s="2">
        <v>0.42</v>
      </c>
      <c r="V356" t="s">
        <v>845</v>
      </c>
      <c r="W356" t="s">
        <v>846</v>
      </c>
      <c r="X356" t="b">
        <v>0</v>
      </c>
      <c r="Y356" t="b">
        <v>0</v>
      </c>
    </row>
    <row r="357" spans="1:25">
      <c r="A357">
        <v>3560</v>
      </c>
      <c r="B357" t="s">
        <v>837</v>
      </c>
      <c r="C357" t="s">
        <v>847</v>
      </c>
      <c r="D357" t="s">
        <v>839</v>
      </c>
      <c r="E357">
        <v>3560</v>
      </c>
      <c r="F357">
        <v>37.200000000000003</v>
      </c>
      <c r="G357">
        <v>384</v>
      </c>
      <c r="H357">
        <v>29.9</v>
      </c>
      <c r="I357">
        <v>474</v>
      </c>
      <c r="J357">
        <v>72.5</v>
      </c>
      <c r="K357">
        <v>495</v>
      </c>
      <c r="L357">
        <v>66.7</v>
      </c>
      <c r="M357">
        <v>511</v>
      </c>
      <c r="N357">
        <v>66.599999999999994</v>
      </c>
      <c r="O357">
        <v>455</v>
      </c>
      <c r="P357" t="s">
        <v>125</v>
      </c>
      <c r="Q357" s="1">
        <v>52643</v>
      </c>
      <c r="R357">
        <v>21.7</v>
      </c>
      <c r="S357" s="2">
        <v>0.14000000000000001</v>
      </c>
      <c r="T357" s="3">
        <v>2.5277777777777777</v>
      </c>
      <c r="U357" s="2">
        <v>0.26</v>
      </c>
      <c r="V357" t="s">
        <v>847</v>
      </c>
      <c r="W357" t="s">
        <v>848</v>
      </c>
      <c r="X357" t="b">
        <v>0</v>
      </c>
      <c r="Y357" t="b">
        <v>0</v>
      </c>
    </row>
    <row r="358" spans="1:25">
      <c r="A358">
        <v>3570</v>
      </c>
      <c r="B358" t="s">
        <v>837</v>
      </c>
      <c r="C358" t="s">
        <v>849</v>
      </c>
      <c r="D358" t="s">
        <v>839</v>
      </c>
      <c r="E358">
        <v>3570</v>
      </c>
      <c r="F358">
        <v>25.2</v>
      </c>
      <c r="G358">
        <v>987</v>
      </c>
      <c r="H358">
        <v>26.5</v>
      </c>
      <c r="I358">
        <v>556</v>
      </c>
      <c r="J358">
        <v>80.7</v>
      </c>
      <c r="K358">
        <v>307</v>
      </c>
      <c r="L358">
        <v>60.1</v>
      </c>
      <c r="M358">
        <v>643</v>
      </c>
      <c r="N358">
        <v>98.4</v>
      </c>
      <c r="O358">
        <v>4</v>
      </c>
      <c r="P358" t="s">
        <v>26</v>
      </c>
      <c r="Q358" s="1">
        <v>14130</v>
      </c>
      <c r="R358">
        <v>17.899999999999999</v>
      </c>
      <c r="S358" s="2">
        <v>0.4</v>
      </c>
      <c r="T358" s="3">
        <v>1.9951388888888888</v>
      </c>
      <c r="U358" s="2">
        <v>0.35</v>
      </c>
      <c r="V358" t="s">
        <v>849</v>
      </c>
      <c r="W358" t="s">
        <v>850</v>
      </c>
      <c r="X358" t="b">
        <v>0</v>
      </c>
      <c r="Y358" t="b">
        <v>0</v>
      </c>
    </row>
    <row r="359" spans="1:25">
      <c r="A359">
        <v>3580</v>
      </c>
      <c r="B359" t="s">
        <v>837</v>
      </c>
      <c r="C359" t="s">
        <v>851</v>
      </c>
      <c r="D359" t="s">
        <v>839</v>
      </c>
      <c r="E359">
        <v>3580</v>
      </c>
      <c r="F359">
        <v>50</v>
      </c>
      <c r="G359">
        <v>133</v>
      </c>
      <c r="H359">
        <v>45.5</v>
      </c>
      <c r="I359">
        <v>185</v>
      </c>
      <c r="J359">
        <v>54</v>
      </c>
      <c r="K359">
        <v>915</v>
      </c>
      <c r="L359">
        <v>65.5</v>
      </c>
      <c r="M359">
        <v>537</v>
      </c>
      <c r="N359">
        <v>40.4</v>
      </c>
      <c r="O359">
        <v>1106</v>
      </c>
      <c r="P359" t="s">
        <v>577</v>
      </c>
      <c r="Q359" s="1">
        <v>32252</v>
      </c>
      <c r="R359">
        <v>18.899999999999999</v>
      </c>
      <c r="S359" s="2">
        <v>0.03</v>
      </c>
      <c r="T359" s="3">
        <v>1.9541666666666666</v>
      </c>
      <c r="U359" s="2">
        <v>0.27</v>
      </c>
      <c r="V359" t="s">
        <v>851</v>
      </c>
      <c r="W359" t="s">
        <v>852</v>
      </c>
      <c r="X359" t="b">
        <v>0</v>
      </c>
      <c r="Y359" t="b">
        <v>0</v>
      </c>
    </row>
    <row r="360" spans="1:25">
      <c r="A360">
        <v>3590</v>
      </c>
      <c r="B360" t="s">
        <v>837</v>
      </c>
      <c r="C360" t="s">
        <v>853</v>
      </c>
      <c r="D360" t="s">
        <v>839</v>
      </c>
      <c r="E360">
        <v>3590</v>
      </c>
      <c r="F360">
        <v>24.1</v>
      </c>
      <c r="G360">
        <v>1074</v>
      </c>
      <c r="H360">
        <v>31.6</v>
      </c>
      <c r="I360">
        <v>426</v>
      </c>
      <c r="J360">
        <v>82.4</v>
      </c>
      <c r="K360">
        <v>275</v>
      </c>
      <c r="L360">
        <v>40.799999999999997</v>
      </c>
      <c r="M360">
        <v>960</v>
      </c>
      <c r="N360">
        <v>88.3</v>
      </c>
      <c r="O360">
        <v>146</v>
      </c>
      <c r="P360" t="s">
        <v>116</v>
      </c>
      <c r="Q360" s="1">
        <v>11299</v>
      </c>
      <c r="R360">
        <v>34.4</v>
      </c>
      <c r="S360" s="2">
        <v>0.23</v>
      </c>
      <c r="T360" s="3">
        <v>2.3638888888888889</v>
      </c>
      <c r="U360" s="2">
        <v>0.24</v>
      </c>
      <c r="V360" t="s">
        <v>853</v>
      </c>
      <c r="W360" t="s">
        <v>854</v>
      </c>
      <c r="X360" t="b">
        <v>0</v>
      </c>
      <c r="Y360" t="b">
        <v>0</v>
      </c>
    </row>
    <row r="361" spans="1:25">
      <c r="A361">
        <v>3600</v>
      </c>
      <c r="B361" t="s">
        <v>837</v>
      </c>
      <c r="C361" t="s">
        <v>855</v>
      </c>
      <c r="D361" t="s">
        <v>839</v>
      </c>
      <c r="E361">
        <v>3600</v>
      </c>
      <c r="F361">
        <v>32.799999999999997</v>
      </c>
      <c r="G361">
        <v>553</v>
      </c>
      <c r="H361">
        <v>38.200000000000003</v>
      </c>
      <c r="I361">
        <v>278</v>
      </c>
      <c r="J361">
        <v>75.900000000000006</v>
      </c>
      <c r="K361">
        <v>420</v>
      </c>
      <c r="L361">
        <v>79.599999999999994</v>
      </c>
      <c r="M361">
        <v>268</v>
      </c>
      <c r="N361">
        <v>42</v>
      </c>
      <c r="O361">
        <v>1052</v>
      </c>
      <c r="P361" t="s">
        <v>54</v>
      </c>
      <c r="Q361" s="1">
        <v>42607</v>
      </c>
      <c r="R361">
        <v>20.100000000000001</v>
      </c>
      <c r="S361" s="2">
        <v>0.02</v>
      </c>
      <c r="U361" s="2">
        <v>0.43</v>
      </c>
      <c r="V361" t="s">
        <v>855</v>
      </c>
      <c r="W361" t="s">
        <v>856</v>
      </c>
      <c r="X361" t="b">
        <v>0</v>
      </c>
      <c r="Y361" t="b">
        <v>0</v>
      </c>
    </row>
    <row r="362" spans="1:25">
      <c r="A362">
        <v>3610</v>
      </c>
      <c r="B362" t="s">
        <v>837</v>
      </c>
      <c r="C362" t="s">
        <v>857</v>
      </c>
      <c r="D362" t="s">
        <v>839</v>
      </c>
      <c r="E362">
        <v>3610</v>
      </c>
      <c r="F362">
        <v>27.4</v>
      </c>
      <c r="G362">
        <v>849</v>
      </c>
      <c r="H362">
        <v>30.9</v>
      </c>
      <c r="I362">
        <v>446</v>
      </c>
      <c r="J362">
        <v>78.599999999999994</v>
      </c>
      <c r="K362">
        <v>351</v>
      </c>
      <c r="L362">
        <v>61.8</v>
      </c>
      <c r="M362">
        <v>617</v>
      </c>
      <c r="N362">
        <v>95.5</v>
      </c>
      <c r="O362">
        <v>38</v>
      </c>
      <c r="P362" t="s">
        <v>26</v>
      </c>
      <c r="Q362" s="1">
        <v>16080</v>
      </c>
      <c r="R362">
        <v>19.5</v>
      </c>
      <c r="S362" s="2">
        <v>0.45</v>
      </c>
      <c r="T362" s="3">
        <v>2.4458333333333333</v>
      </c>
      <c r="U362" s="2">
        <v>0.26</v>
      </c>
      <c r="V362" t="s">
        <v>857</v>
      </c>
      <c r="W362" t="s">
        <v>858</v>
      </c>
      <c r="X362" t="b">
        <v>0</v>
      </c>
      <c r="Y362" t="b">
        <v>0</v>
      </c>
    </row>
    <row r="363" spans="1:25">
      <c r="A363">
        <v>3620</v>
      </c>
      <c r="B363" t="s">
        <v>837</v>
      </c>
      <c r="C363" t="s">
        <v>859</v>
      </c>
      <c r="D363" t="s">
        <v>839</v>
      </c>
      <c r="E363">
        <v>3620</v>
      </c>
      <c r="F363">
        <v>33.4</v>
      </c>
      <c r="G363">
        <v>523</v>
      </c>
      <c r="H363">
        <v>23.7</v>
      </c>
      <c r="I363">
        <v>667</v>
      </c>
      <c r="J363">
        <v>93.7</v>
      </c>
      <c r="K363">
        <v>64</v>
      </c>
      <c r="L363">
        <v>73.400000000000006</v>
      </c>
      <c r="M363">
        <v>358</v>
      </c>
      <c r="N363">
        <v>36.9</v>
      </c>
      <c r="O363">
        <v>1249</v>
      </c>
      <c r="P363" t="s">
        <v>29</v>
      </c>
      <c r="Q363" s="1">
        <v>20208</v>
      </c>
      <c r="R363">
        <v>4.5</v>
      </c>
      <c r="S363" s="2">
        <v>7.0000000000000007E-2</v>
      </c>
      <c r="T363" s="3">
        <v>2.4458333333333333</v>
      </c>
      <c r="U363" s="2">
        <v>0.05</v>
      </c>
      <c r="V363" t="s">
        <v>859</v>
      </c>
      <c r="W363" t="s">
        <v>860</v>
      </c>
      <c r="X363" t="b">
        <v>0</v>
      </c>
      <c r="Y363" t="b">
        <v>0</v>
      </c>
    </row>
    <row r="364" spans="1:25">
      <c r="A364">
        <v>3630</v>
      </c>
      <c r="B364" t="s">
        <v>837</v>
      </c>
      <c r="C364" t="s">
        <v>861</v>
      </c>
      <c r="D364" t="s">
        <v>839</v>
      </c>
      <c r="E364">
        <v>3630</v>
      </c>
      <c r="F364">
        <v>41.2</v>
      </c>
      <c r="G364">
        <v>273</v>
      </c>
      <c r="H364">
        <v>30.2</v>
      </c>
      <c r="I364">
        <v>465</v>
      </c>
      <c r="J364">
        <v>72.8</v>
      </c>
      <c r="K364">
        <v>487</v>
      </c>
      <c r="L364">
        <v>68.7</v>
      </c>
      <c r="M364">
        <v>462</v>
      </c>
      <c r="N364">
        <v>64.599999999999994</v>
      </c>
      <c r="O364">
        <v>493</v>
      </c>
      <c r="P364" t="s">
        <v>29</v>
      </c>
      <c r="Q364" s="1">
        <v>28128</v>
      </c>
      <c r="R364">
        <v>13.1</v>
      </c>
      <c r="S364" s="2">
        <v>0.11</v>
      </c>
      <c r="T364" s="3">
        <v>2.2409722222222221</v>
      </c>
      <c r="U364" s="2">
        <v>0.23</v>
      </c>
      <c r="V364" t="s">
        <v>861</v>
      </c>
      <c r="W364" t="s">
        <v>862</v>
      </c>
      <c r="X364" t="b">
        <v>0</v>
      </c>
      <c r="Y364" t="b">
        <v>0</v>
      </c>
    </row>
    <row r="365" spans="1:25">
      <c r="A365">
        <v>3640</v>
      </c>
      <c r="B365" t="s">
        <v>837</v>
      </c>
      <c r="C365" t="s">
        <v>863</v>
      </c>
      <c r="D365" t="s">
        <v>839</v>
      </c>
      <c r="E365">
        <v>3640</v>
      </c>
      <c r="F365">
        <v>48.8</v>
      </c>
      <c r="G365">
        <v>144</v>
      </c>
      <c r="H365">
        <v>38.9</v>
      </c>
      <c r="I365">
        <v>263</v>
      </c>
      <c r="J365">
        <v>64.8</v>
      </c>
      <c r="K365">
        <v>678</v>
      </c>
      <c r="L365">
        <v>78.099999999999994</v>
      </c>
      <c r="M365">
        <v>288</v>
      </c>
      <c r="N365">
        <v>34.5</v>
      </c>
      <c r="O365">
        <v>1337</v>
      </c>
      <c r="P365" t="s">
        <v>181</v>
      </c>
      <c r="Q365">
        <v>742</v>
      </c>
      <c r="R365">
        <v>6.3</v>
      </c>
      <c r="S365" s="2">
        <v>0.04</v>
      </c>
      <c r="T365" t="s">
        <v>801</v>
      </c>
      <c r="U365" s="2">
        <v>0.34</v>
      </c>
      <c r="V365" t="s">
        <v>863</v>
      </c>
      <c r="W365" t="s">
        <v>864</v>
      </c>
      <c r="X365" t="b">
        <v>0</v>
      </c>
      <c r="Y365" t="b">
        <v>0</v>
      </c>
    </row>
    <row r="366" spans="1:25">
      <c r="A366">
        <v>3650</v>
      </c>
      <c r="B366" t="s">
        <v>837</v>
      </c>
      <c r="C366" t="s">
        <v>865</v>
      </c>
      <c r="D366" t="s">
        <v>839</v>
      </c>
      <c r="E366">
        <v>3650</v>
      </c>
      <c r="F366">
        <v>23.7</v>
      </c>
      <c r="G366">
        <v>1100</v>
      </c>
      <c r="H366">
        <v>26.2</v>
      </c>
      <c r="I366">
        <v>563</v>
      </c>
      <c r="J366">
        <v>86.9</v>
      </c>
      <c r="K366">
        <v>175</v>
      </c>
      <c r="L366">
        <v>69.2</v>
      </c>
      <c r="M366">
        <v>450</v>
      </c>
      <c r="N366">
        <v>87.6</v>
      </c>
      <c r="O366">
        <v>156</v>
      </c>
      <c r="P366" t="s">
        <v>116</v>
      </c>
      <c r="Q366" s="1">
        <v>17965</v>
      </c>
      <c r="R366">
        <v>29.8</v>
      </c>
      <c r="S366" s="2">
        <v>0.24</v>
      </c>
      <c r="T366" s="3">
        <v>2.6097222222222221</v>
      </c>
      <c r="U366" s="2">
        <v>0.22</v>
      </c>
      <c r="V366" t="s">
        <v>866</v>
      </c>
      <c r="W366" t="s">
        <v>867</v>
      </c>
      <c r="X366" t="b">
        <v>0</v>
      </c>
      <c r="Y366" t="b">
        <v>0</v>
      </c>
    </row>
    <row r="367" spans="1:25">
      <c r="A367">
        <v>3660</v>
      </c>
      <c r="B367" t="s">
        <v>837</v>
      </c>
      <c r="C367" t="s">
        <v>868</v>
      </c>
      <c r="D367" t="s">
        <v>839</v>
      </c>
      <c r="E367">
        <v>3660</v>
      </c>
      <c r="F367">
        <v>34.799999999999997</v>
      </c>
      <c r="G367">
        <v>469</v>
      </c>
      <c r="H367">
        <v>35.200000000000003</v>
      </c>
      <c r="I367">
        <v>344</v>
      </c>
      <c r="J367">
        <v>80.900000000000006</v>
      </c>
      <c r="K367">
        <v>302</v>
      </c>
      <c r="L367">
        <v>85.5</v>
      </c>
      <c r="M367">
        <v>201</v>
      </c>
      <c r="N367">
        <v>33.9</v>
      </c>
      <c r="O367">
        <v>1361</v>
      </c>
      <c r="P367" t="s">
        <v>54</v>
      </c>
      <c r="Q367" s="1">
        <v>37498</v>
      </c>
      <c r="R367">
        <v>15.7</v>
      </c>
      <c r="S367" s="2">
        <v>0.03</v>
      </c>
      <c r="T367" t="s">
        <v>105</v>
      </c>
      <c r="U367" s="2">
        <v>0.42</v>
      </c>
      <c r="V367" t="s">
        <v>868</v>
      </c>
      <c r="W367" t="s">
        <v>869</v>
      </c>
      <c r="X367" t="b">
        <v>0</v>
      </c>
      <c r="Y367" t="b">
        <v>0</v>
      </c>
    </row>
    <row r="368" spans="1:25">
      <c r="A368">
        <v>3670</v>
      </c>
      <c r="B368" t="s">
        <v>837</v>
      </c>
      <c r="C368" t="s">
        <v>870</v>
      </c>
      <c r="D368" t="s">
        <v>839</v>
      </c>
      <c r="E368">
        <v>3670</v>
      </c>
      <c r="F368">
        <v>35.5</v>
      </c>
      <c r="G368">
        <v>445</v>
      </c>
      <c r="H368">
        <v>34.4</v>
      </c>
      <c r="I368">
        <v>367</v>
      </c>
      <c r="J368">
        <v>78.599999999999994</v>
      </c>
      <c r="K368">
        <v>352</v>
      </c>
      <c r="L368">
        <v>72.900000000000006</v>
      </c>
      <c r="M368">
        <v>370</v>
      </c>
      <c r="N368">
        <v>51.9</v>
      </c>
      <c r="O368">
        <v>742</v>
      </c>
      <c r="P368" t="s">
        <v>397</v>
      </c>
      <c r="Q368" s="1">
        <v>40535</v>
      </c>
      <c r="R368">
        <v>24</v>
      </c>
      <c r="S368" s="2">
        <v>0.1</v>
      </c>
      <c r="T368" s="3">
        <v>2.3638888888888889</v>
      </c>
      <c r="U368" s="2">
        <v>0.26</v>
      </c>
      <c r="V368" t="s">
        <v>870</v>
      </c>
      <c r="W368" t="s">
        <v>871</v>
      </c>
      <c r="X368" t="b">
        <v>0</v>
      </c>
      <c r="Y368" t="b">
        <v>0</v>
      </c>
    </row>
    <row r="369" spans="1:25">
      <c r="A369">
        <v>3680</v>
      </c>
      <c r="B369" t="s">
        <v>837</v>
      </c>
      <c r="C369" t="s">
        <v>872</v>
      </c>
      <c r="D369" t="s">
        <v>839</v>
      </c>
      <c r="E369">
        <v>3680</v>
      </c>
      <c r="F369">
        <v>31.8</v>
      </c>
      <c r="G369">
        <v>596</v>
      </c>
      <c r="H369">
        <v>22.8</v>
      </c>
      <c r="I369">
        <v>694</v>
      </c>
      <c r="J369">
        <v>85.5</v>
      </c>
      <c r="K369">
        <v>198</v>
      </c>
      <c r="L369">
        <v>45.6</v>
      </c>
      <c r="M369">
        <v>886</v>
      </c>
      <c r="N369">
        <v>78.599999999999994</v>
      </c>
      <c r="O369">
        <v>276</v>
      </c>
      <c r="P369" t="s">
        <v>397</v>
      </c>
      <c r="Q369" s="1">
        <v>4244</v>
      </c>
      <c r="R369">
        <v>10.7</v>
      </c>
      <c r="S369" s="2">
        <v>0.14000000000000001</v>
      </c>
      <c r="T369" s="3">
        <v>2.8145833333333332</v>
      </c>
      <c r="U369" s="2">
        <v>0.41</v>
      </c>
      <c r="V369" t="s">
        <v>872</v>
      </c>
      <c r="W369" t="s">
        <v>873</v>
      </c>
      <c r="X369" t="b">
        <v>0</v>
      </c>
      <c r="Y369" t="b">
        <v>0</v>
      </c>
    </row>
    <row r="370" spans="1:25">
      <c r="A370">
        <v>3690</v>
      </c>
      <c r="B370" t="s">
        <v>837</v>
      </c>
      <c r="C370" t="s">
        <v>874</v>
      </c>
      <c r="D370" t="s">
        <v>839</v>
      </c>
      <c r="E370">
        <v>3690</v>
      </c>
      <c r="F370">
        <v>41.2</v>
      </c>
      <c r="G370">
        <v>275</v>
      </c>
      <c r="H370">
        <v>40.5</v>
      </c>
      <c r="I370">
        <v>243</v>
      </c>
      <c r="J370">
        <v>68.2</v>
      </c>
      <c r="K370">
        <v>599</v>
      </c>
      <c r="L370">
        <v>69.8</v>
      </c>
      <c r="M370">
        <v>435</v>
      </c>
      <c r="N370">
        <v>43.9</v>
      </c>
      <c r="O370">
        <v>993</v>
      </c>
      <c r="P370" t="s">
        <v>29</v>
      </c>
      <c r="Q370" s="1">
        <v>37565</v>
      </c>
      <c r="R370">
        <v>15.7</v>
      </c>
      <c r="S370" s="2">
        <v>0.06</v>
      </c>
      <c r="T370" s="3">
        <v>2.4458333333333333</v>
      </c>
      <c r="U370" s="2">
        <v>0.2</v>
      </c>
      <c r="V370" t="s">
        <v>874</v>
      </c>
      <c r="W370" t="s">
        <v>875</v>
      </c>
      <c r="X370" t="b">
        <v>0</v>
      </c>
      <c r="Y370" t="b">
        <v>0</v>
      </c>
    </row>
    <row r="371" spans="1:25">
      <c r="A371">
        <v>3700</v>
      </c>
      <c r="B371" t="s">
        <v>837</v>
      </c>
      <c r="C371" t="s">
        <v>876</v>
      </c>
      <c r="D371" t="s">
        <v>839</v>
      </c>
      <c r="E371">
        <v>3700</v>
      </c>
      <c r="F371">
        <v>33.5</v>
      </c>
      <c r="G371">
        <v>520</v>
      </c>
      <c r="H371">
        <v>38.1</v>
      </c>
      <c r="I371">
        <v>283</v>
      </c>
      <c r="J371">
        <v>69.099999999999994</v>
      </c>
      <c r="K371">
        <v>578</v>
      </c>
      <c r="L371">
        <v>83.9</v>
      </c>
      <c r="M371">
        <v>219</v>
      </c>
      <c r="N371">
        <v>71.599999999999994</v>
      </c>
      <c r="O371">
        <v>382</v>
      </c>
      <c r="P371" t="s">
        <v>137</v>
      </c>
      <c r="Q371" s="1">
        <v>5749</v>
      </c>
      <c r="R371">
        <v>30.9</v>
      </c>
      <c r="S371" s="2">
        <v>0.14000000000000001</v>
      </c>
      <c r="T371" s="3">
        <v>2.1180555555555554</v>
      </c>
      <c r="U371" s="2">
        <v>0.28000000000000003</v>
      </c>
      <c r="V371" t="s">
        <v>876</v>
      </c>
      <c r="W371" t="s">
        <v>877</v>
      </c>
      <c r="X371" t="b">
        <v>0</v>
      </c>
      <c r="Y371" t="b">
        <v>0</v>
      </c>
    </row>
    <row r="372" spans="1:25">
      <c r="A372">
        <v>3710</v>
      </c>
      <c r="B372" t="s">
        <v>837</v>
      </c>
      <c r="C372" t="s">
        <v>878</v>
      </c>
      <c r="D372" t="s">
        <v>839</v>
      </c>
      <c r="E372">
        <v>3710</v>
      </c>
      <c r="F372">
        <v>34.299999999999997</v>
      </c>
      <c r="G372">
        <v>483</v>
      </c>
      <c r="H372">
        <v>33.4</v>
      </c>
      <c r="I372">
        <v>395</v>
      </c>
      <c r="J372">
        <v>65.2</v>
      </c>
      <c r="K372">
        <v>671</v>
      </c>
      <c r="L372">
        <v>75.099999999999994</v>
      </c>
      <c r="M372">
        <v>336</v>
      </c>
      <c r="N372">
        <v>94.8</v>
      </c>
      <c r="O372">
        <v>52</v>
      </c>
      <c r="P372" t="s">
        <v>26</v>
      </c>
      <c r="Q372" s="1">
        <v>9735</v>
      </c>
      <c r="R372">
        <v>18.2</v>
      </c>
      <c r="S372" s="2">
        <v>0.36</v>
      </c>
      <c r="T372" t="s">
        <v>501</v>
      </c>
      <c r="U372" s="2">
        <v>0.44</v>
      </c>
      <c r="V372" t="s">
        <v>878</v>
      </c>
      <c r="W372" t="s">
        <v>879</v>
      </c>
      <c r="X372" t="b">
        <v>0</v>
      </c>
      <c r="Y372" t="b">
        <v>0</v>
      </c>
    </row>
    <row r="373" spans="1:25">
      <c r="A373">
        <v>3720</v>
      </c>
      <c r="B373" t="s">
        <v>837</v>
      </c>
      <c r="C373" t="s">
        <v>880</v>
      </c>
      <c r="D373" t="s">
        <v>839</v>
      </c>
      <c r="E373">
        <v>3720</v>
      </c>
      <c r="F373">
        <v>51.2</v>
      </c>
      <c r="G373">
        <v>123</v>
      </c>
      <c r="H373">
        <v>44</v>
      </c>
      <c r="I373">
        <v>201</v>
      </c>
      <c r="J373">
        <v>47.4</v>
      </c>
      <c r="K373">
        <v>1073</v>
      </c>
      <c r="L373">
        <v>95.1</v>
      </c>
      <c r="M373">
        <v>117</v>
      </c>
      <c r="N373">
        <v>47.5</v>
      </c>
      <c r="O373">
        <v>878</v>
      </c>
      <c r="P373" t="s">
        <v>94</v>
      </c>
      <c r="Q373" s="1">
        <v>17659</v>
      </c>
      <c r="R373">
        <v>8.1999999999999993</v>
      </c>
      <c r="S373" s="2">
        <v>0.1</v>
      </c>
      <c r="T373" t="s">
        <v>357</v>
      </c>
      <c r="U373" s="2">
        <v>0.28000000000000003</v>
      </c>
      <c r="V373" t="s">
        <v>880</v>
      </c>
      <c r="W373" t="s">
        <v>881</v>
      </c>
      <c r="X373" t="b">
        <v>0</v>
      </c>
      <c r="Y373" t="b">
        <v>0</v>
      </c>
    </row>
    <row r="374" spans="1:25">
      <c r="A374">
        <v>3730</v>
      </c>
      <c r="B374" t="s">
        <v>837</v>
      </c>
      <c r="C374" t="s">
        <v>882</v>
      </c>
      <c r="D374" t="s">
        <v>839</v>
      </c>
      <c r="E374">
        <v>3730</v>
      </c>
      <c r="F374">
        <v>28.9</v>
      </c>
      <c r="G374">
        <v>749</v>
      </c>
      <c r="H374">
        <v>30.4</v>
      </c>
      <c r="I374">
        <v>458</v>
      </c>
      <c r="J374">
        <v>92</v>
      </c>
      <c r="K374">
        <v>92</v>
      </c>
      <c r="L374">
        <v>75.2</v>
      </c>
      <c r="M374">
        <v>333</v>
      </c>
      <c r="N374">
        <v>32.5</v>
      </c>
      <c r="O374">
        <v>1402</v>
      </c>
      <c r="P374" t="s">
        <v>54</v>
      </c>
      <c r="Q374" s="1">
        <v>41481</v>
      </c>
      <c r="R374">
        <v>17.8</v>
      </c>
      <c r="S374" s="2">
        <v>0.02</v>
      </c>
      <c r="T374" s="3">
        <v>1.9951388888888888</v>
      </c>
      <c r="U374" s="2">
        <v>0.43</v>
      </c>
      <c r="V374" t="s">
        <v>882</v>
      </c>
      <c r="W374" t="s">
        <v>883</v>
      </c>
      <c r="X374" t="b">
        <v>0</v>
      </c>
      <c r="Y374" t="b">
        <v>0</v>
      </c>
    </row>
    <row r="375" spans="1:25">
      <c r="A375">
        <v>3740</v>
      </c>
      <c r="B375" t="s">
        <v>837</v>
      </c>
      <c r="C375" t="s">
        <v>884</v>
      </c>
      <c r="D375" t="s">
        <v>839</v>
      </c>
      <c r="E375">
        <v>3740</v>
      </c>
      <c r="F375">
        <v>42.6</v>
      </c>
      <c r="G375">
        <v>250</v>
      </c>
      <c r="H375">
        <v>26.9</v>
      </c>
      <c r="I375">
        <v>544</v>
      </c>
      <c r="J375">
        <v>67.8</v>
      </c>
      <c r="K375">
        <v>607</v>
      </c>
      <c r="L375">
        <v>91.5</v>
      </c>
      <c r="M375">
        <v>149</v>
      </c>
      <c r="N375">
        <v>73.2</v>
      </c>
      <c r="O375">
        <v>360</v>
      </c>
      <c r="P375" t="s">
        <v>29</v>
      </c>
      <c r="Q375" s="1">
        <v>6107</v>
      </c>
      <c r="R375">
        <v>12.2</v>
      </c>
      <c r="S375" s="2">
        <v>0.36</v>
      </c>
      <c r="T375" t="s">
        <v>40</v>
      </c>
      <c r="U375" s="2">
        <v>0.41</v>
      </c>
      <c r="V375" t="s">
        <v>884</v>
      </c>
      <c r="W375" t="s">
        <v>885</v>
      </c>
      <c r="X375" t="b">
        <v>0</v>
      </c>
      <c r="Y375" t="b">
        <v>0</v>
      </c>
    </row>
    <row r="376" spans="1:25">
      <c r="A376">
        <v>3750</v>
      </c>
      <c r="B376" t="s">
        <v>837</v>
      </c>
      <c r="C376" t="s">
        <v>886</v>
      </c>
      <c r="D376" t="s">
        <v>839</v>
      </c>
      <c r="E376">
        <v>3750</v>
      </c>
      <c r="F376">
        <v>39.5</v>
      </c>
      <c r="G376">
        <v>323</v>
      </c>
      <c r="H376">
        <v>34.5</v>
      </c>
      <c r="I376">
        <v>361</v>
      </c>
      <c r="J376">
        <v>69.3</v>
      </c>
      <c r="K376">
        <v>572</v>
      </c>
      <c r="L376">
        <v>84.8</v>
      </c>
      <c r="M376">
        <v>211</v>
      </c>
      <c r="N376">
        <v>46</v>
      </c>
      <c r="O376">
        <v>931</v>
      </c>
      <c r="P376" t="s">
        <v>29</v>
      </c>
      <c r="Q376" s="1">
        <v>28591</v>
      </c>
      <c r="R376">
        <v>17.100000000000001</v>
      </c>
      <c r="S376" s="2">
        <v>0.08</v>
      </c>
      <c r="T376" s="3">
        <v>1.9541666666666666</v>
      </c>
      <c r="U376" s="2">
        <v>0.33</v>
      </c>
      <c r="V376" t="s">
        <v>886</v>
      </c>
      <c r="W376" t="s">
        <v>887</v>
      </c>
      <c r="X376" t="b">
        <v>0</v>
      </c>
      <c r="Y376" t="b">
        <v>0</v>
      </c>
    </row>
    <row r="377" spans="1:25">
      <c r="A377">
        <v>3760</v>
      </c>
      <c r="B377" t="s">
        <v>837</v>
      </c>
      <c r="C377" t="s">
        <v>888</v>
      </c>
      <c r="D377" t="s">
        <v>839</v>
      </c>
      <c r="E377">
        <v>3760</v>
      </c>
      <c r="F377">
        <v>28.3</v>
      </c>
      <c r="G377">
        <v>788</v>
      </c>
      <c r="H377">
        <v>30.9</v>
      </c>
      <c r="I377">
        <v>447</v>
      </c>
      <c r="J377">
        <v>79.599999999999994</v>
      </c>
      <c r="K377">
        <v>330</v>
      </c>
      <c r="L377">
        <v>58.9</v>
      </c>
      <c r="M377">
        <v>665</v>
      </c>
      <c r="N377">
        <v>77.7</v>
      </c>
      <c r="O377">
        <v>284</v>
      </c>
      <c r="P377" t="s">
        <v>116</v>
      </c>
      <c r="Q377" s="1">
        <v>9759</v>
      </c>
      <c r="R377">
        <v>17.3</v>
      </c>
      <c r="S377" s="2">
        <v>0.09</v>
      </c>
      <c r="T377" s="3">
        <v>2.7736111111111112</v>
      </c>
      <c r="U377" s="2">
        <v>0.19</v>
      </c>
      <c r="V377" t="s">
        <v>888</v>
      </c>
      <c r="W377" t="s">
        <v>889</v>
      </c>
      <c r="X377" t="b">
        <v>0</v>
      </c>
      <c r="Y377" t="b">
        <v>0</v>
      </c>
    </row>
    <row r="378" spans="1:25">
      <c r="A378">
        <v>3770</v>
      </c>
      <c r="B378" t="s">
        <v>837</v>
      </c>
      <c r="C378" t="s">
        <v>890</v>
      </c>
      <c r="D378" t="s">
        <v>839</v>
      </c>
      <c r="E378">
        <v>3770</v>
      </c>
      <c r="F378">
        <v>34.4</v>
      </c>
      <c r="G378">
        <v>482</v>
      </c>
      <c r="H378">
        <v>38</v>
      </c>
      <c r="I378">
        <v>288</v>
      </c>
      <c r="J378">
        <v>72.5</v>
      </c>
      <c r="K378">
        <v>498</v>
      </c>
      <c r="L378">
        <v>70.5</v>
      </c>
      <c r="M378">
        <v>416</v>
      </c>
      <c r="N378">
        <v>62.7</v>
      </c>
      <c r="O378">
        <v>529</v>
      </c>
      <c r="P378" t="s">
        <v>99</v>
      </c>
      <c r="Q378" s="1">
        <v>27184</v>
      </c>
      <c r="R378">
        <v>42.4</v>
      </c>
      <c r="S378" s="2">
        <v>0.11</v>
      </c>
      <c r="T378" s="3">
        <v>2.6916666666666669</v>
      </c>
      <c r="U378" s="2">
        <v>0.18</v>
      </c>
      <c r="V378" t="s">
        <v>890</v>
      </c>
      <c r="W378" t="s">
        <v>891</v>
      </c>
      <c r="X378" t="b">
        <v>0</v>
      </c>
      <c r="Y378" t="b">
        <v>0</v>
      </c>
    </row>
    <row r="379" spans="1:25">
      <c r="A379">
        <v>3780</v>
      </c>
      <c r="B379" t="s">
        <v>837</v>
      </c>
      <c r="C379" t="s">
        <v>892</v>
      </c>
      <c r="D379" t="s">
        <v>839</v>
      </c>
      <c r="E379">
        <v>3780</v>
      </c>
      <c r="F379">
        <v>42.7</v>
      </c>
      <c r="G379">
        <v>248</v>
      </c>
      <c r="H379">
        <v>25.9</v>
      </c>
      <c r="I379">
        <v>575</v>
      </c>
      <c r="J379">
        <v>73.099999999999994</v>
      </c>
      <c r="K379">
        <v>479</v>
      </c>
      <c r="L379">
        <v>79.900000000000006</v>
      </c>
      <c r="M379">
        <v>264</v>
      </c>
      <c r="N379">
        <v>58.6</v>
      </c>
      <c r="O379">
        <v>612</v>
      </c>
      <c r="P379" t="s">
        <v>29</v>
      </c>
      <c r="Q379" s="1">
        <v>23410</v>
      </c>
      <c r="R379">
        <v>9.5</v>
      </c>
      <c r="S379" s="2">
        <v>7.0000000000000007E-2</v>
      </c>
      <c r="T379" s="3">
        <v>2.2409722222222221</v>
      </c>
      <c r="U379" s="2">
        <v>0.24</v>
      </c>
      <c r="V379" t="s">
        <v>892</v>
      </c>
      <c r="W379" t="s">
        <v>893</v>
      </c>
      <c r="X379" t="b">
        <v>0</v>
      </c>
      <c r="Y379" t="b">
        <v>0</v>
      </c>
    </row>
    <row r="380" spans="1:25">
      <c r="A380">
        <v>3790</v>
      </c>
      <c r="B380" t="s">
        <v>837</v>
      </c>
      <c r="C380" t="s">
        <v>894</v>
      </c>
      <c r="D380" t="s">
        <v>839</v>
      </c>
      <c r="E380">
        <v>3790</v>
      </c>
      <c r="F380">
        <v>31.8</v>
      </c>
      <c r="G380">
        <v>597</v>
      </c>
      <c r="H380">
        <v>40.5</v>
      </c>
      <c r="I380">
        <v>244</v>
      </c>
      <c r="J380">
        <v>68.900000000000006</v>
      </c>
      <c r="K380">
        <v>583</v>
      </c>
      <c r="L380">
        <v>91.9</v>
      </c>
      <c r="M380">
        <v>146</v>
      </c>
      <c r="N380">
        <v>57.4</v>
      </c>
      <c r="O380">
        <v>636</v>
      </c>
      <c r="P380" t="s">
        <v>895</v>
      </c>
      <c r="Q380" s="1">
        <v>6427</v>
      </c>
      <c r="R380">
        <v>19.5</v>
      </c>
      <c r="S380" s="2">
        <v>0.09</v>
      </c>
      <c r="T380" s="3">
        <v>2.0770833333333334</v>
      </c>
      <c r="U380" s="2">
        <v>0.21</v>
      </c>
      <c r="V380" t="s">
        <v>896</v>
      </c>
      <c r="W380" t="s">
        <v>897</v>
      </c>
      <c r="X380" t="b">
        <v>0</v>
      </c>
      <c r="Y380" t="b">
        <v>0</v>
      </c>
    </row>
    <row r="381" spans="1:25">
      <c r="A381">
        <v>3800</v>
      </c>
      <c r="B381" t="s">
        <v>837</v>
      </c>
      <c r="C381" t="s">
        <v>898</v>
      </c>
      <c r="D381" t="s">
        <v>839</v>
      </c>
      <c r="E381">
        <v>3800</v>
      </c>
      <c r="F381">
        <v>38.299999999999997</v>
      </c>
      <c r="G381">
        <v>354</v>
      </c>
      <c r="H381">
        <v>41.5</v>
      </c>
      <c r="I381">
        <v>227</v>
      </c>
      <c r="J381">
        <v>62.1</v>
      </c>
      <c r="K381">
        <v>731</v>
      </c>
      <c r="L381">
        <v>81.599999999999994</v>
      </c>
      <c r="M381">
        <v>242</v>
      </c>
      <c r="N381">
        <v>58.2</v>
      </c>
      <c r="O381">
        <v>620</v>
      </c>
      <c r="P381" t="s">
        <v>99</v>
      </c>
      <c r="Q381" s="1">
        <v>19807</v>
      </c>
      <c r="R381">
        <v>39.5</v>
      </c>
      <c r="S381" s="2">
        <v>0.15</v>
      </c>
      <c r="T381" s="3">
        <v>1.8722222222222222</v>
      </c>
      <c r="U381" s="2">
        <v>0.45</v>
      </c>
      <c r="V381" t="s">
        <v>898</v>
      </c>
      <c r="W381" t="s">
        <v>899</v>
      </c>
      <c r="X381" t="b">
        <v>0</v>
      </c>
      <c r="Y381" t="b">
        <v>0</v>
      </c>
    </row>
    <row r="382" spans="1:25">
      <c r="A382">
        <v>3810</v>
      </c>
      <c r="B382" t="s">
        <v>837</v>
      </c>
      <c r="C382" t="s">
        <v>900</v>
      </c>
      <c r="D382" t="s">
        <v>839</v>
      </c>
      <c r="E382">
        <v>3810</v>
      </c>
      <c r="F382">
        <v>31.8</v>
      </c>
      <c r="G382">
        <v>599</v>
      </c>
      <c r="H382">
        <v>34.700000000000003</v>
      </c>
      <c r="I382">
        <v>356</v>
      </c>
      <c r="J382">
        <v>76.3</v>
      </c>
      <c r="K382">
        <v>410</v>
      </c>
      <c r="L382">
        <v>62.3</v>
      </c>
      <c r="M382">
        <v>609</v>
      </c>
      <c r="N382">
        <v>59.1</v>
      </c>
      <c r="O382">
        <v>602</v>
      </c>
      <c r="P382" t="s">
        <v>76</v>
      </c>
      <c r="Q382" s="1">
        <v>30316</v>
      </c>
      <c r="R382">
        <v>30</v>
      </c>
      <c r="S382" s="2">
        <v>0.21</v>
      </c>
      <c r="T382" s="3">
        <v>2.2819444444444446</v>
      </c>
      <c r="U382" s="2">
        <v>0.2</v>
      </c>
      <c r="V382" t="s">
        <v>900</v>
      </c>
      <c r="W382" t="s">
        <v>901</v>
      </c>
      <c r="X382" t="b">
        <v>0</v>
      </c>
      <c r="Y382" t="b">
        <v>0</v>
      </c>
    </row>
    <row r="383" spans="1:25">
      <c r="A383">
        <v>3820</v>
      </c>
      <c r="B383" t="s">
        <v>837</v>
      </c>
      <c r="C383" t="s">
        <v>902</v>
      </c>
      <c r="D383" t="s">
        <v>839</v>
      </c>
      <c r="E383">
        <v>3820</v>
      </c>
      <c r="F383">
        <v>44.2</v>
      </c>
      <c r="G383">
        <v>212</v>
      </c>
      <c r="H383">
        <v>43.1</v>
      </c>
      <c r="I383">
        <v>209</v>
      </c>
      <c r="J383">
        <v>53.6</v>
      </c>
      <c r="K383">
        <v>931</v>
      </c>
      <c r="L383">
        <v>81.900000000000006</v>
      </c>
      <c r="M383">
        <v>239</v>
      </c>
      <c r="N383">
        <v>56</v>
      </c>
      <c r="O383">
        <v>661</v>
      </c>
      <c r="P383" t="s">
        <v>895</v>
      </c>
      <c r="Q383" s="1">
        <v>16182</v>
      </c>
      <c r="R383">
        <v>21.2</v>
      </c>
      <c r="S383" s="2">
        <v>0.12</v>
      </c>
      <c r="T383" s="3">
        <v>2.0770833333333334</v>
      </c>
      <c r="U383" s="2">
        <v>0.43</v>
      </c>
      <c r="V383" t="s">
        <v>902</v>
      </c>
      <c r="W383" t="s">
        <v>903</v>
      </c>
      <c r="X383" t="b">
        <v>0</v>
      </c>
      <c r="Y383" t="b">
        <v>0</v>
      </c>
    </row>
    <row r="384" spans="1:25">
      <c r="A384">
        <v>3830</v>
      </c>
      <c r="B384" t="s">
        <v>837</v>
      </c>
      <c r="C384" t="s">
        <v>904</v>
      </c>
      <c r="D384" t="s">
        <v>839</v>
      </c>
      <c r="E384">
        <v>3830</v>
      </c>
      <c r="F384">
        <v>31.3</v>
      </c>
      <c r="G384">
        <v>624</v>
      </c>
      <c r="H384">
        <v>31.8</v>
      </c>
      <c r="I384">
        <v>420</v>
      </c>
      <c r="J384">
        <v>87.3</v>
      </c>
      <c r="K384">
        <v>169</v>
      </c>
      <c r="L384">
        <v>69.5</v>
      </c>
      <c r="M384">
        <v>443</v>
      </c>
      <c r="N384">
        <v>47.2</v>
      </c>
      <c r="O384">
        <v>886</v>
      </c>
      <c r="P384" t="s">
        <v>397</v>
      </c>
      <c r="Q384" s="1">
        <v>50995</v>
      </c>
      <c r="R384">
        <v>21.8</v>
      </c>
      <c r="S384" s="2">
        <v>7.0000000000000007E-2</v>
      </c>
      <c r="T384" s="3">
        <v>2.5277777777777777</v>
      </c>
      <c r="U384" s="2">
        <v>0.16</v>
      </c>
      <c r="V384" t="s">
        <v>904</v>
      </c>
      <c r="W384" t="s">
        <v>905</v>
      </c>
      <c r="X384" t="b">
        <v>0</v>
      </c>
      <c r="Y384" t="b">
        <v>0</v>
      </c>
    </row>
    <row r="385" spans="1:25">
      <c r="A385">
        <v>3840</v>
      </c>
      <c r="B385" t="s">
        <v>837</v>
      </c>
      <c r="C385" t="s">
        <v>906</v>
      </c>
      <c r="D385" t="s">
        <v>839</v>
      </c>
      <c r="E385">
        <v>3840</v>
      </c>
      <c r="F385">
        <v>27.8</v>
      </c>
      <c r="G385">
        <v>818</v>
      </c>
      <c r="H385">
        <v>26</v>
      </c>
      <c r="I385">
        <v>572</v>
      </c>
      <c r="J385">
        <v>91.1</v>
      </c>
      <c r="K385">
        <v>106</v>
      </c>
      <c r="L385">
        <v>66.7</v>
      </c>
      <c r="M385">
        <v>512</v>
      </c>
      <c r="N385">
        <v>47</v>
      </c>
      <c r="O385">
        <v>892</v>
      </c>
      <c r="P385" t="s">
        <v>397</v>
      </c>
      <c r="Q385" s="1">
        <v>29943</v>
      </c>
      <c r="R385">
        <v>29.8</v>
      </c>
      <c r="S385" s="2">
        <v>0.05</v>
      </c>
      <c r="T385" s="3">
        <v>2.6097222222222221</v>
      </c>
      <c r="U385" s="2">
        <v>0.26</v>
      </c>
      <c r="V385" t="s">
        <v>906</v>
      </c>
      <c r="W385" t="s">
        <v>907</v>
      </c>
      <c r="X385" t="b">
        <v>0</v>
      </c>
      <c r="Y385" t="b">
        <v>0</v>
      </c>
    </row>
    <row r="386" spans="1:25">
      <c r="A386">
        <v>3850</v>
      </c>
      <c r="B386" t="s">
        <v>837</v>
      </c>
      <c r="C386" t="s">
        <v>908</v>
      </c>
      <c r="D386" t="s">
        <v>839</v>
      </c>
      <c r="E386">
        <v>3850</v>
      </c>
      <c r="F386">
        <v>23.2</v>
      </c>
      <c r="G386">
        <v>1139</v>
      </c>
      <c r="H386">
        <v>29.6</v>
      </c>
      <c r="I386">
        <v>484</v>
      </c>
      <c r="J386">
        <v>81.400000000000006</v>
      </c>
      <c r="K386">
        <v>293</v>
      </c>
      <c r="L386">
        <v>67.2</v>
      </c>
      <c r="M386">
        <v>495</v>
      </c>
      <c r="N386">
        <v>94.2</v>
      </c>
      <c r="O386">
        <v>62</v>
      </c>
      <c r="P386" t="s">
        <v>116</v>
      </c>
      <c r="Q386" s="1">
        <v>14816</v>
      </c>
      <c r="R386">
        <v>34</v>
      </c>
      <c r="S386" s="2">
        <v>0.38</v>
      </c>
      <c r="T386" s="3">
        <v>2.6097222222222221</v>
      </c>
      <c r="U386" s="2">
        <v>0.19</v>
      </c>
      <c r="V386" t="s">
        <v>909</v>
      </c>
      <c r="W386" t="s">
        <v>910</v>
      </c>
      <c r="X386" t="b">
        <v>0</v>
      </c>
      <c r="Y386" t="b">
        <v>0</v>
      </c>
    </row>
    <row r="387" spans="1:25">
      <c r="A387">
        <v>3860</v>
      </c>
      <c r="B387" t="s">
        <v>837</v>
      </c>
      <c r="C387" t="s">
        <v>911</v>
      </c>
      <c r="D387" t="s">
        <v>839</v>
      </c>
      <c r="E387">
        <v>3860</v>
      </c>
      <c r="F387">
        <v>36.700000000000003</v>
      </c>
      <c r="G387">
        <v>407</v>
      </c>
      <c r="H387">
        <v>28.3</v>
      </c>
      <c r="I387">
        <v>511</v>
      </c>
      <c r="J387">
        <v>86.9</v>
      </c>
      <c r="K387">
        <v>176</v>
      </c>
      <c r="L387">
        <v>72</v>
      </c>
      <c r="M387">
        <v>387</v>
      </c>
      <c r="N387">
        <v>35.4</v>
      </c>
      <c r="O387">
        <v>1307</v>
      </c>
      <c r="P387" t="s">
        <v>397</v>
      </c>
      <c r="Q387" s="1">
        <v>56127</v>
      </c>
      <c r="R387">
        <v>19.5</v>
      </c>
      <c r="S387" s="2">
        <v>0.02</v>
      </c>
      <c r="T387" s="3">
        <v>2.3638888888888889</v>
      </c>
      <c r="U387" s="2">
        <v>0.27</v>
      </c>
      <c r="V387" t="s">
        <v>911</v>
      </c>
      <c r="W387" t="s">
        <v>912</v>
      </c>
      <c r="X387" t="b">
        <v>0</v>
      </c>
      <c r="Y387" t="b">
        <v>0</v>
      </c>
    </row>
    <row r="388" spans="1:25">
      <c r="A388">
        <v>3870</v>
      </c>
      <c r="B388" t="s">
        <v>837</v>
      </c>
      <c r="C388" t="s">
        <v>913</v>
      </c>
      <c r="D388" t="s">
        <v>839</v>
      </c>
      <c r="E388">
        <v>3870</v>
      </c>
      <c r="F388">
        <v>43.4</v>
      </c>
      <c r="G388">
        <v>234</v>
      </c>
      <c r="H388">
        <v>31.3</v>
      </c>
      <c r="I388">
        <v>434</v>
      </c>
      <c r="J388">
        <v>67.400000000000006</v>
      </c>
      <c r="K388">
        <v>614</v>
      </c>
      <c r="L388">
        <v>61.6</v>
      </c>
      <c r="M388">
        <v>623</v>
      </c>
      <c r="N388">
        <v>65.2</v>
      </c>
      <c r="O388">
        <v>483</v>
      </c>
      <c r="P388" t="s">
        <v>255</v>
      </c>
      <c r="Q388" s="1">
        <v>16400</v>
      </c>
      <c r="R388">
        <v>10</v>
      </c>
      <c r="S388" s="2">
        <v>0.33</v>
      </c>
      <c r="T388" s="3">
        <v>1.7902777777777779</v>
      </c>
      <c r="U388" s="2">
        <v>0.43</v>
      </c>
      <c r="V388" t="s">
        <v>913</v>
      </c>
      <c r="W388" t="s">
        <v>914</v>
      </c>
      <c r="X388" t="b">
        <v>0</v>
      </c>
      <c r="Y388" t="b">
        <v>0</v>
      </c>
    </row>
    <row r="389" spans="1:25">
      <c r="A389">
        <v>3880</v>
      </c>
      <c r="B389" t="s">
        <v>837</v>
      </c>
      <c r="C389" t="s">
        <v>915</v>
      </c>
      <c r="D389" t="s">
        <v>839</v>
      </c>
      <c r="E389">
        <v>3880</v>
      </c>
      <c r="F389">
        <v>31.7</v>
      </c>
      <c r="G389">
        <v>604</v>
      </c>
      <c r="H389">
        <v>37.9</v>
      </c>
      <c r="I389">
        <v>294</v>
      </c>
      <c r="J389">
        <v>69.5</v>
      </c>
      <c r="K389">
        <v>569</v>
      </c>
      <c r="L389">
        <v>90.2</v>
      </c>
      <c r="M389">
        <v>164</v>
      </c>
      <c r="N389">
        <v>66.599999999999994</v>
      </c>
      <c r="O389">
        <v>456</v>
      </c>
      <c r="P389" t="s">
        <v>895</v>
      </c>
      <c r="Q389" s="1">
        <v>3847</v>
      </c>
      <c r="R389">
        <v>20.5</v>
      </c>
      <c r="S389" s="2">
        <v>0.11</v>
      </c>
      <c r="T389" t="s">
        <v>696</v>
      </c>
      <c r="U389" s="2">
        <v>0.33</v>
      </c>
      <c r="V389" t="s">
        <v>915</v>
      </c>
      <c r="W389" t="s">
        <v>916</v>
      </c>
      <c r="X389" t="b">
        <v>0</v>
      </c>
      <c r="Y389" t="b">
        <v>0</v>
      </c>
    </row>
    <row r="390" spans="1:25">
      <c r="A390">
        <v>3890</v>
      </c>
      <c r="B390" t="s">
        <v>837</v>
      </c>
      <c r="C390" t="s">
        <v>917</v>
      </c>
      <c r="D390" t="s">
        <v>839</v>
      </c>
      <c r="E390">
        <v>3890</v>
      </c>
      <c r="F390">
        <v>33.799999999999997</v>
      </c>
      <c r="G390">
        <v>504</v>
      </c>
      <c r="H390">
        <v>21</v>
      </c>
      <c r="I390">
        <v>771</v>
      </c>
      <c r="J390">
        <v>81.400000000000006</v>
      </c>
      <c r="K390">
        <v>294</v>
      </c>
      <c r="L390">
        <v>66.599999999999994</v>
      </c>
      <c r="M390">
        <v>515</v>
      </c>
      <c r="N390">
        <v>93.6</v>
      </c>
      <c r="O390">
        <v>71</v>
      </c>
      <c r="P390" t="s">
        <v>50</v>
      </c>
      <c r="Q390" s="1">
        <v>8799</v>
      </c>
      <c r="R390">
        <v>12.9</v>
      </c>
      <c r="S390" s="2">
        <v>0.33</v>
      </c>
      <c r="T390" t="s">
        <v>801</v>
      </c>
      <c r="U390" s="2">
        <v>0.18</v>
      </c>
      <c r="V390" t="s">
        <v>917</v>
      </c>
      <c r="W390" t="s">
        <v>918</v>
      </c>
      <c r="X390" t="b">
        <v>0</v>
      </c>
      <c r="Y390" t="b">
        <v>0</v>
      </c>
    </row>
    <row r="391" spans="1:25">
      <c r="A391">
        <v>3900</v>
      </c>
      <c r="B391" t="s">
        <v>837</v>
      </c>
      <c r="C391" t="s">
        <v>919</v>
      </c>
      <c r="D391" t="s">
        <v>839</v>
      </c>
      <c r="E391">
        <v>3900</v>
      </c>
      <c r="F391">
        <v>39</v>
      </c>
      <c r="G391">
        <v>339</v>
      </c>
      <c r="H391">
        <v>35.1</v>
      </c>
      <c r="I391">
        <v>348</v>
      </c>
      <c r="J391">
        <v>62.9</v>
      </c>
      <c r="K391">
        <v>711</v>
      </c>
      <c r="L391">
        <v>95.8</v>
      </c>
      <c r="M391">
        <v>110</v>
      </c>
      <c r="N391">
        <v>78.900000000000006</v>
      </c>
      <c r="O391">
        <v>266</v>
      </c>
      <c r="P391" t="s">
        <v>76</v>
      </c>
      <c r="Q391" s="1">
        <v>17924</v>
      </c>
      <c r="R391">
        <v>18.100000000000001</v>
      </c>
      <c r="S391" s="2">
        <v>0.21</v>
      </c>
      <c r="T391" s="3">
        <v>2.3638888888888889</v>
      </c>
      <c r="U391" s="2">
        <v>0.27</v>
      </c>
      <c r="V391" t="s">
        <v>919</v>
      </c>
      <c r="W391" t="s">
        <v>920</v>
      </c>
      <c r="X391" t="b">
        <v>0</v>
      </c>
      <c r="Y391" t="b">
        <v>0</v>
      </c>
    </row>
    <row r="392" spans="1:25">
      <c r="A392">
        <v>3910</v>
      </c>
      <c r="B392" t="s">
        <v>837</v>
      </c>
      <c r="C392" t="s">
        <v>921</v>
      </c>
      <c r="D392" t="s">
        <v>839</v>
      </c>
      <c r="E392">
        <v>3910</v>
      </c>
      <c r="F392">
        <v>20.7</v>
      </c>
      <c r="G392">
        <v>1326</v>
      </c>
      <c r="H392">
        <v>25.7</v>
      </c>
      <c r="I392">
        <v>587</v>
      </c>
      <c r="J392">
        <v>93.8</v>
      </c>
      <c r="K392">
        <v>62</v>
      </c>
      <c r="L392">
        <v>29</v>
      </c>
      <c r="M392">
        <v>1203</v>
      </c>
      <c r="N392">
        <v>98.8</v>
      </c>
      <c r="O392">
        <v>1</v>
      </c>
      <c r="P392" t="s">
        <v>608</v>
      </c>
      <c r="Q392" s="1">
        <v>12848</v>
      </c>
      <c r="R392">
        <v>18.899999999999999</v>
      </c>
      <c r="S392" s="2">
        <v>0.51</v>
      </c>
      <c r="T392" s="3">
        <v>2.8145833333333332</v>
      </c>
      <c r="U392" s="2">
        <v>0.33</v>
      </c>
      <c r="V392" t="s">
        <v>921</v>
      </c>
      <c r="W392" t="s">
        <v>922</v>
      </c>
      <c r="X392" t="b">
        <v>0</v>
      </c>
      <c r="Y392" t="b">
        <v>0</v>
      </c>
    </row>
    <row r="393" spans="1:25">
      <c r="A393">
        <v>3920</v>
      </c>
      <c r="B393" t="s">
        <v>837</v>
      </c>
      <c r="C393" t="s">
        <v>923</v>
      </c>
      <c r="D393" t="s">
        <v>839</v>
      </c>
      <c r="E393">
        <v>3920</v>
      </c>
      <c r="F393">
        <v>27.8</v>
      </c>
      <c r="G393">
        <v>821</v>
      </c>
      <c r="H393">
        <v>34.299999999999997</v>
      </c>
      <c r="I393">
        <v>371</v>
      </c>
      <c r="J393">
        <v>85.3</v>
      </c>
      <c r="K393">
        <v>205</v>
      </c>
      <c r="L393">
        <v>57.9</v>
      </c>
      <c r="M393">
        <v>684</v>
      </c>
      <c r="N393">
        <v>42.4</v>
      </c>
      <c r="O393">
        <v>1038</v>
      </c>
      <c r="P393" t="s">
        <v>54</v>
      </c>
      <c r="Q393" s="1">
        <v>35736</v>
      </c>
      <c r="R393">
        <v>14</v>
      </c>
      <c r="S393" s="2">
        <v>0.01</v>
      </c>
      <c r="T393" s="3">
        <v>2.0770833333333334</v>
      </c>
      <c r="U393" s="2">
        <v>0.36</v>
      </c>
      <c r="V393" t="s">
        <v>924</v>
      </c>
      <c r="W393" t="s">
        <v>925</v>
      </c>
      <c r="X393" t="b">
        <v>0</v>
      </c>
      <c r="Y393" t="b">
        <v>0</v>
      </c>
    </row>
    <row r="394" spans="1:25">
      <c r="A394">
        <v>3930</v>
      </c>
      <c r="B394" t="s">
        <v>837</v>
      </c>
      <c r="C394" t="s">
        <v>926</v>
      </c>
      <c r="D394" t="s">
        <v>839</v>
      </c>
      <c r="E394">
        <v>3930</v>
      </c>
      <c r="F394">
        <v>44.1</v>
      </c>
      <c r="G394">
        <v>216</v>
      </c>
      <c r="H394">
        <v>36.700000000000003</v>
      </c>
      <c r="I394">
        <v>310</v>
      </c>
      <c r="J394">
        <v>74.8</v>
      </c>
      <c r="K394">
        <v>442</v>
      </c>
      <c r="L394">
        <v>56.4</v>
      </c>
      <c r="M394">
        <v>713</v>
      </c>
      <c r="N394">
        <v>30.4</v>
      </c>
      <c r="O394">
        <v>1487</v>
      </c>
      <c r="P394" t="s">
        <v>54</v>
      </c>
      <c r="Q394" s="1">
        <v>20555</v>
      </c>
      <c r="R394">
        <v>10.7</v>
      </c>
      <c r="S394" s="2">
        <v>0.06</v>
      </c>
      <c r="U394" s="2">
        <v>0.05</v>
      </c>
      <c r="V394" t="s">
        <v>926</v>
      </c>
      <c r="W394" t="s">
        <v>927</v>
      </c>
      <c r="X394" t="b">
        <v>0</v>
      </c>
      <c r="Y394" t="b">
        <v>0</v>
      </c>
    </row>
    <row r="395" spans="1:25">
      <c r="A395">
        <v>3940</v>
      </c>
      <c r="B395" t="s">
        <v>837</v>
      </c>
      <c r="C395" t="s">
        <v>928</v>
      </c>
      <c r="D395" t="s">
        <v>839</v>
      </c>
      <c r="E395">
        <v>3940</v>
      </c>
      <c r="F395">
        <v>28.4</v>
      </c>
      <c r="G395">
        <v>784</v>
      </c>
      <c r="H395">
        <v>25.9</v>
      </c>
      <c r="I395">
        <v>576</v>
      </c>
      <c r="J395">
        <v>88</v>
      </c>
      <c r="K395">
        <v>154</v>
      </c>
      <c r="L395">
        <v>46.9</v>
      </c>
      <c r="M395">
        <v>867</v>
      </c>
      <c r="N395">
        <v>81.8</v>
      </c>
      <c r="O395">
        <v>228</v>
      </c>
      <c r="P395" t="s">
        <v>116</v>
      </c>
      <c r="Q395" s="1">
        <v>11650</v>
      </c>
      <c r="R395">
        <v>24.8</v>
      </c>
      <c r="S395" s="2">
        <v>0.15</v>
      </c>
      <c r="T395" s="3">
        <v>2.6506944444444445</v>
      </c>
      <c r="U395" s="2">
        <v>0.31</v>
      </c>
      <c r="V395" t="s">
        <v>929</v>
      </c>
      <c r="W395" t="s">
        <v>930</v>
      </c>
      <c r="X395" t="b">
        <v>0</v>
      </c>
      <c r="Y395" t="b">
        <v>0</v>
      </c>
    </row>
    <row r="396" spans="1:25">
      <c r="A396">
        <v>3950</v>
      </c>
      <c r="B396" t="s">
        <v>837</v>
      </c>
      <c r="C396" t="s">
        <v>931</v>
      </c>
      <c r="D396" t="s">
        <v>839</v>
      </c>
      <c r="E396">
        <v>3950</v>
      </c>
      <c r="F396">
        <v>37.5</v>
      </c>
      <c r="G396">
        <v>380</v>
      </c>
      <c r="H396">
        <v>34</v>
      </c>
      <c r="I396">
        <v>380</v>
      </c>
      <c r="J396">
        <v>66.900000000000006</v>
      </c>
      <c r="K396">
        <v>626</v>
      </c>
      <c r="L396">
        <v>68.099999999999994</v>
      </c>
      <c r="M396">
        <v>481</v>
      </c>
      <c r="N396">
        <v>71.8</v>
      </c>
      <c r="O396">
        <v>378</v>
      </c>
      <c r="P396" t="s">
        <v>588</v>
      </c>
      <c r="Q396" s="1">
        <v>15934</v>
      </c>
      <c r="R396">
        <v>22.7</v>
      </c>
      <c r="S396" s="2">
        <v>0.13</v>
      </c>
      <c r="T396" t="s">
        <v>658</v>
      </c>
      <c r="U396" s="2">
        <v>0.39</v>
      </c>
      <c r="V396" t="s">
        <v>931</v>
      </c>
      <c r="W396" t="s">
        <v>932</v>
      </c>
      <c r="X396" t="b">
        <v>0</v>
      </c>
      <c r="Y396" t="b">
        <v>0</v>
      </c>
    </row>
    <row r="397" spans="1:25">
      <c r="A397">
        <v>3960</v>
      </c>
      <c r="B397" t="s">
        <v>837</v>
      </c>
      <c r="C397" t="s">
        <v>933</v>
      </c>
      <c r="D397" t="s">
        <v>839</v>
      </c>
      <c r="E397">
        <v>3960</v>
      </c>
      <c r="F397">
        <v>40.700000000000003</v>
      </c>
      <c r="G397">
        <v>289</v>
      </c>
      <c r="H397">
        <v>24.3</v>
      </c>
      <c r="I397">
        <v>642</v>
      </c>
      <c r="J397">
        <v>85.2</v>
      </c>
      <c r="K397">
        <v>208</v>
      </c>
      <c r="L397">
        <v>70.400000000000006</v>
      </c>
      <c r="M397">
        <v>422</v>
      </c>
      <c r="N397">
        <v>43.6</v>
      </c>
      <c r="O397">
        <v>1002</v>
      </c>
      <c r="P397" t="s">
        <v>29</v>
      </c>
      <c r="Q397" s="1">
        <v>34069</v>
      </c>
      <c r="R397">
        <v>12.3</v>
      </c>
      <c r="S397" s="2">
        <v>0.06</v>
      </c>
      <c r="T397" s="3">
        <v>2.3638888888888889</v>
      </c>
      <c r="U397" s="2">
        <v>0.2</v>
      </c>
      <c r="V397" t="s">
        <v>933</v>
      </c>
      <c r="W397" t="s">
        <v>934</v>
      </c>
      <c r="X397" t="b">
        <v>0</v>
      </c>
      <c r="Y397" t="b">
        <v>0</v>
      </c>
    </row>
    <row r="398" spans="1:25">
      <c r="A398">
        <v>3970</v>
      </c>
      <c r="B398" t="s">
        <v>837</v>
      </c>
      <c r="C398" t="s">
        <v>935</v>
      </c>
      <c r="D398" t="s">
        <v>839</v>
      </c>
      <c r="E398">
        <v>3970</v>
      </c>
      <c r="F398">
        <v>29.5</v>
      </c>
      <c r="G398">
        <v>724</v>
      </c>
      <c r="H398">
        <v>28.3</v>
      </c>
      <c r="I398">
        <v>512</v>
      </c>
      <c r="J398">
        <v>84.9</v>
      </c>
      <c r="K398">
        <v>213</v>
      </c>
      <c r="L398">
        <v>72.3</v>
      </c>
      <c r="M398">
        <v>380</v>
      </c>
      <c r="N398">
        <v>62.7</v>
      </c>
      <c r="O398">
        <v>532</v>
      </c>
      <c r="P398" t="s">
        <v>29</v>
      </c>
      <c r="Q398" s="1">
        <v>24679</v>
      </c>
      <c r="R398">
        <v>21.6</v>
      </c>
      <c r="S398" s="2">
        <v>0.15</v>
      </c>
      <c r="T398" s="3">
        <v>1.8722222222222222</v>
      </c>
      <c r="U398" s="2">
        <v>0.39</v>
      </c>
      <c r="V398" t="s">
        <v>936</v>
      </c>
      <c r="W398" t="s">
        <v>937</v>
      </c>
      <c r="X398" t="b">
        <v>0</v>
      </c>
      <c r="Y398" t="b">
        <v>0</v>
      </c>
    </row>
    <row r="399" spans="1:25">
      <c r="A399">
        <v>3980</v>
      </c>
      <c r="B399" t="s">
        <v>837</v>
      </c>
      <c r="C399" t="s">
        <v>938</v>
      </c>
      <c r="D399" t="s">
        <v>839</v>
      </c>
      <c r="E399">
        <v>3980</v>
      </c>
      <c r="F399">
        <v>29.3</v>
      </c>
      <c r="G399">
        <v>733</v>
      </c>
      <c r="H399">
        <v>34.799999999999997</v>
      </c>
      <c r="I399">
        <v>355</v>
      </c>
      <c r="J399">
        <v>80.5</v>
      </c>
      <c r="K399">
        <v>312</v>
      </c>
      <c r="L399">
        <v>65.2</v>
      </c>
      <c r="M399">
        <v>543</v>
      </c>
      <c r="N399">
        <v>61.1</v>
      </c>
      <c r="O399">
        <v>562</v>
      </c>
      <c r="P399" t="s">
        <v>397</v>
      </c>
      <c r="Q399" s="1">
        <v>14100</v>
      </c>
      <c r="R399">
        <v>18.399999999999999</v>
      </c>
      <c r="S399" s="2">
        <v>7.0000000000000007E-2</v>
      </c>
      <c r="T399" s="3">
        <v>2.1590277777777778</v>
      </c>
      <c r="U399" s="2">
        <v>0.38</v>
      </c>
      <c r="V399" t="s">
        <v>938</v>
      </c>
      <c r="W399" t="s">
        <v>939</v>
      </c>
      <c r="X399" t="b">
        <v>0</v>
      </c>
      <c r="Y399" t="b">
        <v>0</v>
      </c>
    </row>
    <row r="400" spans="1:25">
      <c r="A400">
        <v>3990</v>
      </c>
      <c r="B400" t="s">
        <v>837</v>
      </c>
      <c r="C400" t="s">
        <v>940</v>
      </c>
      <c r="D400" t="s">
        <v>839</v>
      </c>
      <c r="E400">
        <v>3990</v>
      </c>
      <c r="F400">
        <v>51.8</v>
      </c>
      <c r="G400">
        <v>119</v>
      </c>
      <c r="H400">
        <v>42.6</v>
      </c>
      <c r="I400">
        <v>219</v>
      </c>
      <c r="J400">
        <v>52.3</v>
      </c>
      <c r="K400">
        <v>958</v>
      </c>
      <c r="L400">
        <v>72.900000000000006</v>
      </c>
      <c r="M400">
        <v>374</v>
      </c>
      <c r="N400">
        <v>51.3</v>
      </c>
      <c r="O400">
        <v>766</v>
      </c>
      <c r="P400" t="s">
        <v>94</v>
      </c>
      <c r="Q400" s="1">
        <v>15506</v>
      </c>
      <c r="R400">
        <v>12.1</v>
      </c>
      <c r="S400" s="2">
        <v>0.16</v>
      </c>
      <c r="T400" t="s">
        <v>696</v>
      </c>
      <c r="U400" s="2">
        <v>0.3</v>
      </c>
      <c r="V400" t="s">
        <v>940</v>
      </c>
      <c r="W400" t="s">
        <v>941</v>
      </c>
      <c r="X400" t="b">
        <v>0</v>
      </c>
      <c r="Y400" t="b">
        <v>0</v>
      </c>
    </row>
    <row r="401" spans="1:25">
      <c r="A401">
        <v>4000</v>
      </c>
      <c r="B401" t="s">
        <v>837</v>
      </c>
      <c r="C401" t="s">
        <v>942</v>
      </c>
      <c r="D401" t="s">
        <v>839</v>
      </c>
      <c r="E401">
        <v>4000</v>
      </c>
      <c r="F401">
        <v>27.4</v>
      </c>
      <c r="G401">
        <v>859</v>
      </c>
      <c r="H401">
        <v>31.2</v>
      </c>
      <c r="I401">
        <v>440</v>
      </c>
      <c r="J401">
        <v>80.099999999999994</v>
      </c>
      <c r="K401">
        <v>321</v>
      </c>
      <c r="L401">
        <v>63.8</v>
      </c>
      <c r="M401">
        <v>572</v>
      </c>
      <c r="N401">
        <v>88.9</v>
      </c>
      <c r="O401">
        <v>140</v>
      </c>
      <c r="P401" t="s">
        <v>76</v>
      </c>
      <c r="Q401" s="1">
        <v>21486</v>
      </c>
      <c r="R401">
        <v>23.9</v>
      </c>
      <c r="S401" s="2">
        <v>0.21</v>
      </c>
      <c r="T401" s="3">
        <v>2.3638888888888889</v>
      </c>
      <c r="U401" s="2">
        <v>0.33</v>
      </c>
      <c r="V401" t="s">
        <v>942</v>
      </c>
      <c r="W401" t="s">
        <v>943</v>
      </c>
      <c r="X401" t="b">
        <v>0</v>
      </c>
      <c r="Y401" t="b">
        <v>0</v>
      </c>
    </row>
    <row r="402" spans="1:25">
      <c r="A402">
        <v>4010</v>
      </c>
      <c r="B402" t="s">
        <v>837</v>
      </c>
      <c r="C402" t="s">
        <v>944</v>
      </c>
      <c r="D402" t="s">
        <v>839</v>
      </c>
      <c r="E402">
        <v>4010</v>
      </c>
      <c r="F402">
        <v>28.2</v>
      </c>
      <c r="G402">
        <v>801</v>
      </c>
      <c r="H402">
        <v>32.4</v>
      </c>
      <c r="I402">
        <v>410</v>
      </c>
      <c r="J402">
        <v>78.3</v>
      </c>
      <c r="K402">
        <v>360</v>
      </c>
      <c r="L402">
        <v>69.599999999999994</v>
      </c>
      <c r="M402">
        <v>442</v>
      </c>
      <c r="N402">
        <v>79.5</v>
      </c>
      <c r="O402">
        <v>262</v>
      </c>
      <c r="P402" t="s">
        <v>76</v>
      </c>
      <c r="Q402" s="1">
        <v>44038</v>
      </c>
      <c r="R402">
        <v>29.1</v>
      </c>
      <c r="S402" s="2">
        <v>0.28000000000000003</v>
      </c>
      <c r="T402" s="3">
        <v>2.3229166666666665</v>
      </c>
      <c r="U402" s="2">
        <v>0.26</v>
      </c>
      <c r="V402" t="s">
        <v>944</v>
      </c>
      <c r="W402" t="s">
        <v>945</v>
      </c>
      <c r="X402" t="b">
        <v>0</v>
      </c>
      <c r="Y402" t="b">
        <v>0</v>
      </c>
    </row>
    <row r="403" spans="1:25">
      <c r="A403">
        <v>4020</v>
      </c>
      <c r="B403" t="s">
        <v>946</v>
      </c>
      <c r="C403" t="s">
        <v>947</v>
      </c>
      <c r="D403" t="s">
        <v>948</v>
      </c>
      <c r="E403">
        <v>4020</v>
      </c>
      <c r="F403">
        <v>18.3</v>
      </c>
      <c r="G403">
        <v>1524</v>
      </c>
      <c r="H403">
        <v>36.6</v>
      </c>
      <c r="I403">
        <v>311</v>
      </c>
      <c r="J403">
        <v>80.599999999999994</v>
      </c>
      <c r="K403">
        <v>308</v>
      </c>
      <c r="L403">
        <v>63.2</v>
      </c>
      <c r="M403">
        <v>584</v>
      </c>
      <c r="N403">
        <v>49.2</v>
      </c>
      <c r="O403">
        <v>823</v>
      </c>
      <c r="P403" t="s">
        <v>389</v>
      </c>
      <c r="Q403" s="1">
        <v>11431</v>
      </c>
      <c r="R403">
        <v>29.5</v>
      </c>
      <c r="S403" s="2">
        <v>0.04</v>
      </c>
      <c r="T403" s="3">
        <v>2.6506944444444445</v>
      </c>
      <c r="U403" s="2">
        <v>0.2</v>
      </c>
      <c r="V403" t="s">
        <v>947</v>
      </c>
      <c r="W403" t="s">
        <v>949</v>
      </c>
      <c r="X403" t="b">
        <v>0</v>
      </c>
      <c r="Y403" t="b">
        <v>0</v>
      </c>
    </row>
    <row r="404" spans="1:25">
      <c r="A404">
        <v>4030</v>
      </c>
      <c r="B404" t="s">
        <v>946</v>
      </c>
      <c r="C404" t="s">
        <v>950</v>
      </c>
      <c r="D404" t="s">
        <v>948</v>
      </c>
      <c r="E404">
        <v>4030</v>
      </c>
      <c r="F404">
        <v>22.2</v>
      </c>
      <c r="G404">
        <v>1206</v>
      </c>
      <c r="H404">
        <v>26.5</v>
      </c>
      <c r="I404">
        <v>555</v>
      </c>
      <c r="J404">
        <v>82.5</v>
      </c>
      <c r="K404">
        <v>270</v>
      </c>
      <c r="L404">
        <v>64.099999999999994</v>
      </c>
      <c r="M404">
        <v>563</v>
      </c>
      <c r="N404">
        <v>95.2</v>
      </c>
      <c r="O404">
        <v>44</v>
      </c>
      <c r="P404" t="s">
        <v>26</v>
      </c>
      <c r="Q404" s="1">
        <v>12950</v>
      </c>
      <c r="R404">
        <v>19</v>
      </c>
      <c r="S404" s="2">
        <v>0.25</v>
      </c>
      <c r="T404" s="3">
        <v>2.036111111111111</v>
      </c>
      <c r="U404" s="2">
        <v>0.28000000000000003</v>
      </c>
      <c r="V404" t="s">
        <v>950</v>
      </c>
      <c r="W404" t="s">
        <v>951</v>
      </c>
      <c r="X404" t="b">
        <v>0</v>
      </c>
      <c r="Y404" t="b">
        <v>0</v>
      </c>
    </row>
    <row r="405" spans="1:25">
      <c r="A405">
        <v>4040</v>
      </c>
      <c r="B405" t="s">
        <v>946</v>
      </c>
      <c r="C405" t="s">
        <v>952</v>
      </c>
      <c r="D405" t="s">
        <v>948</v>
      </c>
      <c r="E405">
        <v>4040</v>
      </c>
      <c r="F405">
        <v>23.8</v>
      </c>
      <c r="G405">
        <v>1089</v>
      </c>
      <c r="H405">
        <v>21.2</v>
      </c>
      <c r="I405">
        <v>758</v>
      </c>
      <c r="J405">
        <v>84</v>
      </c>
      <c r="K405">
        <v>236</v>
      </c>
      <c r="L405">
        <v>40.799999999999997</v>
      </c>
      <c r="M405">
        <v>959</v>
      </c>
      <c r="N405">
        <v>92.4</v>
      </c>
      <c r="O405">
        <v>94</v>
      </c>
      <c r="P405" t="s">
        <v>380</v>
      </c>
      <c r="Q405" s="1">
        <v>18592</v>
      </c>
      <c r="R405">
        <v>17.7</v>
      </c>
      <c r="S405" s="2">
        <v>0.46</v>
      </c>
      <c r="T405" s="3">
        <v>2.5277777777777777</v>
      </c>
      <c r="U405" s="2">
        <v>0.24</v>
      </c>
      <c r="V405" t="s">
        <v>953</v>
      </c>
      <c r="W405" t="s">
        <v>954</v>
      </c>
      <c r="X405" t="b">
        <v>0</v>
      </c>
      <c r="Y405" t="b">
        <v>0</v>
      </c>
    </row>
    <row r="406" spans="1:25">
      <c r="A406">
        <v>4050</v>
      </c>
      <c r="B406" t="s">
        <v>946</v>
      </c>
      <c r="C406" t="s">
        <v>955</v>
      </c>
      <c r="D406" t="s">
        <v>948</v>
      </c>
      <c r="E406">
        <v>4050</v>
      </c>
      <c r="F406">
        <v>16.8</v>
      </c>
      <c r="G406">
        <v>1637</v>
      </c>
      <c r="H406">
        <v>25.7</v>
      </c>
      <c r="I406">
        <v>583</v>
      </c>
      <c r="J406">
        <v>97</v>
      </c>
      <c r="K406">
        <v>28</v>
      </c>
      <c r="L406">
        <v>21.9</v>
      </c>
      <c r="M406">
        <v>1441</v>
      </c>
      <c r="N406">
        <v>80.7</v>
      </c>
      <c r="O406">
        <v>245</v>
      </c>
      <c r="P406" t="s">
        <v>116</v>
      </c>
      <c r="Q406" s="1">
        <v>23843</v>
      </c>
      <c r="R406">
        <v>38.4</v>
      </c>
      <c r="S406" s="2">
        <v>0.14000000000000001</v>
      </c>
      <c r="T406" s="3">
        <v>3.1833333333333331</v>
      </c>
      <c r="U406" s="2">
        <v>0.1</v>
      </c>
      <c r="V406" t="s">
        <v>956</v>
      </c>
      <c r="W406" t="s">
        <v>957</v>
      </c>
      <c r="X406" t="b">
        <v>0</v>
      </c>
      <c r="Y406" t="b">
        <v>0</v>
      </c>
    </row>
    <row r="407" spans="1:25">
      <c r="A407">
        <v>4060</v>
      </c>
      <c r="B407" t="s">
        <v>946</v>
      </c>
      <c r="C407" t="s">
        <v>958</v>
      </c>
      <c r="D407" t="s">
        <v>948</v>
      </c>
      <c r="E407">
        <v>4060</v>
      </c>
      <c r="F407">
        <v>27.6</v>
      </c>
      <c r="G407">
        <v>830</v>
      </c>
      <c r="H407">
        <v>25.3</v>
      </c>
      <c r="I407">
        <v>595</v>
      </c>
      <c r="J407">
        <v>72.7</v>
      </c>
      <c r="K407">
        <v>490</v>
      </c>
      <c r="L407">
        <v>64.3</v>
      </c>
      <c r="M407">
        <v>559</v>
      </c>
      <c r="N407">
        <v>88.2</v>
      </c>
      <c r="O407">
        <v>148</v>
      </c>
      <c r="P407" t="s">
        <v>26</v>
      </c>
      <c r="Q407" s="1">
        <v>8130</v>
      </c>
      <c r="R407">
        <v>14.8</v>
      </c>
      <c r="S407" s="2">
        <v>0.23</v>
      </c>
      <c r="T407" s="3">
        <v>2.5687500000000001</v>
      </c>
      <c r="U407" s="2">
        <v>0.25</v>
      </c>
      <c r="V407" t="s">
        <v>958</v>
      </c>
      <c r="W407" t="s">
        <v>959</v>
      </c>
      <c r="X407" t="b">
        <v>0</v>
      </c>
      <c r="Y407" t="b">
        <v>0</v>
      </c>
    </row>
    <row r="408" spans="1:25">
      <c r="A408">
        <v>4070</v>
      </c>
      <c r="B408" t="s">
        <v>946</v>
      </c>
      <c r="C408" t="s">
        <v>960</v>
      </c>
      <c r="D408" t="s">
        <v>948</v>
      </c>
      <c r="E408">
        <v>4070</v>
      </c>
      <c r="F408">
        <v>71.7</v>
      </c>
      <c r="G408">
        <v>38</v>
      </c>
      <c r="H408">
        <v>43.9</v>
      </c>
      <c r="I408">
        <v>203</v>
      </c>
      <c r="J408">
        <v>22.1</v>
      </c>
      <c r="K408">
        <v>1637</v>
      </c>
      <c r="L408">
        <v>51.7</v>
      </c>
      <c r="M408">
        <v>780</v>
      </c>
      <c r="N408">
        <v>59.3</v>
      </c>
      <c r="O408">
        <v>597</v>
      </c>
      <c r="P408" t="s">
        <v>255</v>
      </c>
      <c r="Q408" s="1">
        <v>16061</v>
      </c>
      <c r="R408">
        <v>6.6</v>
      </c>
      <c r="S408" s="2">
        <v>0.18</v>
      </c>
      <c r="T408" s="3">
        <v>1.7902777777777779</v>
      </c>
      <c r="U408" s="2">
        <v>0.49</v>
      </c>
      <c r="V408" t="s">
        <v>960</v>
      </c>
      <c r="W408" t="s">
        <v>961</v>
      </c>
      <c r="X408" t="b">
        <v>0</v>
      </c>
      <c r="Y408" t="b">
        <v>0</v>
      </c>
    </row>
    <row r="409" spans="1:25">
      <c r="A409">
        <v>4080</v>
      </c>
      <c r="B409" t="s">
        <v>946</v>
      </c>
      <c r="C409" t="s">
        <v>962</v>
      </c>
      <c r="D409" t="s">
        <v>948</v>
      </c>
      <c r="E409">
        <v>4080</v>
      </c>
      <c r="F409">
        <v>28.2</v>
      </c>
      <c r="G409">
        <v>796</v>
      </c>
      <c r="H409">
        <v>23.1</v>
      </c>
      <c r="I409">
        <v>682</v>
      </c>
      <c r="J409">
        <v>82.5</v>
      </c>
      <c r="K409">
        <v>271</v>
      </c>
      <c r="L409">
        <v>23.1</v>
      </c>
      <c r="M409">
        <v>1398</v>
      </c>
      <c r="N409">
        <v>82.3</v>
      </c>
      <c r="O409">
        <v>218</v>
      </c>
      <c r="P409" t="s">
        <v>116</v>
      </c>
      <c r="Q409" s="1">
        <v>3170</v>
      </c>
      <c r="R409">
        <v>11.2</v>
      </c>
      <c r="S409" s="2">
        <v>0.34</v>
      </c>
      <c r="T409" s="3">
        <v>2.2819444444444446</v>
      </c>
      <c r="U409" s="2">
        <v>0.11</v>
      </c>
      <c r="V409" t="s">
        <v>962</v>
      </c>
      <c r="W409" t="s">
        <v>963</v>
      </c>
      <c r="X409" t="b">
        <v>0</v>
      </c>
      <c r="Y409" t="b">
        <v>0</v>
      </c>
    </row>
    <row r="410" spans="1:25">
      <c r="A410">
        <v>4090</v>
      </c>
      <c r="B410" t="s">
        <v>946</v>
      </c>
      <c r="C410" t="s">
        <v>964</v>
      </c>
      <c r="D410" t="s">
        <v>948</v>
      </c>
      <c r="E410">
        <v>4090</v>
      </c>
      <c r="F410">
        <v>23.2</v>
      </c>
      <c r="G410">
        <v>1133</v>
      </c>
      <c r="H410">
        <v>21.1</v>
      </c>
      <c r="I410">
        <v>763</v>
      </c>
      <c r="J410">
        <v>86.7</v>
      </c>
      <c r="K410">
        <v>178</v>
      </c>
      <c r="L410">
        <v>38.4</v>
      </c>
      <c r="M410">
        <v>1014</v>
      </c>
      <c r="N410">
        <v>89</v>
      </c>
      <c r="O410">
        <v>138</v>
      </c>
      <c r="P410" t="s">
        <v>26</v>
      </c>
      <c r="Q410" s="1">
        <v>14260</v>
      </c>
      <c r="R410">
        <v>19.100000000000001</v>
      </c>
      <c r="S410" s="2">
        <v>0.21</v>
      </c>
      <c r="T410" s="3">
        <v>2.2409722222222221</v>
      </c>
      <c r="U410" s="2">
        <v>0.21</v>
      </c>
      <c r="V410" t="s">
        <v>964</v>
      </c>
      <c r="W410" t="s">
        <v>965</v>
      </c>
      <c r="X410" t="b">
        <v>0</v>
      </c>
      <c r="Y410" t="b">
        <v>0</v>
      </c>
    </row>
    <row r="411" spans="1:25">
      <c r="A411">
        <v>4100</v>
      </c>
      <c r="B411" t="s">
        <v>946</v>
      </c>
      <c r="C411" t="s">
        <v>966</v>
      </c>
      <c r="D411" t="s">
        <v>948</v>
      </c>
      <c r="E411">
        <v>4100</v>
      </c>
      <c r="F411">
        <v>24.4</v>
      </c>
      <c r="G411">
        <v>1049</v>
      </c>
      <c r="H411">
        <v>19.2</v>
      </c>
      <c r="I411">
        <v>855</v>
      </c>
      <c r="J411">
        <v>89.3</v>
      </c>
      <c r="K411">
        <v>135</v>
      </c>
      <c r="L411">
        <v>62.4</v>
      </c>
      <c r="M411">
        <v>605</v>
      </c>
      <c r="N411">
        <v>44.9</v>
      </c>
      <c r="O411">
        <v>964</v>
      </c>
      <c r="P411" t="s">
        <v>397</v>
      </c>
      <c r="Q411" s="1">
        <v>14615</v>
      </c>
      <c r="R411">
        <v>24.2</v>
      </c>
      <c r="S411" s="2">
        <v>0.06</v>
      </c>
      <c r="T411" s="3">
        <v>1.9951388888888888</v>
      </c>
      <c r="U411" s="2">
        <v>0.2</v>
      </c>
      <c r="V411" t="s">
        <v>966</v>
      </c>
      <c r="W411" t="s">
        <v>967</v>
      </c>
      <c r="X411" t="b">
        <v>0</v>
      </c>
      <c r="Y411" t="b">
        <v>0</v>
      </c>
    </row>
    <row r="412" spans="1:25">
      <c r="A412">
        <v>4110</v>
      </c>
      <c r="B412" t="s">
        <v>946</v>
      </c>
      <c r="C412" t="s">
        <v>968</v>
      </c>
      <c r="D412" t="s">
        <v>948</v>
      </c>
      <c r="E412">
        <v>4110</v>
      </c>
      <c r="F412">
        <v>28.5</v>
      </c>
      <c r="G412">
        <v>771</v>
      </c>
      <c r="H412">
        <v>28.9</v>
      </c>
      <c r="I412">
        <v>498</v>
      </c>
      <c r="J412">
        <v>76</v>
      </c>
      <c r="K412">
        <v>417</v>
      </c>
      <c r="L412">
        <v>22.9</v>
      </c>
      <c r="M412">
        <v>1404</v>
      </c>
      <c r="N412">
        <v>75.7</v>
      </c>
      <c r="O412">
        <v>318</v>
      </c>
      <c r="P412" t="s">
        <v>969</v>
      </c>
      <c r="Q412" s="1">
        <v>3503</v>
      </c>
      <c r="R412">
        <v>11.3</v>
      </c>
      <c r="S412" s="2">
        <v>0.14000000000000001</v>
      </c>
      <c r="T412" s="3">
        <v>2.7736111111111112</v>
      </c>
      <c r="U412" s="2">
        <v>0.32</v>
      </c>
      <c r="V412" t="s">
        <v>968</v>
      </c>
      <c r="W412" t="s">
        <v>970</v>
      </c>
      <c r="X412" t="b">
        <v>0</v>
      </c>
      <c r="Y412" t="b">
        <v>0</v>
      </c>
    </row>
    <row r="413" spans="1:25">
      <c r="A413">
        <v>4120</v>
      </c>
      <c r="B413" t="s">
        <v>946</v>
      </c>
      <c r="C413" t="s">
        <v>971</v>
      </c>
      <c r="D413" t="s">
        <v>948</v>
      </c>
      <c r="E413">
        <v>4120</v>
      </c>
      <c r="F413">
        <v>26.2</v>
      </c>
      <c r="G413">
        <v>928</v>
      </c>
      <c r="H413">
        <v>23.9</v>
      </c>
      <c r="I413">
        <v>658</v>
      </c>
      <c r="J413">
        <v>86.8</v>
      </c>
      <c r="K413">
        <v>177</v>
      </c>
      <c r="L413">
        <v>48.1</v>
      </c>
      <c r="M413">
        <v>838</v>
      </c>
      <c r="N413">
        <v>55</v>
      </c>
      <c r="O413">
        <v>674</v>
      </c>
      <c r="P413" t="s">
        <v>29</v>
      </c>
      <c r="Q413" s="1">
        <v>9170</v>
      </c>
      <c r="R413">
        <v>19.600000000000001</v>
      </c>
      <c r="S413" s="2">
        <v>0.09</v>
      </c>
      <c r="T413" s="3">
        <v>2.1590277777777778</v>
      </c>
      <c r="U413" s="2">
        <v>0.36</v>
      </c>
      <c r="V413" t="s">
        <v>971</v>
      </c>
      <c r="W413" t="s">
        <v>972</v>
      </c>
      <c r="X413" t="b">
        <v>0</v>
      </c>
      <c r="Y413" t="b">
        <v>0</v>
      </c>
    </row>
    <row r="414" spans="1:25">
      <c r="A414">
        <v>4130</v>
      </c>
      <c r="B414" t="s">
        <v>946</v>
      </c>
      <c r="C414" t="s">
        <v>973</v>
      </c>
      <c r="D414" t="s">
        <v>948</v>
      </c>
      <c r="E414">
        <v>4130</v>
      </c>
      <c r="F414">
        <v>32.6</v>
      </c>
      <c r="G414">
        <v>565</v>
      </c>
      <c r="H414">
        <v>29</v>
      </c>
      <c r="I414">
        <v>495</v>
      </c>
      <c r="J414">
        <v>76.900000000000006</v>
      </c>
      <c r="K414">
        <v>397</v>
      </c>
      <c r="L414">
        <v>48.8</v>
      </c>
      <c r="M414">
        <v>826</v>
      </c>
      <c r="N414">
        <v>31</v>
      </c>
      <c r="O414">
        <v>1466</v>
      </c>
      <c r="P414" t="s">
        <v>397</v>
      </c>
      <c r="Q414" s="1">
        <v>2210</v>
      </c>
      <c r="R414">
        <v>18.399999999999999</v>
      </c>
      <c r="S414" s="2">
        <v>0.01</v>
      </c>
      <c r="T414" s="3">
        <v>2.6097222222222221</v>
      </c>
      <c r="U414" s="2">
        <v>0.12</v>
      </c>
      <c r="V414" t="s">
        <v>973</v>
      </c>
      <c r="W414" t="s">
        <v>974</v>
      </c>
      <c r="X414" t="b">
        <v>0</v>
      </c>
      <c r="Y414" t="b">
        <v>0</v>
      </c>
    </row>
    <row r="415" spans="1:25">
      <c r="A415">
        <v>4140</v>
      </c>
      <c r="B415" t="s">
        <v>946</v>
      </c>
      <c r="C415" t="s">
        <v>975</v>
      </c>
      <c r="D415" t="s">
        <v>948</v>
      </c>
      <c r="E415">
        <v>4140</v>
      </c>
      <c r="F415">
        <v>32.4</v>
      </c>
      <c r="G415">
        <v>573</v>
      </c>
      <c r="H415">
        <v>22.7</v>
      </c>
      <c r="I415">
        <v>698</v>
      </c>
      <c r="J415">
        <v>81.2</v>
      </c>
      <c r="K415">
        <v>297</v>
      </c>
      <c r="L415">
        <v>59</v>
      </c>
      <c r="M415">
        <v>663</v>
      </c>
      <c r="N415">
        <v>34.9</v>
      </c>
      <c r="O415">
        <v>1323</v>
      </c>
      <c r="P415" t="s">
        <v>397</v>
      </c>
      <c r="Q415" s="1">
        <v>26717</v>
      </c>
      <c r="R415">
        <v>22.2</v>
      </c>
      <c r="S415" s="2">
        <v>0.03</v>
      </c>
      <c r="T415" s="3">
        <v>2.4048611111111109</v>
      </c>
      <c r="U415" s="2">
        <v>0.28000000000000003</v>
      </c>
      <c r="V415" t="s">
        <v>975</v>
      </c>
      <c r="W415" t="s">
        <v>976</v>
      </c>
      <c r="X415" t="b">
        <v>0</v>
      </c>
      <c r="Y415" t="b">
        <v>0</v>
      </c>
    </row>
    <row r="416" spans="1:25">
      <c r="A416">
        <v>4150</v>
      </c>
      <c r="B416" t="s">
        <v>946</v>
      </c>
      <c r="C416" t="s">
        <v>977</v>
      </c>
      <c r="D416" t="s">
        <v>948</v>
      </c>
      <c r="E416">
        <v>4150</v>
      </c>
      <c r="F416">
        <v>40.700000000000003</v>
      </c>
      <c r="G416">
        <v>285</v>
      </c>
      <c r="H416">
        <v>33.4</v>
      </c>
      <c r="I416">
        <v>394</v>
      </c>
      <c r="J416">
        <v>50.6</v>
      </c>
      <c r="K416">
        <v>1005</v>
      </c>
      <c r="L416">
        <v>81.099999999999994</v>
      </c>
      <c r="M416">
        <v>250</v>
      </c>
      <c r="N416">
        <v>87.8</v>
      </c>
      <c r="O416">
        <v>153</v>
      </c>
      <c r="P416" t="s">
        <v>125</v>
      </c>
      <c r="Q416" s="1">
        <v>1678</v>
      </c>
      <c r="R416">
        <v>14.8</v>
      </c>
      <c r="S416" s="2">
        <v>0.39</v>
      </c>
      <c r="T416" t="s">
        <v>162</v>
      </c>
      <c r="U416" s="2">
        <v>0.47</v>
      </c>
      <c r="V416" t="s">
        <v>977</v>
      </c>
      <c r="W416" t="s">
        <v>978</v>
      </c>
      <c r="X416" t="b">
        <v>0</v>
      </c>
      <c r="Y416" t="b">
        <v>0</v>
      </c>
    </row>
    <row r="417" spans="1:25">
      <c r="A417">
        <v>4160</v>
      </c>
      <c r="B417" t="s">
        <v>946</v>
      </c>
      <c r="C417" t="s">
        <v>979</v>
      </c>
      <c r="D417" t="s">
        <v>948</v>
      </c>
      <c r="E417">
        <v>4160</v>
      </c>
      <c r="F417">
        <v>28.5</v>
      </c>
      <c r="G417">
        <v>772</v>
      </c>
      <c r="H417">
        <v>34.4</v>
      </c>
      <c r="I417">
        <v>366</v>
      </c>
      <c r="J417">
        <v>74.7</v>
      </c>
      <c r="K417">
        <v>445</v>
      </c>
      <c r="L417">
        <v>78.3</v>
      </c>
      <c r="M417">
        <v>285</v>
      </c>
      <c r="N417">
        <v>39.9</v>
      </c>
      <c r="O417">
        <v>1120</v>
      </c>
      <c r="P417" t="s">
        <v>29</v>
      </c>
      <c r="Q417" s="1">
        <v>65269</v>
      </c>
      <c r="R417">
        <v>39.1</v>
      </c>
      <c r="S417" s="2">
        <v>0.04</v>
      </c>
      <c r="T417" s="3">
        <v>2.4048611111111109</v>
      </c>
      <c r="U417" s="2">
        <v>0.31</v>
      </c>
      <c r="V417" t="s">
        <v>979</v>
      </c>
      <c r="W417" t="s">
        <v>980</v>
      </c>
      <c r="X417" t="b">
        <v>0</v>
      </c>
      <c r="Y417" t="b">
        <v>0</v>
      </c>
    </row>
    <row r="418" spans="1:25">
      <c r="A418">
        <v>4170</v>
      </c>
      <c r="B418" t="s">
        <v>946</v>
      </c>
      <c r="C418" t="s">
        <v>981</v>
      </c>
      <c r="D418" t="s">
        <v>948</v>
      </c>
      <c r="E418">
        <v>4170</v>
      </c>
      <c r="F418">
        <v>24.8</v>
      </c>
      <c r="G418">
        <v>1017</v>
      </c>
      <c r="H418">
        <v>32.5</v>
      </c>
      <c r="I418">
        <v>408</v>
      </c>
      <c r="J418">
        <v>73.900000000000006</v>
      </c>
      <c r="K418">
        <v>466</v>
      </c>
      <c r="L418">
        <v>36.299999999999997</v>
      </c>
      <c r="M418">
        <v>1066</v>
      </c>
      <c r="N418">
        <v>81.599999999999994</v>
      </c>
      <c r="O418">
        <v>231</v>
      </c>
      <c r="P418" t="s">
        <v>116</v>
      </c>
      <c r="Q418" s="1">
        <v>7313</v>
      </c>
      <c r="R418">
        <v>33.6</v>
      </c>
      <c r="S418" s="2">
        <v>0.27</v>
      </c>
      <c r="T418" s="3">
        <v>2.9784722222222224</v>
      </c>
      <c r="U418" s="2">
        <v>0.19</v>
      </c>
      <c r="V418" t="s">
        <v>981</v>
      </c>
      <c r="W418" t="s">
        <v>982</v>
      </c>
      <c r="X418" t="b">
        <v>0</v>
      </c>
      <c r="Y418" t="b">
        <v>0</v>
      </c>
    </row>
    <row r="419" spans="1:25">
      <c r="A419">
        <v>4180</v>
      </c>
      <c r="B419" t="s">
        <v>946</v>
      </c>
      <c r="C419" t="s">
        <v>983</v>
      </c>
      <c r="D419" t="s">
        <v>948</v>
      </c>
      <c r="E419">
        <v>4180</v>
      </c>
      <c r="F419">
        <v>38.799999999999997</v>
      </c>
      <c r="G419">
        <v>341</v>
      </c>
      <c r="H419">
        <v>33.1</v>
      </c>
      <c r="I419">
        <v>399</v>
      </c>
      <c r="J419">
        <v>61.9</v>
      </c>
      <c r="K419">
        <v>739</v>
      </c>
      <c r="L419">
        <v>60.1</v>
      </c>
      <c r="M419">
        <v>644</v>
      </c>
      <c r="N419">
        <v>64.7</v>
      </c>
      <c r="O419">
        <v>491</v>
      </c>
      <c r="P419" t="s">
        <v>984</v>
      </c>
      <c r="Q419" s="1">
        <v>51728</v>
      </c>
      <c r="R419">
        <v>13.4</v>
      </c>
      <c r="S419" s="2">
        <v>0.23</v>
      </c>
      <c r="T419" s="3">
        <v>2.6097222222222221</v>
      </c>
      <c r="U419" s="2">
        <v>0.23</v>
      </c>
      <c r="V419" t="s">
        <v>983</v>
      </c>
      <c r="W419" t="s">
        <v>985</v>
      </c>
      <c r="X419" t="b">
        <v>0</v>
      </c>
      <c r="Y419" t="b">
        <v>0</v>
      </c>
    </row>
    <row r="420" spans="1:25">
      <c r="A420">
        <v>4190</v>
      </c>
      <c r="B420" t="s">
        <v>946</v>
      </c>
      <c r="C420" t="s">
        <v>986</v>
      </c>
      <c r="D420" t="s">
        <v>948</v>
      </c>
      <c r="E420">
        <v>4190</v>
      </c>
      <c r="F420">
        <v>37.4</v>
      </c>
      <c r="G420">
        <v>381</v>
      </c>
      <c r="H420">
        <v>38.4</v>
      </c>
      <c r="I420">
        <v>272</v>
      </c>
      <c r="J420">
        <v>52</v>
      </c>
      <c r="K420">
        <v>962</v>
      </c>
      <c r="L420">
        <v>98.3</v>
      </c>
      <c r="M420">
        <v>83</v>
      </c>
      <c r="N420">
        <v>62.6</v>
      </c>
      <c r="O420">
        <v>533</v>
      </c>
      <c r="P420" t="s">
        <v>181</v>
      </c>
      <c r="Q420" s="1">
        <v>18193</v>
      </c>
      <c r="R420">
        <v>22.4</v>
      </c>
      <c r="S420" s="2">
        <v>0.23</v>
      </c>
      <c r="U420" s="2">
        <v>0.24</v>
      </c>
      <c r="V420" t="s">
        <v>987</v>
      </c>
      <c r="W420" t="s">
        <v>988</v>
      </c>
      <c r="X420" t="b">
        <v>0</v>
      </c>
      <c r="Y420" t="b">
        <v>0</v>
      </c>
    </row>
    <row r="421" spans="1:25">
      <c r="A421">
        <v>4200</v>
      </c>
      <c r="B421" t="s">
        <v>946</v>
      </c>
      <c r="C421" t="s">
        <v>989</v>
      </c>
      <c r="D421" t="s">
        <v>948</v>
      </c>
      <c r="E421">
        <v>4200</v>
      </c>
      <c r="F421">
        <v>40.299999999999997</v>
      </c>
      <c r="G421">
        <v>298</v>
      </c>
      <c r="H421">
        <v>27.1</v>
      </c>
      <c r="I421">
        <v>538</v>
      </c>
      <c r="J421">
        <v>65</v>
      </c>
      <c r="K421">
        <v>673</v>
      </c>
      <c r="L421">
        <v>71.3</v>
      </c>
      <c r="M421">
        <v>400</v>
      </c>
      <c r="N421">
        <v>63.7</v>
      </c>
      <c r="O421">
        <v>507</v>
      </c>
      <c r="P421" t="s">
        <v>125</v>
      </c>
      <c r="Q421" s="1">
        <v>27444</v>
      </c>
      <c r="R421">
        <v>12.7</v>
      </c>
      <c r="S421" s="2">
        <v>0.14000000000000001</v>
      </c>
      <c r="T421" s="3">
        <v>2.3229166666666665</v>
      </c>
      <c r="U421" s="2">
        <v>0.28000000000000003</v>
      </c>
      <c r="V421" t="s">
        <v>989</v>
      </c>
      <c r="W421" t="s">
        <v>990</v>
      </c>
      <c r="X421" t="b">
        <v>0</v>
      </c>
      <c r="Y421" t="b">
        <v>0</v>
      </c>
    </row>
    <row r="422" spans="1:25">
      <c r="A422">
        <v>4210</v>
      </c>
      <c r="B422" t="s">
        <v>946</v>
      </c>
      <c r="C422" t="s">
        <v>991</v>
      </c>
      <c r="D422" t="s">
        <v>948</v>
      </c>
      <c r="E422">
        <v>4210</v>
      </c>
      <c r="F422">
        <v>31.4</v>
      </c>
      <c r="G422">
        <v>620</v>
      </c>
      <c r="H422">
        <v>38.200000000000003</v>
      </c>
      <c r="I422">
        <v>279</v>
      </c>
      <c r="J422">
        <v>59.9</v>
      </c>
      <c r="K422">
        <v>787</v>
      </c>
      <c r="L422">
        <v>78</v>
      </c>
      <c r="M422">
        <v>290</v>
      </c>
      <c r="N422">
        <v>54.3</v>
      </c>
      <c r="O422">
        <v>688</v>
      </c>
      <c r="P422" t="s">
        <v>992</v>
      </c>
      <c r="Q422" s="1">
        <v>21767</v>
      </c>
      <c r="R422">
        <v>18.399999999999999</v>
      </c>
      <c r="S422" s="2">
        <v>0.15</v>
      </c>
      <c r="T422" s="3">
        <v>2.4048611111111109</v>
      </c>
      <c r="U422" s="2">
        <v>0.27</v>
      </c>
      <c r="V422" t="s">
        <v>991</v>
      </c>
      <c r="W422" t="s">
        <v>993</v>
      </c>
      <c r="X422" t="b">
        <v>0</v>
      </c>
      <c r="Y422" t="b">
        <v>0</v>
      </c>
    </row>
    <row r="423" spans="1:25">
      <c r="A423">
        <v>4220</v>
      </c>
      <c r="B423" t="s">
        <v>946</v>
      </c>
      <c r="C423" t="s">
        <v>994</v>
      </c>
      <c r="D423" t="s">
        <v>948</v>
      </c>
      <c r="E423">
        <v>4220</v>
      </c>
      <c r="F423">
        <v>33.4</v>
      </c>
      <c r="G423">
        <v>524</v>
      </c>
      <c r="H423">
        <v>31.7</v>
      </c>
      <c r="I423">
        <v>423</v>
      </c>
      <c r="J423">
        <v>74.400000000000006</v>
      </c>
      <c r="K423">
        <v>455</v>
      </c>
      <c r="L423">
        <v>69.400000000000006</v>
      </c>
      <c r="M423">
        <v>446</v>
      </c>
      <c r="N423">
        <v>46.6</v>
      </c>
      <c r="O423">
        <v>911</v>
      </c>
      <c r="P423" t="s">
        <v>29</v>
      </c>
      <c r="Q423" s="1">
        <v>27786</v>
      </c>
      <c r="R423">
        <v>16.2</v>
      </c>
      <c r="S423" s="2">
        <v>0.05</v>
      </c>
      <c r="T423" s="3">
        <v>2.3638888888888889</v>
      </c>
      <c r="U423" s="2">
        <v>0.32</v>
      </c>
      <c r="V423" t="s">
        <v>994</v>
      </c>
      <c r="W423" t="s">
        <v>995</v>
      </c>
      <c r="X423" t="b">
        <v>0</v>
      </c>
      <c r="Y423" t="b">
        <v>0</v>
      </c>
    </row>
    <row r="424" spans="1:25">
      <c r="A424">
        <v>4230</v>
      </c>
      <c r="B424" t="s">
        <v>946</v>
      </c>
      <c r="C424" t="s">
        <v>996</v>
      </c>
      <c r="D424" t="s">
        <v>948</v>
      </c>
      <c r="E424">
        <v>4230</v>
      </c>
      <c r="F424">
        <v>36.700000000000003</v>
      </c>
      <c r="G424">
        <v>403</v>
      </c>
      <c r="H424">
        <v>35.9</v>
      </c>
      <c r="I424">
        <v>326</v>
      </c>
      <c r="J424">
        <v>48.9</v>
      </c>
      <c r="K424">
        <v>1044</v>
      </c>
      <c r="L424">
        <v>84.7</v>
      </c>
      <c r="M424">
        <v>212</v>
      </c>
      <c r="N424">
        <v>93.5</v>
      </c>
      <c r="O424">
        <v>72</v>
      </c>
      <c r="P424" t="s">
        <v>99</v>
      </c>
      <c r="Q424" s="1">
        <v>1534</v>
      </c>
      <c r="R424">
        <v>22.1</v>
      </c>
      <c r="S424" s="2">
        <v>0.83</v>
      </c>
      <c r="T424" s="3">
        <v>1.7902777777777779</v>
      </c>
      <c r="U424" s="2">
        <v>0.42</v>
      </c>
      <c r="V424" t="s">
        <v>996</v>
      </c>
      <c r="W424" t="s">
        <v>997</v>
      </c>
      <c r="X424" t="b">
        <v>0</v>
      </c>
      <c r="Y424" t="b">
        <v>0</v>
      </c>
    </row>
    <row r="425" spans="1:25">
      <c r="A425">
        <v>4240</v>
      </c>
      <c r="B425" t="s">
        <v>946</v>
      </c>
      <c r="C425" t="s">
        <v>998</v>
      </c>
      <c r="D425" t="s">
        <v>948</v>
      </c>
      <c r="E425">
        <v>4240</v>
      </c>
      <c r="F425">
        <v>37</v>
      </c>
      <c r="G425">
        <v>388</v>
      </c>
      <c r="H425">
        <v>35</v>
      </c>
      <c r="I425">
        <v>349</v>
      </c>
      <c r="J425">
        <v>68.099999999999994</v>
      </c>
      <c r="K425">
        <v>600</v>
      </c>
      <c r="L425">
        <v>86.8</v>
      </c>
      <c r="M425">
        <v>187</v>
      </c>
      <c r="N425">
        <v>40.200000000000003</v>
      </c>
      <c r="O425">
        <v>1112</v>
      </c>
      <c r="P425" t="s">
        <v>54</v>
      </c>
      <c r="Q425" s="1">
        <v>37389</v>
      </c>
      <c r="R425">
        <v>14.5</v>
      </c>
      <c r="S425" s="2">
        <v>0.03</v>
      </c>
      <c r="U425" s="2">
        <v>0.46</v>
      </c>
      <c r="V425" t="s">
        <v>998</v>
      </c>
      <c r="W425" t="s">
        <v>999</v>
      </c>
      <c r="X425" t="b">
        <v>0</v>
      </c>
      <c r="Y425" t="b">
        <v>0</v>
      </c>
    </row>
    <row r="426" spans="1:25">
      <c r="A426">
        <v>4250</v>
      </c>
      <c r="B426" t="s">
        <v>946</v>
      </c>
      <c r="C426" t="s">
        <v>1000</v>
      </c>
      <c r="D426" t="s">
        <v>948</v>
      </c>
      <c r="E426">
        <v>4250</v>
      </c>
      <c r="F426">
        <v>32.700000000000003</v>
      </c>
      <c r="G426">
        <v>558</v>
      </c>
      <c r="H426">
        <v>31.8</v>
      </c>
      <c r="I426">
        <v>418</v>
      </c>
      <c r="J426">
        <v>72.5</v>
      </c>
      <c r="K426">
        <v>496</v>
      </c>
      <c r="L426">
        <v>80.900000000000006</v>
      </c>
      <c r="M426">
        <v>252</v>
      </c>
      <c r="N426">
        <v>62.3</v>
      </c>
      <c r="O426">
        <v>536</v>
      </c>
      <c r="P426" t="s">
        <v>29</v>
      </c>
      <c r="Q426" s="1">
        <v>21545</v>
      </c>
      <c r="R426">
        <v>16.100000000000001</v>
      </c>
      <c r="S426" s="2">
        <v>0.11</v>
      </c>
      <c r="T426" s="3">
        <v>2.4048611111111109</v>
      </c>
      <c r="U426" s="2">
        <v>0.35</v>
      </c>
      <c r="V426" t="s">
        <v>1000</v>
      </c>
      <c r="W426" t="s">
        <v>1001</v>
      </c>
      <c r="X426" t="b">
        <v>0</v>
      </c>
      <c r="Y426" t="b">
        <v>0</v>
      </c>
    </row>
    <row r="427" spans="1:25">
      <c r="A427">
        <v>4260</v>
      </c>
      <c r="B427" t="s">
        <v>946</v>
      </c>
      <c r="C427" t="s">
        <v>1002</v>
      </c>
      <c r="D427" t="s">
        <v>948</v>
      </c>
      <c r="E427">
        <v>4260</v>
      </c>
      <c r="F427">
        <v>24.5</v>
      </c>
      <c r="G427">
        <v>1042</v>
      </c>
      <c r="H427">
        <v>35.200000000000003</v>
      </c>
      <c r="I427">
        <v>343</v>
      </c>
      <c r="J427">
        <v>77.099999999999994</v>
      </c>
      <c r="K427">
        <v>393</v>
      </c>
      <c r="L427">
        <v>62.8</v>
      </c>
      <c r="M427">
        <v>596</v>
      </c>
      <c r="N427">
        <v>73.900000000000006</v>
      </c>
      <c r="O427">
        <v>352</v>
      </c>
      <c r="P427" t="s">
        <v>343</v>
      </c>
      <c r="Q427" s="1">
        <v>14325</v>
      </c>
      <c r="R427">
        <v>26.1</v>
      </c>
      <c r="S427" s="2">
        <v>0.12</v>
      </c>
      <c r="T427" s="3">
        <v>2.4458333333333333</v>
      </c>
      <c r="U427" s="2">
        <v>0.3</v>
      </c>
      <c r="V427" t="s">
        <v>1002</v>
      </c>
      <c r="W427" t="s">
        <v>1003</v>
      </c>
      <c r="X427" t="b">
        <v>0</v>
      </c>
      <c r="Y427" t="b">
        <v>0</v>
      </c>
    </row>
    <row r="428" spans="1:25">
      <c r="A428">
        <v>4270</v>
      </c>
      <c r="B428" t="s">
        <v>946</v>
      </c>
      <c r="C428" t="s">
        <v>1004</v>
      </c>
      <c r="D428" t="s">
        <v>948</v>
      </c>
      <c r="E428">
        <v>4270</v>
      </c>
      <c r="F428">
        <v>43.9</v>
      </c>
      <c r="G428">
        <v>221</v>
      </c>
      <c r="H428">
        <v>30.3</v>
      </c>
      <c r="I428">
        <v>461</v>
      </c>
      <c r="J428">
        <v>55.7</v>
      </c>
      <c r="K428">
        <v>869</v>
      </c>
      <c r="L428">
        <v>87.2</v>
      </c>
      <c r="M428">
        <v>185</v>
      </c>
      <c r="N428">
        <v>82.7</v>
      </c>
      <c r="O428">
        <v>212</v>
      </c>
      <c r="P428" t="s">
        <v>125</v>
      </c>
      <c r="Q428" s="1">
        <v>1992</v>
      </c>
      <c r="R428">
        <v>8.6999999999999993</v>
      </c>
      <c r="S428" s="2">
        <v>0.39</v>
      </c>
      <c r="T428" t="s">
        <v>145</v>
      </c>
      <c r="U428" s="2">
        <v>0.49</v>
      </c>
      <c r="V428" t="s">
        <v>1004</v>
      </c>
      <c r="W428" t="s">
        <v>1005</v>
      </c>
      <c r="X428" t="b">
        <v>0</v>
      </c>
      <c r="Y428" t="b">
        <v>0</v>
      </c>
    </row>
    <row r="429" spans="1:25">
      <c r="A429">
        <v>4280</v>
      </c>
      <c r="B429" t="s">
        <v>946</v>
      </c>
      <c r="C429" t="s">
        <v>1006</v>
      </c>
      <c r="D429" t="s">
        <v>948</v>
      </c>
      <c r="E429">
        <v>4280</v>
      </c>
      <c r="F429">
        <v>31</v>
      </c>
      <c r="G429">
        <v>641</v>
      </c>
      <c r="H429">
        <v>29.3</v>
      </c>
      <c r="I429">
        <v>488</v>
      </c>
      <c r="J429">
        <v>74.2</v>
      </c>
      <c r="K429">
        <v>462</v>
      </c>
      <c r="L429">
        <v>61.5</v>
      </c>
      <c r="M429">
        <v>624</v>
      </c>
      <c r="N429">
        <v>51</v>
      </c>
      <c r="O429">
        <v>773</v>
      </c>
      <c r="P429" t="s">
        <v>29</v>
      </c>
      <c r="Q429" s="1">
        <v>35006</v>
      </c>
      <c r="R429">
        <v>22.4</v>
      </c>
      <c r="S429" s="2">
        <v>0.09</v>
      </c>
      <c r="T429" s="3">
        <v>2.5277777777777777</v>
      </c>
      <c r="U429" s="2">
        <v>0.28000000000000003</v>
      </c>
      <c r="V429" t="s">
        <v>1006</v>
      </c>
      <c r="W429" t="s">
        <v>1007</v>
      </c>
      <c r="X429" t="b">
        <v>0</v>
      </c>
      <c r="Y429" t="b">
        <v>0</v>
      </c>
    </row>
    <row r="430" spans="1:25">
      <c r="A430">
        <v>4290</v>
      </c>
      <c r="B430" t="s">
        <v>946</v>
      </c>
      <c r="C430" t="s">
        <v>1008</v>
      </c>
      <c r="D430" t="s">
        <v>948</v>
      </c>
      <c r="E430">
        <v>4290</v>
      </c>
      <c r="F430">
        <v>36.799999999999997</v>
      </c>
      <c r="G430">
        <v>395</v>
      </c>
      <c r="H430">
        <v>33.200000000000003</v>
      </c>
      <c r="I430">
        <v>398</v>
      </c>
      <c r="J430">
        <v>63.2</v>
      </c>
      <c r="K430">
        <v>705</v>
      </c>
      <c r="L430">
        <v>54.7</v>
      </c>
      <c r="M430">
        <v>732</v>
      </c>
      <c r="N430">
        <v>83.1</v>
      </c>
      <c r="O430">
        <v>208</v>
      </c>
      <c r="P430" t="s">
        <v>50</v>
      </c>
      <c r="Q430" s="1">
        <v>6961</v>
      </c>
      <c r="R430">
        <v>16</v>
      </c>
      <c r="S430" s="2">
        <v>0.15</v>
      </c>
      <c r="T430" s="3">
        <v>2.6916666666666669</v>
      </c>
      <c r="U430" s="2">
        <v>0.26</v>
      </c>
      <c r="V430" t="s">
        <v>1008</v>
      </c>
      <c r="W430" t="s">
        <v>1009</v>
      </c>
      <c r="X430" t="b">
        <v>0</v>
      </c>
      <c r="Y430" t="b">
        <v>0</v>
      </c>
    </row>
    <row r="431" spans="1:25">
      <c r="A431">
        <v>4300</v>
      </c>
      <c r="B431" t="s">
        <v>946</v>
      </c>
      <c r="C431" t="s">
        <v>1010</v>
      </c>
      <c r="D431" t="s">
        <v>948</v>
      </c>
      <c r="E431">
        <v>4300</v>
      </c>
      <c r="F431">
        <v>36.1</v>
      </c>
      <c r="G431">
        <v>422</v>
      </c>
      <c r="H431">
        <v>28.3</v>
      </c>
      <c r="I431">
        <v>510</v>
      </c>
      <c r="J431">
        <v>78</v>
      </c>
      <c r="K431">
        <v>367</v>
      </c>
      <c r="L431">
        <v>73.400000000000006</v>
      </c>
      <c r="M431">
        <v>359</v>
      </c>
      <c r="N431">
        <v>47.3</v>
      </c>
      <c r="O431">
        <v>881</v>
      </c>
      <c r="P431" t="s">
        <v>397</v>
      </c>
      <c r="Q431" s="1">
        <v>21470</v>
      </c>
      <c r="R431">
        <v>16.5</v>
      </c>
      <c r="S431" s="2">
        <v>7.0000000000000007E-2</v>
      </c>
      <c r="T431" s="3">
        <v>2.4458333333333333</v>
      </c>
      <c r="U431" s="2">
        <v>0.28000000000000003</v>
      </c>
      <c r="V431" t="s">
        <v>1010</v>
      </c>
      <c r="W431" t="s">
        <v>1011</v>
      </c>
      <c r="X431" t="b">
        <v>0</v>
      </c>
      <c r="Y431" t="b">
        <v>0</v>
      </c>
    </row>
    <row r="432" spans="1:25">
      <c r="A432">
        <v>4310</v>
      </c>
      <c r="B432" t="s">
        <v>946</v>
      </c>
      <c r="C432" t="s">
        <v>1012</v>
      </c>
      <c r="D432" t="s">
        <v>948</v>
      </c>
      <c r="E432">
        <v>4310</v>
      </c>
      <c r="F432">
        <v>29.7</v>
      </c>
      <c r="G432">
        <v>705</v>
      </c>
      <c r="H432">
        <v>27.5</v>
      </c>
      <c r="I432">
        <v>528</v>
      </c>
      <c r="J432">
        <v>82.7</v>
      </c>
      <c r="K432">
        <v>265</v>
      </c>
      <c r="L432">
        <v>62</v>
      </c>
      <c r="M432">
        <v>614</v>
      </c>
      <c r="N432">
        <v>59.9</v>
      </c>
      <c r="O432">
        <v>586</v>
      </c>
      <c r="P432" t="s">
        <v>29</v>
      </c>
      <c r="Q432" s="1">
        <v>32959</v>
      </c>
      <c r="R432">
        <v>18.3</v>
      </c>
      <c r="S432" s="2">
        <v>0.11</v>
      </c>
      <c r="T432" s="3">
        <v>2.2409722222222221</v>
      </c>
      <c r="U432" s="2">
        <v>0.3</v>
      </c>
      <c r="V432" t="s">
        <v>1012</v>
      </c>
      <c r="W432" t="s">
        <v>1013</v>
      </c>
      <c r="X432" t="b">
        <v>0</v>
      </c>
      <c r="Y432" t="b">
        <v>0</v>
      </c>
    </row>
    <row r="433" spans="1:25">
      <c r="A433">
        <v>4320</v>
      </c>
      <c r="B433" t="s">
        <v>946</v>
      </c>
      <c r="C433" t="s">
        <v>1014</v>
      </c>
      <c r="D433" t="s">
        <v>948</v>
      </c>
      <c r="E433">
        <v>4320</v>
      </c>
      <c r="F433">
        <v>35</v>
      </c>
      <c r="G433">
        <v>460</v>
      </c>
      <c r="H433">
        <v>25.4</v>
      </c>
      <c r="I433">
        <v>592</v>
      </c>
      <c r="J433">
        <v>72.599999999999994</v>
      </c>
      <c r="K433">
        <v>493</v>
      </c>
      <c r="L433">
        <v>65.2</v>
      </c>
      <c r="M433">
        <v>542</v>
      </c>
      <c r="N433">
        <v>57.1</v>
      </c>
      <c r="O433">
        <v>640</v>
      </c>
      <c r="P433" t="s">
        <v>29</v>
      </c>
      <c r="Q433" s="1">
        <v>30821</v>
      </c>
      <c r="R433">
        <v>15.7</v>
      </c>
      <c r="S433" s="2">
        <v>7.0000000000000007E-2</v>
      </c>
      <c r="T433" s="3">
        <v>2.5687500000000001</v>
      </c>
      <c r="U433" s="2">
        <v>0.2</v>
      </c>
      <c r="V433" t="s">
        <v>1014</v>
      </c>
      <c r="W433" t="s">
        <v>1015</v>
      </c>
      <c r="X433" t="b">
        <v>0</v>
      </c>
      <c r="Y433" t="b">
        <v>0</v>
      </c>
    </row>
    <row r="434" spans="1:25">
      <c r="A434">
        <v>4330</v>
      </c>
      <c r="B434" t="s">
        <v>946</v>
      </c>
      <c r="C434" t="s">
        <v>1016</v>
      </c>
      <c r="D434" t="s">
        <v>948</v>
      </c>
      <c r="E434">
        <v>4330</v>
      </c>
      <c r="F434">
        <v>29.2</v>
      </c>
      <c r="G434">
        <v>735</v>
      </c>
      <c r="H434">
        <v>25.2</v>
      </c>
      <c r="I434">
        <v>601</v>
      </c>
      <c r="J434">
        <v>75.400000000000006</v>
      </c>
      <c r="K434">
        <v>432</v>
      </c>
      <c r="L434">
        <v>28.9</v>
      </c>
      <c r="M434">
        <v>1204</v>
      </c>
      <c r="N434">
        <v>81</v>
      </c>
      <c r="O434">
        <v>240</v>
      </c>
      <c r="P434" t="s">
        <v>26</v>
      </c>
      <c r="Q434" s="1">
        <v>8780</v>
      </c>
      <c r="R434">
        <v>14.5</v>
      </c>
      <c r="S434" s="2">
        <v>0.38</v>
      </c>
      <c r="T434" s="3">
        <v>2.7736111111111112</v>
      </c>
      <c r="U434" s="2">
        <v>0.15</v>
      </c>
      <c r="V434" t="s">
        <v>1016</v>
      </c>
      <c r="W434" t="s">
        <v>1017</v>
      </c>
      <c r="X434" t="b">
        <v>0</v>
      </c>
      <c r="Y434" t="b">
        <v>0</v>
      </c>
    </row>
    <row r="435" spans="1:25">
      <c r="A435">
        <v>4340</v>
      </c>
      <c r="B435" t="s">
        <v>946</v>
      </c>
      <c r="C435" t="s">
        <v>1018</v>
      </c>
      <c r="D435" t="s">
        <v>948</v>
      </c>
      <c r="E435">
        <v>4340</v>
      </c>
      <c r="F435">
        <v>35.5</v>
      </c>
      <c r="G435">
        <v>446</v>
      </c>
      <c r="H435">
        <v>29.9</v>
      </c>
      <c r="I435">
        <v>475</v>
      </c>
      <c r="J435">
        <v>73.8</v>
      </c>
      <c r="K435">
        <v>469</v>
      </c>
      <c r="L435">
        <v>60.2</v>
      </c>
      <c r="M435">
        <v>642</v>
      </c>
      <c r="N435">
        <v>57.1</v>
      </c>
      <c r="O435">
        <v>641</v>
      </c>
      <c r="P435" t="s">
        <v>99</v>
      </c>
      <c r="Q435" s="1">
        <v>10366</v>
      </c>
      <c r="R435">
        <v>21.1</v>
      </c>
      <c r="S435" s="2">
        <v>0.08</v>
      </c>
      <c r="T435" s="3">
        <v>2.4868055555555557</v>
      </c>
      <c r="U435" s="2">
        <v>0.23</v>
      </c>
      <c r="V435" t="s">
        <v>1018</v>
      </c>
      <c r="W435" t="s">
        <v>1019</v>
      </c>
      <c r="X435" t="b">
        <v>0</v>
      </c>
      <c r="Y435" t="b">
        <v>0</v>
      </c>
    </row>
    <row r="436" spans="1:25">
      <c r="A436">
        <v>4350</v>
      </c>
      <c r="B436" t="s">
        <v>946</v>
      </c>
      <c r="C436" t="s">
        <v>1020</v>
      </c>
      <c r="D436" t="s">
        <v>948</v>
      </c>
      <c r="E436">
        <v>4350</v>
      </c>
      <c r="F436">
        <v>32.6</v>
      </c>
      <c r="G436">
        <v>566</v>
      </c>
      <c r="H436">
        <v>36.200000000000003</v>
      </c>
      <c r="I436">
        <v>322</v>
      </c>
      <c r="J436">
        <v>66.2</v>
      </c>
      <c r="K436">
        <v>646</v>
      </c>
      <c r="L436">
        <v>78.099999999999994</v>
      </c>
      <c r="M436">
        <v>289</v>
      </c>
      <c r="N436">
        <v>64.5</v>
      </c>
      <c r="O436">
        <v>495</v>
      </c>
      <c r="P436" t="s">
        <v>76</v>
      </c>
      <c r="Q436" s="1">
        <v>22936</v>
      </c>
      <c r="R436">
        <v>27.3</v>
      </c>
      <c r="S436" s="2">
        <v>0.1</v>
      </c>
      <c r="T436" s="3">
        <v>2.4868055555555557</v>
      </c>
      <c r="U436" s="2">
        <v>0.25</v>
      </c>
      <c r="V436" t="s">
        <v>1020</v>
      </c>
      <c r="W436" t="s">
        <v>1021</v>
      </c>
      <c r="X436" t="b">
        <v>0</v>
      </c>
      <c r="Y436" t="b">
        <v>0</v>
      </c>
    </row>
    <row r="437" spans="1:25">
      <c r="A437">
        <v>4360</v>
      </c>
      <c r="B437" t="s">
        <v>946</v>
      </c>
      <c r="C437" t="s">
        <v>1022</v>
      </c>
      <c r="D437" t="s">
        <v>948</v>
      </c>
      <c r="E437">
        <v>4360</v>
      </c>
      <c r="F437">
        <v>48.5</v>
      </c>
      <c r="G437">
        <v>152</v>
      </c>
      <c r="H437">
        <v>39.6</v>
      </c>
      <c r="I437">
        <v>253</v>
      </c>
      <c r="J437">
        <v>50.3</v>
      </c>
      <c r="K437">
        <v>1018</v>
      </c>
      <c r="L437">
        <v>99.9</v>
      </c>
      <c r="M437">
        <v>31</v>
      </c>
      <c r="N437">
        <v>43.9</v>
      </c>
      <c r="O437">
        <v>994</v>
      </c>
      <c r="P437" t="s">
        <v>181</v>
      </c>
      <c r="Q437" s="1">
        <v>1795</v>
      </c>
      <c r="R437">
        <v>9.5</v>
      </c>
      <c r="S437" s="2">
        <v>7.0000000000000007E-2</v>
      </c>
      <c r="T437" t="s">
        <v>796</v>
      </c>
      <c r="U437" s="2">
        <v>0.38</v>
      </c>
      <c r="V437" t="s">
        <v>1022</v>
      </c>
      <c r="W437" t="s">
        <v>1023</v>
      </c>
      <c r="X437" t="b">
        <v>0</v>
      </c>
      <c r="Y437" t="b">
        <v>0</v>
      </c>
    </row>
    <row r="438" spans="1:25">
      <c r="A438">
        <v>4370</v>
      </c>
      <c r="B438" t="s">
        <v>946</v>
      </c>
      <c r="C438" t="s">
        <v>1024</v>
      </c>
      <c r="D438" t="s">
        <v>948</v>
      </c>
      <c r="E438">
        <v>4370</v>
      </c>
      <c r="F438">
        <v>34.4</v>
      </c>
      <c r="G438">
        <v>480</v>
      </c>
      <c r="H438">
        <v>44</v>
      </c>
      <c r="I438">
        <v>202</v>
      </c>
      <c r="J438">
        <v>57.3</v>
      </c>
      <c r="K438">
        <v>840</v>
      </c>
      <c r="L438">
        <v>56.5</v>
      </c>
      <c r="M438">
        <v>709</v>
      </c>
      <c r="N438">
        <v>51.4</v>
      </c>
      <c r="O438">
        <v>760</v>
      </c>
      <c r="P438" t="s">
        <v>255</v>
      </c>
      <c r="Q438" s="1">
        <v>34656</v>
      </c>
      <c r="R438">
        <v>18.600000000000001</v>
      </c>
      <c r="S438" s="2">
        <v>0.12</v>
      </c>
      <c r="U438" s="2">
        <v>0.32</v>
      </c>
      <c r="V438" t="s">
        <v>1024</v>
      </c>
      <c r="W438" t="s">
        <v>1025</v>
      </c>
      <c r="X438" t="b">
        <v>0</v>
      </c>
      <c r="Y438" t="b">
        <v>0</v>
      </c>
    </row>
    <row r="439" spans="1:25">
      <c r="A439">
        <v>4380</v>
      </c>
      <c r="B439" t="s">
        <v>946</v>
      </c>
      <c r="C439" t="s">
        <v>1026</v>
      </c>
      <c r="D439" t="s">
        <v>948</v>
      </c>
      <c r="E439">
        <v>4380</v>
      </c>
      <c r="F439">
        <v>27.4</v>
      </c>
      <c r="G439">
        <v>850</v>
      </c>
      <c r="H439">
        <v>24.3</v>
      </c>
      <c r="I439">
        <v>638</v>
      </c>
      <c r="J439">
        <v>74.3</v>
      </c>
      <c r="K439">
        <v>458</v>
      </c>
      <c r="L439">
        <v>59.8</v>
      </c>
      <c r="M439">
        <v>650</v>
      </c>
      <c r="N439">
        <v>85.4</v>
      </c>
      <c r="O439">
        <v>186</v>
      </c>
      <c r="P439" t="s">
        <v>26</v>
      </c>
      <c r="Q439" s="1">
        <v>12305</v>
      </c>
      <c r="R439">
        <v>18</v>
      </c>
      <c r="S439" s="2">
        <v>0.21</v>
      </c>
      <c r="T439" s="3">
        <v>2.3638888888888889</v>
      </c>
      <c r="U439" s="2">
        <v>0.26</v>
      </c>
      <c r="V439" t="s">
        <v>1026</v>
      </c>
      <c r="W439" t="s">
        <v>1027</v>
      </c>
      <c r="X439" t="b">
        <v>0</v>
      </c>
      <c r="Y439" t="b">
        <v>0</v>
      </c>
    </row>
    <row r="440" spans="1:25">
      <c r="A440">
        <v>4390</v>
      </c>
      <c r="B440" t="s">
        <v>946</v>
      </c>
      <c r="C440" t="s">
        <v>1028</v>
      </c>
      <c r="D440" t="s">
        <v>948</v>
      </c>
      <c r="E440">
        <v>4390</v>
      </c>
      <c r="F440">
        <v>43.4</v>
      </c>
      <c r="G440">
        <v>232</v>
      </c>
      <c r="H440">
        <v>23.4</v>
      </c>
      <c r="I440">
        <v>673</v>
      </c>
      <c r="J440">
        <v>65.8</v>
      </c>
      <c r="K440">
        <v>656</v>
      </c>
      <c r="L440">
        <v>21.5</v>
      </c>
      <c r="M440">
        <v>1462</v>
      </c>
      <c r="N440">
        <v>69.8</v>
      </c>
      <c r="O440">
        <v>411</v>
      </c>
      <c r="P440" t="s">
        <v>534</v>
      </c>
      <c r="Q440" s="1">
        <v>42107</v>
      </c>
      <c r="R440">
        <v>10.5</v>
      </c>
      <c r="S440" s="2">
        <v>0.03</v>
      </c>
      <c r="T440" t="s">
        <v>501</v>
      </c>
      <c r="U440" s="2">
        <v>0.34</v>
      </c>
      <c r="V440" t="s">
        <v>1028</v>
      </c>
      <c r="W440" t="s">
        <v>1029</v>
      </c>
      <c r="X440" t="b">
        <v>0</v>
      </c>
      <c r="Y440" t="b">
        <v>0</v>
      </c>
    </row>
    <row r="441" spans="1:25">
      <c r="A441">
        <v>4400</v>
      </c>
      <c r="B441" t="s">
        <v>946</v>
      </c>
      <c r="C441" t="s">
        <v>1030</v>
      </c>
      <c r="D441" t="s">
        <v>948</v>
      </c>
      <c r="E441">
        <v>4400</v>
      </c>
      <c r="F441">
        <v>47.5</v>
      </c>
      <c r="G441">
        <v>166</v>
      </c>
      <c r="H441">
        <v>36.5</v>
      </c>
      <c r="I441">
        <v>316</v>
      </c>
      <c r="J441">
        <v>43.6</v>
      </c>
      <c r="K441">
        <v>1152</v>
      </c>
      <c r="L441">
        <v>90.5</v>
      </c>
      <c r="M441">
        <v>161</v>
      </c>
      <c r="N441">
        <v>84.8</v>
      </c>
      <c r="O441">
        <v>192</v>
      </c>
      <c r="P441" t="s">
        <v>125</v>
      </c>
      <c r="Q441" s="1">
        <v>1683</v>
      </c>
      <c r="R441">
        <v>9.4</v>
      </c>
      <c r="S441" s="2">
        <v>0.37</v>
      </c>
      <c r="T441" t="s">
        <v>162</v>
      </c>
      <c r="U441" s="2">
        <v>0.46</v>
      </c>
      <c r="V441" t="s">
        <v>1030</v>
      </c>
      <c r="W441" t="s">
        <v>1031</v>
      </c>
      <c r="X441" t="b">
        <v>0</v>
      </c>
      <c r="Y441" t="b">
        <v>0</v>
      </c>
    </row>
    <row r="442" spans="1:25">
      <c r="A442">
        <v>4410</v>
      </c>
      <c r="B442" t="s">
        <v>946</v>
      </c>
      <c r="C442" t="s">
        <v>1032</v>
      </c>
      <c r="D442" t="s">
        <v>948</v>
      </c>
      <c r="E442">
        <v>4410</v>
      </c>
      <c r="F442">
        <v>43.8</v>
      </c>
      <c r="G442">
        <v>223</v>
      </c>
      <c r="H442">
        <v>32.6</v>
      </c>
      <c r="I442">
        <v>404</v>
      </c>
      <c r="J442">
        <v>60.2</v>
      </c>
      <c r="K442">
        <v>771</v>
      </c>
      <c r="L442">
        <v>59.6</v>
      </c>
      <c r="M442">
        <v>655</v>
      </c>
      <c r="N442">
        <v>60.3</v>
      </c>
      <c r="O442">
        <v>578</v>
      </c>
      <c r="P442" t="s">
        <v>125</v>
      </c>
      <c r="Q442" s="1">
        <v>3117</v>
      </c>
      <c r="R442">
        <v>10.8</v>
      </c>
      <c r="S442" s="2">
        <v>0.13</v>
      </c>
      <c r="T442" s="3">
        <v>2.5277777777777777</v>
      </c>
      <c r="U442" s="2">
        <v>0.25</v>
      </c>
      <c r="V442" t="s">
        <v>1032</v>
      </c>
      <c r="W442" t="s">
        <v>1033</v>
      </c>
      <c r="X442" t="b">
        <v>0</v>
      </c>
      <c r="Y442" t="b">
        <v>0</v>
      </c>
    </row>
    <row r="443" spans="1:25">
      <c r="A443">
        <v>4420</v>
      </c>
      <c r="B443" t="s">
        <v>946</v>
      </c>
      <c r="C443" t="s">
        <v>1034</v>
      </c>
      <c r="D443" t="s">
        <v>948</v>
      </c>
      <c r="E443">
        <v>4420</v>
      </c>
      <c r="F443">
        <v>33.6</v>
      </c>
      <c r="G443">
        <v>515</v>
      </c>
      <c r="H443">
        <v>37.4</v>
      </c>
      <c r="I443">
        <v>300</v>
      </c>
      <c r="J443">
        <v>75.2</v>
      </c>
      <c r="K443">
        <v>436</v>
      </c>
      <c r="L443">
        <v>73.900000000000006</v>
      </c>
      <c r="M443">
        <v>349</v>
      </c>
      <c r="N443">
        <v>24.3</v>
      </c>
      <c r="O443">
        <v>1731</v>
      </c>
      <c r="P443" t="s">
        <v>795</v>
      </c>
      <c r="Q443" s="1">
        <v>14679</v>
      </c>
      <c r="R443">
        <v>32.700000000000003</v>
      </c>
      <c r="S443" s="2">
        <v>0.01</v>
      </c>
      <c r="T443" t="s">
        <v>350</v>
      </c>
      <c r="U443" s="2">
        <v>0.47</v>
      </c>
      <c r="V443" t="s">
        <v>1034</v>
      </c>
      <c r="W443" t="s">
        <v>1035</v>
      </c>
      <c r="X443" t="b">
        <v>0</v>
      </c>
      <c r="Y443" t="b">
        <v>0</v>
      </c>
    </row>
    <row r="444" spans="1:25">
      <c r="A444">
        <v>4430</v>
      </c>
      <c r="B444" t="s">
        <v>946</v>
      </c>
      <c r="C444" t="s">
        <v>1036</v>
      </c>
      <c r="D444" t="s">
        <v>948</v>
      </c>
      <c r="E444">
        <v>4430</v>
      </c>
      <c r="F444">
        <v>28.6</v>
      </c>
      <c r="G444">
        <v>767</v>
      </c>
      <c r="H444">
        <v>36.299999999999997</v>
      </c>
      <c r="I444">
        <v>321</v>
      </c>
      <c r="J444">
        <v>66.8</v>
      </c>
      <c r="K444">
        <v>629</v>
      </c>
      <c r="L444">
        <v>44.8</v>
      </c>
      <c r="M444">
        <v>899</v>
      </c>
      <c r="N444">
        <v>81</v>
      </c>
      <c r="O444">
        <v>241</v>
      </c>
      <c r="P444" t="s">
        <v>421</v>
      </c>
      <c r="Q444" s="1">
        <v>31721</v>
      </c>
      <c r="R444">
        <v>26.5</v>
      </c>
      <c r="S444" s="2">
        <v>0.13</v>
      </c>
      <c r="T444" s="3">
        <v>2.3229166666666665</v>
      </c>
      <c r="U444" s="2">
        <v>0.32</v>
      </c>
      <c r="V444" t="s">
        <v>1037</v>
      </c>
      <c r="W444" t="s">
        <v>1038</v>
      </c>
      <c r="X444" t="b">
        <v>0</v>
      </c>
      <c r="Y444" t="b">
        <v>0</v>
      </c>
    </row>
    <row r="445" spans="1:25">
      <c r="A445">
        <v>4440</v>
      </c>
      <c r="B445" t="s">
        <v>946</v>
      </c>
      <c r="C445" t="s">
        <v>1039</v>
      </c>
      <c r="D445" t="s">
        <v>948</v>
      </c>
      <c r="E445">
        <v>4440</v>
      </c>
      <c r="F445">
        <v>36.799999999999997</v>
      </c>
      <c r="G445">
        <v>396</v>
      </c>
      <c r="H445">
        <v>35.4</v>
      </c>
      <c r="I445">
        <v>338</v>
      </c>
      <c r="J445">
        <v>58.2</v>
      </c>
      <c r="K445">
        <v>820</v>
      </c>
      <c r="L445">
        <v>98.7</v>
      </c>
      <c r="M445">
        <v>76</v>
      </c>
      <c r="N445">
        <v>71.7</v>
      </c>
      <c r="O445">
        <v>380</v>
      </c>
      <c r="P445" t="s">
        <v>310</v>
      </c>
      <c r="Q445" s="1">
        <v>6803</v>
      </c>
      <c r="R445">
        <v>20.8</v>
      </c>
      <c r="S445" s="2">
        <v>0.16</v>
      </c>
      <c r="T445" s="3">
        <v>2.1180555555555554</v>
      </c>
      <c r="U445" s="2">
        <v>0.42</v>
      </c>
      <c r="V445" t="s">
        <v>1039</v>
      </c>
      <c r="W445" t="s">
        <v>1040</v>
      </c>
      <c r="X445" t="b">
        <v>0</v>
      </c>
      <c r="Y445" t="b">
        <v>0</v>
      </c>
    </row>
    <row r="446" spans="1:25">
      <c r="A446">
        <v>4450</v>
      </c>
      <c r="B446" t="s">
        <v>946</v>
      </c>
      <c r="C446" t="s">
        <v>1041</v>
      </c>
      <c r="D446" t="s">
        <v>948</v>
      </c>
      <c r="E446">
        <v>4450</v>
      </c>
      <c r="F446">
        <v>31.4</v>
      </c>
      <c r="G446">
        <v>621</v>
      </c>
      <c r="H446">
        <v>34.1</v>
      </c>
      <c r="I446">
        <v>376</v>
      </c>
      <c r="J446">
        <v>78.2</v>
      </c>
      <c r="K446">
        <v>361</v>
      </c>
      <c r="L446">
        <v>53</v>
      </c>
      <c r="M446">
        <v>753</v>
      </c>
      <c r="N446">
        <v>49.7</v>
      </c>
      <c r="O446">
        <v>813</v>
      </c>
      <c r="P446" t="s">
        <v>313</v>
      </c>
      <c r="Q446" s="1">
        <v>10702</v>
      </c>
      <c r="R446">
        <v>13.8</v>
      </c>
      <c r="S446" s="2">
        <v>0.03</v>
      </c>
      <c r="T446" s="3">
        <v>2.6097222222222221</v>
      </c>
      <c r="U446" s="2">
        <v>0.34</v>
      </c>
      <c r="V446" t="s">
        <v>1041</v>
      </c>
      <c r="W446" t="s">
        <v>1042</v>
      </c>
      <c r="X446" t="b">
        <v>0</v>
      </c>
      <c r="Y446" t="b">
        <v>0</v>
      </c>
    </row>
    <row r="447" spans="1:25">
      <c r="A447">
        <v>4460</v>
      </c>
      <c r="B447" t="s">
        <v>946</v>
      </c>
      <c r="C447" t="s">
        <v>1043</v>
      </c>
      <c r="D447" t="s">
        <v>948</v>
      </c>
      <c r="E447">
        <v>4460</v>
      </c>
      <c r="F447">
        <v>45.7</v>
      </c>
      <c r="G447">
        <v>193</v>
      </c>
      <c r="H447">
        <v>27.8</v>
      </c>
      <c r="I447">
        <v>518</v>
      </c>
      <c r="J447">
        <v>58.7</v>
      </c>
      <c r="K447">
        <v>807</v>
      </c>
      <c r="L447">
        <v>47.4</v>
      </c>
      <c r="M447">
        <v>857</v>
      </c>
      <c r="N447">
        <v>74.900000000000006</v>
      </c>
      <c r="O447">
        <v>331</v>
      </c>
      <c r="P447" t="s">
        <v>664</v>
      </c>
      <c r="Q447" s="1">
        <v>16764</v>
      </c>
      <c r="R447">
        <v>10.1</v>
      </c>
      <c r="S447" s="2">
        <v>0.18</v>
      </c>
      <c r="T447" s="3">
        <v>2.4048611111111109</v>
      </c>
      <c r="U447" s="2">
        <v>0.3</v>
      </c>
      <c r="V447" t="s">
        <v>1043</v>
      </c>
      <c r="W447" t="s">
        <v>1044</v>
      </c>
      <c r="X447" t="b">
        <v>0</v>
      </c>
      <c r="Y447" t="b">
        <v>0</v>
      </c>
    </row>
    <row r="448" spans="1:25">
      <c r="A448">
        <v>4470</v>
      </c>
      <c r="B448" t="s">
        <v>946</v>
      </c>
      <c r="C448" t="s">
        <v>1045</v>
      </c>
      <c r="D448" t="s">
        <v>948</v>
      </c>
      <c r="E448">
        <v>4470</v>
      </c>
      <c r="F448">
        <v>27.6</v>
      </c>
      <c r="G448">
        <v>834</v>
      </c>
      <c r="H448">
        <v>29</v>
      </c>
      <c r="I448">
        <v>497</v>
      </c>
      <c r="J448">
        <v>77.599999999999994</v>
      </c>
      <c r="K448">
        <v>380</v>
      </c>
      <c r="L448">
        <v>51.9</v>
      </c>
      <c r="M448">
        <v>776</v>
      </c>
      <c r="N448">
        <v>93.5</v>
      </c>
      <c r="O448">
        <v>73</v>
      </c>
      <c r="P448" t="s">
        <v>26</v>
      </c>
      <c r="Q448" s="1">
        <v>16515</v>
      </c>
      <c r="R448">
        <v>18</v>
      </c>
      <c r="S448" s="2">
        <v>0.27</v>
      </c>
      <c r="T448" s="3">
        <v>2.2409722222222221</v>
      </c>
      <c r="U448" s="2">
        <v>0.23</v>
      </c>
      <c r="V448" t="s">
        <v>1045</v>
      </c>
      <c r="W448" t="s">
        <v>1046</v>
      </c>
      <c r="X448" t="b">
        <v>0</v>
      </c>
      <c r="Y448" t="b">
        <v>0</v>
      </c>
    </row>
    <row r="449" spans="1:25">
      <c r="A449">
        <v>4480</v>
      </c>
      <c r="B449" t="s">
        <v>946</v>
      </c>
      <c r="C449" t="s">
        <v>1047</v>
      </c>
      <c r="D449" t="s">
        <v>948</v>
      </c>
      <c r="E449">
        <v>4480</v>
      </c>
      <c r="F449">
        <v>41.3</v>
      </c>
      <c r="G449">
        <v>271</v>
      </c>
      <c r="H449">
        <v>30.8</v>
      </c>
      <c r="I449">
        <v>448</v>
      </c>
      <c r="J449">
        <v>71.8</v>
      </c>
      <c r="K449">
        <v>516</v>
      </c>
      <c r="L449">
        <v>70.900000000000006</v>
      </c>
      <c r="M449">
        <v>410</v>
      </c>
      <c r="N449">
        <v>46.8</v>
      </c>
      <c r="O449">
        <v>899</v>
      </c>
      <c r="P449" t="s">
        <v>29</v>
      </c>
      <c r="Q449" s="1">
        <v>27540</v>
      </c>
      <c r="R449">
        <v>11.3</v>
      </c>
      <c r="S449" s="2">
        <v>0.03</v>
      </c>
      <c r="T449" s="3">
        <v>2.4458333333333333</v>
      </c>
      <c r="U449" s="2">
        <v>0.18</v>
      </c>
      <c r="V449" t="s">
        <v>1047</v>
      </c>
      <c r="W449" t="s">
        <v>1048</v>
      </c>
      <c r="X449" t="b">
        <v>0</v>
      </c>
      <c r="Y449" t="b">
        <v>0</v>
      </c>
    </row>
    <row r="450" spans="1:25">
      <c r="A450">
        <v>4490</v>
      </c>
      <c r="B450" t="s">
        <v>946</v>
      </c>
      <c r="C450" t="s">
        <v>1049</v>
      </c>
      <c r="D450" t="s">
        <v>948</v>
      </c>
      <c r="E450">
        <v>4490</v>
      </c>
      <c r="F450">
        <v>31.4</v>
      </c>
      <c r="G450">
        <v>622</v>
      </c>
      <c r="H450">
        <v>19.899999999999999</v>
      </c>
      <c r="I450">
        <v>819</v>
      </c>
      <c r="J450">
        <v>84.5</v>
      </c>
      <c r="K450">
        <v>222</v>
      </c>
      <c r="L450">
        <v>48.7</v>
      </c>
      <c r="M450">
        <v>830</v>
      </c>
      <c r="N450">
        <v>77.2</v>
      </c>
      <c r="O450">
        <v>294</v>
      </c>
      <c r="P450" t="s">
        <v>534</v>
      </c>
      <c r="Q450" s="1">
        <v>50906</v>
      </c>
      <c r="R450">
        <v>11.9</v>
      </c>
      <c r="S450" s="2">
        <v>0.06</v>
      </c>
      <c r="T450" s="3">
        <v>1.83125</v>
      </c>
      <c r="U450" s="2">
        <v>0.28000000000000003</v>
      </c>
      <c r="V450" t="s">
        <v>1049</v>
      </c>
      <c r="W450" t="s">
        <v>1050</v>
      </c>
      <c r="X450" t="b">
        <v>0</v>
      </c>
      <c r="Y450" t="b">
        <v>0</v>
      </c>
    </row>
    <row r="451" spans="1:25">
      <c r="A451">
        <v>4500</v>
      </c>
      <c r="B451" t="s">
        <v>946</v>
      </c>
      <c r="C451" t="s">
        <v>1051</v>
      </c>
      <c r="D451" t="s">
        <v>948</v>
      </c>
      <c r="E451">
        <v>4500</v>
      </c>
      <c r="F451">
        <v>27.1</v>
      </c>
      <c r="G451">
        <v>871</v>
      </c>
      <c r="H451">
        <v>32.6</v>
      </c>
      <c r="I451">
        <v>406</v>
      </c>
      <c r="J451">
        <v>64.099999999999994</v>
      </c>
      <c r="K451">
        <v>690</v>
      </c>
      <c r="L451">
        <v>75.900000000000006</v>
      </c>
      <c r="M451">
        <v>318</v>
      </c>
      <c r="N451">
        <v>76.099999999999994</v>
      </c>
      <c r="O451">
        <v>312</v>
      </c>
      <c r="P451" t="s">
        <v>343</v>
      </c>
      <c r="Q451" s="1">
        <v>14640</v>
      </c>
      <c r="R451">
        <v>27.1</v>
      </c>
      <c r="S451" s="2">
        <v>0.15</v>
      </c>
      <c r="T451" s="3">
        <v>2.1180555555555554</v>
      </c>
      <c r="U451" s="2">
        <v>0.28000000000000003</v>
      </c>
      <c r="V451" t="s">
        <v>1051</v>
      </c>
      <c r="W451" t="s">
        <v>1052</v>
      </c>
      <c r="X451" t="b">
        <v>0</v>
      </c>
      <c r="Y451" t="b">
        <v>0</v>
      </c>
    </row>
    <row r="452" spans="1:25">
      <c r="A452">
        <v>4510</v>
      </c>
      <c r="B452" t="s">
        <v>946</v>
      </c>
      <c r="C452" t="s">
        <v>1053</v>
      </c>
      <c r="D452" t="s">
        <v>948</v>
      </c>
      <c r="E452">
        <v>4510</v>
      </c>
      <c r="F452">
        <v>33.9</v>
      </c>
      <c r="G452">
        <v>496</v>
      </c>
      <c r="H452">
        <v>26.7</v>
      </c>
      <c r="I452">
        <v>550</v>
      </c>
      <c r="J452">
        <v>68.400000000000006</v>
      </c>
      <c r="K452">
        <v>596</v>
      </c>
      <c r="L452">
        <v>49.7</v>
      </c>
      <c r="M452">
        <v>814</v>
      </c>
      <c r="N452">
        <v>92</v>
      </c>
      <c r="O452">
        <v>100</v>
      </c>
      <c r="P452" t="s">
        <v>380</v>
      </c>
      <c r="Q452" s="1">
        <v>2562</v>
      </c>
      <c r="R452">
        <v>14.5</v>
      </c>
      <c r="S452" s="2">
        <v>0.33</v>
      </c>
      <c r="T452" s="3">
        <v>2.2000000000000002</v>
      </c>
      <c r="U452" s="2">
        <v>0.23</v>
      </c>
      <c r="V452" t="s">
        <v>1053</v>
      </c>
      <c r="W452" t="s">
        <v>1054</v>
      </c>
      <c r="X452" t="b">
        <v>0</v>
      </c>
      <c r="Y452" t="b">
        <v>0</v>
      </c>
    </row>
    <row r="453" spans="1:25">
      <c r="A453">
        <v>4520</v>
      </c>
      <c r="B453" t="s">
        <v>946</v>
      </c>
      <c r="C453" t="s">
        <v>1055</v>
      </c>
      <c r="D453" t="s">
        <v>948</v>
      </c>
      <c r="E453">
        <v>4520</v>
      </c>
      <c r="F453">
        <v>29.6</v>
      </c>
      <c r="G453">
        <v>715</v>
      </c>
      <c r="H453">
        <v>38</v>
      </c>
      <c r="I453">
        <v>289</v>
      </c>
      <c r="J453">
        <v>69.900000000000006</v>
      </c>
      <c r="K453">
        <v>560</v>
      </c>
      <c r="L453">
        <v>64.7</v>
      </c>
      <c r="M453">
        <v>555</v>
      </c>
      <c r="N453">
        <v>56.9</v>
      </c>
      <c r="O453">
        <v>646</v>
      </c>
      <c r="P453" t="s">
        <v>992</v>
      </c>
      <c r="Q453" s="1">
        <v>49847</v>
      </c>
      <c r="R453">
        <v>18</v>
      </c>
      <c r="S453" s="2">
        <v>0.16</v>
      </c>
      <c r="T453" s="3">
        <v>2.2409722222222221</v>
      </c>
      <c r="U453" s="2">
        <v>0.33</v>
      </c>
      <c r="V453" t="s">
        <v>1055</v>
      </c>
      <c r="W453" t="s">
        <v>1056</v>
      </c>
      <c r="X453" t="b">
        <v>0</v>
      </c>
      <c r="Y453" t="b">
        <v>0</v>
      </c>
    </row>
    <row r="454" spans="1:25">
      <c r="A454">
        <v>4530</v>
      </c>
      <c r="B454" t="s">
        <v>946</v>
      </c>
      <c r="C454" t="s">
        <v>1057</v>
      </c>
      <c r="D454" t="s">
        <v>948</v>
      </c>
      <c r="E454">
        <v>4530</v>
      </c>
      <c r="F454">
        <v>36.700000000000003</v>
      </c>
      <c r="G454">
        <v>406</v>
      </c>
      <c r="H454">
        <v>31.4</v>
      </c>
      <c r="I454">
        <v>432</v>
      </c>
      <c r="J454">
        <v>68.8</v>
      </c>
      <c r="K454">
        <v>588</v>
      </c>
      <c r="L454">
        <v>63.1</v>
      </c>
      <c r="M454">
        <v>586</v>
      </c>
      <c r="N454">
        <v>62.3</v>
      </c>
      <c r="O454">
        <v>538</v>
      </c>
      <c r="P454" t="s">
        <v>99</v>
      </c>
      <c r="Q454" s="1">
        <v>24644</v>
      </c>
      <c r="R454">
        <v>32.700000000000003</v>
      </c>
      <c r="S454" s="2">
        <v>0.14000000000000001</v>
      </c>
      <c r="T454" s="3">
        <v>2.3638888888888889</v>
      </c>
      <c r="U454" s="2">
        <v>0.2</v>
      </c>
      <c r="V454" t="s">
        <v>1057</v>
      </c>
      <c r="W454" t="s">
        <v>1058</v>
      </c>
      <c r="X454" t="b">
        <v>0</v>
      </c>
      <c r="Y454" t="b">
        <v>0</v>
      </c>
    </row>
    <row r="455" spans="1:25">
      <c r="A455">
        <v>4540</v>
      </c>
      <c r="B455" t="s">
        <v>946</v>
      </c>
      <c r="C455" t="s">
        <v>1059</v>
      </c>
      <c r="D455" t="s">
        <v>948</v>
      </c>
      <c r="E455">
        <v>4540</v>
      </c>
      <c r="F455">
        <v>21.1</v>
      </c>
      <c r="G455">
        <v>1296</v>
      </c>
      <c r="H455">
        <v>30.7</v>
      </c>
      <c r="I455">
        <v>449</v>
      </c>
      <c r="J455">
        <v>77</v>
      </c>
      <c r="K455">
        <v>396</v>
      </c>
      <c r="L455">
        <v>58.3</v>
      </c>
      <c r="M455">
        <v>672</v>
      </c>
      <c r="N455">
        <v>74.8</v>
      </c>
      <c r="O455">
        <v>333</v>
      </c>
      <c r="P455" t="s">
        <v>343</v>
      </c>
      <c r="Q455" s="1">
        <v>11885</v>
      </c>
      <c r="R455">
        <v>28.5</v>
      </c>
      <c r="S455" s="2">
        <v>0.12</v>
      </c>
      <c r="T455" s="3">
        <v>2.3638888888888889</v>
      </c>
      <c r="U455" s="2">
        <v>0.28000000000000003</v>
      </c>
      <c r="V455" t="s">
        <v>1059</v>
      </c>
      <c r="W455" t="s">
        <v>1060</v>
      </c>
      <c r="X455" t="b">
        <v>0</v>
      </c>
      <c r="Y455" t="b">
        <v>0</v>
      </c>
    </row>
    <row r="456" spans="1:25">
      <c r="A456">
        <v>4550</v>
      </c>
      <c r="B456" t="s">
        <v>946</v>
      </c>
      <c r="C456" t="s">
        <v>1061</v>
      </c>
      <c r="D456" t="s">
        <v>948</v>
      </c>
      <c r="E456">
        <v>4550</v>
      </c>
      <c r="F456">
        <v>33.200000000000003</v>
      </c>
      <c r="G456">
        <v>538</v>
      </c>
      <c r="H456">
        <v>28.7</v>
      </c>
      <c r="I456">
        <v>502</v>
      </c>
      <c r="J456">
        <v>69.599999999999994</v>
      </c>
      <c r="K456">
        <v>567</v>
      </c>
      <c r="L456">
        <v>88.1</v>
      </c>
      <c r="M456">
        <v>179</v>
      </c>
      <c r="N456">
        <v>72.400000000000006</v>
      </c>
      <c r="O456">
        <v>373</v>
      </c>
      <c r="P456" t="s">
        <v>29</v>
      </c>
      <c r="Q456" s="1">
        <v>7271</v>
      </c>
      <c r="R456">
        <v>21.6</v>
      </c>
      <c r="S456" s="2">
        <v>0.09</v>
      </c>
      <c r="T456" t="s">
        <v>1062</v>
      </c>
      <c r="U456" s="2">
        <v>0.47</v>
      </c>
      <c r="V456" t="s">
        <v>1061</v>
      </c>
      <c r="W456" t="s">
        <v>1063</v>
      </c>
      <c r="X456" t="b">
        <v>0</v>
      </c>
      <c r="Y456" t="b">
        <v>0</v>
      </c>
    </row>
    <row r="457" spans="1:25">
      <c r="A457">
        <v>4560</v>
      </c>
      <c r="B457" t="s">
        <v>946</v>
      </c>
      <c r="C457" t="s">
        <v>1064</v>
      </c>
      <c r="D457" t="s">
        <v>948</v>
      </c>
      <c r="E457">
        <v>4560</v>
      </c>
      <c r="F457">
        <v>40.6</v>
      </c>
      <c r="G457">
        <v>291</v>
      </c>
      <c r="H457">
        <v>26</v>
      </c>
      <c r="I457">
        <v>573</v>
      </c>
      <c r="J457">
        <v>66</v>
      </c>
      <c r="K457">
        <v>650</v>
      </c>
      <c r="L457">
        <v>69.900000000000006</v>
      </c>
      <c r="M457">
        <v>433</v>
      </c>
      <c r="N457">
        <v>53.6</v>
      </c>
      <c r="O457">
        <v>701</v>
      </c>
      <c r="P457" t="s">
        <v>29</v>
      </c>
      <c r="Q457" s="1">
        <v>25993</v>
      </c>
      <c r="R457">
        <v>12.3</v>
      </c>
      <c r="S457" s="2">
        <v>0.03</v>
      </c>
      <c r="T457" s="3">
        <v>2.3229166666666665</v>
      </c>
      <c r="U457" s="2">
        <v>0.2</v>
      </c>
      <c r="V457" t="s">
        <v>1064</v>
      </c>
      <c r="W457" t="s">
        <v>1065</v>
      </c>
      <c r="X457" t="b">
        <v>0</v>
      </c>
      <c r="Y457" t="b">
        <v>0</v>
      </c>
    </row>
    <row r="458" spans="1:25">
      <c r="A458">
        <v>4570</v>
      </c>
      <c r="B458" t="s">
        <v>946</v>
      </c>
      <c r="C458" t="s">
        <v>1066</v>
      </c>
      <c r="D458" t="s">
        <v>948</v>
      </c>
      <c r="E458">
        <v>4570</v>
      </c>
      <c r="F458">
        <v>32</v>
      </c>
      <c r="G458">
        <v>592</v>
      </c>
      <c r="H458">
        <v>24.6</v>
      </c>
      <c r="I458">
        <v>625</v>
      </c>
      <c r="J458">
        <v>79.599999999999994</v>
      </c>
      <c r="K458">
        <v>331</v>
      </c>
      <c r="L458">
        <v>80.3</v>
      </c>
      <c r="M458">
        <v>260</v>
      </c>
      <c r="N458">
        <v>40.200000000000003</v>
      </c>
      <c r="O458">
        <v>1114</v>
      </c>
      <c r="P458" t="s">
        <v>397</v>
      </c>
      <c r="Q458" s="1">
        <v>21836</v>
      </c>
      <c r="R458">
        <v>27</v>
      </c>
      <c r="S458" s="2">
        <v>0.05</v>
      </c>
      <c r="T458" s="3">
        <v>2.2819444444444446</v>
      </c>
      <c r="U458" s="2">
        <v>0.22</v>
      </c>
      <c r="V458" t="s">
        <v>1066</v>
      </c>
      <c r="W458" t="s">
        <v>1067</v>
      </c>
      <c r="X458" t="b">
        <v>0</v>
      </c>
      <c r="Y458" t="b">
        <v>0</v>
      </c>
    </row>
    <row r="459" spans="1:25">
      <c r="A459">
        <v>4580</v>
      </c>
      <c r="B459" t="s">
        <v>946</v>
      </c>
      <c r="C459" t="s">
        <v>1068</v>
      </c>
      <c r="D459" t="s">
        <v>948</v>
      </c>
      <c r="E459">
        <v>4580</v>
      </c>
      <c r="F459">
        <v>53.1</v>
      </c>
      <c r="G459">
        <v>110</v>
      </c>
      <c r="H459">
        <v>41</v>
      </c>
      <c r="I459">
        <v>235</v>
      </c>
      <c r="J459">
        <v>42.4</v>
      </c>
      <c r="K459">
        <v>1179</v>
      </c>
      <c r="L459">
        <v>57.5</v>
      </c>
      <c r="M459">
        <v>694</v>
      </c>
      <c r="N459">
        <v>78.8</v>
      </c>
      <c r="O459">
        <v>268</v>
      </c>
      <c r="P459" t="s">
        <v>255</v>
      </c>
      <c r="Q459" s="1">
        <v>4993</v>
      </c>
      <c r="R459">
        <v>9.1999999999999993</v>
      </c>
      <c r="S459" s="2">
        <v>0.28000000000000003</v>
      </c>
      <c r="T459" t="s">
        <v>501</v>
      </c>
      <c r="U459" s="2">
        <v>0.54</v>
      </c>
      <c r="V459" t="s">
        <v>1068</v>
      </c>
      <c r="W459" t="s">
        <v>1069</v>
      </c>
      <c r="X459" t="b">
        <v>0</v>
      </c>
      <c r="Y459" t="b">
        <v>0</v>
      </c>
    </row>
    <row r="460" spans="1:25">
      <c r="A460">
        <v>4590</v>
      </c>
      <c r="B460" t="s">
        <v>946</v>
      </c>
      <c r="C460" t="s">
        <v>1070</v>
      </c>
      <c r="D460" t="s">
        <v>948</v>
      </c>
      <c r="E460">
        <v>4590</v>
      </c>
      <c r="F460">
        <v>33.200000000000003</v>
      </c>
      <c r="G460">
        <v>539</v>
      </c>
      <c r="H460">
        <v>36.9</v>
      </c>
      <c r="I460">
        <v>306</v>
      </c>
      <c r="J460">
        <v>63.8</v>
      </c>
      <c r="K460">
        <v>696</v>
      </c>
      <c r="L460">
        <v>93.2</v>
      </c>
      <c r="M460">
        <v>134</v>
      </c>
      <c r="N460">
        <v>56.4</v>
      </c>
      <c r="O460">
        <v>657</v>
      </c>
      <c r="P460" t="s">
        <v>389</v>
      </c>
      <c r="Q460" s="1">
        <v>9221</v>
      </c>
      <c r="R460">
        <v>18.5</v>
      </c>
      <c r="S460" s="2">
        <v>0.19</v>
      </c>
      <c r="T460" t="s">
        <v>105</v>
      </c>
      <c r="U460" s="2">
        <v>0.4</v>
      </c>
      <c r="V460" t="s">
        <v>1070</v>
      </c>
      <c r="W460" t="s">
        <v>1071</v>
      </c>
      <c r="X460" t="b">
        <v>0</v>
      </c>
      <c r="Y460" t="b">
        <v>0</v>
      </c>
    </row>
    <row r="461" spans="1:25">
      <c r="A461">
        <v>4600</v>
      </c>
      <c r="B461" t="s">
        <v>946</v>
      </c>
      <c r="C461" t="s">
        <v>1072</v>
      </c>
      <c r="D461" t="s">
        <v>948</v>
      </c>
      <c r="E461">
        <v>4600</v>
      </c>
      <c r="F461">
        <v>38.9</v>
      </c>
      <c r="G461">
        <v>340</v>
      </c>
      <c r="H461">
        <v>42.3</v>
      </c>
      <c r="I461">
        <v>223</v>
      </c>
      <c r="J461">
        <v>58.4</v>
      </c>
      <c r="K461">
        <v>815</v>
      </c>
      <c r="L461">
        <v>99.5</v>
      </c>
      <c r="M461">
        <v>61</v>
      </c>
      <c r="N461">
        <v>46.2</v>
      </c>
      <c r="O461">
        <v>924</v>
      </c>
      <c r="P461" t="s">
        <v>389</v>
      </c>
      <c r="Q461" s="1">
        <v>13979</v>
      </c>
      <c r="R461">
        <v>16.2</v>
      </c>
      <c r="S461" s="2">
        <v>0.12</v>
      </c>
      <c r="T461" s="3">
        <v>1.7902777777777779</v>
      </c>
      <c r="U461" s="2">
        <v>0.42</v>
      </c>
      <c r="V461" t="s">
        <v>1072</v>
      </c>
      <c r="W461" t="s">
        <v>1073</v>
      </c>
      <c r="X461" t="b">
        <v>0</v>
      </c>
      <c r="Y461" t="b">
        <v>0</v>
      </c>
    </row>
    <row r="462" spans="1:25">
      <c r="A462">
        <v>4610</v>
      </c>
      <c r="B462" t="s">
        <v>946</v>
      </c>
      <c r="C462" t="s">
        <v>1074</v>
      </c>
      <c r="D462" t="s">
        <v>948</v>
      </c>
      <c r="E462">
        <v>4610</v>
      </c>
      <c r="F462">
        <v>44</v>
      </c>
      <c r="G462">
        <v>218</v>
      </c>
      <c r="H462">
        <v>44.3</v>
      </c>
      <c r="I462">
        <v>197</v>
      </c>
      <c r="J462">
        <v>52.9</v>
      </c>
      <c r="K462">
        <v>946</v>
      </c>
      <c r="L462">
        <v>99.9</v>
      </c>
      <c r="M462">
        <v>34</v>
      </c>
      <c r="N462">
        <v>41.4</v>
      </c>
      <c r="O462">
        <v>1071</v>
      </c>
      <c r="P462" t="s">
        <v>389</v>
      </c>
      <c r="Q462" s="1">
        <v>16944</v>
      </c>
      <c r="R462">
        <v>14.6</v>
      </c>
      <c r="S462" s="2">
        <v>0.09</v>
      </c>
      <c r="T462" t="s">
        <v>801</v>
      </c>
      <c r="U462" s="2">
        <v>0.35</v>
      </c>
      <c r="V462" t="s">
        <v>1074</v>
      </c>
      <c r="W462" t="s">
        <v>1075</v>
      </c>
      <c r="X462" t="b">
        <v>0</v>
      </c>
      <c r="Y462" t="b">
        <v>0</v>
      </c>
    </row>
    <row r="463" spans="1:25">
      <c r="A463">
        <v>4620</v>
      </c>
      <c r="B463" t="s">
        <v>946</v>
      </c>
      <c r="C463" t="s">
        <v>1076</v>
      </c>
      <c r="D463" t="s">
        <v>948</v>
      </c>
      <c r="E463">
        <v>4620</v>
      </c>
      <c r="F463">
        <v>33.799999999999997</v>
      </c>
      <c r="G463">
        <v>502</v>
      </c>
      <c r="H463">
        <v>31.1</v>
      </c>
      <c r="I463">
        <v>441</v>
      </c>
      <c r="J463">
        <v>71.5</v>
      </c>
      <c r="K463">
        <v>525</v>
      </c>
      <c r="L463">
        <v>67</v>
      </c>
      <c r="M463">
        <v>498</v>
      </c>
      <c r="N463">
        <v>65.900000000000006</v>
      </c>
      <c r="O463">
        <v>466</v>
      </c>
      <c r="P463" t="s">
        <v>29</v>
      </c>
      <c r="Q463" s="1">
        <v>23920</v>
      </c>
      <c r="R463">
        <v>16.600000000000001</v>
      </c>
      <c r="S463" s="2">
        <v>0.09</v>
      </c>
      <c r="T463" s="3">
        <v>2.0770833333333334</v>
      </c>
      <c r="U463" s="2">
        <v>0.31</v>
      </c>
      <c r="V463" t="s">
        <v>1076</v>
      </c>
      <c r="W463" t="s">
        <v>1077</v>
      </c>
      <c r="X463" t="b">
        <v>0</v>
      </c>
      <c r="Y463" t="b">
        <v>0</v>
      </c>
    </row>
    <row r="464" spans="1:25">
      <c r="A464">
        <v>4630</v>
      </c>
      <c r="B464" t="s">
        <v>946</v>
      </c>
      <c r="C464" t="s">
        <v>1078</v>
      </c>
      <c r="D464" t="s">
        <v>948</v>
      </c>
      <c r="E464">
        <v>4630</v>
      </c>
      <c r="F464">
        <v>31.8</v>
      </c>
      <c r="G464">
        <v>600</v>
      </c>
      <c r="H464">
        <v>26.4</v>
      </c>
      <c r="I464">
        <v>559</v>
      </c>
      <c r="J464">
        <v>67.2</v>
      </c>
      <c r="K464">
        <v>620</v>
      </c>
      <c r="L464">
        <v>53.5</v>
      </c>
      <c r="M464">
        <v>744</v>
      </c>
      <c r="N464">
        <v>85.9</v>
      </c>
      <c r="O464">
        <v>177</v>
      </c>
      <c r="P464" t="s">
        <v>50</v>
      </c>
      <c r="Q464" s="1">
        <v>4379</v>
      </c>
      <c r="R464">
        <v>11.8</v>
      </c>
      <c r="S464" s="2">
        <v>0.21</v>
      </c>
      <c r="T464" s="3">
        <v>2.5687500000000001</v>
      </c>
      <c r="U464" s="2">
        <v>0.27</v>
      </c>
      <c r="V464" t="s">
        <v>1078</v>
      </c>
      <c r="W464" t="s">
        <v>1079</v>
      </c>
      <c r="X464" t="b">
        <v>0</v>
      </c>
      <c r="Y464" t="b">
        <v>0</v>
      </c>
    </row>
    <row r="465" spans="1:25">
      <c r="A465">
        <v>4640</v>
      </c>
      <c r="B465" t="s">
        <v>946</v>
      </c>
      <c r="C465" t="s">
        <v>1080</v>
      </c>
      <c r="D465" t="s">
        <v>948</v>
      </c>
      <c r="E465">
        <v>4640</v>
      </c>
      <c r="F465">
        <v>27.4</v>
      </c>
      <c r="G465">
        <v>855</v>
      </c>
      <c r="H465">
        <v>23.5</v>
      </c>
      <c r="I465">
        <v>670</v>
      </c>
      <c r="J465">
        <v>69.2</v>
      </c>
      <c r="K465">
        <v>577</v>
      </c>
      <c r="L465">
        <v>69.8</v>
      </c>
      <c r="M465">
        <v>437</v>
      </c>
      <c r="N465">
        <v>93.6</v>
      </c>
      <c r="O465">
        <v>70</v>
      </c>
      <c r="P465" t="s">
        <v>29</v>
      </c>
      <c r="Q465" s="1">
        <v>9981</v>
      </c>
      <c r="R465">
        <v>14.5</v>
      </c>
      <c r="S465" s="2">
        <v>0.24</v>
      </c>
      <c r="T465" t="s">
        <v>529</v>
      </c>
      <c r="U465" s="2">
        <v>0.48</v>
      </c>
      <c r="V465" t="s">
        <v>1080</v>
      </c>
      <c r="W465" t="s">
        <v>1081</v>
      </c>
      <c r="X465" t="b">
        <v>0</v>
      </c>
      <c r="Y465" t="b">
        <v>0</v>
      </c>
    </row>
    <row r="466" spans="1:25">
      <c r="A466">
        <v>4650</v>
      </c>
      <c r="B466" t="s">
        <v>946</v>
      </c>
      <c r="C466" t="s">
        <v>1082</v>
      </c>
      <c r="D466" t="s">
        <v>948</v>
      </c>
      <c r="E466">
        <v>4650</v>
      </c>
      <c r="F466">
        <v>31.1</v>
      </c>
      <c r="G466">
        <v>638</v>
      </c>
      <c r="H466">
        <v>30.5</v>
      </c>
      <c r="I466">
        <v>455</v>
      </c>
      <c r="J466">
        <v>79.400000000000006</v>
      </c>
      <c r="K466">
        <v>336</v>
      </c>
      <c r="L466">
        <v>70.2</v>
      </c>
      <c r="M466">
        <v>430</v>
      </c>
      <c r="N466">
        <v>43.2</v>
      </c>
      <c r="O466">
        <v>1014</v>
      </c>
      <c r="P466" t="s">
        <v>29</v>
      </c>
      <c r="Q466" s="1">
        <v>21185</v>
      </c>
      <c r="R466">
        <v>13</v>
      </c>
      <c r="S466" s="2">
        <v>0.06</v>
      </c>
      <c r="T466" s="3">
        <v>2.3229166666666665</v>
      </c>
      <c r="U466" s="2">
        <v>0.3</v>
      </c>
      <c r="V466" t="s">
        <v>1082</v>
      </c>
      <c r="W466" t="s">
        <v>1083</v>
      </c>
      <c r="X466" t="b">
        <v>0</v>
      </c>
      <c r="Y466" t="b">
        <v>0</v>
      </c>
    </row>
    <row r="467" spans="1:25">
      <c r="A467">
        <v>4660</v>
      </c>
      <c r="B467" t="s">
        <v>946</v>
      </c>
      <c r="C467" t="s">
        <v>1084</v>
      </c>
      <c r="D467" t="s">
        <v>948</v>
      </c>
      <c r="E467">
        <v>4660</v>
      </c>
      <c r="F467">
        <v>31.5</v>
      </c>
      <c r="G467">
        <v>617</v>
      </c>
      <c r="H467">
        <v>36.5</v>
      </c>
      <c r="I467">
        <v>317</v>
      </c>
      <c r="J467">
        <v>66.5</v>
      </c>
      <c r="K467">
        <v>638</v>
      </c>
      <c r="L467">
        <v>62.2</v>
      </c>
      <c r="M467">
        <v>612</v>
      </c>
      <c r="N467">
        <v>58.2</v>
      </c>
      <c r="O467">
        <v>621</v>
      </c>
      <c r="P467" t="s">
        <v>99</v>
      </c>
      <c r="Q467" s="1">
        <v>8536</v>
      </c>
      <c r="R467">
        <v>58.2</v>
      </c>
      <c r="S467" s="2">
        <v>0.13</v>
      </c>
      <c r="T467" s="3">
        <v>2.5277777777777777</v>
      </c>
      <c r="U467" s="2">
        <v>0.37</v>
      </c>
      <c r="V467" t="s">
        <v>1084</v>
      </c>
      <c r="W467" t="s">
        <v>1085</v>
      </c>
      <c r="X467" t="b">
        <v>0</v>
      </c>
      <c r="Y467" t="b">
        <v>0</v>
      </c>
    </row>
    <row r="468" spans="1:25">
      <c r="A468">
        <v>4670</v>
      </c>
      <c r="B468" t="s">
        <v>946</v>
      </c>
      <c r="C468" t="s">
        <v>1086</v>
      </c>
      <c r="D468" t="s">
        <v>948</v>
      </c>
      <c r="E468">
        <v>4670</v>
      </c>
      <c r="F468">
        <v>31.1</v>
      </c>
      <c r="G468">
        <v>639</v>
      </c>
      <c r="H468">
        <v>31.2</v>
      </c>
      <c r="I468">
        <v>438</v>
      </c>
      <c r="J468">
        <v>80.5</v>
      </c>
      <c r="K468">
        <v>311</v>
      </c>
      <c r="L468">
        <v>68.7</v>
      </c>
      <c r="M468">
        <v>463</v>
      </c>
      <c r="N468">
        <v>43.2</v>
      </c>
      <c r="O468">
        <v>1015</v>
      </c>
      <c r="P468" t="s">
        <v>397</v>
      </c>
      <c r="Q468" s="1">
        <v>31567</v>
      </c>
      <c r="R468">
        <v>20.9</v>
      </c>
      <c r="S468" s="2">
        <v>0.05</v>
      </c>
      <c r="T468" s="3">
        <v>2.2000000000000002</v>
      </c>
      <c r="U468" s="2">
        <v>0.3</v>
      </c>
      <c r="V468" t="s">
        <v>1086</v>
      </c>
      <c r="W468" t="s">
        <v>1087</v>
      </c>
      <c r="X468" t="b">
        <v>0</v>
      </c>
      <c r="Y468" t="b">
        <v>0</v>
      </c>
    </row>
    <row r="469" spans="1:25">
      <c r="A469">
        <v>4680</v>
      </c>
      <c r="B469" t="s">
        <v>946</v>
      </c>
      <c r="C469" t="s">
        <v>1088</v>
      </c>
      <c r="D469" t="s">
        <v>948</v>
      </c>
      <c r="E469">
        <v>4680</v>
      </c>
      <c r="F469">
        <v>24.4</v>
      </c>
      <c r="G469">
        <v>1052</v>
      </c>
      <c r="H469">
        <v>21.9</v>
      </c>
      <c r="I469">
        <v>737</v>
      </c>
      <c r="J469">
        <v>79.5</v>
      </c>
      <c r="K469">
        <v>332</v>
      </c>
      <c r="L469">
        <v>66.099999999999994</v>
      </c>
      <c r="M469">
        <v>525</v>
      </c>
      <c r="N469">
        <v>80.599999999999994</v>
      </c>
      <c r="O469">
        <v>250</v>
      </c>
      <c r="P469" t="s">
        <v>26</v>
      </c>
      <c r="Q469" s="1">
        <v>15675</v>
      </c>
      <c r="R469">
        <v>17.100000000000001</v>
      </c>
      <c r="S469" s="2">
        <v>0.16</v>
      </c>
      <c r="T469" s="3">
        <v>2.4868055555555557</v>
      </c>
      <c r="U469" s="2">
        <v>0.27</v>
      </c>
      <c r="V469" t="s">
        <v>1088</v>
      </c>
      <c r="W469" t="s">
        <v>1089</v>
      </c>
      <c r="X469" t="b">
        <v>0</v>
      </c>
      <c r="Y469" t="b">
        <v>0</v>
      </c>
    </row>
    <row r="470" spans="1:25">
      <c r="A470">
        <v>4690</v>
      </c>
      <c r="B470" t="s">
        <v>946</v>
      </c>
      <c r="C470" t="s">
        <v>1090</v>
      </c>
      <c r="D470" t="s">
        <v>948</v>
      </c>
      <c r="E470">
        <v>4690</v>
      </c>
      <c r="F470">
        <v>29.7</v>
      </c>
      <c r="G470">
        <v>707</v>
      </c>
      <c r="H470">
        <v>30.2</v>
      </c>
      <c r="I470">
        <v>466</v>
      </c>
      <c r="J470">
        <v>73.5</v>
      </c>
      <c r="K470">
        <v>474</v>
      </c>
      <c r="L470">
        <v>85.8</v>
      </c>
      <c r="M470">
        <v>199</v>
      </c>
      <c r="N470">
        <v>53.2</v>
      </c>
      <c r="O470">
        <v>707</v>
      </c>
      <c r="P470" t="s">
        <v>397</v>
      </c>
      <c r="Q470" s="1">
        <v>30497</v>
      </c>
      <c r="R470">
        <v>31.9</v>
      </c>
      <c r="S470" s="2">
        <v>0.15</v>
      </c>
      <c r="T470" t="s">
        <v>105</v>
      </c>
      <c r="U470" s="2">
        <v>0.5</v>
      </c>
      <c r="V470" t="s">
        <v>1090</v>
      </c>
      <c r="W470" t="s">
        <v>1091</v>
      </c>
      <c r="X470" t="b">
        <v>0</v>
      </c>
      <c r="Y470" t="b">
        <v>0</v>
      </c>
    </row>
    <row r="471" spans="1:25">
      <c r="A471">
        <v>4700</v>
      </c>
      <c r="B471" t="s">
        <v>946</v>
      </c>
      <c r="C471" t="s">
        <v>1092</v>
      </c>
      <c r="D471" t="s">
        <v>948</v>
      </c>
      <c r="E471">
        <v>4700</v>
      </c>
      <c r="F471">
        <v>29.7</v>
      </c>
      <c r="G471">
        <v>708</v>
      </c>
      <c r="H471">
        <v>34.299999999999997</v>
      </c>
      <c r="I471">
        <v>369</v>
      </c>
      <c r="J471">
        <v>67.599999999999994</v>
      </c>
      <c r="K471">
        <v>611</v>
      </c>
      <c r="L471">
        <v>84.7</v>
      </c>
      <c r="M471">
        <v>213</v>
      </c>
      <c r="N471">
        <v>57.9</v>
      </c>
      <c r="O471">
        <v>625</v>
      </c>
      <c r="P471" t="s">
        <v>1093</v>
      </c>
      <c r="Q471" s="1">
        <v>30448</v>
      </c>
      <c r="R471">
        <v>15</v>
      </c>
      <c r="S471" s="2">
        <v>0.03</v>
      </c>
      <c r="U471" s="2">
        <v>0.24</v>
      </c>
      <c r="V471" t="s">
        <v>1092</v>
      </c>
      <c r="W471" t="s">
        <v>1094</v>
      </c>
      <c r="X471" t="b">
        <v>0</v>
      </c>
      <c r="Y471" t="b">
        <v>0</v>
      </c>
    </row>
    <row r="472" spans="1:25">
      <c r="A472">
        <v>4710</v>
      </c>
      <c r="B472" t="s">
        <v>946</v>
      </c>
      <c r="C472" t="s">
        <v>1095</v>
      </c>
      <c r="D472" t="s">
        <v>948</v>
      </c>
      <c r="E472">
        <v>4710</v>
      </c>
      <c r="F472">
        <v>31.3</v>
      </c>
      <c r="G472">
        <v>625</v>
      </c>
      <c r="H472">
        <v>35.4</v>
      </c>
      <c r="I472">
        <v>341</v>
      </c>
      <c r="J472">
        <v>71.099999999999994</v>
      </c>
      <c r="K472">
        <v>535</v>
      </c>
      <c r="L472">
        <v>66.3</v>
      </c>
      <c r="M472">
        <v>521</v>
      </c>
      <c r="N472">
        <v>57.9</v>
      </c>
      <c r="O472">
        <v>626</v>
      </c>
      <c r="P472" t="s">
        <v>992</v>
      </c>
      <c r="Q472" s="1">
        <v>36386</v>
      </c>
      <c r="R472">
        <v>16.899999999999999</v>
      </c>
      <c r="S472" s="2">
        <v>0.17</v>
      </c>
      <c r="T472" s="3">
        <v>2.2819444444444446</v>
      </c>
      <c r="U472" s="2">
        <v>0.26</v>
      </c>
      <c r="V472" t="s">
        <v>1095</v>
      </c>
      <c r="W472" t="s">
        <v>1096</v>
      </c>
      <c r="X472" t="b">
        <v>0</v>
      </c>
      <c r="Y472" t="b">
        <v>0</v>
      </c>
    </row>
    <row r="473" spans="1:25">
      <c r="A473">
        <v>4720</v>
      </c>
      <c r="B473" t="s">
        <v>946</v>
      </c>
      <c r="C473" t="s">
        <v>1097</v>
      </c>
      <c r="D473" t="s">
        <v>948</v>
      </c>
      <c r="E473">
        <v>4720</v>
      </c>
      <c r="F473">
        <v>20</v>
      </c>
      <c r="G473">
        <v>1378</v>
      </c>
      <c r="H473">
        <v>20</v>
      </c>
      <c r="I473">
        <v>815</v>
      </c>
      <c r="J473">
        <v>84.5</v>
      </c>
      <c r="K473">
        <v>223</v>
      </c>
      <c r="L473">
        <v>40.6</v>
      </c>
      <c r="M473">
        <v>967</v>
      </c>
      <c r="N473">
        <v>94.7</v>
      </c>
      <c r="O473">
        <v>56</v>
      </c>
      <c r="P473" t="s">
        <v>26</v>
      </c>
      <c r="Q473" s="1">
        <v>23625</v>
      </c>
      <c r="R473">
        <v>16.8</v>
      </c>
      <c r="S473" s="2">
        <v>0.28999999999999998</v>
      </c>
      <c r="T473" s="3">
        <v>1.9951388888888888</v>
      </c>
      <c r="U473" s="2">
        <v>0.28000000000000003</v>
      </c>
      <c r="V473" t="s">
        <v>1097</v>
      </c>
      <c r="W473" t="s">
        <v>1098</v>
      </c>
      <c r="X473" t="b">
        <v>0</v>
      </c>
      <c r="Y473" t="b">
        <v>0</v>
      </c>
    </row>
    <row r="474" spans="1:25">
      <c r="A474">
        <v>4730</v>
      </c>
      <c r="B474" t="s">
        <v>946</v>
      </c>
      <c r="C474" t="s">
        <v>1099</v>
      </c>
      <c r="D474" t="s">
        <v>948</v>
      </c>
      <c r="E474">
        <v>4730</v>
      </c>
      <c r="F474">
        <v>18.399999999999999</v>
      </c>
      <c r="G474">
        <v>1521</v>
      </c>
      <c r="H474">
        <v>20.5</v>
      </c>
      <c r="I474">
        <v>789</v>
      </c>
      <c r="J474">
        <v>87</v>
      </c>
      <c r="K474">
        <v>173</v>
      </c>
      <c r="L474">
        <v>37.799999999999997</v>
      </c>
      <c r="M474">
        <v>1025</v>
      </c>
      <c r="N474">
        <v>85.8</v>
      </c>
      <c r="O474">
        <v>179</v>
      </c>
      <c r="P474" t="s">
        <v>534</v>
      </c>
      <c r="Q474" s="1">
        <v>5982</v>
      </c>
      <c r="R474">
        <v>17.399999999999999</v>
      </c>
      <c r="S474" s="2">
        <v>0.11</v>
      </c>
      <c r="T474" s="3">
        <v>2.3638888888888889</v>
      </c>
      <c r="U474" s="2">
        <v>0.36</v>
      </c>
      <c r="V474" t="s">
        <v>1099</v>
      </c>
      <c r="W474" t="s">
        <v>1100</v>
      </c>
      <c r="X474" t="b">
        <v>0</v>
      </c>
      <c r="Y474" t="b">
        <v>0</v>
      </c>
    </row>
    <row r="475" spans="1:25">
      <c r="A475">
        <v>4740</v>
      </c>
      <c r="B475" t="s">
        <v>946</v>
      </c>
      <c r="C475" t="s">
        <v>1101</v>
      </c>
      <c r="D475" t="s">
        <v>948</v>
      </c>
      <c r="E475">
        <v>4740</v>
      </c>
      <c r="F475">
        <v>29.7</v>
      </c>
      <c r="G475">
        <v>709</v>
      </c>
      <c r="H475">
        <v>24.1</v>
      </c>
      <c r="I475">
        <v>649</v>
      </c>
      <c r="J475">
        <v>84.2</v>
      </c>
      <c r="K475">
        <v>228</v>
      </c>
      <c r="L475">
        <v>22.9</v>
      </c>
      <c r="M475">
        <v>1405</v>
      </c>
      <c r="N475">
        <v>53.7</v>
      </c>
      <c r="O475">
        <v>699</v>
      </c>
      <c r="P475" t="s">
        <v>1102</v>
      </c>
      <c r="Q475" s="1">
        <v>11386</v>
      </c>
      <c r="R475">
        <v>20.3</v>
      </c>
      <c r="S475" s="2">
        <v>0.01</v>
      </c>
      <c r="T475" s="3">
        <v>1.9131944444444444</v>
      </c>
      <c r="U475" s="2">
        <v>0.33</v>
      </c>
      <c r="V475" t="s">
        <v>1101</v>
      </c>
      <c r="W475" t="s">
        <v>1103</v>
      </c>
      <c r="X475" t="b">
        <v>0</v>
      </c>
      <c r="Y475" t="b">
        <v>0</v>
      </c>
    </row>
    <row r="476" spans="1:25">
      <c r="A476">
        <v>4750</v>
      </c>
      <c r="B476" t="s">
        <v>946</v>
      </c>
      <c r="C476" t="s">
        <v>1104</v>
      </c>
      <c r="D476" t="s">
        <v>948</v>
      </c>
      <c r="E476">
        <v>4750</v>
      </c>
      <c r="F476">
        <v>33.700000000000003</v>
      </c>
      <c r="G476">
        <v>510</v>
      </c>
      <c r="H476">
        <v>33.799999999999997</v>
      </c>
      <c r="I476">
        <v>384</v>
      </c>
      <c r="J476">
        <v>57.2</v>
      </c>
      <c r="K476">
        <v>846</v>
      </c>
      <c r="L476">
        <v>71.5</v>
      </c>
      <c r="M476">
        <v>397</v>
      </c>
      <c r="N476">
        <v>74.3</v>
      </c>
      <c r="O476">
        <v>345</v>
      </c>
      <c r="P476" t="s">
        <v>76</v>
      </c>
      <c r="Q476" s="1">
        <v>51748</v>
      </c>
      <c r="R476">
        <v>18.399999999999999</v>
      </c>
      <c r="S476" s="2">
        <v>0.11</v>
      </c>
      <c r="T476" s="3">
        <v>2.4458333333333333</v>
      </c>
      <c r="U476" s="2">
        <v>0.35</v>
      </c>
      <c r="V476" t="s">
        <v>1104</v>
      </c>
      <c r="W476" t="s">
        <v>1105</v>
      </c>
      <c r="X476" t="b">
        <v>0</v>
      </c>
      <c r="Y476" t="b">
        <v>0</v>
      </c>
    </row>
    <row r="477" spans="1:25">
      <c r="A477">
        <v>4760</v>
      </c>
      <c r="B477" t="s">
        <v>946</v>
      </c>
      <c r="C477" t="s">
        <v>1106</v>
      </c>
      <c r="D477" t="s">
        <v>948</v>
      </c>
      <c r="E477">
        <v>4760</v>
      </c>
      <c r="F477">
        <v>34.1</v>
      </c>
      <c r="G477">
        <v>491</v>
      </c>
      <c r="H477">
        <v>30.3</v>
      </c>
      <c r="I477">
        <v>463</v>
      </c>
      <c r="J477">
        <v>60.9</v>
      </c>
      <c r="K477">
        <v>761</v>
      </c>
      <c r="L477">
        <v>89.9</v>
      </c>
      <c r="M477">
        <v>167</v>
      </c>
      <c r="N477">
        <v>78.7</v>
      </c>
      <c r="O477">
        <v>274</v>
      </c>
      <c r="P477" t="s">
        <v>29</v>
      </c>
      <c r="Q477" s="1">
        <v>7496</v>
      </c>
      <c r="R477">
        <v>15.3</v>
      </c>
      <c r="S477" s="2">
        <v>0.2</v>
      </c>
      <c r="T477" t="s">
        <v>145</v>
      </c>
      <c r="U477" s="2">
        <v>0.43</v>
      </c>
      <c r="V477" t="s">
        <v>1106</v>
      </c>
      <c r="W477" t="s">
        <v>1107</v>
      </c>
      <c r="X477" t="b">
        <v>0</v>
      </c>
      <c r="Y477" t="b">
        <v>0</v>
      </c>
    </row>
    <row r="478" spans="1:25">
      <c r="A478">
        <v>4770</v>
      </c>
      <c r="B478" t="s">
        <v>946</v>
      </c>
      <c r="C478" t="s">
        <v>1108</v>
      </c>
      <c r="D478" t="s">
        <v>948</v>
      </c>
      <c r="E478">
        <v>4770</v>
      </c>
      <c r="F478">
        <v>30</v>
      </c>
      <c r="G478">
        <v>689</v>
      </c>
      <c r="H478">
        <v>20.7</v>
      </c>
      <c r="I478">
        <v>785</v>
      </c>
      <c r="J478">
        <v>75.599999999999994</v>
      </c>
      <c r="K478">
        <v>431</v>
      </c>
      <c r="L478">
        <v>61.1</v>
      </c>
      <c r="M478">
        <v>626</v>
      </c>
      <c r="N478">
        <v>95.1</v>
      </c>
      <c r="O478">
        <v>47</v>
      </c>
      <c r="P478" t="s">
        <v>26</v>
      </c>
      <c r="Q478" s="1">
        <v>2275</v>
      </c>
      <c r="R478">
        <v>10.3</v>
      </c>
      <c r="S478" s="2">
        <v>0.32</v>
      </c>
      <c r="T478" s="3">
        <v>3.3472222222222223</v>
      </c>
      <c r="U478" s="2">
        <v>0.13</v>
      </c>
      <c r="V478" t="s">
        <v>1108</v>
      </c>
      <c r="W478" t="s">
        <v>1109</v>
      </c>
      <c r="X478" t="b">
        <v>0</v>
      </c>
      <c r="Y478" t="b">
        <v>0</v>
      </c>
    </row>
    <row r="479" spans="1:25">
      <c r="A479">
        <v>4780</v>
      </c>
      <c r="B479" t="s">
        <v>946</v>
      </c>
      <c r="C479" t="s">
        <v>1110</v>
      </c>
      <c r="D479" t="s">
        <v>948</v>
      </c>
      <c r="E479">
        <v>4780</v>
      </c>
      <c r="F479">
        <v>42.9</v>
      </c>
      <c r="G479">
        <v>243</v>
      </c>
      <c r="H479">
        <v>27.8</v>
      </c>
      <c r="I479">
        <v>520</v>
      </c>
      <c r="J479">
        <v>60</v>
      </c>
      <c r="K479">
        <v>785</v>
      </c>
      <c r="L479">
        <v>53.7</v>
      </c>
      <c r="M479">
        <v>742</v>
      </c>
      <c r="N479">
        <v>71.900000000000006</v>
      </c>
      <c r="O479">
        <v>377</v>
      </c>
      <c r="P479" t="s">
        <v>664</v>
      </c>
      <c r="Q479" s="1">
        <v>24850</v>
      </c>
      <c r="R479">
        <v>12.1</v>
      </c>
      <c r="S479" s="2">
        <v>0.28000000000000003</v>
      </c>
      <c r="T479" s="3">
        <v>2.6506944444444445</v>
      </c>
      <c r="U479" s="2">
        <v>0.28999999999999998</v>
      </c>
      <c r="V479" t="s">
        <v>1110</v>
      </c>
      <c r="W479" t="s">
        <v>1111</v>
      </c>
      <c r="X479" t="b">
        <v>0</v>
      </c>
      <c r="Y479" t="b">
        <v>0</v>
      </c>
    </row>
    <row r="480" spans="1:25">
      <c r="A480">
        <v>4790</v>
      </c>
      <c r="B480" t="s">
        <v>946</v>
      </c>
      <c r="C480" t="s">
        <v>1112</v>
      </c>
      <c r="D480" t="s">
        <v>948</v>
      </c>
      <c r="E480">
        <v>4790</v>
      </c>
      <c r="F480">
        <v>41.1</v>
      </c>
      <c r="G480">
        <v>279</v>
      </c>
      <c r="H480">
        <v>16.3</v>
      </c>
      <c r="I480">
        <v>1029</v>
      </c>
      <c r="J480">
        <v>80.900000000000006</v>
      </c>
      <c r="K480">
        <v>303</v>
      </c>
      <c r="L480">
        <v>60.6</v>
      </c>
      <c r="M480">
        <v>635</v>
      </c>
      <c r="N480">
        <v>42</v>
      </c>
      <c r="O480">
        <v>1054</v>
      </c>
      <c r="P480" t="s">
        <v>29</v>
      </c>
      <c r="Q480" s="1">
        <v>11041</v>
      </c>
      <c r="R480">
        <v>7.3</v>
      </c>
      <c r="S480" s="2">
        <v>0.06</v>
      </c>
      <c r="T480" s="3">
        <v>2.5687500000000001</v>
      </c>
      <c r="U480" s="2">
        <v>0.11</v>
      </c>
      <c r="V480" t="s">
        <v>1112</v>
      </c>
      <c r="W480" t="s">
        <v>1113</v>
      </c>
      <c r="X480" t="b">
        <v>0</v>
      </c>
      <c r="Y480" t="b">
        <v>0</v>
      </c>
    </row>
    <row r="481" spans="1:25">
      <c r="A481">
        <v>4800</v>
      </c>
      <c r="B481" t="s">
        <v>946</v>
      </c>
      <c r="C481" t="s">
        <v>1114</v>
      </c>
      <c r="D481" t="s">
        <v>948</v>
      </c>
      <c r="E481">
        <v>4800</v>
      </c>
      <c r="F481">
        <v>42.5</v>
      </c>
      <c r="G481">
        <v>251</v>
      </c>
      <c r="H481">
        <v>36.1</v>
      </c>
      <c r="I481">
        <v>324</v>
      </c>
      <c r="J481">
        <v>60.2</v>
      </c>
      <c r="K481">
        <v>778</v>
      </c>
      <c r="L481">
        <v>15.6</v>
      </c>
      <c r="M481">
        <v>1904</v>
      </c>
      <c r="N481">
        <v>80.400000000000006</v>
      </c>
      <c r="O481">
        <v>252</v>
      </c>
      <c r="P481" t="s">
        <v>26</v>
      </c>
      <c r="Q481" s="1">
        <v>4845</v>
      </c>
      <c r="R481">
        <v>14.9</v>
      </c>
      <c r="S481" s="2">
        <v>0.45</v>
      </c>
      <c r="T481" s="3">
        <v>2.7326388888888888</v>
      </c>
      <c r="U481" s="2">
        <v>0.08</v>
      </c>
      <c r="V481" t="s">
        <v>1114</v>
      </c>
      <c r="W481" t="s">
        <v>1115</v>
      </c>
      <c r="X481" t="b">
        <v>0</v>
      </c>
      <c r="Y481" t="b">
        <v>0</v>
      </c>
    </row>
    <row r="482" spans="1:25">
      <c r="A482">
        <v>4810</v>
      </c>
      <c r="B482" t="s">
        <v>946</v>
      </c>
      <c r="C482" t="s">
        <v>1116</v>
      </c>
      <c r="D482" t="s">
        <v>948</v>
      </c>
      <c r="E482">
        <v>4810</v>
      </c>
      <c r="F482">
        <v>35.9</v>
      </c>
      <c r="G482">
        <v>433</v>
      </c>
      <c r="H482">
        <v>24.6</v>
      </c>
      <c r="I482">
        <v>627</v>
      </c>
      <c r="J482">
        <v>75.099999999999994</v>
      </c>
      <c r="K482">
        <v>438</v>
      </c>
      <c r="L482">
        <v>63.4</v>
      </c>
      <c r="M482">
        <v>581</v>
      </c>
      <c r="N482">
        <v>59.2</v>
      </c>
      <c r="O482">
        <v>601</v>
      </c>
      <c r="P482" t="s">
        <v>29</v>
      </c>
      <c r="Q482" s="1">
        <v>32770</v>
      </c>
      <c r="R482">
        <v>16.899999999999999</v>
      </c>
      <c r="S482" s="2">
        <v>0.05</v>
      </c>
      <c r="T482" s="3">
        <v>2.3638888888888889</v>
      </c>
      <c r="U482" s="2">
        <v>0.23</v>
      </c>
      <c r="V482" t="s">
        <v>1116</v>
      </c>
      <c r="W482" t="s">
        <v>1117</v>
      </c>
      <c r="X482" t="b">
        <v>0</v>
      </c>
      <c r="Y482" t="b">
        <v>0</v>
      </c>
    </row>
    <row r="483" spans="1:25">
      <c r="A483">
        <v>4820</v>
      </c>
      <c r="B483" t="s">
        <v>946</v>
      </c>
      <c r="C483" t="s">
        <v>1118</v>
      </c>
      <c r="D483" t="s">
        <v>948</v>
      </c>
      <c r="E483">
        <v>4820</v>
      </c>
      <c r="F483">
        <v>26.9</v>
      </c>
      <c r="G483">
        <v>882</v>
      </c>
      <c r="H483">
        <v>25.3</v>
      </c>
      <c r="I483">
        <v>600</v>
      </c>
      <c r="J483">
        <v>74.599999999999994</v>
      </c>
      <c r="K483">
        <v>453</v>
      </c>
      <c r="L483">
        <v>62.4</v>
      </c>
      <c r="M483">
        <v>607</v>
      </c>
      <c r="N483">
        <v>80.8</v>
      </c>
      <c r="O483">
        <v>244</v>
      </c>
      <c r="P483" t="s">
        <v>29</v>
      </c>
      <c r="Q483" s="1">
        <v>6393</v>
      </c>
      <c r="R483">
        <v>18.600000000000001</v>
      </c>
      <c r="S483" s="2">
        <v>0.3</v>
      </c>
      <c r="T483" t="s">
        <v>357</v>
      </c>
      <c r="U483" s="2">
        <v>0.46</v>
      </c>
      <c r="V483" t="s">
        <v>1118</v>
      </c>
      <c r="W483" t="s">
        <v>1119</v>
      </c>
      <c r="X483" t="b">
        <v>0</v>
      </c>
      <c r="Y483" t="b">
        <v>0</v>
      </c>
    </row>
    <row r="484" spans="1:25">
      <c r="A484">
        <v>4830</v>
      </c>
      <c r="B484" t="s">
        <v>946</v>
      </c>
      <c r="C484" t="s">
        <v>1120</v>
      </c>
      <c r="D484" t="s">
        <v>948</v>
      </c>
      <c r="E484">
        <v>4830</v>
      </c>
      <c r="F484">
        <v>23</v>
      </c>
      <c r="G484">
        <v>1154</v>
      </c>
      <c r="H484">
        <v>26.2</v>
      </c>
      <c r="I484">
        <v>564</v>
      </c>
      <c r="J484">
        <v>82.4</v>
      </c>
      <c r="K484">
        <v>278</v>
      </c>
      <c r="L484">
        <v>41</v>
      </c>
      <c r="M484">
        <v>955</v>
      </c>
      <c r="N484">
        <v>91.4</v>
      </c>
      <c r="O484">
        <v>110</v>
      </c>
      <c r="P484" t="s">
        <v>26</v>
      </c>
      <c r="Q484" s="1">
        <v>10650</v>
      </c>
      <c r="R484">
        <v>18.7</v>
      </c>
      <c r="S484" s="2">
        <v>0.28000000000000003</v>
      </c>
      <c r="T484" s="3">
        <v>2.6916666666666669</v>
      </c>
      <c r="U484" s="2">
        <v>0.18</v>
      </c>
      <c r="V484" t="s">
        <v>1120</v>
      </c>
      <c r="W484" t="s">
        <v>1121</v>
      </c>
      <c r="X484" t="b">
        <v>0</v>
      </c>
      <c r="Y484" t="b">
        <v>0</v>
      </c>
    </row>
    <row r="485" spans="1:25">
      <c r="A485">
        <v>4840</v>
      </c>
      <c r="B485" t="s">
        <v>946</v>
      </c>
      <c r="C485" t="s">
        <v>1122</v>
      </c>
      <c r="D485" t="s">
        <v>948</v>
      </c>
      <c r="E485">
        <v>4840</v>
      </c>
      <c r="F485">
        <v>24.3</v>
      </c>
      <c r="G485">
        <v>1060</v>
      </c>
      <c r="H485">
        <v>13.5</v>
      </c>
      <c r="I485">
        <v>1259</v>
      </c>
      <c r="J485">
        <v>68.900000000000006</v>
      </c>
      <c r="K485">
        <v>584</v>
      </c>
      <c r="L485">
        <v>20</v>
      </c>
      <c r="M485">
        <v>1534</v>
      </c>
      <c r="N485">
        <v>63.2</v>
      </c>
      <c r="O485">
        <v>514</v>
      </c>
      <c r="P485" t="s">
        <v>1123</v>
      </c>
      <c r="Q485" s="1">
        <v>8449</v>
      </c>
      <c r="R485">
        <v>12</v>
      </c>
      <c r="S485" s="2">
        <v>0.24</v>
      </c>
      <c r="T485" s="3">
        <v>1.9131944444444444</v>
      </c>
      <c r="U485" s="2">
        <v>0.27</v>
      </c>
      <c r="V485" t="s">
        <v>1122</v>
      </c>
      <c r="W485" t="s">
        <v>1124</v>
      </c>
      <c r="X485" t="b">
        <v>0</v>
      </c>
      <c r="Y485" t="b">
        <v>0</v>
      </c>
    </row>
    <row r="486" spans="1:25">
      <c r="A486">
        <v>4850</v>
      </c>
      <c r="B486" t="s">
        <v>946</v>
      </c>
      <c r="C486" t="s">
        <v>1125</v>
      </c>
      <c r="D486" t="s">
        <v>948</v>
      </c>
      <c r="E486">
        <v>4850</v>
      </c>
      <c r="F486">
        <v>33.799999999999997</v>
      </c>
      <c r="G486">
        <v>506</v>
      </c>
      <c r="H486">
        <v>28.2</v>
      </c>
      <c r="I486">
        <v>514</v>
      </c>
      <c r="J486">
        <v>73.3</v>
      </c>
      <c r="K486">
        <v>477</v>
      </c>
      <c r="L486">
        <v>72.7</v>
      </c>
      <c r="M486">
        <v>375</v>
      </c>
      <c r="N486">
        <v>56.5</v>
      </c>
      <c r="O486">
        <v>654</v>
      </c>
      <c r="P486" t="s">
        <v>29</v>
      </c>
      <c r="Q486" s="1">
        <v>19214</v>
      </c>
      <c r="R486">
        <v>14.1</v>
      </c>
      <c r="S486" s="2">
        <v>0.21</v>
      </c>
      <c r="T486" s="3">
        <v>2.2409722222222221</v>
      </c>
      <c r="U486" s="2">
        <v>0.33</v>
      </c>
      <c r="V486" t="s">
        <v>1125</v>
      </c>
      <c r="W486" t="s">
        <v>1126</v>
      </c>
      <c r="X486" t="b">
        <v>0</v>
      </c>
      <c r="Y486" t="b">
        <v>0</v>
      </c>
    </row>
    <row r="487" spans="1:25">
      <c r="A487">
        <v>4860</v>
      </c>
      <c r="B487" t="s">
        <v>946</v>
      </c>
      <c r="C487" t="s">
        <v>1127</v>
      </c>
      <c r="D487" t="s">
        <v>948</v>
      </c>
      <c r="E487">
        <v>4860</v>
      </c>
      <c r="F487">
        <v>47.4</v>
      </c>
      <c r="G487">
        <v>169</v>
      </c>
      <c r="H487">
        <v>32.6</v>
      </c>
      <c r="I487">
        <v>407</v>
      </c>
      <c r="J487">
        <v>60.9</v>
      </c>
      <c r="K487">
        <v>762</v>
      </c>
      <c r="L487">
        <v>85.1</v>
      </c>
      <c r="M487">
        <v>208</v>
      </c>
      <c r="N487">
        <v>48.5</v>
      </c>
      <c r="O487">
        <v>856</v>
      </c>
      <c r="P487" t="s">
        <v>389</v>
      </c>
      <c r="Q487" s="1">
        <v>5993</v>
      </c>
      <c r="R487">
        <v>8.9</v>
      </c>
      <c r="S487" s="2">
        <v>0.1</v>
      </c>
      <c r="T487" s="3">
        <v>2.4868055555555557</v>
      </c>
      <c r="U487" s="2">
        <v>0.06</v>
      </c>
      <c r="V487" t="s">
        <v>1128</v>
      </c>
      <c r="W487" t="s">
        <v>1129</v>
      </c>
      <c r="X487" t="b">
        <v>0</v>
      </c>
      <c r="Y487" t="b">
        <v>0</v>
      </c>
    </row>
    <row r="488" spans="1:25">
      <c r="A488">
        <v>4870</v>
      </c>
      <c r="B488" t="s">
        <v>946</v>
      </c>
      <c r="C488" t="s">
        <v>1130</v>
      </c>
      <c r="D488" t="s">
        <v>948</v>
      </c>
      <c r="E488">
        <v>4870</v>
      </c>
      <c r="F488">
        <v>37.700000000000003</v>
      </c>
      <c r="G488">
        <v>367</v>
      </c>
      <c r="H488">
        <v>28.4</v>
      </c>
      <c r="I488">
        <v>507</v>
      </c>
      <c r="J488">
        <v>71.900000000000006</v>
      </c>
      <c r="K488">
        <v>513</v>
      </c>
      <c r="L488">
        <v>60.5</v>
      </c>
      <c r="M488">
        <v>637</v>
      </c>
      <c r="N488">
        <v>33.6</v>
      </c>
      <c r="O488">
        <v>1372</v>
      </c>
      <c r="P488" t="s">
        <v>795</v>
      </c>
      <c r="Q488" s="1">
        <v>54890</v>
      </c>
      <c r="R488">
        <v>26.6</v>
      </c>
      <c r="S488" s="2">
        <v>0.02</v>
      </c>
      <c r="T488">
        <v>0.27430555555555558</v>
      </c>
      <c r="U488" s="2">
        <v>0.39</v>
      </c>
      <c r="V488" t="s">
        <v>1130</v>
      </c>
      <c r="W488" t="s">
        <v>1131</v>
      </c>
      <c r="X488" t="b">
        <v>0</v>
      </c>
      <c r="Y488" t="b">
        <v>0</v>
      </c>
    </row>
    <row r="489" spans="1:25">
      <c r="A489">
        <v>4880</v>
      </c>
      <c r="B489" t="s">
        <v>946</v>
      </c>
      <c r="C489" t="s">
        <v>1132</v>
      </c>
      <c r="D489" t="s">
        <v>948</v>
      </c>
      <c r="E489">
        <v>4880</v>
      </c>
      <c r="F489">
        <v>44.1</v>
      </c>
      <c r="G489">
        <v>217</v>
      </c>
      <c r="H489">
        <v>29.3</v>
      </c>
      <c r="I489">
        <v>491</v>
      </c>
      <c r="J489">
        <v>65</v>
      </c>
      <c r="K489">
        <v>675</v>
      </c>
      <c r="L489">
        <v>55</v>
      </c>
      <c r="M489">
        <v>725</v>
      </c>
      <c r="N489">
        <v>71.5</v>
      </c>
      <c r="O489">
        <v>386</v>
      </c>
      <c r="P489" t="s">
        <v>664</v>
      </c>
      <c r="Q489" s="1">
        <v>20863</v>
      </c>
      <c r="R489">
        <v>12.7</v>
      </c>
      <c r="S489" s="2">
        <v>0.26</v>
      </c>
      <c r="T489" s="3">
        <v>1.9131944444444444</v>
      </c>
      <c r="U489" s="2">
        <v>0.43</v>
      </c>
      <c r="V489" t="s">
        <v>1132</v>
      </c>
      <c r="W489" t="s">
        <v>1133</v>
      </c>
      <c r="X489" t="b">
        <v>0</v>
      </c>
      <c r="Y489" t="b">
        <v>0</v>
      </c>
    </row>
    <row r="490" spans="1:25">
      <c r="A490">
        <v>4890</v>
      </c>
      <c r="B490" t="s">
        <v>946</v>
      </c>
      <c r="C490" t="s">
        <v>1134</v>
      </c>
      <c r="D490" t="s">
        <v>948</v>
      </c>
      <c r="E490">
        <v>4890</v>
      </c>
      <c r="F490">
        <v>46.7</v>
      </c>
      <c r="G490">
        <v>178</v>
      </c>
      <c r="H490">
        <v>31.3</v>
      </c>
      <c r="I490">
        <v>435</v>
      </c>
      <c r="J490">
        <v>53.4</v>
      </c>
      <c r="K490">
        <v>938</v>
      </c>
      <c r="L490">
        <v>99</v>
      </c>
      <c r="M490">
        <v>68</v>
      </c>
      <c r="N490">
        <v>39</v>
      </c>
      <c r="O490">
        <v>1153</v>
      </c>
      <c r="P490" t="s">
        <v>94</v>
      </c>
      <c r="Q490" s="1">
        <v>2990</v>
      </c>
      <c r="R490">
        <v>4.4000000000000004</v>
      </c>
      <c r="S490" s="2">
        <v>0.12</v>
      </c>
      <c r="T490" s="3">
        <v>2.4048611111111109</v>
      </c>
      <c r="U490" s="2">
        <v>7.0000000000000007E-2</v>
      </c>
      <c r="V490" t="s">
        <v>1134</v>
      </c>
      <c r="W490" t="s">
        <v>1135</v>
      </c>
      <c r="X490" t="b">
        <v>0</v>
      </c>
      <c r="Y490" t="b">
        <v>0</v>
      </c>
    </row>
    <row r="491" spans="1:25">
      <c r="A491">
        <v>4900</v>
      </c>
      <c r="B491" t="s">
        <v>946</v>
      </c>
      <c r="C491" t="s">
        <v>1136</v>
      </c>
      <c r="D491" t="s">
        <v>948</v>
      </c>
      <c r="E491">
        <v>4900</v>
      </c>
      <c r="F491">
        <v>29.4</v>
      </c>
      <c r="G491">
        <v>729</v>
      </c>
      <c r="H491">
        <v>30.2</v>
      </c>
      <c r="I491">
        <v>468</v>
      </c>
      <c r="J491">
        <v>65.7</v>
      </c>
      <c r="K491">
        <v>661</v>
      </c>
      <c r="L491">
        <v>70.2</v>
      </c>
      <c r="M491">
        <v>431</v>
      </c>
      <c r="N491">
        <v>72.599999999999994</v>
      </c>
      <c r="O491">
        <v>370</v>
      </c>
      <c r="P491" t="s">
        <v>125</v>
      </c>
      <c r="Q491" s="1">
        <v>111949</v>
      </c>
      <c r="R491">
        <v>22.9</v>
      </c>
      <c r="S491" s="2">
        <v>0.15</v>
      </c>
      <c r="T491" s="3">
        <v>2.3638888888888889</v>
      </c>
      <c r="U491" s="2">
        <v>0.36</v>
      </c>
      <c r="V491" t="s">
        <v>1136</v>
      </c>
      <c r="W491" t="s">
        <v>1137</v>
      </c>
      <c r="X491" t="b">
        <v>0</v>
      </c>
      <c r="Y491" t="b">
        <v>0</v>
      </c>
    </row>
    <row r="492" spans="1:25">
      <c r="A492">
        <v>4910</v>
      </c>
      <c r="B492" t="s">
        <v>946</v>
      </c>
      <c r="C492" t="s">
        <v>1138</v>
      </c>
      <c r="D492" t="s">
        <v>948</v>
      </c>
      <c r="E492">
        <v>4910</v>
      </c>
      <c r="F492">
        <v>35.700000000000003</v>
      </c>
      <c r="G492">
        <v>439</v>
      </c>
      <c r="H492">
        <v>42.2</v>
      </c>
      <c r="I492">
        <v>224</v>
      </c>
      <c r="J492">
        <v>62.3</v>
      </c>
      <c r="K492">
        <v>728</v>
      </c>
      <c r="L492">
        <v>72</v>
      </c>
      <c r="M492">
        <v>388</v>
      </c>
      <c r="N492">
        <v>57.3</v>
      </c>
      <c r="O492">
        <v>638</v>
      </c>
      <c r="P492" t="s">
        <v>99</v>
      </c>
      <c r="Q492" s="1">
        <v>19477</v>
      </c>
      <c r="R492">
        <v>56</v>
      </c>
      <c r="S492" s="2">
        <v>0.15</v>
      </c>
      <c r="T492" s="3">
        <v>2.0770833333333334</v>
      </c>
      <c r="U492" s="2">
        <v>0.46</v>
      </c>
      <c r="V492" t="s">
        <v>1138</v>
      </c>
      <c r="W492" t="s">
        <v>1139</v>
      </c>
      <c r="X492" t="b">
        <v>0</v>
      </c>
      <c r="Y492" t="b">
        <v>0</v>
      </c>
    </row>
    <row r="493" spans="1:25">
      <c r="A493">
        <v>4920</v>
      </c>
      <c r="B493" t="s">
        <v>946</v>
      </c>
      <c r="C493" t="s">
        <v>1140</v>
      </c>
      <c r="D493" t="s">
        <v>948</v>
      </c>
      <c r="E493">
        <v>4920</v>
      </c>
      <c r="F493">
        <v>42.9</v>
      </c>
      <c r="G493">
        <v>244</v>
      </c>
      <c r="H493">
        <v>24.4</v>
      </c>
      <c r="I493">
        <v>636</v>
      </c>
      <c r="J493">
        <v>73.099999999999994</v>
      </c>
      <c r="K493">
        <v>481</v>
      </c>
      <c r="L493">
        <v>67.8</v>
      </c>
      <c r="M493">
        <v>485</v>
      </c>
      <c r="N493">
        <v>50.7</v>
      </c>
      <c r="O493">
        <v>785</v>
      </c>
      <c r="P493" t="s">
        <v>29</v>
      </c>
      <c r="Q493" s="1">
        <v>12217</v>
      </c>
      <c r="R493">
        <v>7.7</v>
      </c>
      <c r="S493" s="2">
        <v>0.09</v>
      </c>
      <c r="T493" s="3">
        <v>2.5277777777777777</v>
      </c>
      <c r="U493" s="2">
        <v>0.13</v>
      </c>
      <c r="V493" t="s">
        <v>1140</v>
      </c>
      <c r="W493" t="s">
        <v>1141</v>
      </c>
      <c r="X493" t="b">
        <v>0</v>
      </c>
      <c r="Y493" t="b">
        <v>0</v>
      </c>
    </row>
    <row r="494" spans="1:25">
      <c r="A494">
        <v>4930</v>
      </c>
      <c r="B494" t="s">
        <v>946</v>
      </c>
      <c r="C494" t="s">
        <v>1142</v>
      </c>
      <c r="D494" t="s">
        <v>948</v>
      </c>
      <c r="E494">
        <v>4930</v>
      </c>
      <c r="F494">
        <v>23</v>
      </c>
      <c r="G494">
        <v>1155</v>
      </c>
      <c r="H494">
        <v>30.1</v>
      </c>
      <c r="I494">
        <v>470</v>
      </c>
      <c r="J494">
        <v>84.5</v>
      </c>
      <c r="K494">
        <v>225</v>
      </c>
      <c r="L494">
        <v>74.400000000000006</v>
      </c>
      <c r="M494">
        <v>346</v>
      </c>
      <c r="N494">
        <v>45.5</v>
      </c>
      <c r="O494">
        <v>946</v>
      </c>
      <c r="P494" t="s">
        <v>397</v>
      </c>
      <c r="Q494" s="1">
        <v>63232</v>
      </c>
      <c r="R494">
        <v>29.5</v>
      </c>
      <c r="S494" s="2">
        <v>0.06</v>
      </c>
      <c r="T494" s="3">
        <v>2.5687500000000001</v>
      </c>
      <c r="U494" s="2">
        <v>0.19</v>
      </c>
      <c r="V494" t="s">
        <v>1142</v>
      </c>
      <c r="W494" t="s">
        <v>1143</v>
      </c>
      <c r="X494" t="b">
        <v>0</v>
      </c>
      <c r="Y494" t="b">
        <v>0</v>
      </c>
    </row>
    <row r="495" spans="1:25">
      <c r="A495">
        <v>4940</v>
      </c>
      <c r="B495" t="s">
        <v>946</v>
      </c>
      <c r="C495" t="s">
        <v>1144</v>
      </c>
      <c r="D495" t="s">
        <v>948</v>
      </c>
      <c r="E495">
        <v>4940</v>
      </c>
      <c r="F495">
        <v>26</v>
      </c>
      <c r="G495">
        <v>940</v>
      </c>
      <c r="H495">
        <v>33.5</v>
      </c>
      <c r="I495">
        <v>392</v>
      </c>
      <c r="J495">
        <v>80.2</v>
      </c>
      <c r="K495">
        <v>317</v>
      </c>
      <c r="L495">
        <v>60.6</v>
      </c>
      <c r="M495">
        <v>636</v>
      </c>
      <c r="N495">
        <v>64.900000000000006</v>
      </c>
      <c r="O495">
        <v>488</v>
      </c>
      <c r="P495" t="s">
        <v>150</v>
      </c>
      <c r="Q495" s="1">
        <v>18773</v>
      </c>
      <c r="R495">
        <v>13.8</v>
      </c>
      <c r="S495" s="2">
        <v>0.12</v>
      </c>
      <c r="T495" s="3">
        <v>2.5687500000000001</v>
      </c>
      <c r="U495" s="2">
        <v>0.17</v>
      </c>
      <c r="V495" t="s">
        <v>1144</v>
      </c>
      <c r="W495" t="s">
        <v>1145</v>
      </c>
      <c r="X495" t="b">
        <v>0</v>
      </c>
      <c r="Y495" t="b">
        <v>0</v>
      </c>
    </row>
    <row r="496" spans="1:25">
      <c r="A496">
        <v>4950</v>
      </c>
      <c r="B496" t="s">
        <v>946</v>
      </c>
      <c r="C496" t="s">
        <v>1146</v>
      </c>
      <c r="D496" t="s">
        <v>948</v>
      </c>
      <c r="E496">
        <v>4950</v>
      </c>
      <c r="F496">
        <v>38.4</v>
      </c>
      <c r="G496">
        <v>352</v>
      </c>
      <c r="H496">
        <v>27.6</v>
      </c>
      <c r="I496">
        <v>527</v>
      </c>
      <c r="J496">
        <v>69.7</v>
      </c>
      <c r="K496">
        <v>563</v>
      </c>
      <c r="L496">
        <v>28.1</v>
      </c>
      <c r="M496">
        <v>1236</v>
      </c>
      <c r="N496">
        <v>78.7</v>
      </c>
      <c r="O496">
        <v>275</v>
      </c>
      <c r="P496" t="s">
        <v>664</v>
      </c>
      <c r="Q496" s="1">
        <v>12229</v>
      </c>
      <c r="R496">
        <v>11.5</v>
      </c>
      <c r="S496" s="2">
        <v>0.3</v>
      </c>
      <c r="T496" s="3">
        <v>3.0604166666666668</v>
      </c>
      <c r="U496" s="2">
        <v>0.23</v>
      </c>
      <c r="V496" t="s">
        <v>1146</v>
      </c>
      <c r="W496" t="s">
        <v>1147</v>
      </c>
      <c r="X496" t="b">
        <v>0</v>
      </c>
      <c r="Y496" t="b">
        <v>0</v>
      </c>
    </row>
    <row r="497" spans="1:25">
      <c r="A497">
        <v>4960</v>
      </c>
      <c r="B497" t="s">
        <v>946</v>
      </c>
      <c r="C497" t="s">
        <v>1148</v>
      </c>
      <c r="D497" t="s">
        <v>948</v>
      </c>
      <c r="E497">
        <v>4960</v>
      </c>
      <c r="F497">
        <v>22</v>
      </c>
      <c r="G497">
        <v>1231</v>
      </c>
      <c r="H497">
        <v>27.7</v>
      </c>
      <c r="I497">
        <v>524</v>
      </c>
      <c r="J497">
        <v>90.3</v>
      </c>
      <c r="K497">
        <v>122</v>
      </c>
      <c r="L497">
        <v>39.5</v>
      </c>
      <c r="M497">
        <v>996</v>
      </c>
      <c r="N497">
        <v>65.3</v>
      </c>
      <c r="O497">
        <v>481</v>
      </c>
      <c r="P497" t="s">
        <v>313</v>
      </c>
      <c r="Q497" s="1">
        <v>3927</v>
      </c>
      <c r="R497">
        <v>18.8</v>
      </c>
      <c r="S497" s="2">
        <v>0.04</v>
      </c>
      <c r="T497" s="3">
        <v>2.2409722222222221</v>
      </c>
      <c r="U497" s="2">
        <v>0.38</v>
      </c>
      <c r="V497" t="s">
        <v>1148</v>
      </c>
      <c r="W497" t="s">
        <v>1149</v>
      </c>
      <c r="X497" t="b">
        <v>0</v>
      </c>
      <c r="Y497" t="b">
        <v>0</v>
      </c>
    </row>
    <row r="498" spans="1:25">
      <c r="A498">
        <v>4970</v>
      </c>
      <c r="B498" t="s">
        <v>946</v>
      </c>
      <c r="C498" t="s">
        <v>1150</v>
      </c>
      <c r="D498" t="s">
        <v>948</v>
      </c>
      <c r="E498">
        <v>4970</v>
      </c>
      <c r="F498">
        <v>29.6</v>
      </c>
      <c r="G498">
        <v>718</v>
      </c>
      <c r="H498">
        <v>26.2</v>
      </c>
      <c r="I498">
        <v>565</v>
      </c>
      <c r="J498">
        <v>84.1</v>
      </c>
      <c r="K498">
        <v>235</v>
      </c>
      <c r="L498">
        <v>67</v>
      </c>
      <c r="M498">
        <v>500</v>
      </c>
      <c r="N498">
        <v>46</v>
      </c>
      <c r="O498">
        <v>934</v>
      </c>
      <c r="P498" t="s">
        <v>397</v>
      </c>
      <c r="Q498" s="1">
        <v>20968</v>
      </c>
      <c r="R498">
        <v>26</v>
      </c>
      <c r="S498" s="2">
        <v>0.04</v>
      </c>
      <c r="T498" s="3">
        <v>2.6916666666666669</v>
      </c>
      <c r="U498" s="2">
        <v>0.13</v>
      </c>
      <c r="V498" t="s">
        <v>1150</v>
      </c>
      <c r="W498" t="s">
        <v>1151</v>
      </c>
      <c r="X498" t="b">
        <v>0</v>
      </c>
      <c r="Y498" t="b">
        <v>0</v>
      </c>
    </row>
    <row r="499" spans="1:25">
      <c r="A499">
        <v>4980</v>
      </c>
      <c r="B499" t="s">
        <v>946</v>
      </c>
      <c r="C499" t="s">
        <v>1152</v>
      </c>
      <c r="D499" t="s">
        <v>948</v>
      </c>
      <c r="E499">
        <v>4980</v>
      </c>
      <c r="F499">
        <v>27.4</v>
      </c>
      <c r="G499">
        <v>858</v>
      </c>
      <c r="H499">
        <v>29.9</v>
      </c>
      <c r="I499">
        <v>476</v>
      </c>
      <c r="J499">
        <v>73.099999999999994</v>
      </c>
      <c r="K499">
        <v>483</v>
      </c>
      <c r="L499">
        <v>57.2</v>
      </c>
      <c r="M499">
        <v>703</v>
      </c>
      <c r="N499">
        <v>75.5</v>
      </c>
      <c r="O499">
        <v>325</v>
      </c>
      <c r="P499" t="s">
        <v>116</v>
      </c>
      <c r="Q499" s="1">
        <v>14113</v>
      </c>
      <c r="R499">
        <v>40</v>
      </c>
      <c r="S499" s="2">
        <v>0.19</v>
      </c>
      <c r="T499" s="3">
        <v>2.4048611111111109</v>
      </c>
      <c r="U499" s="2">
        <v>0.24</v>
      </c>
      <c r="V499" t="s">
        <v>1152</v>
      </c>
      <c r="W499" t="s">
        <v>1153</v>
      </c>
      <c r="X499" t="b">
        <v>0</v>
      </c>
      <c r="Y499" t="b">
        <v>0</v>
      </c>
    </row>
    <row r="500" spans="1:25">
      <c r="A500">
        <v>4990</v>
      </c>
      <c r="B500" t="s">
        <v>946</v>
      </c>
      <c r="C500" t="s">
        <v>1154</v>
      </c>
      <c r="D500" t="s">
        <v>948</v>
      </c>
      <c r="E500">
        <v>4990</v>
      </c>
      <c r="F500">
        <v>28.6</v>
      </c>
      <c r="G500">
        <v>769</v>
      </c>
      <c r="H500">
        <v>34.1</v>
      </c>
      <c r="I500">
        <v>377</v>
      </c>
      <c r="J500">
        <v>69.400000000000006</v>
      </c>
      <c r="K500">
        <v>571</v>
      </c>
      <c r="L500">
        <v>58.4</v>
      </c>
      <c r="M500">
        <v>670</v>
      </c>
      <c r="N500">
        <v>80.3</v>
      </c>
      <c r="O500">
        <v>253</v>
      </c>
      <c r="P500" t="s">
        <v>380</v>
      </c>
      <c r="Q500" s="1">
        <v>18231</v>
      </c>
      <c r="R500">
        <v>19.399999999999999</v>
      </c>
      <c r="S500" s="2">
        <v>0.17</v>
      </c>
      <c r="T500" s="3">
        <v>2.4458333333333333</v>
      </c>
      <c r="U500" s="2">
        <v>0.32</v>
      </c>
      <c r="V500" t="s">
        <v>1154</v>
      </c>
      <c r="W500" t="s">
        <v>1155</v>
      </c>
      <c r="X500" t="b">
        <v>0</v>
      </c>
      <c r="Y500" t="b">
        <v>0</v>
      </c>
    </row>
    <row r="501" spans="1:25">
      <c r="A501">
        <v>5000</v>
      </c>
      <c r="B501" t="s">
        <v>946</v>
      </c>
      <c r="C501" t="s">
        <v>1156</v>
      </c>
      <c r="D501" t="s">
        <v>948</v>
      </c>
      <c r="E501">
        <v>5000</v>
      </c>
      <c r="F501">
        <v>36.4</v>
      </c>
      <c r="G501">
        <v>416</v>
      </c>
      <c r="H501">
        <v>23.2</v>
      </c>
      <c r="I501">
        <v>681</v>
      </c>
      <c r="J501">
        <v>82.8</v>
      </c>
      <c r="K501">
        <v>264</v>
      </c>
      <c r="L501">
        <v>72.7</v>
      </c>
      <c r="M501">
        <v>376</v>
      </c>
      <c r="N501">
        <v>36.5</v>
      </c>
      <c r="O501">
        <v>1262</v>
      </c>
      <c r="P501" t="s">
        <v>29</v>
      </c>
      <c r="Q501" s="1">
        <v>25944</v>
      </c>
      <c r="R501">
        <v>10.6</v>
      </c>
      <c r="S501" s="2">
        <v>0.03</v>
      </c>
      <c r="T501" s="3">
        <v>2.6506944444444445</v>
      </c>
      <c r="U501" s="2">
        <v>0.13</v>
      </c>
      <c r="V501" t="s">
        <v>1156</v>
      </c>
      <c r="W501" t="s">
        <v>1157</v>
      </c>
      <c r="X501" t="b">
        <v>0</v>
      </c>
      <c r="Y501" t="b">
        <v>0</v>
      </c>
    </row>
    <row r="502" spans="1:25">
      <c r="A502">
        <v>5010</v>
      </c>
      <c r="B502" t="s">
        <v>946</v>
      </c>
      <c r="C502" t="s">
        <v>1158</v>
      </c>
      <c r="D502" t="s">
        <v>948</v>
      </c>
      <c r="E502">
        <v>5010</v>
      </c>
      <c r="F502">
        <v>26.1</v>
      </c>
      <c r="G502">
        <v>932</v>
      </c>
      <c r="H502">
        <v>31</v>
      </c>
      <c r="I502">
        <v>444</v>
      </c>
      <c r="J502">
        <v>74.3</v>
      </c>
      <c r="K502">
        <v>460</v>
      </c>
      <c r="L502">
        <v>72.400000000000006</v>
      </c>
      <c r="M502">
        <v>377</v>
      </c>
      <c r="N502">
        <v>89.8</v>
      </c>
      <c r="O502">
        <v>131</v>
      </c>
      <c r="P502" t="s">
        <v>380</v>
      </c>
      <c r="Q502" s="1">
        <v>10538</v>
      </c>
      <c r="R502">
        <v>20.7</v>
      </c>
      <c r="S502" s="2">
        <v>0.26</v>
      </c>
      <c r="T502" s="3">
        <v>2.5687500000000001</v>
      </c>
      <c r="U502" s="2">
        <v>0.26</v>
      </c>
      <c r="V502" t="s">
        <v>1159</v>
      </c>
      <c r="W502" t="s">
        <v>1160</v>
      </c>
      <c r="X502" t="b">
        <v>0</v>
      </c>
      <c r="Y502" t="b">
        <v>0</v>
      </c>
    </row>
    <row r="503" spans="1:25">
      <c r="A503">
        <v>5020</v>
      </c>
      <c r="B503" t="s">
        <v>946</v>
      </c>
      <c r="C503" t="s">
        <v>1161</v>
      </c>
      <c r="D503" t="s">
        <v>948</v>
      </c>
      <c r="E503">
        <v>5020</v>
      </c>
      <c r="F503">
        <v>39.6</v>
      </c>
      <c r="G503">
        <v>321</v>
      </c>
      <c r="H503">
        <v>22</v>
      </c>
      <c r="I503">
        <v>733</v>
      </c>
      <c r="J503">
        <v>80.599999999999994</v>
      </c>
      <c r="K503">
        <v>309</v>
      </c>
      <c r="L503">
        <v>78.5</v>
      </c>
      <c r="M503">
        <v>283</v>
      </c>
      <c r="N503">
        <v>38.700000000000003</v>
      </c>
      <c r="O503">
        <v>1166</v>
      </c>
      <c r="P503" t="s">
        <v>29</v>
      </c>
      <c r="Q503" s="1">
        <v>8293</v>
      </c>
      <c r="R503">
        <v>4.0999999999999996</v>
      </c>
      <c r="S503" s="2">
        <v>0.09</v>
      </c>
      <c r="T503" s="3">
        <v>2.2819444444444446</v>
      </c>
      <c r="U503" s="2">
        <v>0.08</v>
      </c>
      <c r="V503" t="s">
        <v>1161</v>
      </c>
      <c r="W503" t="s">
        <v>1162</v>
      </c>
      <c r="X503" t="b">
        <v>0</v>
      </c>
      <c r="Y503" t="b">
        <v>0</v>
      </c>
    </row>
    <row r="504" spans="1:25">
      <c r="A504">
        <v>5030</v>
      </c>
      <c r="B504" t="s">
        <v>946</v>
      </c>
      <c r="C504" t="s">
        <v>1163</v>
      </c>
      <c r="D504" t="s">
        <v>948</v>
      </c>
      <c r="E504">
        <v>5030</v>
      </c>
      <c r="F504">
        <v>28.3</v>
      </c>
      <c r="G504">
        <v>795</v>
      </c>
      <c r="H504">
        <v>25.4</v>
      </c>
      <c r="I504">
        <v>594</v>
      </c>
      <c r="J504">
        <v>85.7</v>
      </c>
      <c r="K504">
        <v>196</v>
      </c>
      <c r="L504">
        <v>35</v>
      </c>
      <c r="M504">
        <v>1092</v>
      </c>
      <c r="N504">
        <v>74.5</v>
      </c>
      <c r="O504">
        <v>339</v>
      </c>
      <c r="P504" t="s">
        <v>608</v>
      </c>
      <c r="Q504" s="1">
        <v>9036</v>
      </c>
      <c r="R504">
        <v>14.4</v>
      </c>
      <c r="S504" s="2">
        <v>0.02</v>
      </c>
      <c r="T504" s="3">
        <v>3.6340277777777779</v>
      </c>
      <c r="U504" s="2">
        <v>0.27</v>
      </c>
      <c r="V504" t="s">
        <v>1163</v>
      </c>
      <c r="W504" t="s">
        <v>1164</v>
      </c>
      <c r="X504" t="b">
        <v>0</v>
      </c>
      <c r="Y504" t="b">
        <v>0</v>
      </c>
    </row>
    <row r="505" spans="1:25">
      <c r="A505">
        <v>5040</v>
      </c>
      <c r="B505" t="s">
        <v>1165</v>
      </c>
      <c r="C505" t="s">
        <v>1166</v>
      </c>
      <c r="D505" t="s">
        <v>1167</v>
      </c>
      <c r="E505">
        <v>5040</v>
      </c>
      <c r="F505">
        <v>26.3</v>
      </c>
      <c r="G505">
        <v>919</v>
      </c>
      <c r="H505">
        <v>23</v>
      </c>
      <c r="I505">
        <v>685</v>
      </c>
      <c r="J505">
        <v>68.5</v>
      </c>
      <c r="K505">
        <v>594</v>
      </c>
      <c r="L505">
        <v>62.4</v>
      </c>
      <c r="M505">
        <v>604</v>
      </c>
      <c r="N505">
        <v>87.3</v>
      </c>
      <c r="O505">
        <v>161</v>
      </c>
      <c r="P505" t="s">
        <v>26</v>
      </c>
      <c r="Q505" s="1">
        <v>6180</v>
      </c>
      <c r="R505">
        <v>15.6</v>
      </c>
      <c r="S505" s="2">
        <v>0.23</v>
      </c>
      <c r="T505" s="3">
        <v>2.1590277777777778</v>
      </c>
      <c r="U505" s="2">
        <v>0.3</v>
      </c>
      <c r="V505" t="s">
        <v>1166</v>
      </c>
      <c r="W505" t="s">
        <v>1168</v>
      </c>
      <c r="X505" t="b">
        <v>0</v>
      </c>
      <c r="Y505" t="b">
        <v>0</v>
      </c>
    </row>
    <row r="506" spans="1:25">
      <c r="A506">
        <v>5050</v>
      </c>
      <c r="B506" t="s">
        <v>1165</v>
      </c>
      <c r="C506" t="s">
        <v>1169</v>
      </c>
      <c r="D506" t="s">
        <v>1167</v>
      </c>
      <c r="E506">
        <v>5050</v>
      </c>
      <c r="F506">
        <v>29.5</v>
      </c>
      <c r="G506">
        <v>719</v>
      </c>
      <c r="H506">
        <v>31.6</v>
      </c>
      <c r="I506">
        <v>425</v>
      </c>
      <c r="J506">
        <v>59.3</v>
      </c>
      <c r="K506">
        <v>796</v>
      </c>
      <c r="L506">
        <v>67.099999999999994</v>
      </c>
      <c r="M506">
        <v>496</v>
      </c>
      <c r="N506">
        <v>68.099999999999994</v>
      </c>
      <c r="O506">
        <v>430</v>
      </c>
      <c r="P506" t="s">
        <v>313</v>
      </c>
      <c r="Q506" s="1">
        <v>5637</v>
      </c>
      <c r="R506">
        <v>18.2</v>
      </c>
      <c r="S506" s="2">
        <v>0.13</v>
      </c>
      <c r="T506" s="3">
        <v>2.5277777777777777</v>
      </c>
      <c r="U506" s="2">
        <v>0.24</v>
      </c>
      <c r="V506" t="s">
        <v>1169</v>
      </c>
      <c r="W506" t="s">
        <v>1170</v>
      </c>
      <c r="X506" t="b">
        <v>0</v>
      </c>
      <c r="Y506" t="b">
        <v>0</v>
      </c>
    </row>
    <row r="507" spans="1:25">
      <c r="A507">
        <v>5060</v>
      </c>
      <c r="B507" t="s">
        <v>1165</v>
      </c>
      <c r="C507" t="s">
        <v>1171</v>
      </c>
      <c r="D507" t="s">
        <v>1167</v>
      </c>
      <c r="E507">
        <v>5060</v>
      </c>
      <c r="F507">
        <v>35.6</v>
      </c>
      <c r="G507">
        <v>440</v>
      </c>
      <c r="H507">
        <v>37.700000000000003</v>
      </c>
      <c r="I507">
        <v>297</v>
      </c>
      <c r="J507">
        <v>52.8</v>
      </c>
      <c r="K507">
        <v>947</v>
      </c>
      <c r="L507">
        <v>92.3</v>
      </c>
      <c r="M507">
        <v>142</v>
      </c>
      <c r="N507">
        <v>48</v>
      </c>
      <c r="O507">
        <v>868</v>
      </c>
      <c r="P507" t="s">
        <v>181</v>
      </c>
      <c r="Q507" s="1">
        <v>7714</v>
      </c>
      <c r="R507">
        <v>14.9</v>
      </c>
      <c r="S507" s="2">
        <v>0.17</v>
      </c>
      <c r="T507" s="3">
        <v>1.7493055555555554</v>
      </c>
      <c r="U507" s="2">
        <v>0.23</v>
      </c>
      <c r="V507" t="s">
        <v>1171</v>
      </c>
      <c r="W507" t="s">
        <v>1172</v>
      </c>
      <c r="X507" t="b">
        <v>0</v>
      </c>
      <c r="Y507" t="b">
        <v>0</v>
      </c>
    </row>
    <row r="508" spans="1:25">
      <c r="A508">
        <v>5070</v>
      </c>
      <c r="B508" t="s">
        <v>1165</v>
      </c>
      <c r="C508" t="s">
        <v>1173</v>
      </c>
      <c r="D508" t="s">
        <v>1167</v>
      </c>
      <c r="E508">
        <v>5070</v>
      </c>
      <c r="F508">
        <v>34.5</v>
      </c>
      <c r="G508">
        <v>477</v>
      </c>
      <c r="H508">
        <v>31</v>
      </c>
      <c r="I508">
        <v>442</v>
      </c>
      <c r="J508">
        <v>63.1</v>
      </c>
      <c r="K508">
        <v>706</v>
      </c>
      <c r="L508">
        <v>47.5</v>
      </c>
      <c r="M508">
        <v>853</v>
      </c>
      <c r="N508">
        <v>70.099999999999994</v>
      </c>
      <c r="O508">
        <v>406</v>
      </c>
      <c r="P508" t="s">
        <v>29</v>
      </c>
      <c r="Q508" s="1">
        <v>2829</v>
      </c>
      <c r="R508">
        <v>7.9</v>
      </c>
      <c r="S508" s="2">
        <v>0.06</v>
      </c>
      <c r="T508" s="3">
        <v>2.3229166666666665</v>
      </c>
      <c r="U508" s="2">
        <v>0.41</v>
      </c>
      <c r="V508" t="s">
        <v>1173</v>
      </c>
      <c r="W508" t="s">
        <v>1174</v>
      </c>
      <c r="X508" t="b">
        <v>0</v>
      </c>
      <c r="Y508" t="b">
        <v>0</v>
      </c>
    </row>
    <row r="509" spans="1:25">
      <c r="A509">
        <v>5080</v>
      </c>
      <c r="B509" t="s">
        <v>1165</v>
      </c>
      <c r="C509" t="s">
        <v>1175</v>
      </c>
      <c r="D509" t="s">
        <v>1167</v>
      </c>
      <c r="E509">
        <v>5080</v>
      </c>
      <c r="F509">
        <v>24.1</v>
      </c>
      <c r="G509">
        <v>1073</v>
      </c>
      <c r="H509">
        <v>15.2</v>
      </c>
      <c r="I509">
        <v>1103</v>
      </c>
      <c r="J509">
        <v>72.7</v>
      </c>
      <c r="K509">
        <v>489</v>
      </c>
      <c r="L509">
        <v>42.1</v>
      </c>
      <c r="M509">
        <v>935</v>
      </c>
      <c r="N509">
        <v>97.7</v>
      </c>
      <c r="O509">
        <v>11</v>
      </c>
      <c r="P509" t="s">
        <v>534</v>
      </c>
      <c r="Q509" s="1">
        <v>3274</v>
      </c>
      <c r="R509">
        <v>10.8</v>
      </c>
      <c r="S509" s="2">
        <v>0.32</v>
      </c>
      <c r="T509" s="3">
        <v>2.3638888888888889</v>
      </c>
      <c r="U509" s="2">
        <v>0.14000000000000001</v>
      </c>
      <c r="V509" t="s">
        <v>1175</v>
      </c>
      <c r="W509" t="s">
        <v>1176</v>
      </c>
      <c r="X509" t="b">
        <v>0</v>
      </c>
      <c r="Y509" t="b">
        <v>0</v>
      </c>
    </row>
    <row r="510" spans="1:25">
      <c r="A510">
        <v>5090</v>
      </c>
      <c r="B510" t="s">
        <v>1165</v>
      </c>
      <c r="C510" t="s">
        <v>1177</v>
      </c>
      <c r="D510" t="s">
        <v>1167</v>
      </c>
      <c r="E510">
        <v>5090</v>
      </c>
      <c r="F510">
        <v>29.7</v>
      </c>
      <c r="G510">
        <v>704</v>
      </c>
      <c r="H510">
        <v>17.899999999999999</v>
      </c>
      <c r="I510">
        <v>924</v>
      </c>
      <c r="J510">
        <v>73.5</v>
      </c>
      <c r="K510">
        <v>472</v>
      </c>
      <c r="L510">
        <v>66</v>
      </c>
      <c r="M510">
        <v>527</v>
      </c>
      <c r="N510">
        <v>72.900000000000006</v>
      </c>
      <c r="O510">
        <v>365</v>
      </c>
      <c r="P510" t="s">
        <v>1178</v>
      </c>
      <c r="Q510" s="1">
        <v>8722</v>
      </c>
      <c r="R510">
        <v>8.6999999999999993</v>
      </c>
      <c r="S510" s="2">
        <v>0.2</v>
      </c>
      <c r="T510" s="3">
        <v>2.0770833333333334</v>
      </c>
      <c r="U510" s="2">
        <v>0.22</v>
      </c>
      <c r="V510" t="s">
        <v>1177</v>
      </c>
      <c r="W510" t="s">
        <v>1179</v>
      </c>
      <c r="X510" t="b">
        <v>0</v>
      </c>
      <c r="Y510" t="b">
        <v>0</v>
      </c>
    </row>
    <row r="511" spans="1:25">
      <c r="A511">
        <v>5100</v>
      </c>
      <c r="B511" t="s">
        <v>1165</v>
      </c>
      <c r="C511" t="s">
        <v>1180</v>
      </c>
      <c r="D511" t="s">
        <v>1167</v>
      </c>
      <c r="E511">
        <v>5100</v>
      </c>
      <c r="F511">
        <v>20.2</v>
      </c>
      <c r="G511">
        <v>1355</v>
      </c>
      <c r="H511">
        <v>16.3</v>
      </c>
      <c r="I511">
        <v>1025</v>
      </c>
      <c r="J511">
        <v>84.8</v>
      </c>
      <c r="K511">
        <v>214</v>
      </c>
      <c r="L511">
        <v>19</v>
      </c>
      <c r="M511">
        <v>1587</v>
      </c>
      <c r="N511">
        <v>94.2</v>
      </c>
      <c r="O511">
        <v>61</v>
      </c>
      <c r="P511" t="s">
        <v>26</v>
      </c>
      <c r="Q511" s="1">
        <v>17200</v>
      </c>
      <c r="R511">
        <v>24.1</v>
      </c>
      <c r="S511" s="2">
        <v>0.41</v>
      </c>
      <c r="T511" s="3">
        <v>2.5687500000000001</v>
      </c>
      <c r="U511" s="2">
        <v>0.11</v>
      </c>
      <c r="V511" t="s">
        <v>1180</v>
      </c>
      <c r="W511" t="s">
        <v>1181</v>
      </c>
      <c r="X511" t="b">
        <v>0</v>
      </c>
      <c r="Y511" t="b">
        <v>0</v>
      </c>
    </row>
    <row r="512" spans="1:25">
      <c r="A512">
        <v>5110</v>
      </c>
      <c r="B512" t="s">
        <v>1165</v>
      </c>
      <c r="C512" t="s">
        <v>1182</v>
      </c>
      <c r="D512" t="s">
        <v>1167</v>
      </c>
      <c r="E512">
        <v>5110</v>
      </c>
      <c r="F512">
        <v>32</v>
      </c>
      <c r="G512">
        <v>590</v>
      </c>
      <c r="H512">
        <v>26.3</v>
      </c>
      <c r="I512">
        <v>562</v>
      </c>
      <c r="J512">
        <v>72.400000000000006</v>
      </c>
      <c r="K512">
        <v>500</v>
      </c>
      <c r="L512">
        <v>51</v>
      </c>
      <c r="M512">
        <v>792</v>
      </c>
      <c r="N512">
        <v>20.399999999999999</v>
      </c>
      <c r="O512">
        <v>1854</v>
      </c>
      <c r="P512" t="s">
        <v>528</v>
      </c>
      <c r="Q512" s="1">
        <v>12824</v>
      </c>
      <c r="R512">
        <v>13.1</v>
      </c>
      <c r="S512" s="2">
        <v>0.01</v>
      </c>
      <c r="T512" s="3">
        <v>1.7493055555555554</v>
      </c>
      <c r="U512" s="2">
        <v>0.43</v>
      </c>
      <c r="V512" t="s">
        <v>1182</v>
      </c>
      <c r="W512" t="s">
        <v>1183</v>
      </c>
      <c r="X512" t="b">
        <v>0</v>
      </c>
      <c r="Y512" t="b">
        <v>0</v>
      </c>
    </row>
    <row r="513" spans="1:25">
      <c r="A513">
        <v>5120</v>
      </c>
      <c r="B513" t="s">
        <v>1165</v>
      </c>
      <c r="C513" t="s">
        <v>1184</v>
      </c>
      <c r="D513" t="s">
        <v>1167</v>
      </c>
      <c r="E513">
        <v>5120</v>
      </c>
      <c r="F513">
        <v>32.1</v>
      </c>
      <c r="G513">
        <v>583</v>
      </c>
      <c r="H513">
        <v>22.8</v>
      </c>
      <c r="I513">
        <v>693</v>
      </c>
      <c r="J513">
        <v>73.2</v>
      </c>
      <c r="K513">
        <v>478</v>
      </c>
      <c r="L513">
        <v>70.900000000000006</v>
      </c>
      <c r="M513">
        <v>409</v>
      </c>
      <c r="N513">
        <v>36.4</v>
      </c>
      <c r="O513">
        <v>1263</v>
      </c>
      <c r="P513" t="s">
        <v>397</v>
      </c>
      <c r="Q513" s="1">
        <v>18822</v>
      </c>
      <c r="R513">
        <v>31.7</v>
      </c>
      <c r="S513" s="2">
        <v>0.05</v>
      </c>
      <c r="T513" s="3">
        <v>2.3229166666666665</v>
      </c>
      <c r="U513" s="2">
        <v>0.31</v>
      </c>
      <c r="V513" t="s">
        <v>1184</v>
      </c>
      <c r="W513" t="s">
        <v>1185</v>
      </c>
      <c r="X513" t="b">
        <v>0</v>
      </c>
      <c r="Y513" t="b">
        <v>0</v>
      </c>
    </row>
    <row r="514" spans="1:25">
      <c r="A514">
        <v>5130</v>
      </c>
      <c r="B514" t="s">
        <v>1165</v>
      </c>
      <c r="C514" t="s">
        <v>1186</v>
      </c>
      <c r="D514" t="s">
        <v>1167</v>
      </c>
      <c r="E514">
        <v>5130</v>
      </c>
      <c r="F514">
        <v>36</v>
      </c>
      <c r="G514">
        <v>424</v>
      </c>
      <c r="H514">
        <v>25.7</v>
      </c>
      <c r="I514">
        <v>582</v>
      </c>
      <c r="J514">
        <v>59.6</v>
      </c>
      <c r="K514">
        <v>791</v>
      </c>
      <c r="L514">
        <v>69.3</v>
      </c>
      <c r="M514">
        <v>448</v>
      </c>
      <c r="N514">
        <v>57.7</v>
      </c>
      <c r="O514">
        <v>629</v>
      </c>
      <c r="P514" t="s">
        <v>29</v>
      </c>
      <c r="Q514" s="1">
        <v>27670</v>
      </c>
      <c r="R514">
        <v>18.2</v>
      </c>
      <c r="S514" s="2">
        <v>0.08</v>
      </c>
      <c r="T514" s="3">
        <v>2.1180555555555554</v>
      </c>
      <c r="U514" s="2">
        <v>0.31</v>
      </c>
      <c r="V514" t="s">
        <v>1186</v>
      </c>
      <c r="W514" t="s">
        <v>1187</v>
      </c>
      <c r="X514" t="b">
        <v>0</v>
      </c>
      <c r="Y514" t="b">
        <v>0</v>
      </c>
    </row>
    <row r="515" spans="1:25">
      <c r="A515">
        <v>5140</v>
      </c>
      <c r="B515" t="s">
        <v>1165</v>
      </c>
      <c r="C515" t="s">
        <v>1188</v>
      </c>
      <c r="D515" t="s">
        <v>1167</v>
      </c>
      <c r="E515">
        <v>5140</v>
      </c>
      <c r="F515">
        <v>21.5</v>
      </c>
      <c r="G515">
        <v>1262</v>
      </c>
      <c r="H515">
        <v>21.5</v>
      </c>
      <c r="I515">
        <v>748</v>
      </c>
      <c r="J515">
        <v>94.4</v>
      </c>
      <c r="K515">
        <v>55</v>
      </c>
      <c r="L515">
        <v>28.4</v>
      </c>
      <c r="M515">
        <v>1224</v>
      </c>
      <c r="N515">
        <v>25.3</v>
      </c>
      <c r="O515">
        <v>1690</v>
      </c>
      <c r="P515" t="s">
        <v>795</v>
      </c>
      <c r="Q515" s="1">
        <v>5815</v>
      </c>
      <c r="R515">
        <v>26.7</v>
      </c>
      <c r="S515" s="2">
        <v>0</v>
      </c>
      <c r="T515" t="s">
        <v>113</v>
      </c>
      <c r="U515" s="2">
        <v>0.44</v>
      </c>
      <c r="V515" t="s">
        <v>1188</v>
      </c>
      <c r="W515" t="s">
        <v>1189</v>
      </c>
      <c r="X515" t="b">
        <v>0</v>
      </c>
      <c r="Y515" t="b">
        <v>0</v>
      </c>
    </row>
    <row r="516" spans="1:25">
      <c r="A516">
        <v>5150</v>
      </c>
      <c r="B516" t="s">
        <v>1165</v>
      </c>
      <c r="C516" t="s">
        <v>1190</v>
      </c>
      <c r="D516" t="s">
        <v>1167</v>
      </c>
      <c r="E516">
        <v>5150</v>
      </c>
      <c r="F516">
        <v>30</v>
      </c>
      <c r="G516">
        <v>684</v>
      </c>
      <c r="H516">
        <v>34.1</v>
      </c>
      <c r="I516">
        <v>374</v>
      </c>
      <c r="J516">
        <v>54.1</v>
      </c>
      <c r="K516">
        <v>913</v>
      </c>
      <c r="L516">
        <v>85.8</v>
      </c>
      <c r="M516">
        <v>197</v>
      </c>
      <c r="N516">
        <v>46.8</v>
      </c>
      <c r="O516">
        <v>896</v>
      </c>
      <c r="P516" t="s">
        <v>588</v>
      </c>
      <c r="Q516" s="1">
        <v>19599</v>
      </c>
      <c r="R516">
        <v>19</v>
      </c>
      <c r="S516" s="2">
        <v>0.04</v>
      </c>
      <c r="T516" s="3">
        <v>2.5687500000000001</v>
      </c>
      <c r="U516" s="2">
        <v>0.24</v>
      </c>
      <c r="V516" t="s">
        <v>1190</v>
      </c>
      <c r="W516" t="s">
        <v>1191</v>
      </c>
      <c r="X516" t="b">
        <v>0</v>
      </c>
      <c r="Y516" t="b">
        <v>0</v>
      </c>
    </row>
    <row r="517" spans="1:25">
      <c r="A517">
        <v>5160</v>
      </c>
      <c r="B517" t="s">
        <v>1165</v>
      </c>
      <c r="C517" t="s">
        <v>1192</v>
      </c>
      <c r="D517" t="s">
        <v>1167</v>
      </c>
      <c r="E517">
        <v>5160</v>
      </c>
      <c r="F517">
        <v>48.5</v>
      </c>
      <c r="G517">
        <v>151</v>
      </c>
      <c r="H517">
        <v>24.6</v>
      </c>
      <c r="I517">
        <v>622</v>
      </c>
      <c r="J517">
        <v>47.3</v>
      </c>
      <c r="K517">
        <v>1075</v>
      </c>
      <c r="L517">
        <v>18.600000000000001</v>
      </c>
      <c r="M517">
        <v>1618</v>
      </c>
      <c r="N517">
        <v>88.2</v>
      </c>
      <c r="O517">
        <v>149</v>
      </c>
      <c r="P517" t="s">
        <v>1178</v>
      </c>
      <c r="Q517" s="1">
        <v>4834</v>
      </c>
      <c r="R517">
        <v>10.4</v>
      </c>
      <c r="S517" s="2">
        <v>0.21</v>
      </c>
      <c r="T517" s="3">
        <v>1.9131944444444444</v>
      </c>
      <c r="U517" s="2">
        <v>0.3</v>
      </c>
      <c r="V517" t="s">
        <v>1192</v>
      </c>
      <c r="W517" t="s">
        <v>1193</v>
      </c>
      <c r="X517" t="b">
        <v>0</v>
      </c>
      <c r="Y517" t="b">
        <v>0</v>
      </c>
    </row>
    <row r="518" spans="1:25">
      <c r="A518">
        <v>5170</v>
      </c>
      <c r="B518" t="s">
        <v>1165</v>
      </c>
      <c r="C518" t="s">
        <v>1194</v>
      </c>
      <c r="D518" t="s">
        <v>1167</v>
      </c>
      <c r="E518">
        <v>5170</v>
      </c>
      <c r="F518">
        <v>34.1</v>
      </c>
      <c r="G518">
        <v>489</v>
      </c>
      <c r="H518">
        <v>30.6</v>
      </c>
      <c r="I518">
        <v>450</v>
      </c>
      <c r="J518">
        <v>59</v>
      </c>
      <c r="K518">
        <v>804</v>
      </c>
      <c r="L518">
        <v>71.599999999999994</v>
      </c>
      <c r="M518">
        <v>393</v>
      </c>
      <c r="N518">
        <v>34.5</v>
      </c>
      <c r="O518">
        <v>1336</v>
      </c>
      <c r="P518" t="s">
        <v>588</v>
      </c>
      <c r="Q518" s="1">
        <v>17265</v>
      </c>
      <c r="R518">
        <v>21.3</v>
      </c>
      <c r="S518" s="2">
        <v>0.02</v>
      </c>
      <c r="T518" s="3">
        <v>2.2000000000000002</v>
      </c>
      <c r="U518" s="2">
        <v>0.3</v>
      </c>
      <c r="V518" t="s">
        <v>1194</v>
      </c>
      <c r="W518" t="s">
        <v>1195</v>
      </c>
      <c r="X518" t="b">
        <v>0</v>
      </c>
      <c r="Y518" t="b">
        <v>0</v>
      </c>
    </row>
    <row r="519" spans="1:25">
      <c r="A519">
        <v>5180</v>
      </c>
      <c r="B519" t="s">
        <v>1165</v>
      </c>
      <c r="C519" t="s">
        <v>1196</v>
      </c>
      <c r="D519" t="s">
        <v>1167</v>
      </c>
      <c r="E519">
        <v>5180</v>
      </c>
      <c r="F519">
        <v>23.3</v>
      </c>
      <c r="G519">
        <v>1129</v>
      </c>
      <c r="H519">
        <v>22.4</v>
      </c>
      <c r="I519">
        <v>715</v>
      </c>
      <c r="J519">
        <v>73.8</v>
      </c>
      <c r="K519">
        <v>467</v>
      </c>
      <c r="L519">
        <v>58.1</v>
      </c>
      <c r="M519">
        <v>678</v>
      </c>
      <c r="N519">
        <v>90.1</v>
      </c>
      <c r="O519">
        <v>128</v>
      </c>
      <c r="P519" t="s">
        <v>26</v>
      </c>
      <c r="Q519" s="1">
        <v>8970</v>
      </c>
      <c r="R519">
        <v>19.5</v>
      </c>
      <c r="S519" s="2">
        <v>0.31</v>
      </c>
      <c r="T519" s="3">
        <v>2.4048611111111109</v>
      </c>
      <c r="U519" s="2">
        <v>0.3</v>
      </c>
      <c r="V519" t="s">
        <v>1196</v>
      </c>
      <c r="W519" t="s">
        <v>1197</v>
      </c>
      <c r="X519" t="b">
        <v>0</v>
      </c>
      <c r="Y519" t="b">
        <v>0</v>
      </c>
    </row>
    <row r="520" spans="1:25">
      <c r="A520">
        <v>5190</v>
      </c>
      <c r="B520" t="s">
        <v>1165</v>
      </c>
      <c r="C520" t="s">
        <v>1198</v>
      </c>
      <c r="D520" t="s">
        <v>1167</v>
      </c>
      <c r="E520">
        <v>5190</v>
      </c>
      <c r="F520">
        <v>26.6</v>
      </c>
      <c r="G520">
        <v>900</v>
      </c>
      <c r="H520">
        <v>22</v>
      </c>
      <c r="I520">
        <v>729</v>
      </c>
      <c r="J520">
        <v>74.400000000000006</v>
      </c>
      <c r="K520">
        <v>454</v>
      </c>
      <c r="L520">
        <v>37.799999999999997</v>
      </c>
      <c r="M520">
        <v>1024</v>
      </c>
      <c r="N520">
        <v>93.1</v>
      </c>
      <c r="O520">
        <v>82</v>
      </c>
      <c r="P520" t="s">
        <v>26</v>
      </c>
      <c r="Q520">
        <v>25</v>
      </c>
      <c r="R520">
        <v>0.3</v>
      </c>
      <c r="S520" s="2">
        <v>0.26</v>
      </c>
      <c r="T520" s="3">
        <v>2.5277777777777777</v>
      </c>
      <c r="U520" s="2">
        <v>0.05</v>
      </c>
      <c r="V520" t="s">
        <v>1198</v>
      </c>
      <c r="W520" t="s">
        <v>1199</v>
      </c>
      <c r="X520" t="b">
        <v>0</v>
      </c>
      <c r="Y520" t="b">
        <v>0</v>
      </c>
    </row>
    <row r="521" spans="1:25">
      <c r="A521">
        <v>5200</v>
      </c>
      <c r="B521" t="s">
        <v>1165</v>
      </c>
      <c r="C521" t="s">
        <v>1200</v>
      </c>
      <c r="D521" t="s">
        <v>1167</v>
      </c>
      <c r="E521">
        <v>5200</v>
      </c>
      <c r="F521">
        <v>34.200000000000003</v>
      </c>
      <c r="G521">
        <v>486</v>
      </c>
      <c r="H521">
        <v>36.299999999999997</v>
      </c>
      <c r="I521">
        <v>319</v>
      </c>
      <c r="J521">
        <v>52.8</v>
      </c>
      <c r="K521">
        <v>948</v>
      </c>
      <c r="L521">
        <v>64.7</v>
      </c>
      <c r="M521">
        <v>554</v>
      </c>
      <c r="N521">
        <v>63</v>
      </c>
      <c r="O521">
        <v>518</v>
      </c>
      <c r="P521" t="s">
        <v>397</v>
      </c>
      <c r="Q521" s="1">
        <v>15053</v>
      </c>
      <c r="R521">
        <v>29.5</v>
      </c>
      <c r="S521" s="2">
        <v>7.0000000000000007E-2</v>
      </c>
      <c r="T521" s="3">
        <v>2.7736111111111112</v>
      </c>
      <c r="U521" s="2">
        <v>0.31</v>
      </c>
      <c r="V521" t="s">
        <v>1200</v>
      </c>
      <c r="W521" t="s">
        <v>1201</v>
      </c>
      <c r="X521" t="b">
        <v>0</v>
      </c>
      <c r="Y521" t="b">
        <v>0</v>
      </c>
    </row>
    <row r="522" spans="1:25">
      <c r="A522">
        <v>5210</v>
      </c>
      <c r="B522" t="s">
        <v>1165</v>
      </c>
      <c r="C522" t="s">
        <v>1202</v>
      </c>
      <c r="D522" t="s">
        <v>1167</v>
      </c>
      <c r="E522">
        <v>5210</v>
      </c>
      <c r="F522">
        <v>34.9</v>
      </c>
      <c r="G522">
        <v>464</v>
      </c>
      <c r="H522">
        <v>19.5</v>
      </c>
      <c r="I522">
        <v>839</v>
      </c>
      <c r="J522">
        <v>69.599999999999994</v>
      </c>
      <c r="K522">
        <v>565</v>
      </c>
      <c r="L522">
        <v>47.4</v>
      </c>
      <c r="M522">
        <v>854</v>
      </c>
      <c r="N522">
        <v>43.2</v>
      </c>
      <c r="O522">
        <v>1008</v>
      </c>
      <c r="P522" t="s">
        <v>397</v>
      </c>
      <c r="Q522" s="1">
        <v>12784</v>
      </c>
      <c r="R522">
        <v>16.100000000000001</v>
      </c>
      <c r="S522" s="2">
        <v>0.05</v>
      </c>
      <c r="T522" s="3">
        <v>2.6097222222222221</v>
      </c>
      <c r="U522" s="2">
        <v>0.41</v>
      </c>
      <c r="V522" t="s">
        <v>1202</v>
      </c>
      <c r="W522" t="s">
        <v>1203</v>
      </c>
      <c r="X522" t="b">
        <v>0</v>
      </c>
      <c r="Y522" t="b">
        <v>0</v>
      </c>
    </row>
    <row r="523" spans="1:25">
      <c r="A523">
        <v>5220</v>
      </c>
      <c r="B523" t="s">
        <v>1165</v>
      </c>
      <c r="C523" t="s">
        <v>1204</v>
      </c>
      <c r="D523" t="s">
        <v>1167</v>
      </c>
      <c r="E523">
        <v>5220</v>
      </c>
      <c r="F523">
        <v>28.6</v>
      </c>
      <c r="G523">
        <v>763</v>
      </c>
      <c r="H523">
        <v>30.9</v>
      </c>
      <c r="I523">
        <v>445</v>
      </c>
      <c r="J523">
        <v>62.4</v>
      </c>
      <c r="K523">
        <v>721</v>
      </c>
      <c r="L523">
        <v>68.2</v>
      </c>
      <c r="M523">
        <v>473</v>
      </c>
      <c r="N523">
        <v>85.1</v>
      </c>
      <c r="O523">
        <v>188</v>
      </c>
      <c r="P523" t="s">
        <v>380</v>
      </c>
      <c r="Q523" s="1">
        <v>16102</v>
      </c>
      <c r="R523">
        <v>22</v>
      </c>
      <c r="S523" s="2">
        <v>0.18</v>
      </c>
      <c r="T523" s="3">
        <v>2.2000000000000002</v>
      </c>
      <c r="U523" s="2">
        <v>0.37</v>
      </c>
      <c r="V523" t="s">
        <v>1204</v>
      </c>
      <c r="W523" t="s">
        <v>1205</v>
      </c>
      <c r="X523" t="b">
        <v>0</v>
      </c>
      <c r="Y523" t="b">
        <v>0</v>
      </c>
    </row>
    <row r="524" spans="1:25">
      <c r="A524">
        <v>5230</v>
      </c>
      <c r="B524" t="s">
        <v>1165</v>
      </c>
      <c r="C524" t="s">
        <v>1206</v>
      </c>
      <c r="D524" t="s">
        <v>1167</v>
      </c>
      <c r="E524">
        <v>5230</v>
      </c>
      <c r="F524">
        <v>22.6</v>
      </c>
      <c r="G524">
        <v>1175</v>
      </c>
      <c r="H524">
        <v>31.2</v>
      </c>
      <c r="I524">
        <v>436</v>
      </c>
      <c r="J524">
        <v>67</v>
      </c>
      <c r="K524">
        <v>622</v>
      </c>
      <c r="L524">
        <v>75.5</v>
      </c>
      <c r="M524">
        <v>325</v>
      </c>
      <c r="N524">
        <v>77.2</v>
      </c>
      <c r="O524">
        <v>293</v>
      </c>
      <c r="P524" t="s">
        <v>76</v>
      </c>
      <c r="Q524" s="1">
        <v>29656</v>
      </c>
      <c r="R524">
        <v>29.4</v>
      </c>
      <c r="S524" s="2">
        <v>0.21</v>
      </c>
      <c r="T524" s="3">
        <v>2.1180555555555554</v>
      </c>
      <c r="U524" s="2">
        <v>0.35</v>
      </c>
      <c r="V524" t="s">
        <v>1206</v>
      </c>
      <c r="W524" t="s">
        <v>1207</v>
      </c>
      <c r="X524" t="b">
        <v>0</v>
      </c>
      <c r="Y524" t="b">
        <v>0</v>
      </c>
    </row>
    <row r="525" spans="1:25">
      <c r="A525">
        <v>5240</v>
      </c>
      <c r="B525" t="s">
        <v>1165</v>
      </c>
      <c r="C525" t="s">
        <v>1208</v>
      </c>
      <c r="D525" t="s">
        <v>1167</v>
      </c>
      <c r="E525">
        <v>5240</v>
      </c>
      <c r="F525">
        <v>19.7</v>
      </c>
      <c r="G525">
        <v>1399</v>
      </c>
      <c r="H525">
        <v>26.7</v>
      </c>
      <c r="I525">
        <v>549</v>
      </c>
      <c r="J525">
        <v>76</v>
      </c>
      <c r="K525">
        <v>418</v>
      </c>
      <c r="L525">
        <v>39.5</v>
      </c>
      <c r="M525">
        <v>995</v>
      </c>
      <c r="N525">
        <v>65.3</v>
      </c>
      <c r="O525">
        <v>479</v>
      </c>
      <c r="P525" t="s">
        <v>116</v>
      </c>
      <c r="Q525" s="1">
        <v>12874</v>
      </c>
      <c r="R525">
        <v>25.6</v>
      </c>
      <c r="S525" s="2">
        <v>0.11</v>
      </c>
      <c r="T525" s="3">
        <v>2.7326388888888888</v>
      </c>
      <c r="U525" s="2">
        <v>0.25</v>
      </c>
      <c r="V525" t="s">
        <v>1209</v>
      </c>
      <c r="W525" t="s">
        <v>1210</v>
      </c>
      <c r="X525" t="b">
        <v>0</v>
      </c>
      <c r="Y525" t="b">
        <v>0</v>
      </c>
    </row>
    <row r="526" spans="1:25">
      <c r="A526">
        <v>5250</v>
      </c>
      <c r="B526" t="s">
        <v>1165</v>
      </c>
      <c r="C526" t="s">
        <v>1211</v>
      </c>
      <c r="D526" t="s">
        <v>1167</v>
      </c>
      <c r="E526">
        <v>5250</v>
      </c>
      <c r="F526">
        <v>31.6</v>
      </c>
      <c r="G526">
        <v>608</v>
      </c>
      <c r="H526">
        <v>37.5</v>
      </c>
      <c r="I526">
        <v>299</v>
      </c>
      <c r="J526">
        <v>56.6</v>
      </c>
      <c r="K526">
        <v>857</v>
      </c>
      <c r="L526">
        <v>81.8</v>
      </c>
      <c r="M526">
        <v>240</v>
      </c>
      <c r="N526">
        <v>30.1</v>
      </c>
      <c r="O526">
        <v>1495</v>
      </c>
      <c r="P526" t="s">
        <v>54</v>
      </c>
      <c r="Q526" s="1">
        <v>18061</v>
      </c>
      <c r="R526">
        <v>18.600000000000001</v>
      </c>
      <c r="S526" s="2">
        <v>7.0000000000000007E-2</v>
      </c>
      <c r="U526" s="2">
        <v>0.59</v>
      </c>
      <c r="V526" t="s">
        <v>1211</v>
      </c>
      <c r="W526" t="s">
        <v>1212</v>
      </c>
      <c r="X526" t="b">
        <v>0</v>
      </c>
      <c r="Y526" t="b">
        <v>0</v>
      </c>
    </row>
    <row r="527" spans="1:25">
      <c r="A527">
        <v>5260</v>
      </c>
      <c r="B527" t="s">
        <v>1165</v>
      </c>
      <c r="C527" t="s">
        <v>1213</v>
      </c>
      <c r="D527" t="s">
        <v>1167</v>
      </c>
      <c r="E527">
        <v>5260</v>
      </c>
      <c r="F527">
        <v>40.299999999999997</v>
      </c>
      <c r="G527">
        <v>299</v>
      </c>
      <c r="H527">
        <v>29.4</v>
      </c>
      <c r="I527">
        <v>486</v>
      </c>
      <c r="J527">
        <v>58.8</v>
      </c>
      <c r="K527">
        <v>805</v>
      </c>
      <c r="L527">
        <v>52.1</v>
      </c>
      <c r="M527">
        <v>769</v>
      </c>
      <c r="N527">
        <v>46.7</v>
      </c>
      <c r="O527">
        <v>903</v>
      </c>
      <c r="P527" t="s">
        <v>386</v>
      </c>
      <c r="Q527" s="1">
        <v>59814</v>
      </c>
      <c r="R527">
        <v>11.8</v>
      </c>
      <c r="S527" s="2">
        <v>0.1</v>
      </c>
      <c r="T527" s="3">
        <v>2.6097222222222221</v>
      </c>
      <c r="U527" s="2">
        <v>0.24</v>
      </c>
      <c r="V527" t="s">
        <v>1213</v>
      </c>
      <c r="W527" t="s">
        <v>1214</v>
      </c>
      <c r="X527" t="b">
        <v>0</v>
      </c>
      <c r="Y527" t="b">
        <v>0</v>
      </c>
    </row>
    <row r="528" spans="1:25">
      <c r="A528">
        <v>5270</v>
      </c>
      <c r="B528" t="s">
        <v>1165</v>
      </c>
      <c r="C528" t="s">
        <v>1215</v>
      </c>
      <c r="D528" t="s">
        <v>1167</v>
      </c>
      <c r="E528">
        <v>5270</v>
      </c>
      <c r="F528">
        <v>25.7</v>
      </c>
      <c r="G528">
        <v>957</v>
      </c>
      <c r="H528">
        <v>29.3</v>
      </c>
      <c r="I528">
        <v>487</v>
      </c>
      <c r="J528">
        <v>66.2</v>
      </c>
      <c r="K528">
        <v>645</v>
      </c>
      <c r="L528">
        <v>66.3</v>
      </c>
      <c r="M528">
        <v>519</v>
      </c>
      <c r="N528">
        <v>86.6</v>
      </c>
      <c r="O528">
        <v>175</v>
      </c>
      <c r="P528" t="s">
        <v>76</v>
      </c>
      <c r="Q528" s="1">
        <v>36749</v>
      </c>
      <c r="R528">
        <v>34.6</v>
      </c>
      <c r="S528" s="2">
        <v>0.34</v>
      </c>
      <c r="T528" s="3">
        <v>2.1180555555555554</v>
      </c>
      <c r="U528" s="2">
        <v>0.4</v>
      </c>
      <c r="V528" t="s">
        <v>1215</v>
      </c>
      <c r="W528" t="s">
        <v>1216</v>
      </c>
      <c r="X528" t="b">
        <v>0</v>
      </c>
      <c r="Y528" t="b">
        <v>0</v>
      </c>
    </row>
    <row r="529" spans="1:25">
      <c r="A529">
        <v>5280</v>
      </c>
      <c r="B529" t="s">
        <v>1165</v>
      </c>
      <c r="C529" t="s">
        <v>1217</v>
      </c>
      <c r="D529" t="s">
        <v>1167</v>
      </c>
      <c r="E529">
        <v>5280</v>
      </c>
      <c r="F529">
        <v>28.4</v>
      </c>
      <c r="G529">
        <v>781</v>
      </c>
      <c r="H529">
        <v>22</v>
      </c>
      <c r="I529">
        <v>730</v>
      </c>
      <c r="J529">
        <v>65.599999999999994</v>
      </c>
      <c r="K529">
        <v>662</v>
      </c>
      <c r="L529">
        <v>62.4</v>
      </c>
      <c r="M529">
        <v>606</v>
      </c>
      <c r="N529">
        <v>80.599999999999994</v>
      </c>
      <c r="O529">
        <v>248</v>
      </c>
      <c r="P529" t="s">
        <v>125</v>
      </c>
      <c r="Q529" s="1">
        <v>33024</v>
      </c>
      <c r="R529">
        <v>20.5</v>
      </c>
      <c r="S529" s="2">
        <v>0.2</v>
      </c>
      <c r="T529" s="3">
        <v>2.3638888888888889</v>
      </c>
      <c r="U529" s="2">
        <v>0.28999999999999998</v>
      </c>
      <c r="V529" t="s">
        <v>1217</v>
      </c>
      <c r="W529" t="s">
        <v>1218</v>
      </c>
      <c r="X529" t="b">
        <v>0</v>
      </c>
      <c r="Y529" t="b">
        <v>0</v>
      </c>
    </row>
    <row r="530" spans="1:25">
      <c r="A530">
        <v>5290</v>
      </c>
      <c r="B530" t="s">
        <v>1165</v>
      </c>
      <c r="C530" t="s">
        <v>1219</v>
      </c>
      <c r="D530" t="s">
        <v>1167</v>
      </c>
      <c r="E530">
        <v>5290</v>
      </c>
      <c r="F530">
        <v>19.899999999999999</v>
      </c>
      <c r="G530">
        <v>1379</v>
      </c>
      <c r="H530">
        <v>25.7</v>
      </c>
      <c r="I530">
        <v>584</v>
      </c>
      <c r="J530">
        <v>76.5</v>
      </c>
      <c r="K530">
        <v>404</v>
      </c>
      <c r="L530">
        <v>64.5</v>
      </c>
      <c r="M530">
        <v>557</v>
      </c>
      <c r="N530">
        <v>47.4</v>
      </c>
      <c r="O530">
        <v>879</v>
      </c>
      <c r="P530" t="s">
        <v>1220</v>
      </c>
      <c r="Q530" s="1">
        <v>14119</v>
      </c>
      <c r="R530">
        <v>26.5</v>
      </c>
      <c r="S530" s="2">
        <v>0.04</v>
      </c>
      <c r="T530" s="3">
        <v>2.6506944444444445</v>
      </c>
      <c r="U530" s="2">
        <v>0.23</v>
      </c>
      <c r="V530" t="s">
        <v>1219</v>
      </c>
      <c r="W530" t="s">
        <v>1221</v>
      </c>
      <c r="X530" t="b">
        <v>0</v>
      </c>
      <c r="Y530" t="b">
        <v>0</v>
      </c>
    </row>
    <row r="531" spans="1:25">
      <c r="A531">
        <v>5300</v>
      </c>
      <c r="B531" t="s">
        <v>1165</v>
      </c>
      <c r="C531" t="s">
        <v>1222</v>
      </c>
      <c r="D531" t="s">
        <v>1167</v>
      </c>
      <c r="E531">
        <v>5300</v>
      </c>
      <c r="F531">
        <v>22.5</v>
      </c>
      <c r="G531">
        <v>1186</v>
      </c>
      <c r="H531">
        <v>25.8</v>
      </c>
      <c r="I531">
        <v>579</v>
      </c>
      <c r="J531">
        <v>75.3</v>
      </c>
      <c r="K531">
        <v>435</v>
      </c>
      <c r="L531">
        <v>64.3</v>
      </c>
      <c r="M531">
        <v>560</v>
      </c>
      <c r="N531">
        <v>77.7</v>
      </c>
      <c r="O531">
        <v>283</v>
      </c>
      <c r="P531" t="s">
        <v>1223</v>
      </c>
      <c r="Q531" s="1">
        <v>6907</v>
      </c>
      <c r="R531">
        <v>20</v>
      </c>
      <c r="S531" s="2">
        <v>0.14000000000000001</v>
      </c>
      <c r="T531" s="3">
        <v>2.5687500000000001</v>
      </c>
      <c r="U531" s="2">
        <v>0.36</v>
      </c>
      <c r="V531" t="s">
        <v>1222</v>
      </c>
      <c r="W531" t="s">
        <v>1224</v>
      </c>
      <c r="X531" t="b">
        <v>0</v>
      </c>
      <c r="Y531" t="b">
        <v>0</v>
      </c>
    </row>
    <row r="532" spans="1:25">
      <c r="A532">
        <v>5310</v>
      </c>
      <c r="B532" t="s">
        <v>1165</v>
      </c>
      <c r="C532" t="s">
        <v>1225</v>
      </c>
      <c r="D532" t="s">
        <v>1167</v>
      </c>
      <c r="E532">
        <v>5310</v>
      </c>
      <c r="F532">
        <v>39.9</v>
      </c>
      <c r="G532">
        <v>310</v>
      </c>
      <c r="H532">
        <v>24.3</v>
      </c>
      <c r="I532">
        <v>637</v>
      </c>
      <c r="J532">
        <v>64.2</v>
      </c>
      <c r="K532">
        <v>688</v>
      </c>
      <c r="L532">
        <v>55.8</v>
      </c>
      <c r="M532">
        <v>717</v>
      </c>
      <c r="N532">
        <v>31.2</v>
      </c>
      <c r="O532">
        <v>1453</v>
      </c>
      <c r="P532" t="s">
        <v>29</v>
      </c>
      <c r="Q532" s="1">
        <v>10367</v>
      </c>
      <c r="R532">
        <v>13.6</v>
      </c>
      <c r="S532" s="2">
        <v>0.05</v>
      </c>
      <c r="T532" s="3">
        <v>2.5277777777777777</v>
      </c>
      <c r="U532" s="2">
        <v>0.24</v>
      </c>
      <c r="V532" t="s">
        <v>1225</v>
      </c>
      <c r="W532" t="s">
        <v>1226</v>
      </c>
      <c r="X532" t="b">
        <v>0</v>
      </c>
      <c r="Y532" t="b">
        <v>0</v>
      </c>
    </row>
    <row r="533" spans="1:25">
      <c r="A533">
        <v>5320</v>
      </c>
      <c r="B533" t="s">
        <v>1165</v>
      </c>
      <c r="C533" t="s">
        <v>1227</v>
      </c>
      <c r="D533" t="s">
        <v>1167</v>
      </c>
      <c r="E533">
        <v>5320</v>
      </c>
      <c r="F533">
        <v>27.8</v>
      </c>
      <c r="G533">
        <v>815</v>
      </c>
      <c r="H533">
        <v>22.1</v>
      </c>
      <c r="I533">
        <v>723</v>
      </c>
      <c r="J533">
        <v>72.8</v>
      </c>
      <c r="K533">
        <v>488</v>
      </c>
      <c r="L533">
        <v>85.3</v>
      </c>
      <c r="M533">
        <v>205</v>
      </c>
      <c r="N533">
        <v>39.9</v>
      </c>
      <c r="O533">
        <v>1121</v>
      </c>
      <c r="P533" t="s">
        <v>54</v>
      </c>
      <c r="Q533" s="1">
        <v>23099</v>
      </c>
      <c r="R533">
        <v>14.7</v>
      </c>
      <c r="S533" s="2">
        <v>0.06</v>
      </c>
      <c r="T533" s="3">
        <v>1.8722222222222222</v>
      </c>
      <c r="U533" s="2">
        <v>0.4</v>
      </c>
      <c r="V533" t="s">
        <v>1227</v>
      </c>
      <c r="W533" t="s">
        <v>1228</v>
      </c>
      <c r="X533" t="b">
        <v>0</v>
      </c>
      <c r="Y533" t="b">
        <v>0</v>
      </c>
    </row>
    <row r="534" spans="1:25">
      <c r="A534">
        <v>5330</v>
      </c>
      <c r="B534" t="s">
        <v>1165</v>
      </c>
      <c r="C534" t="s">
        <v>1229</v>
      </c>
      <c r="D534" t="s">
        <v>1167</v>
      </c>
      <c r="E534">
        <v>5330</v>
      </c>
      <c r="F534">
        <v>28.9</v>
      </c>
      <c r="G534">
        <v>747</v>
      </c>
      <c r="H534">
        <v>31.2</v>
      </c>
      <c r="I534">
        <v>437</v>
      </c>
      <c r="J534">
        <v>69.7</v>
      </c>
      <c r="K534">
        <v>562</v>
      </c>
      <c r="L534">
        <v>67.400000000000006</v>
      </c>
      <c r="M534">
        <v>490</v>
      </c>
      <c r="N534">
        <v>48.5</v>
      </c>
      <c r="O534">
        <v>853</v>
      </c>
      <c r="P534" t="s">
        <v>313</v>
      </c>
      <c r="Q534" s="1">
        <v>12237</v>
      </c>
      <c r="R534">
        <v>18.5</v>
      </c>
      <c r="S534" s="2">
        <v>0.05</v>
      </c>
      <c r="T534" s="3">
        <v>2.8145833333333332</v>
      </c>
      <c r="U534" s="2">
        <v>0.18</v>
      </c>
      <c r="V534" t="s">
        <v>1229</v>
      </c>
      <c r="W534" t="s">
        <v>1230</v>
      </c>
      <c r="X534" t="b">
        <v>0</v>
      </c>
      <c r="Y534" t="b">
        <v>0</v>
      </c>
    </row>
    <row r="535" spans="1:25">
      <c r="A535">
        <v>5340</v>
      </c>
      <c r="B535" t="s">
        <v>1165</v>
      </c>
      <c r="C535" t="s">
        <v>1231</v>
      </c>
      <c r="D535" t="s">
        <v>1167</v>
      </c>
      <c r="E535">
        <v>5340</v>
      </c>
      <c r="F535">
        <v>18.100000000000001</v>
      </c>
      <c r="G535">
        <v>1542</v>
      </c>
      <c r="H535">
        <v>18.399999999999999</v>
      </c>
      <c r="I535">
        <v>895</v>
      </c>
      <c r="J535">
        <v>77.900000000000006</v>
      </c>
      <c r="K535">
        <v>370</v>
      </c>
      <c r="L535">
        <v>47.7</v>
      </c>
      <c r="M535">
        <v>850</v>
      </c>
      <c r="N535">
        <v>93.7</v>
      </c>
      <c r="O535">
        <v>67</v>
      </c>
      <c r="P535" t="s">
        <v>26</v>
      </c>
      <c r="Q535" s="1">
        <v>12415</v>
      </c>
      <c r="R535">
        <v>22.4</v>
      </c>
      <c r="S535" s="2">
        <v>0.34</v>
      </c>
      <c r="T535" s="3">
        <v>2.2000000000000002</v>
      </c>
      <c r="U535" s="2">
        <v>0.3</v>
      </c>
      <c r="V535" t="s">
        <v>1231</v>
      </c>
      <c r="W535" t="s">
        <v>1232</v>
      </c>
      <c r="X535" t="b">
        <v>0</v>
      </c>
      <c r="Y535" t="b">
        <v>0</v>
      </c>
    </row>
    <row r="536" spans="1:25">
      <c r="A536">
        <v>5350</v>
      </c>
      <c r="B536" t="s">
        <v>1165</v>
      </c>
      <c r="C536" t="s">
        <v>1233</v>
      </c>
      <c r="D536" t="s">
        <v>1167</v>
      </c>
      <c r="E536">
        <v>5350</v>
      </c>
      <c r="F536">
        <v>39.4</v>
      </c>
      <c r="G536">
        <v>326</v>
      </c>
      <c r="H536">
        <v>28.6</v>
      </c>
      <c r="I536">
        <v>504</v>
      </c>
      <c r="J536">
        <v>48.1</v>
      </c>
      <c r="K536">
        <v>1056</v>
      </c>
      <c r="L536">
        <v>75.5</v>
      </c>
      <c r="M536">
        <v>326</v>
      </c>
      <c r="N536">
        <v>68.900000000000006</v>
      </c>
      <c r="O536">
        <v>423</v>
      </c>
      <c r="P536" t="s">
        <v>125</v>
      </c>
      <c r="Q536">
        <v>652</v>
      </c>
      <c r="R536">
        <v>8.6</v>
      </c>
      <c r="S536" s="2">
        <v>0.18</v>
      </c>
      <c r="T536" t="s">
        <v>796</v>
      </c>
      <c r="U536" s="2">
        <v>0.45</v>
      </c>
      <c r="V536" t="s">
        <v>1233</v>
      </c>
      <c r="W536" t="s">
        <v>1234</v>
      </c>
      <c r="X536" t="b">
        <v>0</v>
      </c>
      <c r="Y536" t="b">
        <v>0</v>
      </c>
    </row>
    <row r="537" spans="1:25">
      <c r="A537">
        <v>5360</v>
      </c>
      <c r="B537" t="s">
        <v>1165</v>
      </c>
      <c r="C537" t="s">
        <v>1235</v>
      </c>
      <c r="D537" t="s">
        <v>1167</v>
      </c>
      <c r="E537">
        <v>5360</v>
      </c>
      <c r="F537">
        <v>29.6</v>
      </c>
      <c r="G537">
        <v>714</v>
      </c>
      <c r="H537">
        <v>24.9</v>
      </c>
      <c r="I537">
        <v>618</v>
      </c>
      <c r="J537">
        <v>74.3</v>
      </c>
      <c r="K537">
        <v>457</v>
      </c>
      <c r="L537">
        <v>66.900000000000006</v>
      </c>
      <c r="M537">
        <v>502</v>
      </c>
      <c r="N537">
        <v>44.7</v>
      </c>
      <c r="O537">
        <v>969</v>
      </c>
      <c r="P537" t="s">
        <v>397</v>
      </c>
      <c r="Q537" s="1">
        <v>23010</v>
      </c>
      <c r="R537">
        <v>34.799999999999997</v>
      </c>
      <c r="S537" s="2">
        <v>0.05</v>
      </c>
      <c r="T537" s="3">
        <v>2.6097222222222221</v>
      </c>
      <c r="U537" s="2">
        <v>0.22</v>
      </c>
      <c r="V537" t="s">
        <v>1235</v>
      </c>
      <c r="W537" t="s">
        <v>1236</v>
      </c>
      <c r="X537" t="b">
        <v>0</v>
      </c>
      <c r="Y537" t="b">
        <v>0</v>
      </c>
    </row>
    <row r="538" spans="1:25">
      <c r="A538">
        <v>5370</v>
      </c>
      <c r="B538" t="s">
        <v>1165</v>
      </c>
      <c r="C538" t="s">
        <v>1237</v>
      </c>
      <c r="D538" t="s">
        <v>1167</v>
      </c>
      <c r="E538">
        <v>5370</v>
      </c>
      <c r="F538">
        <v>28.5</v>
      </c>
      <c r="G538">
        <v>775</v>
      </c>
      <c r="H538">
        <v>26.6</v>
      </c>
      <c r="I538">
        <v>553</v>
      </c>
      <c r="J538">
        <v>65.7</v>
      </c>
      <c r="K538">
        <v>657</v>
      </c>
      <c r="L538">
        <v>52.2</v>
      </c>
      <c r="M538">
        <v>766</v>
      </c>
      <c r="N538">
        <v>52.6</v>
      </c>
      <c r="O538">
        <v>725</v>
      </c>
      <c r="P538" t="s">
        <v>386</v>
      </c>
      <c r="Q538" s="1">
        <v>55523</v>
      </c>
      <c r="R538">
        <v>14.7</v>
      </c>
      <c r="S538" s="2">
        <v>0.09</v>
      </c>
      <c r="T538" s="3">
        <v>2.4868055555555557</v>
      </c>
      <c r="U538" s="2">
        <v>0.28000000000000003</v>
      </c>
      <c r="V538" t="s">
        <v>1237</v>
      </c>
      <c r="W538" t="s">
        <v>1238</v>
      </c>
      <c r="X538" t="b">
        <v>0</v>
      </c>
      <c r="Y538" t="b">
        <v>0</v>
      </c>
    </row>
    <row r="539" spans="1:25">
      <c r="A539">
        <v>5380</v>
      </c>
      <c r="B539" t="s">
        <v>1165</v>
      </c>
      <c r="C539" t="s">
        <v>1239</v>
      </c>
      <c r="D539" t="s">
        <v>1167</v>
      </c>
      <c r="E539">
        <v>5380</v>
      </c>
      <c r="F539">
        <v>29.2</v>
      </c>
      <c r="G539">
        <v>736</v>
      </c>
      <c r="H539">
        <v>21.8</v>
      </c>
      <c r="I539">
        <v>739</v>
      </c>
      <c r="J539">
        <v>66.900000000000006</v>
      </c>
      <c r="K539">
        <v>624</v>
      </c>
      <c r="L539">
        <v>51.2</v>
      </c>
      <c r="M539">
        <v>789</v>
      </c>
      <c r="N539">
        <v>81.3</v>
      </c>
      <c r="O539">
        <v>235</v>
      </c>
      <c r="P539" t="s">
        <v>310</v>
      </c>
      <c r="Q539" s="1">
        <v>12830</v>
      </c>
      <c r="R539">
        <v>12.6</v>
      </c>
      <c r="S539" s="2">
        <v>0.17</v>
      </c>
      <c r="T539" s="3">
        <v>2.7736111111111112</v>
      </c>
      <c r="U539" s="2">
        <v>0.28999999999999998</v>
      </c>
      <c r="V539" t="s">
        <v>1239</v>
      </c>
      <c r="W539" t="s">
        <v>1240</v>
      </c>
      <c r="X539" t="b">
        <v>0</v>
      </c>
      <c r="Y539" t="b">
        <v>0</v>
      </c>
    </row>
    <row r="540" spans="1:25">
      <c r="A540">
        <v>5390</v>
      </c>
      <c r="B540" t="s">
        <v>1165</v>
      </c>
      <c r="C540" t="s">
        <v>1241</v>
      </c>
      <c r="D540" t="s">
        <v>1167</v>
      </c>
      <c r="E540">
        <v>5390</v>
      </c>
      <c r="F540">
        <v>40.4</v>
      </c>
      <c r="G540">
        <v>296</v>
      </c>
      <c r="H540">
        <v>21.4</v>
      </c>
      <c r="I540">
        <v>751</v>
      </c>
      <c r="J540">
        <v>51.5</v>
      </c>
      <c r="K540">
        <v>979</v>
      </c>
      <c r="L540">
        <v>91.5</v>
      </c>
      <c r="M540">
        <v>148</v>
      </c>
      <c r="N540">
        <v>81.5</v>
      </c>
      <c r="O540">
        <v>233</v>
      </c>
      <c r="P540" t="s">
        <v>310</v>
      </c>
      <c r="Q540" s="1">
        <v>6660</v>
      </c>
      <c r="R540">
        <v>8.1999999999999993</v>
      </c>
      <c r="S540" s="2">
        <v>0.24</v>
      </c>
      <c r="T540" t="s">
        <v>796</v>
      </c>
      <c r="U540" s="2">
        <v>0.48</v>
      </c>
      <c r="V540" t="s">
        <v>1241</v>
      </c>
      <c r="W540" t="s">
        <v>1242</v>
      </c>
      <c r="X540" t="b">
        <v>0</v>
      </c>
      <c r="Y540" t="b">
        <v>0</v>
      </c>
    </row>
    <row r="541" spans="1:25">
      <c r="A541">
        <v>5400</v>
      </c>
      <c r="B541" t="s">
        <v>1165</v>
      </c>
      <c r="C541" t="s">
        <v>1243</v>
      </c>
      <c r="D541" t="s">
        <v>1167</v>
      </c>
      <c r="E541">
        <v>5400</v>
      </c>
      <c r="F541">
        <v>17.8</v>
      </c>
      <c r="G541">
        <v>1568</v>
      </c>
      <c r="H541">
        <v>17.5</v>
      </c>
      <c r="I541">
        <v>941</v>
      </c>
      <c r="J541">
        <v>81.2</v>
      </c>
      <c r="K541">
        <v>298</v>
      </c>
      <c r="L541">
        <v>40.9</v>
      </c>
      <c r="M541">
        <v>957</v>
      </c>
      <c r="N541">
        <v>97.2</v>
      </c>
      <c r="O541">
        <v>19</v>
      </c>
      <c r="P541" t="s">
        <v>26</v>
      </c>
      <c r="Q541" s="1">
        <v>17095</v>
      </c>
      <c r="R541">
        <v>21.8</v>
      </c>
      <c r="S541" s="2">
        <v>0.46</v>
      </c>
      <c r="T541" s="3">
        <v>2.4458333333333333</v>
      </c>
      <c r="U541" s="2">
        <v>0.26</v>
      </c>
      <c r="V541" t="s">
        <v>1243</v>
      </c>
      <c r="W541" t="s">
        <v>1244</v>
      </c>
      <c r="X541" t="b">
        <v>0</v>
      </c>
      <c r="Y541" t="b">
        <v>0</v>
      </c>
    </row>
    <row r="542" spans="1:25">
      <c r="A542">
        <v>5410</v>
      </c>
      <c r="B542" t="s">
        <v>1165</v>
      </c>
      <c r="C542" t="s">
        <v>1245</v>
      </c>
      <c r="D542" t="s">
        <v>1167</v>
      </c>
      <c r="E542">
        <v>5410</v>
      </c>
      <c r="F542">
        <v>37.6</v>
      </c>
      <c r="G542">
        <v>371</v>
      </c>
      <c r="H542">
        <v>24.5</v>
      </c>
      <c r="I542">
        <v>629</v>
      </c>
      <c r="J542">
        <v>53</v>
      </c>
      <c r="K542">
        <v>944</v>
      </c>
      <c r="L542">
        <v>79.5</v>
      </c>
      <c r="M542">
        <v>270</v>
      </c>
      <c r="N542">
        <v>61.4</v>
      </c>
      <c r="O542">
        <v>551</v>
      </c>
      <c r="P542" t="s">
        <v>99</v>
      </c>
      <c r="Q542" s="1">
        <v>4246</v>
      </c>
      <c r="R542">
        <v>26.4</v>
      </c>
      <c r="S542" s="2">
        <v>0.23</v>
      </c>
      <c r="T542" t="s">
        <v>357</v>
      </c>
      <c r="U542" s="2">
        <v>0.52</v>
      </c>
      <c r="V542" t="s">
        <v>1245</v>
      </c>
      <c r="W542" t="s">
        <v>1246</v>
      </c>
      <c r="X542" t="b">
        <v>0</v>
      </c>
      <c r="Y542" t="b">
        <v>0</v>
      </c>
    </row>
    <row r="543" spans="1:25">
      <c r="A543">
        <v>5420</v>
      </c>
      <c r="B543" t="s">
        <v>1165</v>
      </c>
      <c r="C543" t="s">
        <v>1247</v>
      </c>
      <c r="D543" t="s">
        <v>1167</v>
      </c>
      <c r="E543">
        <v>5420</v>
      </c>
      <c r="F543">
        <v>33.799999999999997</v>
      </c>
      <c r="G543">
        <v>500</v>
      </c>
      <c r="H543">
        <v>29.7</v>
      </c>
      <c r="I543">
        <v>482</v>
      </c>
      <c r="J543">
        <v>65.8</v>
      </c>
      <c r="K543">
        <v>655</v>
      </c>
      <c r="L543">
        <v>70.2</v>
      </c>
      <c r="M543">
        <v>427</v>
      </c>
      <c r="N543">
        <v>50.8</v>
      </c>
      <c r="O543">
        <v>780</v>
      </c>
      <c r="P543" t="s">
        <v>29</v>
      </c>
      <c r="Q543" s="1">
        <v>47963</v>
      </c>
      <c r="R543">
        <v>26.3</v>
      </c>
      <c r="S543" s="2">
        <v>7.0000000000000007E-2</v>
      </c>
      <c r="T543" s="3">
        <v>2.2000000000000002</v>
      </c>
      <c r="U543" s="2">
        <v>0.34</v>
      </c>
      <c r="V543" t="s">
        <v>1247</v>
      </c>
      <c r="W543" t="s">
        <v>1248</v>
      </c>
      <c r="X543" t="b">
        <v>0</v>
      </c>
      <c r="Y543" t="b">
        <v>0</v>
      </c>
    </row>
    <row r="544" spans="1:25">
      <c r="A544">
        <v>5430</v>
      </c>
      <c r="B544" t="s">
        <v>1165</v>
      </c>
      <c r="C544" t="s">
        <v>1249</v>
      </c>
      <c r="D544" t="s">
        <v>1167</v>
      </c>
      <c r="E544">
        <v>5430</v>
      </c>
      <c r="F544">
        <v>28.3</v>
      </c>
      <c r="G544">
        <v>787</v>
      </c>
      <c r="H544">
        <v>25</v>
      </c>
      <c r="I544">
        <v>610</v>
      </c>
      <c r="J544">
        <v>66.3</v>
      </c>
      <c r="K544">
        <v>643</v>
      </c>
      <c r="L544">
        <v>44.4</v>
      </c>
      <c r="M544">
        <v>904</v>
      </c>
      <c r="N544">
        <v>88.4</v>
      </c>
      <c r="O544">
        <v>145</v>
      </c>
      <c r="P544" t="s">
        <v>26</v>
      </c>
      <c r="Q544" s="1">
        <v>14270</v>
      </c>
      <c r="R544">
        <v>19.8</v>
      </c>
      <c r="S544" s="2">
        <v>0.26</v>
      </c>
      <c r="T544" s="3">
        <v>2.4458333333333333</v>
      </c>
      <c r="U544" s="2">
        <v>0.28000000000000003</v>
      </c>
      <c r="V544" t="s">
        <v>1249</v>
      </c>
      <c r="W544" t="s">
        <v>1250</v>
      </c>
      <c r="X544" t="b">
        <v>0</v>
      </c>
      <c r="Y544" t="b">
        <v>0</v>
      </c>
    </row>
    <row r="545" spans="1:25">
      <c r="A545">
        <v>5440</v>
      </c>
      <c r="B545" t="s">
        <v>1165</v>
      </c>
      <c r="C545" t="s">
        <v>1251</v>
      </c>
      <c r="D545" t="s">
        <v>1167</v>
      </c>
      <c r="E545">
        <v>5440</v>
      </c>
      <c r="F545">
        <v>23.4</v>
      </c>
      <c r="G545">
        <v>1122</v>
      </c>
      <c r="H545">
        <v>34</v>
      </c>
      <c r="I545">
        <v>378</v>
      </c>
      <c r="J545">
        <v>70.599999999999994</v>
      </c>
      <c r="K545">
        <v>548</v>
      </c>
      <c r="L545">
        <v>75.599999999999994</v>
      </c>
      <c r="M545">
        <v>323</v>
      </c>
      <c r="N545">
        <v>55.8</v>
      </c>
      <c r="O545">
        <v>664</v>
      </c>
      <c r="P545" t="s">
        <v>1252</v>
      </c>
      <c r="Q545" s="1">
        <v>9899</v>
      </c>
      <c r="R545">
        <v>17</v>
      </c>
      <c r="S545" s="2">
        <v>0.12</v>
      </c>
      <c r="T545" s="3">
        <v>2.8555555555555556</v>
      </c>
      <c r="U545" s="2">
        <v>0.26</v>
      </c>
      <c r="V545" t="s">
        <v>1251</v>
      </c>
      <c r="W545" t="s">
        <v>1253</v>
      </c>
      <c r="X545" t="b">
        <v>0</v>
      </c>
      <c r="Y545" t="b">
        <v>0</v>
      </c>
    </row>
    <row r="546" spans="1:25">
      <c r="A546">
        <v>5450</v>
      </c>
      <c r="B546" t="s">
        <v>1165</v>
      </c>
      <c r="C546" t="s">
        <v>1254</v>
      </c>
      <c r="D546" t="s">
        <v>1167</v>
      </c>
      <c r="E546">
        <v>5450</v>
      </c>
      <c r="F546">
        <v>35.799999999999997</v>
      </c>
      <c r="G546">
        <v>436</v>
      </c>
      <c r="H546">
        <v>36.6</v>
      </c>
      <c r="I546">
        <v>312</v>
      </c>
      <c r="J546">
        <v>51.8</v>
      </c>
      <c r="K546">
        <v>972</v>
      </c>
      <c r="L546">
        <v>87.3</v>
      </c>
      <c r="M546">
        <v>183</v>
      </c>
      <c r="N546">
        <v>45.8</v>
      </c>
      <c r="O546">
        <v>939</v>
      </c>
      <c r="P546" t="s">
        <v>895</v>
      </c>
      <c r="Q546" s="1">
        <v>19055</v>
      </c>
      <c r="R546">
        <v>25.8</v>
      </c>
      <c r="S546" s="2">
        <v>0.14000000000000001</v>
      </c>
      <c r="T546" s="3">
        <v>1.7902777777777779</v>
      </c>
      <c r="U546" s="2">
        <v>0.48</v>
      </c>
      <c r="V546" t="s">
        <v>1254</v>
      </c>
      <c r="W546" t="s">
        <v>1255</v>
      </c>
      <c r="X546" t="b">
        <v>0</v>
      </c>
      <c r="Y546" t="b">
        <v>0</v>
      </c>
    </row>
    <row r="547" spans="1:25">
      <c r="A547">
        <v>5460</v>
      </c>
      <c r="B547" t="s">
        <v>1165</v>
      </c>
      <c r="C547" t="s">
        <v>1256</v>
      </c>
      <c r="D547" t="s">
        <v>1167</v>
      </c>
      <c r="E547">
        <v>5460</v>
      </c>
      <c r="F547">
        <v>41.1</v>
      </c>
      <c r="G547">
        <v>278</v>
      </c>
      <c r="H547">
        <v>14.4</v>
      </c>
      <c r="I547">
        <v>1165</v>
      </c>
      <c r="J547">
        <v>75.7</v>
      </c>
      <c r="K547">
        <v>426</v>
      </c>
      <c r="L547">
        <v>37.5</v>
      </c>
      <c r="M547">
        <v>1029</v>
      </c>
      <c r="N547">
        <v>39.700000000000003</v>
      </c>
      <c r="O547">
        <v>1128</v>
      </c>
      <c r="P547" t="s">
        <v>528</v>
      </c>
      <c r="Q547" s="1">
        <v>10235</v>
      </c>
      <c r="R547">
        <v>11.2</v>
      </c>
      <c r="S547" s="2">
        <v>0.04</v>
      </c>
      <c r="T547" s="3">
        <v>2.2000000000000002</v>
      </c>
      <c r="U547" s="2">
        <v>0.38</v>
      </c>
      <c r="V547" t="s">
        <v>1256</v>
      </c>
      <c r="W547" t="s">
        <v>1257</v>
      </c>
      <c r="X547" t="b">
        <v>0</v>
      </c>
      <c r="Y547" t="b">
        <v>0</v>
      </c>
    </row>
    <row r="548" spans="1:25">
      <c r="A548">
        <v>5470</v>
      </c>
      <c r="B548" t="s">
        <v>1165</v>
      </c>
      <c r="C548" t="s">
        <v>1258</v>
      </c>
      <c r="D548" t="s">
        <v>1167</v>
      </c>
      <c r="E548">
        <v>5470</v>
      </c>
      <c r="F548">
        <v>25.9</v>
      </c>
      <c r="G548">
        <v>944</v>
      </c>
      <c r="H548">
        <v>22.8</v>
      </c>
      <c r="I548">
        <v>695</v>
      </c>
      <c r="J548">
        <v>73.5</v>
      </c>
      <c r="K548">
        <v>473</v>
      </c>
      <c r="L548">
        <v>43.6</v>
      </c>
      <c r="M548">
        <v>912</v>
      </c>
      <c r="N548">
        <v>63.1</v>
      </c>
      <c r="O548">
        <v>516</v>
      </c>
      <c r="P548" t="s">
        <v>54</v>
      </c>
      <c r="Q548" s="1">
        <v>37555</v>
      </c>
      <c r="R548">
        <v>15</v>
      </c>
      <c r="S548" s="2">
        <v>0.3</v>
      </c>
      <c r="T548" s="3">
        <v>2.5277777777777777</v>
      </c>
      <c r="U548" s="2">
        <v>0.24</v>
      </c>
      <c r="V548" t="s">
        <v>1258</v>
      </c>
      <c r="W548" t="s">
        <v>1259</v>
      </c>
      <c r="X548" t="b">
        <v>0</v>
      </c>
      <c r="Y548" t="b">
        <v>0</v>
      </c>
    </row>
    <row r="549" spans="1:25">
      <c r="A549">
        <v>5480</v>
      </c>
      <c r="B549" t="s">
        <v>1165</v>
      </c>
      <c r="C549" t="s">
        <v>1260</v>
      </c>
      <c r="D549" t="s">
        <v>1167</v>
      </c>
      <c r="E549">
        <v>5480</v>
      </c>
      <c r="F549">
        <v>21.5</v>
      </c>
      <c r="G549">
        <v>1266</v>
      </c>
      <c r="H549">
        <v>24.6</v>
      </c>
      <c r="I549">
        <v>623</v>
      </c>
      <c r="J549">
        <v>73.3</v>
      </c>
      <c r="K549">
        <v>475</v>
      </c>
      <c r="L549">
        <v>66.099999999999994</v>
      </c>
      <c r="M549">
        <v>523</v>
      </c>
      <c r="N549">
        <v>81.3</v>
      </c>
      <c r="O549">
        <v>236</v>
      </c>
      <c r="P549" t="s">
        <v>26</v>
      </c>
      <c r="Q549" s="1">
        <v>9610</v>
      </c>
      <c r="R549">
        <v>15.8</v>
      </c>
      <c r="S549" s="2">
        <v>0.15</v>
      </c>
      <c r="T549" s="3">
        <v>2.5277777777777777</v>
      </c>
      <c r="U549" s="2">
        <v>0.18</v>
      </c>
      <c r="V549" t="s">
        <v>1260</v>
      </c>
      <c r="W549" t="s">
        <v>1261</v>
      </c>
      <c r="X549" t="b">
        <v>0</v>
      </c>
      <c r="Y549" t="b">
        <v>0</v>
      </c>
    </row>
    <row r="550" spans="1:25">
      <c r="A550">
        <v>5490</v>
      </c>
      <c r="B550" t="s">
        <v>1165</v>
      </c>
      <c r="C550" t="s">
        <v>1262</v>
      </c>
      <c r="D550" t="s">
        <v>1167</v>
      </c>
      <c r="E550">
        <v>5490</v>
      </c>
      <c r="F550">
        <v>29.8</v>
      </c>
      <c r="G550">
        <v>699</v>
      </c>
      <c r="H550">
        <v>20.100000000000001</v>
      </c>
      <c r="I550">
        <v>805</v>
      </c>
      <c r="J550">
        <v>70.3</v>
      </c>
      <c r="K550">
        <v>555</v>
      </c>
      <c r="L550">
        <v>48.6</v>
      </c>
      <c r="M550">
        <v>832</v>
      </c>
      <c r="N550">
        <v>91</v>
      </c>
      <c r="O550">
        <v>118</v>
      </c>
      <c r="P550" t="s">
        <v>534</v>
      </c>
      <c r="Q550" s="1">
        <v>32078</v>
      </c>
      <c r="R550">
        <v>8.3000000000000007</v>
      </c>
      <c r="S550" s="2">
        <v>0.16</v>
      </c>
      <c r="T550" s="3">
        <v>2.5687500000000001</v>
      </c>
      <c r="U550" s="2">
        <v>0.36</v>
      </c>
      <c r="V550" t="s">
        <v>1262</v>
      </c>
      <c r="W550" t="s">
        <v>1263</v>
      </c>
      <c r="X550" t="b">
        <v>0</v>
      </c>
      <c r="Y550" t="b">
        <v>0</v>
      </c>
    </row>
    <row r="551" spans="1:25">
      <c r="A551">
        <v>5500</v>
      </c>
      <c r="B551" t="s">
        <v>1165</v>
      </c>
      <c r="C551" t="s">
        <v>1264</v>
      </c>
      <c r="D551" t="s">
        <v>1167</v>
      </c>
      <c r="E551">
        <v>5500</v>
      </c>
      <c r="F551">
        <v>31.2</v>
      </c>
      <c r="G551">
        <v>632</v>
      </c>
      <c r="H551">
        <v>19.399999999999999</v>
      </c>
      <c r="I551">
        <v>844</v>
      </c>
      <c r="J551">
        <v>72.400000000000006</v>
      </c>
      <c r="K551">
        <v>502</v>
      </c>
      <c r="L551">
        <v>48.1</v>
      </c>
      <c r="M551">
        <v>839</v>
      </c>
      <c r="N551">
        <v>87.6</v>
      </c>
      <c r="O551">
        <v>157</v>
      </c>
      <c r="P551" t="s">
        <v>310</v>
      </c>
      <c r="Q551" s="1">
        <v>3479</v>
      </c>
      <c r="R551">
        <v>10</v>
      </c>
      <c r="S551" s="2">
        <v>0.31</v>
      </c>
      <c r="T551" s="3">
        <v>2.8145833333333332</v>
      </c>
      <c r="U551" s="2">
        <v>0.41</v>
      </c>
      <c r="V551" t="s">
        <v>1264</v>
      </c>
      <c r="W551" t="s">
        <v>1265</v>
      </c>
      <c r="X551" t="b">
        <v>0</v>
      </c>
      <c r="Y551" t="b">
        <v>0</v>
      </c>
    </row>
    <row r="552" spans="1:25">
      <c r="A552">
        <v>5510</v>
      </c>
      <c r="B552" t="s">
        <v>1165</v>
      </c>
      <c r="C552" t="s">
        <v>1266</v>
      </c>
      <c r="D552" t="s">
        <v>1167</v>
      </c>
      <c r="E552">
        <v>5510</v>
      </c>
      <c r="F552">
        <v>31.5</v>
      </c>
      <c r="G552">
        <v>615</v>
      </c>
      <c r="H552">
        <v>34.799999999999997</v>
      </c>
      <c r="I552">
        <v>354</v>
      </c>
      <c r="J552">
        <v>63.7</v>
      </c>
      <c r="K552">
        <v>699</v>
      </c>
      <c r="L552">
        <v>39.700000000000003</v>
      </c>
      <c r="M552">
        <v>986</v>
      </c>
      <c r="N552">
        <v>55.9</v>
      </c>
      <c r="O552">
        <v>663</v>
      </c>
      <c r="P552" t="s">
        <v>421</v>
      </c>
      <c r="Q552" s="1">
        <v>33039</v>
      </c>
      <c r="R552">
        <v>27.6</v>
      </c>
      <c r="S552" s="2">
        <v>0.02</v>
      </c>
      <c r="T552" s="3">
        <v>2.5277777777777777</v>
      </c>
      <c r="U552" s="2">
        <v>0.24</v>
      </c>
      <c r="V552" t="s">
        <v>1267</v>
      </c>
      <c r="W552" t="s">
        <v>1268</v>
      </c>
      <c r="X552" t="b">
        <v>0</v>
      </c>
      <c r="Y552" t="b">
        <v>0</v>
      </c>
    </row>
    <row r="553" spans="1:25">
      <c r="A553">
        <v>5520</v>
      </c>
      <c r="B553" t="s">
        <v>1165</v>
      </c>
      <c r="C553" t="s">
        <v>1269</v>
      </c>
      <c r="D553" t="s">
        <v>1167</v>
      </c>
      <c r="E553">
        <v>5520</v>
      </c>
      <c r="F553">
        <v>33.200000000000003</v>
      </c>
      <c r="G553">
        <v>536</v>
      </c>
      <c r="H553">
        <v>38.1</v>
      </c>
      <c r="I553">
        <v>284</v>
      </c>
      <c r="J553">
        <v>51.5</v>
      </c>
      <c r="K553">
        <v>981</v>
      </c>
      <c r="L553">
        <v>96.2</v>
      </c>
      <c r="M553">
        <v>100</v>
      </c>
      <c r="N553">
        <v>50.2</v>
      </c>
      <c r="O553">
        <v>800</v>
      </c>
      <c r="P553" t="s">
        <v>181</v>
      </c>
      <c r="Q553" s="1">
        <v>18432</v>
      </c>
      <c r="R553">
        <v>20.100000000000001</v>
      </c>
      <c r="S553" s="2">
        <v>0.14000000000000001</v>
      </c>
      <c r="T553" s="3">
        <v>1.9131944444444444</v>
      </c>
      <c r="U553" s="2">
        <v>0.28000000000000003</v>
      </c>
      <c r="V553" t="s">
        <v>1269</v>
      </c>
      <c r="W553" t="s">
        <v>1270</v>
      </c>
      <c r="X553" t="b">
        <v>0</v>
      </c>
      <c r="Y553" t="b">
        <v>0</v>
      </c>
    </row>
    <row r="554" spans="1:25">
      <c r="A554">
        <v>5530</v>
      </c>
      <c r="B554" t="s">
        <v>1165</v>
      </c>
      <c r="C554" t="s">
        <v>1271</v>
      </c>
      <c r="D554" t="s">
        <v>1167</v>
      </c>
      <c r="E554">
        <v>5530</v>
      </c>
      <c r="F554">
        <v>26.7</v>
      </c>
      <c r="G554">
        <v>893</v>
      </c>
      <c r="H554">
        <v>13.2</v>
      </c>
      <c r="I554">
        <v>1287</v>
      </c>
      <c r="J554">
        <v>76.400000000000006</v>
      </c>
      <c r="K554">
        <v>407</v>
      </c>
      <c r="L554">
        <v>32.799999999999997</v>
      </c>
      <c r="M554">
        <v>1130</v>
      </c>
      <c r="N554">
        <v>84.2</v>
      </c>
      <c r="O554">
        <v>200</v>
      </c>
      <c r="P554" t="s">
        <v>1178</v>
      </c>
      <c r="Q554" s="1">
        <v>7100</v>
      </c>
      <c r="R554">
        <v>10.1</v>
      </c>
      <c r="S554" s="2">
        <v>0.17</v>
      </c>
      <c r="T554" s="3">
        <v>2.2000000000000002</v>
      </c>
      <c r="U554" s="2">
        <v>0.24</v>
      </c>
      <c r="V554" t="s">
        <v>1271</v>
      </c>
      <c r="W554" t="s">
        <v>1272</v>
      </c>
      <c r="X554" t="b">
        <v>0</v>
      </c>
      <c r="Y554" t="b">
        <v>0</v>
      </c>
    </row>
    <row r="555" spans="1:25">
      <c r="A555">
        <v>5540</v>
      </c>
      <c r="B555" t="s">
        <v>1165</v>
      </c>
      <c r="C555" t="s">
        <v>1273</v>
      </c>
      <c r="D555" t="s">
        <v>1167</v>
      </c>
      <c r="E555">
        <v>5540</v>
      </c>
      <c r="F555">
        <v>25.5</v>
      </c>
      <c r="G555">
        <v>972</v>
      </c>
      <c r="H555">
        <v>22.9</v>
      </c>
      <c r="I555">
        <v>691</v>
      </c>
      <c r="J555">
        <v>85.3</v>
      </c>
      <c r="K555">
        <v>202</v>
      </c>
      <c r="L555">
        <v>25.8</v>
      </c>
      <c r="M555">
        <v>1306</v>
      </c>
      <c r="N555">
        <v>59.8</v>
      </c>
      <c r="O555">
        <v>588</v>
      </c>
      <c r="P555" t="s">
        <v>99</v>
      </c>
      <c r="Q555" s="1">
        <v>7773</v>
      </c>
      <c r="R555">
        <v>22.5</v>
      </c>
      <c r="S555" s="2">
        <v>7.0000000000000007E-2</v>
      </c>
      <c r="T555" s="3">
        <v>2.6097222222222221</v>
      </c>
      <c r="U555" s="2">
        <v>0.24</v>
      </c>
      <c r="V555" t="s">
        <v>1273</v>
      </c>
      <c r="W555" t="s">
        <v>1274</v>
      </c>
      <c r="X555" t="b">
        <v>0</v>
      </c>
      <c r="Y555" t="b">
        <v>0</v>
      </c>
    </row>
    <row r="556" spans="1:25">
      <c r="A556">
        <v>5550</v>
      </c>
      <c r="B556" t="s">
        <v>1165</v>
      </c>
      <c r="C556" t="s">
        <v>1275</v>
      </c>
      <c r="D556" t="s">
        <v>1167</v>
      </c>
      <c r="E556">
        <v>5550</v>
      </c>
      <c r="F556">
        <v>19.899999999999999</v>
      </c>
      <c r="G556">
        <v>1382</v>
      </c>
      <c r="H556">
        <v>18.7</v>
      </c>
      <c r="I556">
        <v>883</v>
      </c>
      <c r="J556">
        <v>82.2</v>
      </c>
      <c r="K556">
        <v>283</v>
      </c>
      <c r="L556">
        <v>24.7</v>
      </c>
      <c r="M556">
        <v>1344</v>
      </c>
      <c r="N556">
        <v>80.2</v>
      </c>
      <c r="O556">
        <v>254</v>
      </c>
      <c r="P556" t="s">
        <v>26</v>
      </c>
      <c r="Q556" s="1">
        <v>15020</v>
      </c>
      <c r="R556">
        <v>16.100000000000001</v>
      </c>
      <c r="S556" s="2">
        <v>0.13</v>
      </c>
      <c r="T556" s="3">
        <v>2.3229166666666665</v>
      </c>
      <c r="U556" s="2">
        <v>0.24</v>
      </c>
      <c r="V556" t="s">
        <v>1275</v>
      </c>
      <c r="W556" t="s">
        <v>1276</v>
      </c>
      <c r="X556" t="b">
        <v>0</v>
      </c>
      <c r="Y556" t="b">
        <v>0</v>
      </c>
    </row>
    <row r="557" spans="1:25">
      <c r="A557">
        <v>5560</v>
      </c>
      <c r="B557" t="s">
        <v>1165</v>
      </c>
      <c r="C557" t="s">
        <v>1277</v>
      </c>
      <c r="D557" t="s">
        <v>1167</v>
      </c>
      <c r="E557">
        <v>5560</v>
      </c>
      <c r="F557">
        <v>21.6</v>
      </c>
      <c r="G557">
        <v>1258</v>
      </c>
      <c r="H557">
        <v>19.3</v>
      </c>
      <c r="I557">
        <v>849</v>
      </c>
      <c r="J557">
        <v>77.7</v>
      </c>
      <c r="K557">
        <v>376</v>
      </c>
      <c r="L557">
        <v>35.4</v>
      </c>
      <c r="M557">
        <v>1085</v>
      </c>
      <c r="N557">
        <v>83</v>
      </c>
      <c r="O557">
        <v>210</v>
      </c>
      <c r="P557" t="s">
        <v>26</v>
      </c>
      <c r="Q557" s="1">
        <v>23200</v>
      </c>
      <c r="R557">
        <v>18.100000000000001</v>
      </c>
      <c r="S557" s="2">
        <v>0.16</v>
      </c>
      <c r="T557" s="3">
        <v>2.2819444444444446</v>
      </c>
      <c r="U557" s="2">
        <v>0.25</v>
      </c>
      <c r="V557" t="s">
        <v>1277</v>
      </c>
      <c r="W557" t="s">
        <v>1278</v>
      </c>
      <c r="X557" t="b">
        <v>0</v>
      </c>
      <c r="Y557" t="b">
        <v>0</v>
      </c>
    </row>
    <row r="558" spans="1:25">
      <c r="A558">
        <v>5570</v>
      </c>
      <c r="B558" t="s">
        <v>1165</v>
      </c>
      <c r="C558" t="s">
        <v>1279</v>
      </c>
      <c r="D558" t="s">
        <v>1167</v>
      </c>
      <c r="E558">
        <v>5570</v>
      </c>
      <c r="F558">
        <v>38.799999999999997</v>
      </c>
      <c r="G558">
        <v>342</v>
      </c>
      <c r="H558">
        <v>38.1</v>
      </c>
      <c r="I558">
        <v>286</v>
      </c>
      <c r="J558">
        <v>62.3</v>
      </c>
      <c r="K558">
        <v>726</v>
      </c>
      <c r="L558">
        <v>23.2</v>
      </c>
      <c r="M558">
        <v>1392</v>
      </c>
      <c r="N558">
        <v>28.1</v>
      </c>
      <c r="O558">
        <v>1575</v>
      </c>
      <c r="P558" t="s">
        <v>528</v>
      </c>
      <c r="Q558" s="1">
        <v>2045</v>
      </c>
      <c r="R558">
        <v>20.5</v>
      </c>
      <c r="S558" s="2">
        <v>0.02</v>
      </c>
      <c r="T558" s="3">
        <v>2.5277777777777777</v>
      </c>
      <c r="U558" s="2">
        <v>0.32</v>
      </c>
      <c r="V558" t="s">
        <v>1279</v>
      </c>
      <c r="W558" t="s">
        <v>1280</v>
      </c>
      <c r="X558" t="b">
        <v>0</v>
      </c>
      <c r="Y558" t="b">
        <v>0</v>
      </c>
    </row>
    <row r="559" spans="1:25">
      <c r="A559">
        <v>5580</v>
      </c>
      <c r="B559" t="s">
        <v>1165</v>
      </c>
      <c r="C559" t="s">
        <v>1281</v>
      </c>
      <c r="D559" t="s">
        <v>1167</v>
      </c>
      <c r="E559">
        <v>5580</v>
      </c>
      <c r="F559">
        <v>20.5</v>
      </c>
      <c r="G559">
        <v>1337</v>
      </c>
      <c r="H559">
        <v>18.5</v>
      </c>
      <c r="I559">
        <v>889</v>
      </c>
      <c r="J559">
        <v>77.400000000000006</v>
      </c>
      <c r="K559">
        <v>385</v>
      </c>
      <c r="L559">
        <v>57.7</v>
      </c>
      <c r="M559">
        <v>691</v>
      </c>
      <c r="N559">
        <v>80.599999999999994</v>
      </c>
      <c r="O559">
        <v>249</v>
      </c>
      <c r="P559" t="s">
        <v>26</v>
      </c>
      <c r="Q559" s="1">
        <v>30985</v>
      </c>
      <c r="R559">
        <v>17.399999999999999</v>
      </c>
      <c r="S559" s="2">
        <v>0.19</v>
      </c>
      <c r="T559" s="3">
        <v>2.4458333333333333</v>
      </c>
      <c r="U559" s="2">
        <v>0.23</v>
      </c>
      <c r="V559" t="s">
        <v>1281</v>
      </c>
      <c r="W559" t="s">
        <v>1282</v>
      </c>
      <c r="X559" t="b">
        <v>0</v>
      </c>
      <c r="Y559" t="b">
        <v>0</v>
      </c>
    </row>
    <row r="560" spans="1:25">
      <c r="A560">
        <v>5590</v>
      </c>
      <c r="B560" t="s">
        <v>1165</v>
      </c>
      <c r="C560" t="s">
        <v>1283</v>
      </c>
      <c r="D560" t="s">
        <v>1167</v>
      </c>
      <c r="E560">
        <v>5590</v>
      </c>
      <c r="F560">
        <v>28.7</v>
      </c>
      <c r="G560">
        <v>757</v>
      </c>
      <c r="H560">
        <v>28.2</v>
      </c>
      <c r="I560">
        <v>513</v>
      </c>
      <c r="J560">
        <v>60.5</v>
      </c>
      <c r="K560">
        <v>768</v>
      </c>
      <c r="L560">
        <v>77.599999999999994</v>
      </c>
      <c r="M560">
        <v>293</v>
      </c>
      <c r="N560">
        <v>87.5</v>
      </c>
      <c r="O560">
        <v>158</v>
      </c>
      <c r="P560" t="s">
        <v>380</v>
      </c>
      <c r="Q560" s="1">
        <v>17883</v>
      </c>
      <c r="R560">
        <v>17.399999999999999</v>
      </c>
      <c r="S560" s="2">
        <v>0.27</v>
      </c>
      <c r="T560" s="3">
        <v>2.6916666666666669</v>
      </c>
      <c r="U560" s="2">
        <v>0.25</v>
      </c>
      <c r="V560" t="s">
        <v>1283</v>
      </c>
      <c r="W560" t="s">
        <v>1284</v>
      </c>
      <c r="X560" t="b">
        <v>0</v>
      </c>
      <c r="Y560" t="b">
        <v>0</v>
      </c>
    </row>
    <row r="561" spans="1:25">
      <c r="A561">
        <v>5600</v>
      </c>
      <c r="B561" t="s">
        <v>1165</v>
      </c>
      <c r="C561" t="s">
        <v>1285</v>
      </c>
      <c r="D561" t="s">
        <v>1167</v>
      </c>
      <c r="E561">
        <v>5600</v>
      </c>
      <c r="F561">
        <v>27.5</v>
      </c>
      <c r="G561">
        <v>845</v>
      </c>
      <c r="H561">
        <v>24.5</v>
      </c>
      <c r="I561">
        <v>630</v>
      </c>
      <c r="J561">
        <v>60.9</v>
      </c>
      <c r="K561">
        <v>759</v>
      </c>
      <c r="L561">
        <v>83.2</v>
      </c>
      <c r="M561">
        <v>223</v>
      </c>
      <c r="N561">
        <v>85.7</v>
      </c>
      <c r="O561">
        <v>183</v>
      </c>
      <c r="P561" t="s">
        <v>76</v>
      </c>
      <c r="Q561" s="1">
        <v>16318</v>
      </c>
      <c r="R561">
        <v>15.1</v>
      </c>
      <c r="S561" s="2">
        <v>0.23</v>
      </c>
      <c r="T561" s="3">
        <v>2.3229166666666665</v>
      </c>
      <c r="U561" s="2">
        <v>0.34</v>
      </c>
      <c r="V561" t="s">
        <v>1285</v>
      </c>
      <c r="W561" t="s">
        <v>1286</v>
      </c>
      <c r="X561" t="b">
        <v>0</v>
      </c>
      <c r="Y561" t="b">
        <v>0</v>
      </c>
    </row>
    <row r="562" spans="1:25">
      <c r="A562">
        <v>5610</v>
      </c>
      <c r="B562" t="s">
        <v>1165</v>
      </c>
      <c r="C562" t="s">
        <v>1287</v>
      </c>
      <c r="D562" t="s">
        <v>1167</v>
      </c>
      <c r="E562">
        <v>5610</v>
      </c>
      <c r="F562">
        <v>30.5</v>
      </c>
      <c r="G562">
        <v>669</v>
      </c>
      <c r="H562">
        <v>25.3</v>
      </c>
      <c r="I562">
        <v>598</v>
      </c>
      <c r="J562">
        <v>79.099999999999994</v>
      </c>
      <c r="K562">
        <v>342</v>
      </c>
      <c r="L562">
        <v>59.5</v>
      </c>
      <c r="M562">
        <v>656</v>
      </c>
      <c r="N562">
        <v>34.1</v>
      </c>
      <c r="O562">
        <v>1354</v>
      </c>
      <c r="P562" t="s">
        <v>397</v>
      </c>
      <c r="Q562" s="1">
        <v>13509</v>
      </c>
      <c r="R562">
        <v>21.1</v>
      </c>
      <c r="S562" s="2">
        <v>0.03</v>
      </c>
      <c r="T562" s="3">
        <v>2.6506944444444445</v>
      </c>
      <c r="U562" s="2">
        <v>0.2</v>
      </c>
      <c r="V562" t="s">
        <v>1287</v>
      </c>
      <c r="W562" t="s">
        <v>1288</v>
      </c>
      <c r="X562" t="b">
        <v>0</v>
      </c>
      <c r="Y562" t="b">
        <v>0</v>
      </c>
    </row>
    <row r="563" spans="1:25">
      <c r="A563">
        <v>5620</v>
      </c>
      <c r="B563" t="s">
        <v>1165</v>
      </c>
      <c r="C563" t="s">
        <v>1289</v>
      </c>
      <c r="D563" t="s">
        <v>1167</v>
      </c>
      <c r="E563">
        <v>5620</v>
      </c>
      <c r="F563">
        <v>22.8</v>
      </c>
      <c r="G563">
        <v>1167</v>
      </c>
      <c r="H563">
        <v>18.5</v>
      </c>
      <c r="I563">
        <v>891</v>
      </c>
      <c r="J563">
        <v>80</v>
      </c>
      <c r="K563">
        <v>323</v>
      </c>
      <c r="L563">
        <v>46.8</v>
      </c>
      <c r="M563">
        <v>868</v>
      </c>
      <c r="N563">
        <v>93.4</v>
      </c>
      <c r="O563">
        <v>76</v>
      </c>
      <c r="P563" t="s">
        <v>26</v>
      </c>
      <c r="Q563" s="1">
        <v>15545</v>
      </c>
      <c r="R563">
        <v>18.3</v>
      </c>
      <c r="S563" s="2">
        <v>0.5</v>
      </c>
      <c r="T563" s="3">
        <v>2.4868055555555557</v>
      </c>
      <c r="U563" s="2">
        <v>0.24</v>
      </c>
      <c r="V563" t="s">
        <v>1289</v>
      </c>
      <c r="W563" t="s">
        <v>1290</v>
      </c>
      <c r="X563" t="b">
        <v>0</v>
      </c>
      <c r="Y563" t="b">
        <v>0</v>
      </c>
    </row>
    <row r="564" spans="1:25">
      <c r="A564">
        <v>5630</v>
      </c>
      <c r="B564" t="s">
        <v>1165</v>
      </c>
      <c r="C564" t="s">
        <v>1291</v>
      </c>
      <c r="D564" t="s">
        <v>1167</v>
      </c>
      <c r="E564">
        <v>5630</v>
      </c>
      <c r="F564">
        <v>24.8</v>
      </c>
      <c r="G564">
        <v>1019</v>
      </c>
      <c r="H564">
        <v>32.5</v>
      </c>
      <c r="I564">
        <v>409</v>
      </c>
      <c r="J564">
        <v>63.9</v>
      </c>
      <c r="K564">
        <v>694</v>
      </c>
      <c r="L564">
        <v>64</v>
      </c>
      <c r="M564">
        <v>568</v>
      </c>
      <c r="N564">
        <v>71.5</v>
      </c>
      <c r="O564">
        <v>385</v>
      </c>
      <c r="P564" t="s">
        <v>137</v>
      </c>
      <c r="Q564" s="1">
        <v>8132</v>
      </c>
      <c r="R564">
        <v>28.1</v>
      </c>
      <c r="S564" s="2">
        <v>0.18</v>
      </c>
      <c r="T564" s="3">
        <v>2.3638888888888889</v>
      </c>
      <c r="U564" t="s">
        <v>1292</v>
      </c>
      <c r="V564" t="s">
        <v>1291</v>
      </c>
      <c r="W564" t="s">
        <v>1293</v>
      </c>
      <c r="X564" t="b">
        <v>0</v>
      </c>
      <c r="Y564" t="b">
        <v>0</v>
      </c>
    </row>
    <row r="565" spans="1:25">
      <c r="A565">
        <v>5640</v>
      </c>
      <c r="B565" t="s">
        <v>1165</v>
      </c>
      <c r="C565" t="s">
        <v>1294</v>
      </c>
      <c r="D565" t="s">
        <v>1167</v>
      </c>
      <c r="E565">
        <v>5640</v>
      </c>
      <c r="F565">
        <v>29.2</v>
      </c>
      <c r="G565">
        <v>737</v>
      </c>
      <c r="H565">
        <v>25.2</v>
      </c>
      <c r="I565">
        <v>603</v>
      </c>
      <c r="J565">
        <v>67.2</v>
      </c>
      <c r="K565">
        <v>619</v>
      </c>
      <c r="L565">
        <v>64.099999999999994</v>
      </c>
      <c r="M565">
        <v>564</v>
      </c>
      <c r="N565">
        <v>55</v>
      </c>
      <c r="O565">
        <v>675</v>
      </c>
      <c r="P565" t="s">
        <v>125</v>
      </c>
      <c r="Q565" s="1">
        <v>36654</v>
      </c>
      <c r="R565">
        <v>24.5</v>
      </c>
      <c r="S565" s="2">
        <v>0.09</v>
      </c>
      <c r="T565" s="3">
        <v>2.3638888888888889</v>
      </c>
      <c r="U565" s="2">
        <v>0.31</v>
      </c>
      <c r="V565" t="s">
        <v>1294</v>
      </c>
      <c r="W565" t="s">
        <v>1295</v>
      </c>
      <c r="X565" t="b">
        <v>0</v>
      </c>
      <c r="Y565" t="b">
        <v>0</v>
      </c>
    </row>
    <row r="566" spans="1:25">
      <c r="A566">
        <v>5650</v>
      </c>
      <c r="B566" t="s">
        <v>1165</v>
      </c>
      <c r="C566" t="s">
        <v>1296</v>
      </c>
      <c r="D566" t="s">
        <v>1167</v>
      </c>
      <c r="E566">
        <v>5650</v>
      </c>
      <c r="F566">
        <v>35.4</v>
      </c>
      <c r="G566">
        <v>450</v>
      </c>
      <c r="H566">
        <v>39.200000000000003</v>
      </c>
      <c r="I566">
        <v>259</v>
      </c>
      <c r="J566">
        <v>47.2</v>
      </c>
      <c r="K566">
        <v>1077</v>
      </c>
      <c r="L566">
        <v>100</v>
      </c>
      <c r="M566">
        <v>18</v>
      </c>
      <c r="N566">
        <v>40.799999999999997</v>
      </c>
      <c r="O566">
        <v>1091</v>
      </c>
      <c r="P566" t="s">
        <v>389</v>
      </c>
      <c r="Q566" s="1">
        <v>20971</v>
      </c>
      <c r="R566">
        <v>15.9</v>
      </c>
      <c r="S566" s="2">
        <v>0.11</v>
      </c>
      <c r="T566" t="s">
        <v>40</v>
      </c>
      <c r="U566" s="2">
        <v>0.34</v>
      </c>
      <c r="V566" t="s">
        <v>1296</v>
      </c>
      <c r="W566" t="s">
        <v>1297</v>
      </c>
      <c r="X566" t="b">
        <v>0</v>
      </c>
      <c r="Y566" t="b">
        <v>0</v>
      </c>
    </row>
    <row r="567" spans="1:25">
      <c r="A567">
        <v>5660</v>
      </c>
      <c r="B567" t="s">
        <v>1165</v>
      </c>
      <c r="C567" t="s">
        <v>1298</v>
      </c>
      <c r="D567" t="s">
        <v>1167</v>
      </c>
      <c r="E567">
        <v>5660</v>
      </c>
      <c r="F567">
        <v>22.6</v>
      </c>
      <c r="G567">
        <v>1180</v>
      </c>
      <c r="H567">
        <v>23.9</v>
      </c>
      <c r="I567">
        <v>660</v>
      </c>
      <c r="J567">
        <v>77.3</v>
      </c>
      <c r="K567">
        <v>388</v>
      </c>
      <c r="L567">
        <v>89.8</v>
      </c>
      <c r="M567">
        <v>168</v>
      </c>
      <c r="N567">
        <v>56.6</v>
      </c>
      <c r="O567">
        <v>652</v>
      </c>
      <c r="P567" t="s">
        <v>1220</v>
      </c>
      <c r="Q567" s="1">
        <v>67934</v>
      </c>
      <c r="R567">
        <v>34</v>
      </c>
      <c r="S567" s="2">
        <v>0.11</v>
      </c>
      <c r="T567" s="3">
        <v>2.4868055555555557</v>
      </c>
      <c r="U567" s="2">
        <v>0.16</v>
      </c>
      <c r="V567" t="s">
        <v>1298</v>
      </c>
      <c r="W567" t="s">
        <v>1299</v>
      </c>
      <c r="X567" t="b">
        <v>0</v>
      </c>
      <c r="Y567" t="b">
        <v>0</v>
      </c>
    </row>
    <row r="568" spans="1:25">
      <c r="A568">
        <v>5670</v>
      </c>
      <c r="B568" t="s">
        <v>1165</v>
      </c>
      <c r="C568" t="s">
        <v>1300</v>
      </c>
      <c r="D568" t="s">
        <v>1167</v>
      </c>
      <c r="E568">
        <v>5670</v>
      </c>
      <c r="F568">
        <v>35</v>
      </c>
      <c r="G568">
        <v>462</v>
      </c>
      <c r="H568">
        <v>32</v>
      </c>
      <c r="I568">
        <v>417</v>
      </c>
      <c r="J568">
        <v>51.4</v>
      </c>
      <c r="K568">
        <v>985</v>
      </c>
      <c r="L568">
        <v>92.7</v>
      </c>
      <c r="M568">
        <v>139</v>
      </c>
      <c r="N568">
        <v>50.4</v>
      </c>
      <c r="O568">
        <v>794</v>
      </c>
      <c r="P568" t="s">
        <v>389</v>
      </c>
      <c r="Q568" s="1">
        <v>10878</v>
      </c>
      <c r="R568">
        <v>12.3</v>
      </c>
      <c r="S568" s="2">
        <v>0.12</v>
      </c>
      <c r="U568" s="2">
        <v>0.3</v>
      </c>
      <c r="V568" t="s">
        <v>1301</v>
      </c>
      <c r="W568" t="s">
        <v>1302</v>
      </c>
      <c r="X568" t="b">
        <v>0</v>
      </c>
      <c r="Y568" t="b">
        <v>0</v>
      </c>
    </row>
    <row r="569" spans="1:25">
      <c r="A569">
        <v>5680</v>
      </c>
      <c r="B569" t="s">
        <v>1165</v>
      </c>
      <c r="C569" t="s">
        <v>1303</v>
      </c>
      <c r="D569" t="s">
        <v>1167</v>
      </c>
      <c r="E569">
        <v>5680</v>
      </c>
      <c r="F569">
        <v>20.5</v>
      </c>
      <c r="G569">
        <v>1339</v>
      </c>
      <c r="H569">
        <v>27.3</v>
      </c>
      <c r="I569">
        <v>532</v>
      </c>
      <c r="J569">
        <v>74.599999999999994</v>
      </c>
      <c r="K569">
        <v>451</v>
      </c>
      <c r="L569">
        <v>69.099999999999994</v>
      </c>
      <c r="M569">
        <v>453</v>
      </c>
      <c r="N569">
        <v>43.2</v>
      </c>
      <c r="O569">
        <v>1013</v>
      </c>
      <c r="P569" t="s">
        <v>389</v>
      </c>
      <c r="Q569" s="1">
        <v>9151</v>
      </c>
      <c r="R569">
        <v>21.5</v>
      </c>
      <c r="S569" s="2">
        <v>0.06</v>
      </c>
      <c r="T569" s="3">
        <v>1.83125</v>
      </c>
      <c r="U569" s="2">
        <v>0.39</v>
      </c>
      <c r="V569" t="s">
        <v>1303</v>
      </c>
      <c r="W569" t="s">
        <v>1304</v>
      </c>
      <c r="X569" t="b">
        <v>0</v>
      </c>
      <c r="Y569" t="b">
        <v>0</v>
      </c>
    </row>
    <row r="570" spans="1:25">
      <c r="A570">
        <v>5690</v>
      </c>
      <c r="B570" t="s">
        <v>1165</v>
      </c>
      <c r="C570" t="s">
        <v>1305</v>
      </c>
      <c r="D570" t="s">
        <v>1167</v>
      </c>
      <c r="E570">
        <v>5690</v>
      </c>
      <c r="F570">
        <v>25.4</v>
      </c>
      <c r="G570">
        <v>977</v>
      </c>
      <c r="H570">
        <v>29.5</v>
      </c>
      <c r="I570">
        <v>485</v>
      </c>
      <c r="J570">
        <v>65.900000000000006</v>
      </c>
      <c r="K570">
        <v>652</v>
      </c>
      <c r="L570">
        <v>40.4</v>
      </c>
      <c r="M570">
        <v>973</v>
      </c>
      <c r="N570">
        <v>74.3</v>
      </c>
      <c r="O570">
        <v>344</v>
      </c>
      <c r="P570" t="s">
        <v>1306</v>
      </c>
      <c r="Q570" s="1">
        <v>5847</v>
      </c>
      <c r="R570">
        <v>13.9</v>
      </c>
      <c r="S570" s="2">
        <v>0.03</v>
      </c>
      <c r="T570" s="3">
        <v>2.2000000000000002</v>
      </c>
      <c r="U570" s="2">
        <v>0.38</v>
      </c>
      <c r="V570" t="s">
        <v>1305</v>
      </c>
      <c r="W570" t="s">
        <v>1307</v>
      </c>
      <c r="X570" t="b">
        <v>0</v>
      </c>
      <c r="Y570" t="b">
        <v>0</v>
      </c>
    </row>
    <row r="571" spans="1:25">
      <c r="A571">
        <v>5700</v>
      </c>
      <c r="B571" t="s">
        <v>1165</v>
      </c>
      <c r="C571" t="s">
        <v>1308</v>
      </c>
      <c r="D571" t="s">
        <v>1167</v>
      </c>
      <c r="E571">
        <v>5700</v>
      </c>
      <c r="F571">
        <v>36.9</v>
      </c>
      <c r="G571">
        <v>393</v>
      </c>
      <c r="H571">
        <v>16.399999999999999</v>
      </c>
      <c r="I571">
        <v>1019</v>
      </c>
      <c r="J571">
        <v>77.8</v>
      </c>
      <c r="K571">
        <v>374</v>
      </c>
      <c r="L571">
        <v>66.099999999999994</v>
      </c>
      <c r="M571">
        <v>524</v>
      </c>
      <c r="N571">
        <v>41.3</v>
      </c>
      <c r="O571">
        <v>1073</v>
      </c>
      <c r="P571" t="s">
        <v>29</v>
      </c>
      <c r="Q571" s="1">
        <v>3318</v>
      </c>
      <c r="R571">
        <v>2</v>
      </c>
      <c r="S571" s="2">
        <v>7.0000000000000007E-2</v>
      </c>
      <c r="T571" s="3">
        <v>2.9784722222222224</v>
      </c>
      <c r="U571" s="2">
        <v>0.06</v>
      </c>
      <c r="V571" t="s">
        <v>1308</v>
      </c>
      <c r="W571" t="s">
        <v>1309</v>
      </c>
      <c r="X571" t="b">
        <v>0</v>
      </c>
      <c r="Y571" t="b">
        <v>0</v>
      </c>
    </row>
    <row r="572" spans="1:25">
      <c r="A572">
        <v>5710</v>
      </c>
      <c r="B572" t="s">
        <v>1165</v>
      </c>
      <c r="C572" t="s">
        <v>1310</v>
      </c>
      <c r="D572" t="s">
        <v>1167</v>
      </c>
      <c r="E572">
        <v>5710</v>
      </c>
      <c r="F572">
        <v>22.6</v>
      </c>
      <c r="G572">
        <v>1181</v>
      </c>
      <c r="H572">
        <v>21</v>
      </c>
      <c r="I572">
        <v>769</v>
      </c>
      <c r="J572">
        <v>76.099999999999994</v>
      </c>
      <c r="K572">
        <v>413</v>
      </c>
      <c r="L572">
        <v>26.3</v>
      </c>
      <c r="M572">
        <v>1288</v>
      </c>
      <c r="N572">
        <v>91.2</v>
      </c>
      <c r="O572">
        <v>114</v>
      </c>
      <c r="P572" t="s">
        <v>1223</v>
      </c>
      <c r="Q572" s="1">
        <v>4754</v>
      </c>
      <c r="R572">
        <v>13</v>
      </c>
      <c r="S572" s="2">
        <v>0.54</v>
      </c>
      <c r="T572" s="3">
        <v>2.2409722222222221</v>
      </c>
      <c r="U572" s="2">
        <v>0.21</v>
      </c>
      <c r="V572" t="s">
        <v>1310</v>
      </c>
      <c r="W572" t="s">
        <v>1311</v>
      </c>
      <c r="X572" t="b">
        <v>0</v>
      </c>
      <c r="Y572" t="b">
        <v>0</v>
      </c>
    </row>
    <row r="573" spans="1:25">
      <c r="A573">
        <v>5720</v>
      </c>
      <c r="B573" t="s">
        <v>1165</v>
      </c>
      <c r="C573" t="s">
        <v>1312</v>
      </c>
      <c r="D573" t="s">
        <v>1167</v>
      </c>
      <c r="E573">
        <v>5720</v>
      </c>
      <c r="F573">
        <v>21.5</v>
      </c>
      <c r="G573">
        <v>1271</v>
      </c>
      <c r="H573">
        <v>22.7</v>
      </c>
      <c r="I573">
        <v>702</v>
      </c>
      <c r="J573">
        <v>75.8</v>
      </c>
      <c r="K573">
        <v>424</v>
      </c>
      <c r="L573">
        <v>40.4</v>
      </c>
      <c r="M573">
        <v>974</v>
      </c>
      <c r="N573">
        <v>90</v>
      </c>
      <c r="O573">
        <v>129</v>
      </c>
      <c r="P573" t="s">
        <v>26</v>
      </c>
      <c r="Q573" s="1">
        <v>23815</v>
      </c>
      <c r="R573">
        <v>16.100000000000001</v>
      </c>
      <c r="S573" s="2">
        <v>0.22</v>
      </c>
      <c r="T573" s="3">
        <v>2.2819444444444446</v>
      </c>
      <c r="U573" s="2">
        <v>0.31</v>
      </c>
      <c r="V573" t="s">
        <v>1312</v>
      </c>
      <c r="W573" t="s">
        <v>1313</v>
      </c>
      <c r="X573" t="b">
        <v>0</v>
      </c>
      <c r="Y573" t="b">
        <v>0</v>
      </c>
    </row>
    <row r="574" spans="1:25">
      <c r="A574">
        <v>5730</v>
      </c>
      <c r="B574" t="s">
        <v>1165</v>
      </c>
      <c r="C574" t="s">
        <v>1314</v>
      </c>
      <c r="D574" t="s">
        <v>1167</v>
      </c>
      <c r="E574">
        <v>5730</v>
      </c>
      <c r="F574">
        <v>20.7</v>
      </c>
      <c r="G574">
        <v>1323</v>
      </c>
      <c r="H574">
        <v>14.3</v>
      </c>
      <c r="I574">
        <v>1180</v>
      </c>
      <c r="J574">
        <v>84.6</v>
      </c>
      <c r="K574">
        <v>221</v>
      </c>
      <c r="L574">
        <v>37.299999999999997</v>
      </c>
      <c r="M574">
        <v>1036</v>
      </c>
      <c r="N574">
        <v>88.5</v>
      </c>
      <c r="O574">
        <v>144</v>
      </c>
      <c r="P574" t="s">
        <v>26</v>
      </c>
      <c r="Q574" s="1">
        <v>32545</v>
      </c>
      <c r="R574">
        <v>15.4</v>
      </c>
      <c r="S574" s="2">
        <v>0.21</v>
      </c>
      <c r="T574" s="3">
        <v>2.3229166666666665</v>
      </c>
      <c r="U574" s="2">
        <v>0.23</v>
      </c>
      <c r="V574" t="s">
        <v>1314</v>
      </c>
      <c r="W574" t="s">
        <v>1315</v>
      </c>
      <c r="X574" t="b">
        <v>0</v>
      </c>
      <c r="Y574" t="b">
        <v>0</v>
      </c>
    </row>
    <row r="575" spans="1:25">
      <c r="A575">
        <v>5740</v>
      </c>
      <c r="B575" t="s">
        <v>1165</v>
      </c>
      <c r="C575" t="s">
        <v>1316</v>
      </c>
      <c r="D575" t="s">
        <v>1167</v>
      </c>
      <c r="E575">
        <v>5740</v>
      </c>
      <c r="F575">
        <v>29.5</v>
      </c>
      <c r="G575">
        <v>722</v>
      </c>
      <c r="H575">
        <v>33.700000000000003</v>
      </c>
      <c r="I575">
        <v>387</v>
      </c>
      <c r="J575">
        <v>61.5</v>
      </c>
      <c r="K575">
        <v>745</v>
      </c>
      <c r="L575">
        <v>71.5</v>
      </c>
      <c r="M575">
        <v>396</v>
      </c>
      <c r="N575">
        <v>62</v>
      </c>
      <c r="O575">
        <v>543</v>
      </c>
      <c r="P575" t="s">
        <v>992</v>
      </c>
      <c r="Q575" s="1">
        <v>22140</v>
      </c>
      <c r="R575">
        <v>17.8</v>
      </c>
      <c r="S575" s="2">
        <v>0.2</v>
      </c>
      <c r="T575" s="3">
        <v>2.1590277777777778</v>
      </c>
      <c r="U575" s="2">
        <v>0.24</v>
      </c>
      <c r="V575" t="s">
        <v>1316</v>
      </c>
      <c r="W575" t="s">
        <v>1317</v>
      </c>
      <c r="X575" t="b">
        <v>0</v>
      </c>
      <c r="Y575" t="b">
        <v>0</v>
      </c>
    </row>
    <row r="576" spans="1:25">
      <c r="A576">
        <v>5750</v>
      </c>
      <c r="B576" t="s">
        <v>1165</v>
      </c>
      <c r="C576" t="s">
        <v>1318</v>
      </c>
      <c r="D576" t="s">
        <v>1167</v>
      </c>
      <c r="E576">
        <v>5750</v>
      </c>
      <c r="F576">
        <v>23</v>
      </c>
      <c r="G576">
        <v>1152</v>
      </c>
      <c r="H576">
        <v>27.6</v>
      </c>
      <c r="I576">
        <v>526</v>
      </c>
      <c r="J576">
        <v>76.900000000000006</v>
      </c>
      <c r="K576">
        <v>398</v>
      </c>
      <c r="L576">
        <v>59.9</v>
      </c>
      <c r="M576">
        <v>649</v>
      </c>
      <c r="N576">
        <v>42.5</v>
      </c>
      <c r="O576">
        <v>1032</v>
      </c>
      <c r="P576" t="s">
        <v>397</v>
      </c>
      <c r="Q576" s="1">
        <v>10460</v>
      </c>
      <c r="R576">
        <v>43</v>
      </c>
      <c r="S576" s="2">
        <v>0.01</v>
      </c>
      <c r="T576" t="s">
        <v>357</v>
      </c>
      <c r="U576" s="2">
        <v>0.54</v>
      </c>
      <c r="V576" t="s">
        <v>1318</v>
      </c>
      <c r="W576" t="s">
        <v>1319</v>
      </c>
      <c r="X576" t="b">
        <v>0</v>
      </c>
      <c r="Y576" t="b">
        <v>0</v>
      </c>
    </row>
    <row r="577" spans="1:25">
      <c r="A577">
        <v>5760</v>
      </c>
      <c r="B577" t="s">
        <v>1165</v>
      </c>
      <c r="C577" t="s">
        <v>1320</v>
      </c>
      <c r="D577" t="s">
        <v>1167</v>
      </c>
      <c r="E577">
        <v>5760</v>
      </c>
      <c r="F577">
        <v>31.2</v>
      </c>
      <c r="G577">
        <v>634</v>
      </c>
      <c r="H577">
        <v>34.299999999999997</v>
      </c>
      <c r="I577">
        <v>370</v>
      </c>
      <c r="J577">
        <v>56.7</v>
      </c>
      <c r="K577">
        <v>855</v>
      </c>
      <c r="L577">
        <v>69.900000000000006</v>
      </c>
      <c r="M577">
        <v>434</v>
      </c>
      <c r="N577">
        <v>61.4</v>
      </c>
      <c r="O577">
        <v>554</v>
      </c>
      <c r="P577" t="s">
        <v>421</v>
      </c>
      <c r="Q577" s="1">
        <v>37315</v>
      </c>
      <c r="R577">
        <v>22.1</v>
      </c>
      <c r="S577" s="2">
        <v>0.06</v>
      </c>
      <c r="T577" s="3">
        <v>2.4868055555555557</v>
      </c>
      <c r="U577" s="2">
        <v>0.2</v>
      </c>
      <c r="V577" t="s">
        <v>1321</v>
      </c>
      <c r="W577" t="s">
        <v>1322</v>
      </c>
      <c r="X577" t="b">
        <v>0</v>
      </c>
      <c r="Y577" t="b">
        <v>0</v>
      </c>
    </row>
    <row r="578" spans="1:25">
      <c r="A578">
        <v>5770</v>
      </c>
      <c r="B578" t="s">
        <v>1165</v>
      </c>
      <c r="C578" t="s">
        <v>1323</v>
      </c>
      <c r="D578" t="s">
        <v>1167</v>
      </c>
      <c r="E578">
        <v>5770</v>
      </c>
      <c r="F578">
        <v>39.200000000000003</v>
      </c>
      <c r="G578">
        <v>329</v>
      </c>
      <c r="H578">
        <v>39.1</v>
      </c>
      <c r="I578">
        <v>260</v>
      </c>
      <c r="J578">
        <v>45.1</v>
      </c>
      <c r="K578">
        <v>1117</v>
      </c>
      <c r="L578">
        <v>86.6</v>
      </c>
      <c r="M578">
        <v>190</v>
      </c>
      <c r="N578">
        <v>37.799999999999997</v>
      </c>
      <c r="O578">
        <v>1208</v>
      </c>
      <c r="P578" t="s">
        <v>181</v>
      </c>
      <c r="Q578" s="1">
        <v>17195</v>
      </c>
      <c r="R578">
        <v>16.899999999999999</v>
      </c>
      <c r="S578" s="2">
        <v>0.1</v>
      </c>
      <c r="T578" s="3">
        <v>2.3229166666666665</v>
      </c>
      <c r="U578" s="2">
        <v>0.3</v>
      </c>
      <c r="V578" t="s">
        <v>1324</v>
      </c>
      <c r="W578" t="s">
        <v>1325</v>
      </c>
      <c r="X578" t="b">
        <v>0</v>
      </c>
      <c r="Y578" t="b">
        <v>0</v>
      </c>
    </row>
    <row r="579" spans="1:25">
      <c r="A579">
        <v>5780</v>
      </c>
      <c r="B579" t="s">
        <v>1165</v>
      </c>
      <c r="C579" t="s">
        <v>1326</v>
      </c>
      <c r="D579" t="s">
        <v>1167</v>
      </c>
      <c r="E579">
        <v>5780</v>
      </c>
      <c r="F579">
        <v>36</v>
      </c>
      <c r="G579">
        <v>427</v>
      </c>
      <c r="H579">
        <v>30.5</v>
      </c>
      <c r="I579">
        <v>457</v>
      </c>
      <c r="J579">
        <v>51.2</v>
      </c>
      <c r="K579">
        <v>993</v>
      </c>
      <c r="L579">
        <v>64.900000000000006</v>
      </c>
      <c r="M579">
        <v>552</v>
      </c>
      <c r="N579">
        <v>80.7</v>
      </c>
      <c r="O579">
        <v>247</v>
      </c>
      <c r="P579" t="s">
        <v>664</v>
      </c>
      <c r="Q579" s="1">
        <v>19001</v>
      </c>
      <c r="R579">
        <v>11.3</v>
      </c>
      <c r="S579" s="2">
        <v>0.27</v>
      </c>
      <c r="T579" s="3">
        <v>2.7326388888888888</v>
      </c>
      <c r="U579" s="2">
        <v>0.3</v>
      </c>
      <c r="V579" t="s">
        <v>1326</v>
      </c>
      <c r="W579" t="s">
        <v>1327</v>
      </c>
      <c r="X579" t="b">
        <v>0</v>
      </c>
      <c r="Y579" t="b">
        <v>0</v>
      </c>
    </row>
    <row r="580" spans="1:25">
      <c r="A580">
        <v>5790</v>
      </c>
      <c r="B580" t="s">
        <v>1165</v>
      </c>
      <c r="C580" t="s">
        <v>1328</v>
      </c>
      <c r="D580" t="s">
        <v>1167</v>
      </c>
      <c r="E580">
        <v>5790</v>
      </c>
      <c r="F580">
        <v>27.4</v>
      </c>
      <c r="G580">
        <v>856</v>
      </c>
      <c r="H580">
        <v>24.3</v>
      </c>
      <c r="I580">
        <v>640</v>
      </c>
      <c r="J580">
        <v>68.099999999999994</v>
      </c>
      <c r="K580">
        <v>602</v>
      </c>
      <c r="L580">
        <v>49.7</v>
      </c>
      <c r="M580">
        <v>816</v>
      </c>
      <c r="N580">
        <v>58.9</v>
      </c>
      <c r="O580">
        <v>607</v>
      </c>
      <c r="P580" t="s">
        <v>386</v>
      </c>
      <c r="Q580" s="1">
        <v>13656</v>
      </c>
      <c r="R580">
        <v>13.3</v>
      </c>
      <c r="S580" s="2">
        <v>0.13</v>
      </c>
      <c r="T580" s="3">
        <v>2.5277777777777777</v>
      </c>
      <c r="U580" s="2">
        <v>0.26</v>
      </c>
      <c r="V580" t="s">
        <v>1328</v>
      </c>
      <c r="W580" t="s">
        <v>1329</v>
      </c>
      <c r="X580" t="b">
        <v>0</v>
      </c>
      <c r="Y580" t="b">
        <v>0</v>
      </c>
    </row>
    <row r="581" spans="1:25">
      <c r="A581">
        <v>5800</v>
      </c>
      <c r="B581" t="s">
        <v>1165</v>
      </c>
      <c r="C581" t="s">
        <v>1330</v>
      </c>
      <c r="D581" t="s">
        <v>1167</v>
      </c>
      <c r="E581">
        <v>5800</v>
      </c>
      <c r="F581">
        <v>41.3</v>
      </c>
      <c r="G581">
        <v>272</v>
      </c>
      <c r="H581">
        <v>14.2</v>
      </c>
      <c r="I581">
        <v>1192</v>
      </c>
      <c r="J581">
        <v>78</v>
      </c>
      <c r="K581">
        <v>369</v>
      </c>
      <c r="L581">
        <v>56</v>
      </c>
      <c r="M581">
        <v>715</v>
      </c>
      <c r="N581">
        <v>28.9</v>
      </c>
      <c r="O581">
        <v>1549</v>
      </c>
      <c r="P581" t="s">
        <v>29</v>
      </c>
      <c r="Q581" s="1">
        <v>2848</v>
      </c>
      <c r="R581">
        <v>2.1</v>
      </c>
      <c r="S581" s="2">
        <v>0.01</v>
      </c>
      <c r="T581" s="3">
        <v>3.1833333333333331</v>
      </c>
      <c r="U581" s="2">
        <v>0.05</v>
      </c>
      <c r="V581" t="s">
        <v>1330</v>
      </c>
      <c r="W581" t="s">
        <v>637</v>
      </c>
      <c r="X581" t="b">
        <v>0</v>
      </c>
      <c r="Y581" t="b">
        <v>0</v>
      </c>
    </row>
    <row r="582" spans="1:25">
      <c r="A582">
        <v>5810</v>
      </c>
      <c r="B582" t="s">
        <v>1165</v>
      </c>
      <c r="C582" t="s">
        <v>1331</v>
      </c>
      <c r="D582" t="s">
        <v>1167</v>
      </c>
      <c r="E582">
        <v>5810</v>
      </c>
      <c r="F582">
        <v>21.9</v>
      </c>
      <c r="G582">
        <v>1243</v>
      </c>
      <c r="H582">
        <v>24.4</v>
      </c>
      <c r="I582">
        <v>635</v>
      </c>
      <c r="J582">
        <v>79.2</v>
      </c>
      <c r="K582">
        <v>340</v>
      </c>
      <c r="L582">
        <v>52.4</v>
      </c>
      <c r="M582">
        <v>763</v>
      </c>
      <c r="N582">
        <v>37.4</v>
      </c>
      <c r="O582">
        <v>1225</v>
      </c>
      <c r="P582" t="s">
        <v>397</v>
      </c>
      <c r="Q582" s="1">
        <v>26142</v>
      </c>
      <c r="R582">
        <v>26.5</v>
      </c>
      <c r="S582" s="2">
        <v>0.02</v>
      </c>
      <c r="T582" s="3">
        <v>2.3229166666666665</v>
      </c>
      <c r="U582" s="2">
        <v>0.34</v>
      </c>
      <c r="V582" t="s">
        <v>1331</v>
      </c>
      <c r="W582" t="s">
        <v>1332</v>
      </c>
      <c r="X582" t="b">
        <v>0</v>
      </c>
      <c r="Y582" t="b">
        <v>0</v>
      </c>
    </row>
    <row r="583" spans="1:25">
      <c r="A583">
        <v>5820</v>
      </c>
      <c r="B583" t="s">
        <v>1165</v>
      </c>
      <c r="C583" t="s">
        <v>1333</v>
      </c>
      <c r="D583" t="s">
        <v>1167</v>
      </c>
      <c r="E583">
        <v>5820</v>
      </c>
      <c r="F583">
        <v>32.4</v>
      </c>
      <c r="G583">
        <v>576</v>
      </c>
      <c r="H583">
        <v>25.6</v>
      </c>
      <c r="I583">
        <v>589</v>
      </c>
      <c r="J583">
        <v>60.1</v>
      </c>
      <c r="K583">
        <v>779</v>
      </c>
      <c r="L583">
        <v>17.2</v>
      </c>
      <c r="M583">
        <v>1741</v>
      </c>
      <c r="N583">
        <v>84.6</v>
      </c>
      <c r="O583">
        <v>195</v>
      </c>
      <c r="P583" t="s">
        <v>125</v>
      </c>
      <c r="Q583" s="1">
        <v>12445</v>
      </c>
      <c r="R583">
        <v>42.6</v>
      </c>
      <c r="S583" s="2">
        <v>0.32</v>
      </c>
      <c r="T583" s="3">
        <v>2.6506944444444445</v>
      </c>
      <c r="U583" s="2">
        <v>0.1</v>
      </c>
      <c r="V583" t="s">
        <v>1333</v>
      </c>
      <c r="W583" t="s">
        <v>1334</v>
      </c>
      <c r="X583" t="b">
        <v>0</v>
      </c>
      <c r="Y583" t="b">
        <v>0</v>
      </c>
    </row>
    <row r="584" spans="1:25">
      <c r="A584">
        <v>5830</v>
      </c>
      <c r="B584" t="s">
        <v>1165</v>
      </c>
      <c r="C584" t="s">
        <v>1335</v>
      </c>
      <c r="D584" t="s">
        <v>1167</v>
      </c>
      <c r="E584">
        <v>5830</v>
      </c>
      <c r="F584">
        <v>31.8</v>
      </c>
      <c r="G584">
        <v>601</v>
      </c>
      <c r="H584">
        <v>38</v>
      </c>
      <c r="I584">
        <v>292</v>
      </c>
      <c r="J584">
        <v>62.7</v>
      </c>
      <c r="K584">
        <v>713</v>
      </c>
      <c r="L584">
        <v>71.3</v>
      </c>
      <c r="M584">
        <v>401</v>
      </c>
      <c r="N584">
        <v>42.9</v>
      </c>
      <c r="O584">
        <v>1022</v>
      </c>
      <c r="P584" t="s">
        <v>54</v>
      </c>
      <c r="Q584" s="1">
        <v>38015</v>
      </c>
      <c r="R584">
        <v>13</v>
      </c>
      <c r="S584" s="2">
        <v>0.06</v>
      </c>
      <c r="T584" s="3">
        <v>2.1590277777777778</v>
      </c>
      <c r="U584" s="2">
        <v>0.39</v>
      </c>
      <c r="V584" t="s">
        <v>1335</v>
      </c>
      <c r="W584" t="s">
        <v>1336</v>
      </c>
      <c r="X584" t="b">
        <v>0</v>
      </c>
      <c r="Y584" t="b">
        <v>0</v>
      </c>
    </row>
    <row r="585" spans="1:25">
      <c r="A585">
        <v>5840</v>
      </c>
      <c r="B585" t="s">
        <v>1165</v>
      </c>
      <c r="C585" t="s">
        <v>1337</v>
      </c>
      <c r="D585" t="s">
        <v>1167</v>
      </c>
      <c r="E585">
        <v>5840</v>
      </c>
      <c r="F585">
        <v>37</v>
      </c>
      <c r="G585">
        <v>389</v>
      </c>
      <c r="H585">
        <v>22.8</v>
      </c>
      <c r="I585">
        <v>696</v>
      </c>
      <c r="J585">
        <v>77.7</v>
      </c>
      <c r="K585">
        <v>377</v>
      </c>
      <c r="L585">
        <v>32.6</v>
      </c>
      <c r="M585">
        <v>1136</v>
      </c>
      <c r="N585">
        <v>33.700000000000003</v>
      </c>
      <c r="O585">
        <v>1366</v>
      </c>
      <c r="P585" t="s">
        <v>795</v>
      </c>
      <c r="Q585" s="1">
        <v>1372</v>
      </c>
      <c r="R585">
        <v>12.9</v>
      </c>
      <c r="S585" s="2">
        <v>0</v>
      </c>
      <c r="T585" t="s">
        <v>501</v>
      </c>
      <c r="U585" s="2">
        <v>0.43</v>
      </c>
      <c r="V585" t="s">
        <v>1337</v>
      </c>
      <c r="W585" t="s">
        <v>1338</v>
      </c>
      <c r="X585" t="b">
        <v>0</v>
      </c>
      <c r="Y585" t="b">
        <v>0</v>
      </c>
    </row>
    <row r="586" spans="1:25">
      <c r="A586">
        <v>5850</v>
      </c>
      <c r="B586" t="s">
        <v>1165</v>
      </c>
      <c r="C586" t="s">
        <v>1339</v>
      </c>
      <c r="D586" t="s">
        <v>1167</v>
      </c>
      <c r="E586">
        <v>5850</v>
      </c>
      <c r="F586">
        <v>27.6</v>
      </c>
      <c r="G586">
        <v>837</v>
      </c>
      <c r="H586">
        <v>17.899999999999999</v>
      </c>
      <c r="I586">
        <v>927</v>
      </c>
      <c r="J586">
        <v>85.2</v>
      </c>
      <c r="K586">
        <v>207</v>
      </c>
      <c r="L586">
        <v>17.7</v>
      </c>
      <c r="M586">
        <v>1691</v>
      </c>
      <c r="N586">
        <v>70</v>
      </c>
      <c r="O586">
        <v>408</v>
      </c>
      <c r="P586" t="s">
        <v>528</v>
      </c>
      <c r="Q586" s="1">
        <v>3251</v>
      </c>
      <c r="R586">
        <v>15.3</v>
      </c>
      <c r="S586" s="2">
        <v>0.01</v>
      </c>
      <c r="T586" s="3">
        <v>1.9951388888888888</v>
      </c>
      <c r="U586" s="2">
        <v>0.33</v>
      </c>
      <c r="V586" t="s">
        <v>1340</v>
      </c>
      <c r="W586" t="s">
        <v>1341</v>
      </c>
      <c r="X586" t="b">
        <v>0</v>
      </c>
      <c r="Y586" t="b">
        <v>0</v>
      </c>
    </row>
    <row r="587" spans="1:25">
      <c r="A587">
        <v>5860</v>
      </c>
      <c r="B587" t="s">
        <v>1165</v>
      </c>
      <c r="C587" t="s">
        <v>1342</v>
      </c>
      <c r="D587" t="s">
        <v>1167</v>
      </c>
      <c r="E587">
        <v>5860</v>
      </c>
      <c r="F587">
        <v>25</v>
      </c>
      <c r="G587">
        <v>1007</v>
      </c>
      <c r="H587">
        <v>25.6</v>
      </c>
      <c r="I587">
        <v>590</v>
      </c>
      <c r="J587">
        <v>75.900000000000006</v>
      </c>
      <c r="K587">
        <v>422</v>
      </c>
      <c r="L587">
        <v>74.900000000000006</v>
      </c>
      <c r="M587">
        <v>338</v>
      </c>
      <c r="N587">
        <v>48.7</v>
      </c>
      <c r="O587">
        <v>845</v>
      </c>
      <c r="P587" t="s">
        <v>397</v>
      </c>
      <c r="Q587" s="1">
        <v>13115</v>
      </c>
      <c r="R587">
        <v>18.100000000000001</v>
      </c>
      <c r="S587" s="2">
        <v>0.1</v>
      </c>
      <c r="T587" s="3">
        <v>2.6506944444444445</v>
      </c>
      <c r="U587" s="2">
        <v>0.2</v>
      </c>
      <c r="V587" t="s">
        <v>1342</v>
      </c>
      <c r="W587" t="s">
        <v>1343</v>
      </c>
      <c r="X587" t="b">
        <v>0</v>
      </c>
      <c r="Y587" t="b">
        <v>0</v>
      </c>
    </row>
    <row r="588" spans="1:25">
      <c r="A588">
        <v>5870</v>
      </c>
      <c r="B588" t="s">
        <v>1165</v>
      </c>
      <c r="C588" t="s">
        <v>1344</v>
      </c>
      <c r="D588" t="s">
        <v>1167</v>
      </c>
      <c r="E588">
        <v>5870</v>
      </c>
      <c r="F588">
        <v>27.7</v>
      </c>
      <c r="G588">
        <v>827</v>
      </c>
      <c r="H588">
        <v>24.3</v>
      </c>
      <c r="I588">
        <v>641</v>
      </c>
      <c r="J588">
        <v>79.8</v>
      </c>
      <c r="K588">
        <v>325</v>
      </c>
      <c r="L588">
        <v>75.599999999999994</v>
      </c>
      <c r="M588">
        <v>324</v>
      </c>
      <c r="N588">
        <v>30.6</v>
      </c>
      <c r="O588">
        <v>1478</v>
      </c>
      <c r="P588" t="s">
        <v>54</v>
      </c>
      <c r="Q588" s="1">
        <v>47295</v>
      </c>
      <c r="R588">
        <v>15.8</v>
      </c>
      <c r="S588" s="2">
        <v>0.03</v>
      </c>
      <c r="T588" s="3">
        <v>2.2000000000000002</v>
      </c>
      <c r="U588" s="2">
        <v>0.3</v>
      </c>
      <c r="V588" t="s">
        <v>1344</v>
      </c>
      <c r="W588" t="s">
        <v>1345</v>
      </c>
      <c r="X588" t="b">
        <v>0</v>
      </c>
      <c r="Y588" t="b">
        <v>0</v>
      </c>
    </row>
    <row r="589" spans="1:25">
      <c r="A589">
        <v>5880</v>
      </c>
      <c r="B589" t="s">
        <v>1165</v>
      </c>
      <c r="C589" t="s">
        <v>1346</v>
      </c>
      <c r="D589" t="s">
        <v>1167</v>
      </c>
      <c r="E589">
        <v>5880</v>
      </c>
      <c r="F589">
        <v>23.5</v>
      </c>
      <c r="G589">
        <v>1115</v>
      </c>
      <c r="H589">
        <v>27.7</v>
      </c>
      <c r="I589">
        <v>522</v>
      </c>
      <c r="J589">
        <v>65.400000000000006</v>
      </c>
      <c r="K589">
        <v>670</v>
      </c>
      <c r="L589">
        <v>52.8</v>
      </c>
      <c r="M589">
        <v>758</v>
      </c>
      <c r="N589">
        <v>73.7</v>
      </c>
      <c r="O589">
        <v>356</v>
      </c>
      <c r="P589" t="s">
        <v>116</v>
      </c>
      <c r="Q589" s="1">
        <v>10381</v>
      </c>
      <c r="R589">
        <v>48.7</v>
      </c>
      <c r="S589" s="2">
        <v>0.23</v>
      </c>
      <c r="T589" s="3">
        <v>2.7736111111111112</v>
      </c>
      <c r="U589" s="2">
        <v>0.22</v>
      </c>
      <c r="V589" t="s">
        <v>1346</v>
      </c>
      <c r="W589" t="s">
        <v>1347</v>
      </c>
      <c r="X589" t="b">
        <v>0</v>
      </c>
      <c r="Y589" t="b">
        <v>0</v>
      </c>
    </row>
    <row r="590" spans="1:25">
      <c r="A590">
        <v>5890</v>
      </c>
      <c r="B590" t="s">
        <v>1165</v>
      </c>
      <c r="C590" t="s">
        <v>1348</v>
      </c>
      <c r="D590" t="s">
        <v>1167</v>
      </c>
      <c r="E590">
        <v>5890</v>
      </c>
      <c r="F590">
        <v>20.9</v>
      </c>
      <c r="G590">
        <v>1311</v>
      </c>
      <c r="H590">
        <v>27.7</v>
      </c>
      <c r="I590">
        <v>523</v>
      </c>
      <c r="J590">
        <v>70.2</v>
      </c>
      <c r="K590">
        <v>557</v>
      </c>
      <c r="L590">
        <v>37.299999999999997</v>
      </c>
      <c r="M590">
        <v>1039</v>
      </c>
      <c r="N590">
        <v>69.099999999999994</v>
      </c>
      <c r="O590">
        <v>420</v>
      </c>
      <c r="P590" t="s">
        <v>116</v>
      </c>
      <c r="Q590" s="1">
        <v>11542</v>
      </c>
      <c r="R590">
        <v>29.8</v>
      </c>
      <c r="S590" s="2">
        <v>0.13</v>
      </c>
      <c r="T590" s="3">
        <v>2.8965277777777776</v>
      </c>
      <c r="U590" s="2">
        <v>0.18</v>
      </c>
      <c r="V590" t="s">
        <v>1349</v>
      </c>
      <c r="W590" t="s">
        <v>1350</v>
      </c>
      <c r="X590" t="b">
        <v>0</v>
      </c>
      <c r="Y590" t="b">
        <v>0</v>
      </c>
    </row>
    <row r="591" spans="1:25">
      <c r="A591">
        <v>5900</v>
      </c>
      <c r="B591" t="s">
        <v>1165</v>
      </c>
      <c r="C591" t="s">
        <v>1351</v>
      </c>
      <c r="D591" t="s">
        <v>1167</v>
      </c>
      <c r="E591">
        <v>5900</v>
      </c>
      <c r="F591">
        <v>26.7</v>
      </c>
      <c r="G591">
        <v>897</v>
      </c>
      <c r="H591">
        <v>23.4</v>
      </c>
      <c r="I591">
        <v>674</v>
      </c>
      <c r="J591">
        <v>80.099999999999994</v>
      </c>
      <c r="K591">
        <v>319</v>
      </c>
      <c r="L591">
        <v>43.1</v>
      </c>
      <c r="M591">
        <v>921</v>
      </c>
      <c r="N591">
        <v>40.799999999999997</v>
      </c>
      <c r="O591">
        <v>1093</v>
      </c>
      <c r="P591" t="s">
        <v>795</v>
      </c>
      <c r="Q591" s="1">
        <v>20177</v>
      </c>
      <c r="R591">
        <v>26.7</v>
      </c>
      <c r="S591" s="2">
        <v>0.04</v>
      </c>
      <c r="T591" s="3">
        <v>2.2000000000000002</v>
      </c>
      <c r="U591" s="2">
        <v>0.35</v>
      </c>
      <c r="V591" t="s">
        <v>1351</v>
      </c>
      <c r="W591" t="s">
        <v>1352</v>
      </c>
      <c r="X591" t="b">
        <v>0</v>
      </c>
      <c r="Y591" t="b">
        <v>0</v>
      </c>
    </row>
    <row r="592" spans="1:25">
      <c r="A592">
        <v>5910</v>
      </c>
      <c r="B592" t="s">
        <v>1165</v>
      </c>
      <c r="C592" t="s">
        <v>1353</v>
      </c>
      <c r="D592" t="s">
        <v>1167</v>
      </c>
      <c r="E592">
        <v>5910</v>
      </c>
      <c r="F592">
        <v>43</v>
      </c>
      <c r="G592">
        <v>238</v>
      </c>
      <c r="H592">
        <v>15.1</v>
      </c>
      <c r="I592">
        <v>1118</v>
      </c>
      <c r="J592">
        <v>73.099999999999994</v>
      </c>
      <c r="K592">
        <v>480</v>
      </c>
      <c r="L592">
        <v>29.9</v>
      </c>
      <c r="M592">
        <v>1187</v>
      </c>
      <c r="N592">
        <v>30.2</v>
      </c>
      <c r="O592">
        <v>1494</v>
      </c>
      <c r="P592" t="s">
        <v>795</v>
      </c>
      <c r="Q592" s="1">
        <v>8065</v>
      </c>
      <c r="R592">
        <v>9.3000000000000007</v>
      </c>
      <c r="S592" s="2">
        <v>0.02</v>
      </c>
      <c r="T592" s="3">
        <v>2.2819444444444446</v>
      </c>
      <c r="U592" s="2">
        <v>0.1</v>
      </c>
      <c r="V592" t="s">
        <v>1353</v>
      </c>
      <c r="W592" t="s">
        <v>253</v>
      </c>
      <c r="X592" t="b">
        <v>0</v>
      </c>
      <c r="Y592" t="b">
        <v>0</v>
      </c>
    </row>
    <row r="593" spans="1:25">
      <c r="A593">
        <v>5920</v>
      </c>
      <c r="B593" t="s">
        <v>1165</v>
      </c>
      <c r="C593" t="s">
        <v>1354</v>
      </c>
      <c r="D593" t="s">
        <v>1167</v>
      </c>
      <c r="E593">
        <v>5920</v>
      </c>
      <c r="F593">
        <v>18.3</v>
      </c>
      <c r="G593">
        <v>1533</v>
      </c>
      <c r="H593">
        <v>17.8</v>
      </c>
      <c r="I593">
        <v>932</v>
      </c>
      <c r="J593">
        <v>84.1</v>
      </c>
      <c r="K593">
        <v>234</v>
      </c>
      <c r="L593">
        <v>20.9</v>
      </c>
      <c r="M593">
        <v>1489</v>
      </c>
      <c r="N593">
        <v>75.599999999999994</v>
      </c>
      <c r="O593">
        <v>322</v>
      </c>
      <c r="P593" t="s">
        <v>534</v>
      </c>
      <c r="Q593" s="1">
        <v>36059</v>
      </c>
      <c r="R593">
        <v>19.399999999999999</v>
      </c>
      <c r="S593" s="2">
        <v>0.03</v>
      </c>
      <c r="T593" s="3">
        <v>2.3229166666666665</v>
      </c>
      <c r="U593" s="2">
        <v>0.34</v>
      </c>
      <c r="V593" t="s">
        <v>1354</v>
      </c>
      <c r="W593" t="s">
        <v>1355</v>
      </c>
      <c r="X593" t="b">
        <v>0</v>
      </c>
      <c r="Y593" t="b">
        <v>0</v>
      </c>
    </row>
    <row r="594" spans="1:25">
      <c r="A594">
        <v>5930</v>
      </c>
      <c r="B594" t="s">
        <v>1165</v>
      </c>
      <c r="C594" t="s">
        <v>1356</v>
      </c>
      <c r="D594" t="s">
        <v>1167</v>
      </c>
      <c r="E594">
        <v>5930</v>
      </c>
      <c r="F594">
        <v>21</v>
      </c>
      <c r="G594">
        <v>1304</v>
      </c>
      <c r="H594">
        <v>22.5</v>
      </c>
      <c r="I594">
        <v>713</v>
      </c>
      <c r="J594">
        <v>79.2</v>
      </c>
      <c r="K594">
        <v>341</v>
      </c>
      <c r="L594">
        <v>63.6</v>
      </c>
      <c r="M594">
        <v>576</v>
      </c>
      <c r="N594">
        <v>42.8</v>
      </c>
      <c r="O594">
        <v>1026</v>
      </c>
      <c r="P594" t="s">
        <v>29</v>
      </c>
      <c r="Q594" s="1">
        <v>28469</v>
      </c>
      <c r="R594">
        <v>26.4</v>
      </c>
      <c r="S594" s="2">
        <v>0.03</v>
      </c>
      <c r="T594" s="3">
        <v>2.2000000000000002</v>
      </c>
      <c r="U594" s="2">
        <v>0.3</v>
      </c>
      <c r="V594" t="s">
        <v>1356</v>
      </c>
      <c r="W594" t="s">
        <v>1357</v>
      </c>
      <c r="X594" t="b">
        <v>0</v>
      </c>
      <c r="Y594" t="b">
        <v>0</v>
      </c>
    </row>
    <row r="595" spans="1:25">
      <c r="A595">
        <v>5940</v>
      </c>
      <c r="B595" t="s">
        <v>1165</v>
      </c>
      <c r="C595" t="s">
        <v>1358</v>
      </c>
      <c r="D595" t="s">
        <v>1167</v>
      </c>
      <c r="E595">
        <v>5940</v>
      </c>
      <c r="F595">
        <v>49.2</v>
      </c>
      <c r="G595">
        <v>140</v>
      </c>
      <c r="H595">
        <v>40</v>
      </c>
      <c r="I595">
        <v>250</v>
      </c>
      <c r="J595">
        <v>31.8</v>
      </c>
      <c r="K595">
        <v>1407</v>
      </c>
      <c r="L595">
        <v>53.8</v>
      </c>
      <c r="M595">
        <v>741</v>
      </c>
      <c r="N595">
        <v>79.099999999999994</v>
      </c>
      <c r="O595">
        <v>264</v>
      </c>
      <c r="P595" t="s">
        <v>255</v>
      </c>
      <c r="Q595" s="1">
        <v>7930</v>
      </c>
      <c r="R595">
        <v>11.6</v>
      </c>
      <c r="S595" s="2">
        <v>0.37</v>
      </c>
      <c r="U595" s="2">
        <v>0.41</v>
      </c>
      <c r="V595" t="s">
        <v>1358</v>
      </c>
      <c r="W595" t="s">
        <v>1359</v>
      </c>
      <c r="X595" t="b">
        <v>0</v>
      </c>
      <c r="Y595" t="b">
        <v>0</v>
      </c>
    </row>
    <row r="596" spans="1:25">
      <c r="A596">
        <v>5950</v>
      </c>
      <c r="B596" t="s">
        <v>1165</v>
      </c>
      <c r="C596" t="s">
        <v>1360</v>
      </c>
      <c r="D596" t="s">
        <v>1167</v>
      </c>
      <c r="E596">
        <v>5950</v>
      </c>
      <c r="F596">
        <v>31.9</v>
      </c>
      <c r="G596">
        <v>594</v>
      </c>
      <c r="H596">
        <v>25.1</v>
      </c>
      <c r="I596">
        <v>609</v>
      </c>
      <c r="J596">
        <v>74.2</v>
      </c>
      <c r="K596">
        <v>463</v>
      </c>
      <c r="L596">
        <v>52.3</v>
      </c>
      <c r="M596">
        <v>764</v>
      </c>
      <c r="N596">
        <v>52</v>
      </c>
      <c r="O596">
        <v>741</v>
      </c>
      <c r="P596" t="s">
        <v>397</v>
      </c>
      <c r="Q596" s="1">
        <v>17196</v>
      </c>
      <c r="R596">
        <v>26</v>
      </c>
      <c r="S596" s="2">
        <v>7.0000000000000007E-2</v>
      </c>
      <c r="T596" s="3">
        <v>2.4048611111111109</v>
      </c>
      <c r="U596" s="2">
        <v>0.31</v>
      </c>
      <c r="V596" t="s">
        <v>1360</v>
      </c>
      <c r="W596" t="s">
        <v>1361</v>
      </c>
      <c r="X596" t="b">
        <v>0</v>
      </c>
      <c r="Y596" t="b">
        <v>0</v>
      </c>
    </row>
    <row r="597" spans="1:25">
      <c r="A597">
        <v>5960</v>
      </c>
      <c r="B597" t="s">
        <v>1165</v>
      </c>
      <c r="C597" t="s">
        <v>1362</v>
      </c>
      <c r="D597" t="s">
        <v>1167</v>
      </c>
      <c r="E597">
        <v>5960</v>
      </c>
      <c r="F597">
        <v>34.5</v>
      </c>
      <c r="G597">
        <v>479</v>
      </c>
      <c r="H597">
        <v>24</v>
      </c>
      <c r="I597">
        <v>656</v>
      </c>
      <c r="J597">
        <v>61.5</v>
      </c>
      <c r="K597">
        <v>746</v>
      </c>
      <c r="L597">
        <v>77</v>
      </c>
      <c r="M597">
        <v>302</v>
      </c>
      <c r="N597">
        <v>60.6</v>
      </c>
      <c r="O597">
        <v>574</v>
      </c>
      <c r="P597" t="s">
        <v>99</v>
      </c>
      <c r="Q597" s="1">
        <v>18384</v>
      </c>
      <c r="R597">
        <v>19.600000000000001</v>
      </c>
      <c r="S597" s="2">
        <v>0.18</v>
      </c>
      <c r="T597" s="3">
        <v>1.7493055555555554</v>
      </c>
      <c r="U597" s="2">
        <v>0.45</v>
      </c>
      <c r="V597" t="s">
        <v>1362</v>
      </c>
      <c r="W597" t="s">
        <v>1363</v>
      </c>
      <c r="X597" t="b">
        <v>0</v>
      </c>
      <c r="Y597" t="b">
        <v>0</v>
      </c>
    </row>
    <row r="598" spans="1:25">
      <c r="A598">
        <v>5970</v>
      </c>
      <c r="B598" t="s">
        <v>1165</v>
      </c>
      <c r="C598" t="s">
        <v>1364</v>
      </c>
      <c r="D598" t="s">
        <v>1167</v>
      </c>
      <c r="E598">
        <v>5970</v>
      </c>
      <c r="F598">
        <v>36.1</v>
      </c>
      <c r="G598">
        <v>423</v>
      </c>
      <c r="H598">
        <v>17.2</v>
      </c>
      <c r="I598">
        <v>959</v>
      </c>
      <c r="J598">
        <v>71.900000000000006</v>
      </c>
      <c r="K598">
        <v>514</v>
      </c>
      <c r="L598">
        <v>52.9</v>
      </c>
      <c r="M598">
        <v>756</v>
      </c>
      <c r="N598">
        <v>44.6</v>
      </c>
      <c r="O598">
        <v>974</v>
      </c>
      <c r="P598" t="s">
        <v>29</v>
      </c>
      <c r="Q598" s="1">
        <v>4110</v>
      </c>
      <c r="R598">
        <v>10.8</v>
      </c>
      <c r="S598" s="2">
        <v>0.09</v>
      </c>
      <c r="T598" s="3">
        <v>2.0770833333333334</v>
      </c>
      <c r="U598" s="2">
        <v>0.41</v>
      </c>
      <c r="V598" t="s">
        <v>1364</v>
      </c>
      <c r="W598" t="s">
        <v>1365</v>
      </c>
      <c r="X598" t="b">
        <v>0</v>
      </c>
      <c r="Y598" t="b">
        <v>0</v>
      </c>
    </row>
    <row r="599" spans="1:25">
      <c r="A599">
        <v>5980</v>
      </c>
      <c r="B599" t="s">
        <v>1165</v>
      </c>
      <c r="C599" t="s">
        <v>1366</v>
      </c>
      <c r="D599" t="s">
        <v>1167</v>
      </c>
      <c r="E599">
        <v>5980</v>
      </c>
      <c r="F599">
        <v>27.7</v>
      </c>
      <c r="G599">
        <v>828</v>
      </c>
      <c r="H599">
        <v>22.1</v>
      </c>
      <c r="I599">
        <v>727</v>
      </c>
      <c r="J599">
        <v>68.8</v>
      </c>
      <c r="K599">
        <v>589</v>
      </c>
      <c r="L599">
        <v>54</v>
      </c>
      <c r="M599">
        <v>740</v>
      </c>
      <c r="N599">
        <v>65.599999999999994</v>
      </c>
      <c r="O599">
        <v>475</v>
      </c>
      <c r="P599" t="s">
        <v>327</v>
      </c>
      <c r="Q599" s="1">
        <v>15114</v>
      </c>
      <c r="R599">
        <v>10.6</v>
      </c>
      <c r="S599" s="2">
        <v>0.08</v>
      </c>
      <c r="T599" s="3">
        <v>2.4048611111111109</v>
      </c>
      <c r="U599" s="2">
        <v>0.24</v>
      </c>
      <c r="V599" t="s">
        <v>1366</v>
      </c>
      <c r="W599" t="s">
        <v>1367</v>
      </c>
      <c r="X599" t="b">
        <v>0</v>
      </c>
      <c r="Y599" t="b">
        <v>0</v>
      </c>
    </row>
    <row r="600" spans="1:25">
      <c r="A600">
        <v>5990</v>
      </c>
      <c r="B600" t="s">
        <v>1165</v>
      </c>
      <c r="C600" t="s">
        <v>1368</v>
      </c>
      <c r="D600" t="s">
        <v>1167</v>
      </c>
      <c r="E600">
        <v>5990</v>
      </c>
      <c r="F600">
        <v>29.4</v>
      </c>
      <c r="G600">
        <v>730</v>
      </c>
      <c r="H600">
        <v>26.6</v>
      </c>
      <c r="I600">
        <v>554</v>
      </c>
      <c r="J600">
        <v>69</v>
      </c>
      <c r="K600">
        <v>581</v>
      </c>
      <c r="L600">
        <v>86.6</v>
      </c>
      <c r="M600">
        <v>191</v>
      </c>
      <c r="N600">
        <v>25.2</v>
      </c>
      <c r="O600">
        <v>1700</v>
      </c>
      <c r="P600" t="s">
        <v>181</v>
      </c>
      <c r="Q600" s="1">
        <v>12223</v>
      </c>
      <c r="R600">
        <v>10.8</v>
      </c>
      <c r="S600" s="2">
        <v>0.04</v>
      </c>
      <c r="T600" s="3">
        <v>2.036111111111111</v>
      </c>
      <c r="U600" s="2">
        <v>0.12</v>
      </c>
      <c r="V600" t="s">
        <v>1368</v>
      </c>
      <c r="W600" t="s">
        <v>1369</v>
      </c>
      <c r="X600" t="b">
        <v>0</v>
      </c>
      <c r="Y600" t="b">
        <v>0</v>
      </c>
    </row>
    <row r="601" spans="1:25">
      <c r="A601">
        <v>6000</v>
      </c>
      <c r="B601" t="s">
        <v>1165</v>
      </c>
      <c r="C601" t="s">
        <v>1370</v>
      </c>
      <c r="D601" t="s">
        <v>1167</v>
      </c>
      <c r="E601">
        <v>6000</v>
      </c>
      <c r="F601">
        <v>28.9</v>
      </c>
      <c r="G601">
        <v>752</v>
      </c>
      <c r="H601">
        <v>25.6</v>
      </c>
      <c r="I601">
        <v>591</v>
      </c>
      <c r="J601">
        <v>75.7</v>
      </c>
      <c r="K601">
        <v>427</v>
      </c>
      <c r="L601">
        <v>58.2</v>
      </c>
      <c r="M601">
        <v>677</v>
      </c>
      <c r="N601">
        <v>49.2</v>
      </c>
      <c r="O601">
        <v>826</v>
      </c>
      <c r="P601" t="s">
        <v>386</v>
      </c>
      <c r="Q601" s="1">
        <v>49165</v>
      </c>
      <c r="R601">
        <v>13.7</v>
      </c>
      <c r="S601" s="2">
        <v>0.09</v>
      </c>
      <c r="T601" s="3">
        <v>2.5277777777777777</v>
      </c>
      <c r="U601" s="2">
        <v>0.24</v>
      </c>
      <c r="V601" t="s">
        <v>1370</v>
      </c>
      <c r="W601" t="s">
        <v>1371</v>
      </c>
      <c r="X601" t="b">
        <v>0</v>
      </c>
      <c r="Y601" t="b">
        <v>0</v>
      </c>
    </row>
    <row r="602" spans="1:25">
      <c r="A602">
        <v>6010</v>
      </c>
      <c r="B602" t="s">
        <v>1165</v>
      </c>
      <c r="C602" t="s">
        <v>1372</v>
      </c>
      <c r="D602" t="s">
        <v>1167</v>
      </c>
      <c r="E602">
        <v>6010</v>
      </c>
      <c r="F602">
        <v>36.4</v>
      </c>
      <c r="G602">
        <v>417</v>
      </c>
      <c r="H602">
        <v>20.399999999999999</v>
      </c>
      <c r="I602">
        <v>796</v>
      </c>
      <c r="J602">
        <v>70.2</v>
      </c>
      <c r="K602">
        <v>558</v>
      </c>
      <c r="L602">
        <v>79.3</v>
      </c>
      <c r="M602">
        <v>273</v>
      </c>
      <c r="N602">
        <v>41.8</v>
      </c>
      <c r="O602">
        <v>1064</v>
      </c>
      <c r="P602" t="s">
        <v>29</v>
      </c>
      <c r="Q602" s="1">
        <v>22523</v>
      </c>
      <c r="R602">
        <v>13</v>
      </c>
      <c r="S602" s="2">
        <v>0.05</v>
      </c>
      <c r="T602" s="3">
        <v>2.5687500000000001</v>
      </c>
      <c r="U602" s="2">
        <v>0.16</v>
      </c>
      <c r="V602" t="s">
        <v>1372</v>
      </c>
      <c r="W602" t="s">
        <v>1373</v>
      </c>
      <c r="X602" t="b">
        <v>0</v>
      </c>
      <c r="Y602" t="b">
        <v>0</v>
      </c>
    </row>
    <row r="603" spans="1:25">
      <c r="A603">
        <v>6020</v>
      </c>
      <c r="B603" t="s">
        <v>1165</v>
      </c>
      <c r="C603" t="s">
        <v>1374</v>
      </c>
      <c r="D603" t="s">
        <v>1167</v>
      </c>
      <c r="E603">
        <v>6020</v>
      </c>
      <c r="F603">
        <v>19.5</v>
      </c>
      <c r="G603">
        <v>1427</v>
      </c>
      <c r="H603">
        <v>15</v>
      </c>
      <c r="I603">
        <v>1129</v>
      </c>
      <c r="J603">
        <v>82.6</v>
      </c>
      <c r="K603">
        <v>269</v>
      </c>
      <c r="L603">
        <v>30.2</v>
      </c>
      <c r="M603">
        <v>1179</v>
      </c>
      <c r="N603">
        <v>78.599999999999994</v>
      </c>
      <c r="O603">
        <v>278</v>
      </c>
      <c r="P603" t="s">
        <v>26</v>
      </c>
      <c r="Q603" s="1">
        <v>26890</v>
      </c>
      <c r="R603">
        <v>15.9</v>
      </c>
      <c r="S603" s="2">
        <v>0.25</v>
      </c>
      <c r="T603" s="3">
        <v>2.2000000000000002</v>
      </c>
      <c r="U603" s="2">
        <v>0.28000000000000003</v>
      </c>
      <c r="V603" t="s">
        <v>1374</v>
      </c>
      <c r="W603" t="s">
        <v>1375</v>
      </c>
      <c r="X603" t="b">
        <v>0</v>
      </c>
      <c r="Y603" t="b">
        <v>0</v>
      </c>
    </row>
    <row r="604" spans="1:25">
      <c r="A604">
        <v>6030</v>
      </c>
      <c r="B604" t="s">
        <v>1165</v>
      </c>
      <c r="C604" t="s">
        <v>1376</v>
      </c>
      <c r="D604" t="s">
        <v>1167</v>
      </c>
      <c r="E604">
        <v>6030</v>
      </c>
      <c r="F604">
        <v>28.7</v>
      </c>
      <c r="G604">
        <v>762</v>
      </c>
      <c r="H604">
        <v>29.8</v>
      </c>
      <c r="I604">
        <v>478</v>
      </c>
      <c r="J604">
        <v>56.7</v>
      </c>
      <c r="K604">
        <v>856</v>
      </c>
      <c r="L604">
        <v>60.7</v>
      </c>
      <c r="M604">
        <v>631</v>
      </c>
      <c r="N604">
        <v>90.8</v>
      </c>
      <c r="O604">
        <v>121</v>
      </c>
      <c r="P604" t="s">
        <v>76</v>
      </c>
      <c r="Q604" s="1">
        <v>14849</v>
      </c>
      <c r="R604">
        <v>34.1</v>
      </c>
      <c r="S604" s="2">
        <v>0.35</v>
      </c>
      <c r="U604" s="2">
        <v>0.38</v>
      </c>
      <c r="V604" t="s">
        <v>1376</v>
      </c>
      <c r="W604" t="s">
        <v>1377</v>
      </c>
      <c r="X604" t="b">
        <v>0</v>
      </c>
      <c r="Y604" t="b">
        <v>0</v>
      </c>
    </row>
    <row r="605" spans="1:25">
      <c r="A605">
        <v>6040</v>
      </c>
      <c r="B605" t="s">
        <v>1165</v>
      </c>
      <c r="C605" t="s">
        <v>1378</v>
      </c>
      <c r="D605" t="s">
        <v>1167</v>
      </c>
      <c r="E605">
        <v>6040</v>
      </c>
      <c r="F605">
        <v>29.8</v>
      </c>
      <c r="G605">
        <v>703</v>
      </c>
      <c r="H605">
        <v>29.8</v>
      </c>
      <c r="I605">
        <v>479</v>
      </c>
      <c r="J605">
        <v>67.3</v>
      </c>
      <c r="K605">
        <v>617</v>
      </c>
      <c r="L605">
        <v>64.599999999999994</v>
      </c>
      <c r="M605">
        <v>556</v>
      </c>
      <c r="N605">
        <v>55</v>
      </c>
      <c r="O605">
        <v>677</v>
      </c>
      <c r="P605" t="s">
        <v>99</v>
      </c>
      <c r="Q605" s="1">
        <v>14699</v>
      </c>
      <c r="R605">
        <v>35.4</v>
      </c>
      <c r="S605" s="2">
        <v>0.1</v>
      </c>
      <c r="T605" s="3">
        <v>2.2819444444444446</v>
      </c>
      <c r="U605" s="2">
        <v>0.46</v>
      </c>
      <c r="V605" t="s">
        <v>1378</v>
      </c>
      <c r="W605" t="s">
        <v>1379</v>
      </c>
      <c r="X605" t="b">
        <v>0</v>
      </c>
      <c r="Y605" t="b">
        <v>0</v>
      </c>
    </row>
    <row r="606" spans="1:25">
      <c r="A606">
        <v>6050</v>
      </c>
      <c r="B606" t="s">
        <v>1165</v>
      </c>
      <c r="C606" t="s">
        <v>1380</v>
      </c>
      <c r="D606" t="s">
        <v>1167</v>
      </c>
      <c r="E606">
        <v>6050</v>
      </c>
      <c r="F606">
        <v>32.799999999999997</v>
      </c>
      <c r="G606">
        <v>557</v>
      </c>
      <c r="H606">
        <v>24.6</v>
      </c>
      <c r="I606">
        <v>628</v>
      </c>
      <c r="J606">
        <v>64.900000000000006</v>
      </c>
      <c r="K606">
        <v>676</v>
      </c>
      <c r="L606">
        <v>66.7</v>
      </c>
      <c r="M606">
        <v>513</v>
      </c>
      <c r="N606">
        <v>54</v>
      </c>
      <c r="O606">
        <v>695</v>
      </c>
      <c r="P606" t="s">
        <v>54</v>
      </c>
      <c r="Q606" s="1">
        <v>29221</v>
      </c>
      <c r="R606">
        <v>12.5</v>
      </c>
      <c r="S606" s="2">
        <v>0.13</v>
      </c>
      <c r="T606" s="3">
        <v>2.6506944444444445</v>
      </c>
      <c r="U606" s="2">
        <v>0.24</v>
      </c>
      <c r="V606" t="s">
        <v>1380</v>
      </c>
      <c r="W606" t="s">
        <v>1381</v>
      </c>
      <c r="X606" t="b">
        <v>0</v>
      </c>
      <c r="Y606" t="b">
        <v>0</v>
      </c>
    </row>
    <row r="607" spans="1:25">
      <c r="A607">
        <v>6060</v>
      </c>
      <c r="B607" t="s">
        <v>1382</v>
      </c>
      <c r="C607" t="s">
        <v>1383</v>
      </c>
      <c r="D607" t="s">
        <v>1384</v>
      </c>
      <c r="E607">
        <v>6060</v>
      </c>
      <c r="F607">
        <v>18.399999999999999</v>
      </c>
      <c r="G607">
        <v>1513</v>
      </c>
      <c r="H607">
        <v>12.6</v>
      </c>
      <c r="I607">
        <v>1344</v>
      </c>
      <c r="J607">
        <v>80.400000000000006</v>
      </c>
      <c r="K607">
        <v>313</v>
      </c>
      <c r="L607">
        <v>21.8</v>
      </c>
      <c r="M607">
        <v>1447</v>
      </c>
      <c r="N607">
        <v>49</v>
      </c>
      <c r="O607">
        <v>828</v>
      </c>
      <c r="P607" t="s">
        <v>1102</v>
      </c>
      <c r="Q607" s="1">
        <v>11681</v>
      </c>
      <c r="R607">
        <v>22.8</v>
      </c>
      <c r="S607" s="2">
        <v>0</v>
      </c>
      <c r="T607" t="s">
        <v>796</v>
      </c>
      <c r="U607" s="2">
        <v>0.3</v>
      </c>
      <c r="V607" t="s">
        <v>1383</v>
      </c>
      <c r="W607" t="s">
        <v>1385</v>
      </c>
      <c r="X607" t="b">
        <v>0</v>
      </c>
      <c r="Y607" t="b">
        <v>0</v>
      </c>
    </row>
    <row r="608" spans="1:25">
      <c r="A608">
        <v>6070</v>
      </c>
      <c r="B608" t="s">
        <v>1382</v>
      </c>
      <c r="C608" t="s">
        <v>1386</v>
      </c>
      <c r="D608" t="s">
        <v>1384</v>
      </c>
      <c r="E608">
        <v>6070</v>
      </c>
      <c r="F608">
        <v>24.2</v>
      </c>
      <c r="G608">
        <v>1066</v>
      </c>
      <c r="H608">
        <v>12.5</v>
      </c>
      <c r="I608">
        <v>1357</v>
      </c>
      <c r="J608">
        <v>81.5</v>
      </c>
      <c r="K608">
        <v>292</v>
      </c>
      <c r="L608">
        <v>39.5</v>
      </c>
      <c r="M608">
        <v>994</v>
      </c>
      <c r="N608">
        <v>48.7</v>
      </c>
      <c r="O608">
        <v>841</v>
      </c>
      <c r="P608" t="s">
        <v>1102</v>
      </c>
      <c r="Q608" s="1">
        <v>7806</v>
      </c>
      <c r="R608">
        <v>12.8</v>
      </c>
      <c r="S608" s="2">
        <v>0</v>
      </c>
      <c r="T608" t="s">
        <v>113</v>
      </c>
      <c r="U608" s="2">
        <v>0.38</v>
      </c>
      <c r="V608" t="s">
        <v>1386</v>
      </c>
      <c r="W608" t="s">
        <v>1387</v>
      </c>
      <c r="X608" t="b">
        <v>0</v>
      </c>
      <c r="Y608" t="b">
        <v>0</v>
      </c>
    </row>
    <row r="609" spans="1:25">
      <c r="A609">
        <v>6080</v>
      </c>
      <c r="B609" t="s">
        <v>1382</v>
      </c>
      <c r="C609" t="s">
        <v>1388</v>
      </c>
      <c r="D609" t="s">
        <v>1384</v>
      </c>
      <c r="E609">
        <v>6080</v>
      </c>
      <c r="F609">
        <v>26.6</v>
      </c>
      <c r="G609">
        <v>899</v>
      </c>
      <c r="H609">
        <v>13.8</v>
      </c>
      <c r="I609">
        <v>1221</v>
      </c>
      <c r="J609">
        <v>58.6</v>
      </c>
      <c r="K609">
        <v>809</v>
      </c>
      <c r="L609">
        <v>63.7</v>
      </c>
      <c r="M609">
        <v>573</v>
      </c>
      <c r="N609">
        <v>82.6</v>
      </c>
      <c r="O609">
        <v>213</v>
      </c>
      <c r="P609" t="s">
        <v>94</v>
      </c>
      <c r="Q609" s="1">
        <v>1221</v>
      </c>
      <c r="R609">
        <v>11.5</v>
      </c>
      <c r="S609" s="2">
        <v>0.12</v>
      </c>
      <c r="T609">
        <v>0.52013888888888893</v>
      </c>
      <c r="U609" s="2">
        <v>0.5</v>
      </c>
      <c r="V609" t="s">
        <v>1389</v>
      </c>
      <c r="W609" t="s">
        <v>1390</v>
      </c>
      <c r="X609" t="b">
        <v>0</v>
      </c>
      <c r="Y609" t="b">
        <v>0</v>
      </c>
    </row>
    <row r="610" spans="1:25">
      <c r="A610">
        <v>6090</v>
      </c>
      <c r="B610" t="s">
        <v>1382</v>
      </c>
      <c r="C610" t="s">
        <v>1391</v>
      </c>
      <c r="D610" t="s">
        <v>1384</v>
      </c>
      <c r="E610">
        <v>6090</v>
      </c>
      <c r="F610">
        <v>26</v>
      </c>
      <c r="G610">
        <v>933</v>
      </c>
      <c r="H610">
        <v>21.2</v>
      </c>
      <c r="I610">
        <v>757</v>
      </c>
      <c r="J610">
        <v>64.400000000000006</v>
      </c>
      <c r="K610">
        <v>684</v>
      </c>
      <c r="L610">
        <v>46.6</v>
      </c>
      <c r="M610">
        <v>873</v>
      </c>
      <c r="N610">
        <v>39.299999999999997</v>
      </c>
      <c r="O610">
        <v>1139</v>
      </c>
      <c r="P610" t="s">
        <v>29</v>
      </c>
      <c r="Q610" s="1">
        <v>34810</v>
      </c>
      <c r="R610">
        <v>21.6</v>
      </c>
      <c r="S610" s="2">
        <v>0.04</v>
      </c>
      <c r="T610" s="3">
        <v>2.4048611111111109</v>
      </c>
      <c r="U610" s="2">
        <v>0.28999999999999998</v>
      </c>
      <c r="V610" t="s">
        <v>1391</v>
      </c>
      <c r="W610" t="s">
        <v>1392</v>
      </c>
      <c r="X610" t="b">
        <v>0</v>
      </c>
      <c r="Y610" t="b">
        <v>0</v>
      </c>
    </row>
    <row r="611" spans="1:25">
      <c r="A611">
        <v>6100</v>
      </c>
      <c r="B611" t="s">
        <v>1382</v>
      </c>
      <c r="C611" t="s">
        <v>1393</v>
      </c>
      <c r="D611" t="s">
        <v>1384</v>
      </c>
      <c r="E611">
        <v>6100</v>
      </c>
      <c r="F611">
        <v>34.799999999999997</v>
      </c>
      <c r="G611">
        <v>467</v>
      </c>
      <c r="H611">
        <v>12.8</v>
      </c>
      <c r="I611">
        <v>1319</v>
      </c>
      <c r="J611">
        <v>64.8</v>
      </c>
      <c r="K611">
        <v>677</v>
      </c>
      <c r="L611">
        <v>23.2</v>
      </c>
      <c r="M611">
        <v>1389</v>
      </c>
      <c r="N611">
        <v>44.4</v>
      </c>
      <c r="O611">
        <v>976</v>
      </c>
      <c r="P611" t="s">
        <v>528</v>
      </c>
      <c r="Q611" s="1">
        <v>5020</v>
      </c>
      <c r="R611">
        <v>15.8</v>
      </c>
      <c r="S611" s="2">
        <v>0</v>
      </c>
      <c r="T611" s="3">
        <v>2.6097222222222221</v>
      </c>
      <c r="U611" s="2">
        <v>0.3</v>
      </c>
      <c r="V611" t="s">
        <v>1393</v>
      </c>
      <c r="W611" t="s">
        <v>1394</v>
      </c>
      <c r="X611" t="b">
        <v>0</v>
      </c>
      <c r="Y611" t="b">
        <v>0</v>
      </c>
    </row>
    <row r="612" spans="1:25">
      <c r="A612">
        <v>6110</v>
      </c>
      <c r="B612" t="s">
        <v>1382</v>
      </c>
      <c r="C612" t="s">
        <v>1395</v>
      </c>
      <c r="D612" t="s">
        <v>1384</v>
      </c>
      <c r="E612">
        <v>6110</v>
      </c>
      <c r="F612">
        <v>41.1</v>
      </c>
      <c r="G612">
        <v>276</v>
      </c>
      <c r="H612">
        <v>14</v>
      </c>
      <c r="I612">
        <v>1203</v>
      </c>
      <c r="J612">
        <v>61.6</v>
      </c>
      <c r="K612">
        <v>741</v>
      </c>
      <c r="L612">
        <v>34.299999999999997</v>
      </c>
      <c r="M612">
        <v>1105</v>
      </c>
      <c r="N612">
        <v>38.200000000000003</v>
      </c>
      <c r="O612">
        <v>1182</v>
      </c>
      <c r="P612" t="s">
        <v>528</v>
      </c>
      <c r="Q612" s="1">
        <v>20428</v>
      </c>
      <c r="R612">
        <v>12</v>
      </c>
      <c r="S612" s="2">
        <v>0.01</v>
      </c>
      <c r="T612" t="s">
        <v>658</v>
      </c>
      <c r="U612" s="2">
        <v>0.34</v>
      </c>
      <c r="V612" t="s">
        <v>1395</v>
      </c>
      <c r="W612" t="s">
        <v>1396</v>
      </c>
      <c r="X612" t="b">
        <v>0</v>
      </c>
      <c r="Y612" t="b">
        <v>0</v>
      </c>
    </row>
    <row r="613" spans="1:25">
      <c r="A613">
        <v>6120</v>
      </c>
      <c r="B613" t="s">
        <v>1382</v>
      </c>
      <c r="C613" t="s">
        <v>1397</v>
      </c>
      <c r="D613" t="s">
        <v>1384</v>
      </c>
      <c r="E613">
        <v>6120</v>
      </c>
      <c r="F613">
        <v>12.7</v>
      </c>
      <c r="G613">
        <v>1857</v>
      </c>
      <c r="H613">
        <v>23.5</v>
      </c>
      <c r="I613">
        <v>669</v>
      </c>
      <c r="J613">
        <v>71.3</v>
      </c>
      <c r="K613">
        <v>528</v>
      </c>
      <c r="L613">
        <v>47.1</v>
      </c>
      <c r="M613">
        <v>862</v>
      </c>
      <c r="N613">
        <v>48.2</v>
      </c>
      <c r="O613">
        <v>860</v>
      </c>
      <c r="P613" t="s">
        <v>397</v>
      </c>
      <c r="Q613" s="1">
        <v>14981</v>
      </c>
      <c r="R613">
        <v>40.799999999999997</v>
      </c>
      <c r="S613" s="2">
        <v>7.0000000000000007E-2</v>
      </c>
      <c r="T613" s="3">
        <v>2.5687500000000001</v>
      </c>
      <c r="U613" s="2">
        <v>0.25</v>
      </c>
      <c r="V613" t="s">
        <v>1397</v>
      </c>
      <c r="W613" t="s">
        <v>1398</v>
      </c>
      <c r="X613" t="b">
        <v>0</v>
      </c>
      <c r="Y613" t="b">
        <v>0</v>
      </c>
    </row>
    <row r="614" spans="1:25">
      <c r="A614">
        <v>6130</v>
      </c>
      <c r="B614" t="s">
        <v>1382</v>
      </c>
      <c r="C614" t="s">
        <v>1399</v>
      </c>
      <c r="D614" t="s">
        <v>1384</v>
      </c>
      <c r="E614">
        <v>6130</v>
      </c>
      <c r="F614">
        <v>35.200000000000003</v>
      </c>
      <c r="G614">
        <v>454</v>
      </c>
      <c r="H614">
        <v>17.100000000000001</v>
      </c>
      <c r="I614">
        <v>960</v>
      </c>
      <c r="J614">
        <v>57.2</v>
      </c>
      <c r="K614">
        <v>844</v>
      </c>
      <c r="L614">
        <v>38.5</v>
      </c>
      <c r="M614">
        <v>1011</v>
      </c>
      <c r="N614">
        <v>46.5</v>
      </c>
      <c r="O614">
        <v>916</v>
      </c>
      <c r="P614" t="s">
        <v>29</v>
      </c>
      <c r="Q614" s="1">
        <v>12771</v>
      </c>
      <c r="R614">
        <v>12</v>
      </c>
      <c r="S614" s="2">
        <v>0.12</v>
      </c>
      <c r="T614" s="3">
        <v>2.6097222222222221</v>
      </c>
      <c r="U614" s="2">
        <v>0.19</v>
      </c>
      <c r="V614" t="s">
        <v>1399</v>
      </c>
      <c r="W614" t="s">
        <v>1400</v>
      </c>
      <c r="X614" t="b">
        <v>0</v>
      </c>
      <c r="Y614" t="b">
        <v>0</v>
      </c>
    </row>
    <row r="615" spans="1:25">
      <c r="A615">
        <v>6140</v>
      </c>
      <c r="B615" t="s">
        <v>1382</v>
      </c>
      <c r="C615" t="s">
        <v>1401</v>
      </c>
      <c r="D615" t="s">
        <v>1384</v>
      </c>
      <c r="E615">
        <v>6140</v>
      </c>
      <c r="F615">
        <v>24.5</v>
      </c>
      <c r="G615">
        <v>1041</v>
      </c>
      <c r="H615">
        <v>26.3</v>
      </c>
      <c r="I615">
        <v>561</v>
      </c>
      <c r="J615">
        <v>57.9</v>
      </c>
      <c r="K615">
        <v>826</v>
      </c>
      <c r="L615">
        <v>27.9</v>
      </c>
      <c r="M615">
        <v>1237</v>
      </c>
      <c r="N615">
        <v>88.6</v>
      </c>
      <c r="O615">
        <v>142</v>
      </c>
      <c r="P615" t="s">
        <v>608</v>
      </c>
      <c r="Q615" s="1">
        <v>4737</v>
      </c>
      <c r="R615">
        <v>12.5</v>
      </c>
      <c r="S615" s="2">
        <v>0.74</v>
      </c>
      <c r="T615" s="3">
        <v>2.2819444444444446</v>
      </c>
      <c r="U615" s="2">
        <v>0.4</v>
      </c>
      <c r="V615" t="s">
        <v>1401</v>
      </c>
      <c r="W615" t="s">
        <v>1402</v>
      </c>
      <c r="X615" t="b">
        <v>0</v>
      </c>
      <c r="Y615" t="b">
        <v>0</v>
      </c>
    </row>
    <row r="616" spans="1:25">
      <c r="A616">
        <v>6150</v>
      </c>
      <c r="B616" t="s">
        <v>1382</v>
      </c>
      <c r="C616" t="s">
        <v>1403</v>
      </c>
      <c r="D616" t="s">
        <v>1384</v>
      </c>
      <c r="E616">
        <v>6150</v>
      </c>
      <c r="F616">
        <v>27.4</v>
      </c>
      <c r="G616">
        <v>848</v>
      </c>
      <c r="H616">
        <v>30.5</v>
      </c>
      <c r="I616">
        <v>453</v>
      </c>
      <c r="J616">
        <v>62.6</v>
      </c>
      <c r="K616">
        <v>715</v>
      </c>
      <c r="L616">
        <v>67.3</v>
      </c>
      <c r="M616">
        <v>491</v>
      </c>
      <c r="N616">
        <v>36.200000000000003</v>
      </c>
      <c r="O616">
        <v>1268</v>
      </c>
      <c r="P616" t="s">
        <v>29</v>
      </c>
      <c r="Q616" s="1">
        <v>25318</v>
      </c>
      <c r="R616">
        <v>18.600000000000001</v>
      </c>
      <c r="S616" s="2">
        <v>0.04</v>
      </c>
      <c r="T616" s="3">
        <v>2.3229166666666665</v>
      </c>
      <c r="U616" s="2">
        <v>0.27</v>
      </c>
      <c r="V616" t="s">
        <v>1403</v>
      </c>
      <c r="W616" t="s">
        <v>1404</v>
      </c>
      <c r="X616" t="b">
        <v>0</v>
      </c>
      <c r="Y616" t="b">
        <v>0</v>
      </c>
    </row>
    <row r="617" spans="1:25">
      <c r="A617">
        <v>6160</v>
      </c>
      <c r="B617" t="s">
        <v>1382</v>
      </c>
      <c r="C617" t="s">
        <v>1405</v>
      </c>
      <c r="D617" t="s">
        <v>1384</v>
      </c>
      <c r="E617">
        <v>6160</v>
      </c>
      <c r="F617">
        <v>27.1</v>
      </c>
      <c r="G617">
        <v>867</v>
      </c>
      <c r="H617">
        <v>30.2</v>
      </c>
      <c r="I617">
        <v>464</v>
      </c>
      <c r="J617">
        <v>57.3</v>
      </c>
      <c r="K617">
        <v>837</v>
      </c>
      <c r="L617">
        <v>48.1</v>
      </c>
      <c r="M617">
        <v>837</v>
      </c>
      <c r="N617">
        <v>48.6</v>
      </c>
      <c r="O617">
        <v>846</v>
      </c>
      <c r="P617" t="s">
        <v>992</v>
      </c>
      <c r="Q617" s="1">
        <v>13563</v>
      </c>
      <c r="R617">
        <v>16.3</v>
      </c>
      <c r="S617" s="2">
        <v>0.11</v>
      </c>
      <c r="T617" s="3">
        <v>2.2819444444444446</v>
      </c>
      <c r="U617" s="2">
        <v>0.36</v>
      </c>
      <c r="V617" t="s">
        <v>1405</v>
      </c>
      <c r="W617" t="s">
        <v>1406</v>
      </c>
      <c r="X617" t="b">
        <v>0</v>
      </c>
      <c r="Y617" t="b">
        <v>0</v>
      </c>
    </row>
    <row r="618" spans="1:25">
      <c r="A618">
        <v>6170</v>
      </c>
      <c r="B618" t="s">
        <v>1382</v>
      </c>
      <c r="C618" t="s">
        <v>1407</v>
      </c>
      <c r="D618" t="s">
        <v>1384</v>
      </c>
      <c r="E618">
        <v>6170</v>
      </c>
      <c r="F618">
        <v>41.7</v>
      </c>
      <c r="G618">
        <v>266</v>
      </c>
      <c r="H618">
        <v>12</v>
      </c>
      <c r="I618">
        <v>1406</v>
      </c>
      <c r="J618">
        <v>70.5</v>
      </c>
      <c r="K618">
        <v>552</v>
      </c>
      <c r="L618">
        <v>18</v>
      </c>
      <c r="M618">
        <v>1664</v>
      </c>
      <c r="N618">
        <v>21</v>
      </c>
      <c r="O618">
        <v>1842</v>
      </c>
      <c r="P618" t="s">
        <v>795</v>
      </c>
      <c r="Q618" s="1">
        <v>4135</v>
      </c>
      <c r="R618">
        <v>11.7</v>
      </c>
      <c r="S618" s="2">
        <v>0</v>
      </c>
      <c r="T618" s="3">
        <v>2.4048611111111109</v>
      </c>
      <c r="U618" s="2">
        <v>0.11</v>
      </c>
      <c r="V618" t="s">
        <v>1407</v>
      </c>
      <c r="W618" t="s">
        <v>1408</v>
      </c>
      <c r="X618" t="b">
        <v>0</v>
      </c>
      <c r="Y618" t="b">
        <v>0</v>
      </c>
    </row>
    <row r="619" spans="1:25">
      <c r="A619">
        <v>6180</v>
      </c>
      <c r="B619" t="s">
        <v>1382</v>
      </c>
      <c r="C619" t="s">
        <v>1409</v>
      </c>
      <c r="D619" t="s">
        <v>1384</v>
      </c>
      <c r="E619">
        <v>6180</v>
      </c>
      <c r="F619">
        <v>47.2</v>
      </c>
      <c r="G619">
        <v>171</v>
      </c>
      <c r="H619">
        <v>16.399999999999999</v>
      </c>
      <c r="I619">
        <v>1013</v>
      </c>
      <c r="J619">
        <v>66.400000000000006</v>
      </c>
      <c r="K619">
        <v>641</v>
      </c>
      <c r="L619">
        <v>26.8</v>
      </c>
      <c r="M619">
        <v>1267</v>
      </c>
      <c r="N619">
        <v>25</v>
      </c>
      <c r="O619">
        <v>1704</v>
      </c>
      <c r="P619" t="s">
        <v>528</v>
      </c>
      <c r="Q619" s="1">
        <v>12620</v>
      </c>
      <c r="R619">
        <v>8</v>
      </c>
      <c r="S619" s="2">
        <v>0.03</v>
      </c>
      <c r="T619" s="3">
        <v>1.83125</v>
      </c>
      <c r="U619" s="2">
        <v>0.23</v>
      </c>
      <c r="V619" t="s">
        <v>1409</v>
      </c>
      <c r="W619" t="s">
        <v>1410</v>
      </c>
      <c r="X619" t="b">
        <v>0</v>
      </c>
      <c r="Y619" t="b">
        <v>0</v>
      </c>
    </row>
    <row r="620" spans="1:25">
      <c r="A620">
        <v>6190</v>
      </c>
      <c r="B620" t="s">
        <v>1382</v>
      </c>
      <c r="C620" t="s">
        <v>1411</v>
      </c>
      <c r="D620" t="s">
        <v>1384</v>
      </c>
      <c r="E620">
        <v>6190</v>
      </c>
      <c r="F620">
        <v>19.8</v>
      </c>
      <c r="G620">
        <v>1387</v>
      </c>
      <c r="H620">
        <v>21.8</v>
      </c>
      <c r="I620">
        <v>738</v>
      </c>
      <c r="J620">
        <v>78.3</v>
      </c>
      <c r="K620">
        <v>356</v>
      </c>
      <c r="L620">
        <v>57.8</v>
      </c>
      <c r="M620">
        <v>686</v>
      </c>
      <c r="N620">
        <v>37.5</v>
      </c>
      <c r="O620">
        <v>1218</v>
      </c>
      <c r="P620" t="s">
        <v>397</v>
      </c>
      <c r="Q620" s="1">
        <v>30486</v>
      </c>
      <c r="R620">
        <v>20</v>
      </c>
      <c r="S620" s="2">
        <v>0.02</v>
      </c>
      <c r="T620" s="3">
        <v>2.6097222222222221</v>
      </c>
      <c r="U620" s="2">
        <v>0.19</v>
      </c>
      <c r="V620" t="s">
        <v>1411</v>
      </c>
      <c r="W620" t="s">
        <v>1412</v>
      </c>
      <c r="X620" t="b">
        <v>0</v>
      </c>
      <c r="Y620" t="b">
        <v>0</v>
      </c>
    </row>
    <row r="621" spans="1:25">
      <c r="A621">
        <v>6200</v>
      </c>
      <c r="B621" t="s">
        <v>1382</v>
      </c>
      <c r="C621" t="s">
        <v>1413</v>
      </c>
      <c r="D621" t="s">
        <v>1384</v>
      </c>
      <c r="E621">
        <v>6200</v>
      </c>
      <c r="F621">
        <v>27</v>
      </c>
      <c r="G621">
        <v>874</v>
      </c>
      <c r="H621">
        <v>23.9</v>
      </c>
      <c r="I621">
        <v>657</v>
      </c>
      <c r="J621">
        <v>65.8</v>
      </c>
      <c r="K621">
        <v>653</v>
      </c>
      <c r="L621">
        <v>65.5</v>
      </c>
      <c r="M621">
        <v>536</v>
      </c>
      <c r="N621">
        <v>46.2</v>
      </c>
      <c r="O621">
        <v>923</v>
      </c>
      <c r="P621" t="s">
        <v>386</v>
      </c>
      <c r="Q621" s="1">
        <v>38301</v>
      </c>
      <c r="R621">
        <v>13.8</v>
      </c>
      <c r="S621" s="2">
        <v>0.05</v>
      </c>
      <c r="T621" s="3">
        <v>2.3229166666666665</v>
      </c>
      <c r="U621" s="2">
        <v>0.33</v>
      </c>
      <c r="V621" t="s">
        <v>1413</v>
      </c>
      <c r="W621" t="s">
        <v>1414</v>
      </c>
      <c r="X621" t="b">
        <v>0</v>
      </c>
      <c r="Y621" t="b">
        <v>0</v>
      </c>
    </row>
    <row r="622" spans="1:25">
      <c r="A622">
        <v>6210</v>
      </c>
      <c r="B622" t="s">
        <v>1382</v>
      </c>
      <c r="C622" t="s">
        <v>1415</v>
      </c>
      <c r="D622" t="s">
        <v>1384</v>
      </c>
      <c r="E622">
        <v>6210</v>
      </c>
      <c r="F622">
        <v>39.200000000000003</v>
      </c>
      <c r="G622">
        <v>328</v>
      </c>
      <c r="H622">
        <v>19.7</v>
      </c>
      <c r="I622">
        <v>829</v>
      </c>
      <c r="J622">
        <v>61.3</v>
      </c>
      <c r="K622">
        <v>747</v>
      </c>
      <c r="L622">
        <v>54.8</v>
      </c>
      <c r="M622">
        <v>729</v>
      </c>
      <c r="N622">
        <v>38.6</v>
      </c>
      <c r="O622">
        <v>1167</v>
      </c>
      <c r="P622" t="s">
        <v>29</v>
      </c>
      <c r="Q622" s="1">
        <v>20859</v>
      </c>
      <c r="R622">
        <v>19</v>
      </c>
      <c r="S622" s="2">
        <v>0.06</v>
      </c>
      <c r="T622" s="3">
        <v>2.5687500000000001</v>
      </c>
      <c r="U622" s="2">
        <v>0.27</v>
      </c>
      <c r="V622" t="s">
        <v>1416</v>
      </c>
      <c r="W622" t="s">
        <v>1417</v>
      </c>
      <c r="X622" t="b">
        <v>0</v>
      </c>
      <c r="Y622" t="b">
        <v>0</v>
      </c>
    </row>
    <row r="623" spans="1:25">
      <c r="A623">
        <v>6220</v>
      </c>
      <c r="B623" t="s">
        <v>1382</v>
      </c>
      <c r="C623" t="s">
        <v>1418</v>
      </c>
      <c r="D623" t="s">
        <v>1384</v>
      </c>
      <c r="E623">
        <v>6220</v>
      </c>
      <c r="F623">
        <v>20.100000000000001</v>
      </c>
      <c r="G623">
        <v>1365</v>
      </c>
      <c r="H623">
        <v>22.2</v>
      </c>
      <c r="I623">
        <v>720</v>
      </c>
      <c r="J623">
        <v>65.400000000000006</v>
      </c>
      <c r="K623">
        <v>669</v>
      </c>
      <c r="L623">
        <v>36.700000000000003</v>
      </c>
      <c r="M623">
        <v>1055</v>
      </c>
      <c r="N623">
        <v>52.3</v>
      </c>
      <c r="O623">
        <v>731</v>
      </c>
      <c r="P623" t="s">
        <v>992</v>
      </c>
      <c r="Q623" s="1">
        <v>8248</v>
      </c>
      <c r="R623">
        <v>17.399999999999999</v>
      </c>
      <c r="S623" s="2">
        <v>0.18</v>
      </c>
      <c r="T623" s="3">
        <v>2.2000000000000002</v>
      </c>
      <c r="U623" s="2">
        <v>0.31</v>
      </c>
      <c r="V623" t="s">
        <v>1418</v>
      </c>
      <c r="W623" t="s">
        <v>1419</v>
      </c>
      <c r="X623" t="b">
        <v>0</v>
      </c>
      <c r="Y623" t="b">
        <v>0</v>
      </c>
    </row>
    <row r="624" spans="1:25">
      <c r="A624">
        <v>6230</v>
      </c>
      <c r="B624" t="s">
        <v>1382</v>
      </c>
      <c r="C624" t="s">
        <v>1420</v>
      </c>
      <c r="D624" t="s">
        <v>1384</v>
      </c>
      <c r="E624">
        <v>6230</v>
      </c>
      <c r="F624">
        <v>36.700000000000003</v>
      </c>
      <c r="G624">
        <v>400</v>
      </c>
      <c r="H624">
        <v>32.6</v>
      </c>
      <c r="I624">
        <v>403</v>
      </c>
      <c r="J624">
        <v>48</v>
      </c>
      <c r="K624">
        <v>1061</v>
      </c>
      <c r="L624">
        <v>34.6</v>
      </c>
      <c r="M624">
        <v>1099</v>
      </c>
      <c r="N624">
        <v>31.1</v>
      </c>
      <c r="O624">
        <v>1460</v>
      </c>
      <c r="P624" t="s">
        <v>528</v>
      </c>
      <c r="Q624" s="1">
        <v>3887</v>
      </c>
      <c r="R624">
        <v>18.2</v>
      </c>
      <c r="S624" s="2">
        <v>0</v>
      </c>
      <c r="T624" s="3">
        <v>2.6097222222222221</v>
      </c>
      <c r="U624" s="2">
        <v>0.33</v>
      </c>
      <c r="V624" t="s">
        <v>1420</v>
      </c>
      <c r="W624" t="s">
        <v>1421</v>
      </c>
      <c r="X624" t="b">
        <v>0</v>
      </c>
      <c r="Y624" t="b">
        <v>0</v>
      </c>
    </row>
    <row r="625" spans="1:25">
      <c r="A625">
        <v>6240</v>
      </c>
      <c r="B625" t="s">
        <v>1382</v>
      </c>
      <c r="C625" t="s">
        <v>1422</v>
      </c>
      <c r="D625" t="s">
        <v>1384</v>
      </c>
      <c r="E625">
        <v>6240</v>
      </c>
      <c r="F625">
        <v>27.8</v>
      </c>
      <c r="G625">
        <v>814</v>
      </c>
      <c r="H625">
        <v>26</v>
      </c>
      <c r="I625">
        <v>570</v>
      </c>
      <c r="J625">
        <v>48.8</v>
      </c>
      <c r="K625">
        <v>1046</v>
      </c>
      <c r="L625">
        <v>91.4</v>
      </c>
      <c r="M625">
        <v>152</v>
      </c>
      <c r="N625">
        <v>70</v>
      </c>
      <c r="O625">
        <v>407</v>
      </c>
      <c r="P625" t="s">
        <v>895</v>
      </c>
      <c r="Q625" s="1">
        <v>9109</v>
      </c>
      <c r="R625">
        <v>14.8</v>
      </c>
      <c r="S625" s="2">
        <v>0.08</v>
      </c>
      <c r="T625" s="3">
        <v>1.9541666666666666</v>
      </c>
      <c r="U625" s="2">
        <v>0.36</v>
      </c>
      <c r="V625" t="s">
        <v>1422</v>
      </c>
      <c r="W625" t="s">
        <v>1423</v>
      </c>
      <c r="X625" t="b">
        <v>0</v>
      </c>
      <c r="Y625" t="b">
        <v>0</v>
      </c>
    </row>
    <row r="626" spans="1:25">
      <c r="A626">
        <v>6250</v>
      </c>
      <c r="B626" t="s">
        <v>1382</v>
      </c>
      <c r="C626" t="s">
        <v>1424</v>
      </c>
      <c r="D626" t="s">
        <v>1384</v>
      </c>
      <c r="E626">
        <v>6250</v>
      </c>
      <c r="F626">
        <v>17.3</v>
      </c>
      <c r="G626">
        <v>1606</v>
      </c>
      <c r="H626">
        <v>11.8</v>
      </c>
      <c r="I626">
        <v>1423</v>
      </c>
      <c r="J626">
        <v>77.8</v>
      </c>
      <c r="K626">
        <v>373</v>
      </c>
      <c r="L626">
        <v>23.2</v>
      </c>
      <c r="M626">
        <v>1390</v>
      </c>
      <c r="N626">
        <v>81.900000000000006</v>
      </c>
      <c r="O626">
        <v>223</v>
      </c>
      <c r="P626" t="s">
        <v>26</v>
      </c>
      <c r="Q626" s="1">
        <v>24575</v>
      </c>
      <c r="R626">
        <v>17.2</v>
      </c>
      <c r="S626" s="2">
        <v>0.26</v>
      </c>
      <c r="T626" s="3">
        <v>2.6506944444444445</v>
      </c>
      <c r="U626" s="2">
        <v>0.28000000000000003</v>
      </c>
      <c r="V626" t="s">
        <v>1424</v>
      </c>
      <c r="W626" t="s">
        <v>1425</v>
      </c>
      <c r="X626" t="b">
        <v>0</v>
      </c>
      <c r="Y626" t="b">
        <v>0</v>
      </c>
    </row>
    <row r="627" spans="1:25">
      <c r="A627">
        <v>6260</v>
      </c>
      <c r="B627" t="s">
        <v>1382</v>
      </c>
      <c r="C627" t="s">
        <v>1426</v>
      </c>
      <c r="D627" t="s">
        <v>1384</v>
      </c>
      <c r="E627">
        <v>6260</v>
      </c>
      <c r="F627">
        <v>26.1</v>
      </c>
      <c r="G627">
        <v>930</v>
      </c>
      <c r="H627">
        <v>26.6</v>
      </c>
      <c r="I627">
        <v>551</v>
      </c>
      <c r="J627">
        <v>57.4</v>
      </c>
      <c r="K627">
        <v>833</v>
      </c>
      <c r="L627">
        <v>59.6</v>
      </c>
      <c r="M627">
        <v>654</v>
      </c>
      <c r="N627">
        <v>50.6</v>
      </c>
      <c r="O627">
        <v>787</v>
      </c>
      <c r="P627" t="s">
        <v>895</v>
      </c>
      <c r="Q627" s="1">
        <v>12877</v>
      </c>
      <c r="R627">
        <v>23.5</v>
      </c>
      <c r="S627" s="2">
        <v>0.02</v>
      </c>
      <c r="T627" s="3">
        <v>1.9131944444444444</v>
      </c>
      <c r="U627" s="2">
        <v>0.44</v>
      </c>
      <c r="V627" t="s">
        <v>1426</v>
      </c>
      <c r="W627" t="s">
        <v>1427</v>
      </c>
      <c r="X627" t="b">
        <v>0</v>
      </c>
      <c r="Y627" t="b">
        <v>0</v>
      </c>
    </row>
    <row r="628" spans="1:25">
      <c r="A628">
        <v>6270</v>
      </c>
      <c r="B628" t="s">
        <v>1382</v>
      </c>
      <c r="C628" t="s">
        <v>1428</v>
      </c>
      <c r="D628" t="s">
        <v>1384</v>
      </c>
      <c r="E628">
        <v>6270</v>
      </c>
      <c r="F628">
        <v>25.6</v>
      </c>
      <c r="G628">
        <v>965</v>
      </c>
      <c r="H628">
        <v>9.6</v>
      </c>
      <c r="I628">
        <v>1698</v>
      </c>
      <c r="J628">
        <v>79</v>
      </c>
      <c r="K628">
        <v>343</v>
      </c>
      <c r="L628">
        <v>47.7</v>
      </c>
      <c r="M628">
        <v>849</v>
      </c>
      <c r="N628">
        <v>31.6</v>
      </c>
      <c r="O628">
        <v>1443</v>
      </c>
      <c r="P628" t="s">
        <v>397</v>
      </c>
      <c r="Q628" s="1">
        <v>28065</v>
      </c>
      <c r="R628">
        <v>28.9</v>
      </c>
      <c r="S628" s="2">
        <v>0.02</v>
      </c>
      <c r="T628" s="3">
        <v>1.9131944444444444</v>
      </c>
      <c r="U628" s="2">
        <v>0.16</v>
      </c>
      <c r="V628" t="s">
        <v>1428</v>
      </c>
      <c r="W628" t="s">
        <v>1429</v>
      </c>
      <c r="X628" t="b">
        <v>0</v>
      </c>
      <c r="Y628" t="b">
        <v>0</v>
      </c>
    </row>
    <row r="629" spans="1:25">
      <c r="A629">
        <v>6280</v>
      </c>
      <c r="B629" t="s">
        <v>1382</v>
      </c>
      <c r="C629" t="s">
        <v>1430</v>
      </c>
      <c r="D629" t="s">
        <v>1384</v>
      </c>
      <c r="E629">
        <v>6280</v>
      </c>
      <c r="F629">
        <v>14</v>
      </c>
      <c r="G629">
        <v>1801</v>
      </c>
      <c r="H629">
        <v>15.4</v>
      </c>
      <c r="I629">
        <v>1086</v>
      </c>
      <c r="J629">
        <v>83.4</v>
      </c>
      <c r="K629">
        <v>248</v>
      </c>
      <c r="L629">
        <v>17</v>
      </c>
      <c r="M629">
        <v>1753</v>
      </c>
      <c r="N629">
        <v>51</v>
      </c>
      <c r="O629">
        <v>771</v>
      </c>
      <c r="P629" t="s">
        <v>895</v>
      </c>
      <c r="Q629" s="1">
        <v>6685</v>
      </c>
      <c r="R629">
        <v>24</v>
      </c>
      <c r="S629" s="2">
        <v>0.01</v>
      </c>
      <c r="T629" s="3">
        <v>1.8722222222222222</v>
      </c>
      <c r="U629" s="2">
        <v>0.41</v>
      </c>
      <c r="V629" t="s">
        <v>1430</v>
      </c>
      <c r="W629" t="s">
        <v>1431</v>
      </c>
      <c r="X629" t="b">
        <v>0</v>
      </c>
      <c r="Y629" t="b">
        <v>0</v>
      </c>
    </row>
    <row r="630" spans="1:25">
      <c r="A630">
        <v>6290</v>
      </c>
      <c r="B630" t="s">
        <v>1382</v>
      </c>
      <c r="C630" t="s">
        <v>1432</v>
      </c>
      <c r="D630" t="s">
        <v>1384</v>
      </c>
      <c r="E630">
        <v>6290</v>
      </c>
      <c r="F630">
        <v>16.5</v>
      </c>
      <c r="G630">
        <v>1660</v>
      </c>
      <c r="H630">
        <v>23.8</v>
      </c>
      <c r="I630">
        <v>664</v>
      </c>
      <c r="J630">
        <v>71</v>
      </c>
      <c r="K630">
        <v>537</v>
      </c>
      <c r="L630">
        <v>44.6</v>
      </c>
      <c r="M630">
        <v>901</v>
      </c>
      <c r="N630">
        <v>46.9</v>
      </c>
      <c r="O630">
        <v>894</v>
      </c>
      <c r="P630" t="s">
        <v>1433</v>
      </c>
      <c r="Q630" s="1">
        <v>32167</v>
      </c>
      <c r="R630">
        <v>38.6</v>
      </c>
      <c r="S630" s="2">
        <v>0</v>
      </c>
      <c r="T630" t="s">
        <v>51</v>
      </c>
      <c r="U630" s="2">
        <v>0.16</v>
      </c>
      <c r="V630" t="s">
        <v>1434</v>
      </c>
      <c r="W630" t="s">
        <v>1435</v>
      </c>
      <c r="X630" t="b">
        <v>0</v>
      </c>
      <c r="Y630" t="b">
        <v>0</v>
      </c>
    </row>
    <row r="631" spans="1:25">
      <c r="A631">
        <v>6300</v>
      </c>
      <c r="B631" t="s">
        <v>1382</v>
      </c>
      <c r="C631" t="s">
        <v>1436</v>
      </c>
      <c r="D631" t="s">
        <v>1384</v>
      </c>
      <c r="E631">
        <v>6300</v>
      </c>
      <c r="F631">
        <v>35.9</v>
      </c>
      <c r="G631">
        <v>430</v>
      </c>
      <c r="H631">
        <v>20.9</v>
      </c>
      <c r="I631">
        <v>774</v>
      </c>
      <c r="J631">
        <v>65.8</v>
      </c>
      <c r="K631">
        <v>654</v>
      </c>
      <c r="L631">
        <v>46</v>
      </c>
      <c r="M631">
        <v>880</v>
      </c>
      <c r="N631">
        <v>26.4</v>
      </c>
      <c r="O631">
        <v>1648</v>
      </c>
      <c r="P631" t="s">
        <v>54</v>
      </c>
      <c r="Q631" s="1">
        <v>15347</v>
      </c>
      <c r="R631">
        <v>4.9000000000000004</v>
      </c>
      <c r="S631" s="2">
        <v>0.05</v>
      </c>
      <c r="T631" s="3">
        <v>2.6916666666666669</v>
      </c>
      <c r="U631" s="2">
        <v>0.03</v>
      </c>
      <c r="V631" t="s">
        <v>1436</v>
      </c>
      <c r="W631" t="s">
        <v>1437</v>
      </c>
      <c r="X631" t="b">
        <v>0</v>
      </c>
      <c r="Y631" t="b">
        <v>0</v>
      </c>
    </row>
    <row r="632" spans="1:25">
      <c r="A632">
        <v>6310</v>
      </c>
      <c r="B632" t="s">
        <v>1382</v>
      </c>
      <c r="C632" t="s">
        <v>1438</v>
      </c>
      <c r="D632" t="s">
        <v>1384</v>
      </c>
      <c r="E632">
        <v>6310</v>
      </c>
      <c r="F632">
        <v>13.4</v>
      </c>
      <c r="G632">
        <v>1825</v>
      </c>
      <c r="H632">
        <v>16.100000000000001</v>
      </c>
      <c r="I632">
        <v>1040</v>
      </c>
      <c r="J632">
        <v>82</v>
      </c>
      <c r="K632">
        <v>284</v>
      </c>
      <c r="L632">
        <v>22.2</v>
      </c>
      <c r="M632">
        <v>1433</v>
      </c>
      <c r="N632">
        <v>46.6</v>
      </c>
      <c r="O632">
        <v>910</v>
      </c>
      <c r="P632" t="s">
        <v>1102</v>
      </c>
      <c r="Q632" s="1">
        <v>6237</v>
      </c>
      <c r="R632">
        <v>28</v>
      </c>
      <c r="S632" s="2">
        <v>0</v>
      </c>
      <c r="T632" t="s">
        <v>801</v>
      </c>
      <c r="U632" s="2">
        <v>0.4</v>
      </c>
      <c r="V632" t="s">
        <v>1438</v>
      </c>
      <c r="W632" t="s">
        <v>1439</v>
      </c>
      <c r="X632" t="b">
        <v>0</v>
      </c>
      <c r="Y632" t="b">
        <v>0</v>
      </c>
    </row>
    <row r="633" spans="1:25">
      <c r="A633">
        <v>6320</v>
      </c>
      <c r="B633" t="s">
        <v>1382</v>
      </c>
      <c r="C633" t="s">
        <v>1440</v>
      </c>
      <c r="D633" t="s">
        <v>1384</v>
      </c>
      <c r="E633">
        <v>6320</v>
      </c>
      <c r="F633">
        <v>44.4</v>
      </c>
      <c r="G633">
        <v>210</v>
      </c>
      <c r="H633">
        <v>20</v>
      </c>
      <c r="I633">
        <v>811</v>
      </c>
      <c r="J633">
        <v>45.6</v>
      </c>
      <c r="K633">
        <v>1108</v>
      </c>
      <c r="L633">
        <v>68.7</v>
      </c>
      <c r="M633">
        <v>461</v>
      </c>
      <c r="N633">
        <v>51.7</v>
      </c>
      <c r="O633">
        <v>750</v>
      </c>
      <c r="P633" t="s">
        <v>29</v>
      </c>
      <c r="Q633" s="1">
        <v>3930</v>
      </c>
      <c r="R633">
        <v>11.2</v>
      </c>
      <c r="S633" s="2">
        <v>0.06</v>
      </c>
      <c r="T633" s="3">
        <v>2.3229166666666665</v>
      </c>
      <c r="U633" s="2">
        <v>0.45</v>
      </c>
      <c r="V633" t="s">
        <v>1440</v>
      </c>
      <c r="W633" t="s">
        <v>1441</v>
      </c>
      <c r="X633" t="b">
        <v>0</v>
      </c>
      <c r="Y633" t="b">
        <v>0</v>
      </c>
    </row>
    <row r="634" spans="1:25">
      <c r="A634">
        <v>6330</v>
      </c>
      <c r="B634" t="s">
        <v>1382</v>
      </c>
      <c r="C634" t="s">
        <v>1442</v>
      </c>
      <c r="D634" t="s">
        <v>1384</v>
      </c>
      <c r="E634">
        <v>6330</v>
      </c>
      <c r="F634">
        <v>30.7</v>
      </c>
      <c r="G634">
        <v>652</v>
      </c>
      <c r="H634">
        <v>38.700000000000003</v>
      </c>
      <c r="I634">
        <v>265</v>
      </c>
      <c r="J634">
        <v>42.9</v>
      </c>
      <c r="K634">
        <v>1170</v>
      </c>
      <c r="L634">
        <v>89.9</v>
      </c>
      <c r="M634">
        <v>165</v>
      </c>
      <c r="N634">
        <v>36.200000000000003</v>
      </c>
      <c r="O634">
        <v>1269</v>
      </c>
      <c r="P634" t="s">
        <v>181</v>
      </c>
      <c r="Q634" s="1">
        <v>7389</v>
      </c>
      <c r="R634">
        <v>17.899999999999999</v>
      </c>
      <c r="S634" s="2">
        <v>7.0000000000000007E-2</v>
      </c>
      <c r="T634" s="3">
        <v>2.4048611111111109</v>
      </c>
      <c r="U634" s="2">
        <v>0.05</v>
      </c>
      <c r="V634" t="s">
        <v>1442</v>
      </c>
      <c r="W634" t="s">
        <v>1443</v>
      </c>
      <c r="X634" t="b">
        <v>0</v>
      </c>
      <c r="Y634" t="b">
        <v>0</v>
      </c>
    </row>
    <row r="635" spans="1:25">
      <c r="A635">
        <v>6340</v>
      </c>
      <c r="B635" t="s">
        <v>1382</v>
      </c>
      <c r="C635" t="s">
        <v>1444</v>
      </c>
      <c r="D635" t="s">
        <v>1384</v>
      </c>
      <c r="E635">
        <v>6340</v>
      </c>
      <c r="F635">
        <v>26.5</v>
      </c>
      <c r="G635">
        <v>908</v>
      </c>
      <c r="H635">
        <v>34.6</v>
      </c>
      <c r="I635">
        <v>358</v>
      </c>
      <c r="J635">
        <v>47.2</v>
      </c>
      <c r="K635">
        <v>1076</v>
      </c>
      <c r="L635">
        <v>95.5</v>
      </c>
      <c r="M635">
        <v>113</v>
      </c>
      <c r="N635">
        <v>28.5</v>
      </c>
      <c r="O635">
        <v>1560</v>
      </c>
      <c r="P635" t="s">
        <v>389</v>
      </c>
      <c r="Q635" s="1">
        <v>7017</v>
      </c>
      <c r="R635">
        <v>12.3</v>
      </c>
      <c r="S635" s="2">
        <v>0.05</v>
      </c>
      <c r="T635" s="3">
        <v>2.0770833333333334</v>
      </c>
      <c r="U635" s="2">
        <v>0.09</v>
      </c>
      <c r="V635" t="s">
        <v>1445</v>
      </c>
      <c r="W635" t="s">
        <v>1446</v>
      </c>
      <c r="X635" t="b">
        <v>0</v>
      </c>
      <c r="Y635" t="b">
        <v>0</v>
      </c>
    </row>
    <row r="636" spans="1:25">
      <c r="A636">
        <v>6350</v>
      </c>
      <c r="B636" t="s">
        <v>1382</v>
      </c>
      <c r="C636" t="s">
        <v>1447</v>
      </c>
      <c r="D636" t="s">
        <v>1384</v>
      </c>
      <c r="E636">
        <v>6350</v>
      </c>
      <c r="F636">
        <v>36.700000000000003</v>
      </c>
      <c r="G636">
        <v>402</v>
      </c>
      <c r="H636">
        <v>32.200000000000003</v>
      </c>
      <c r="I636">
        <v>414</v>
      </c>
      <c r="J636">
        <v>50.2</v>
      </c>
      <c r="K636">
        <v>1019</v>
      </c>
      <c r="L636">
        <v>76.599999999999994</v>
      </c>
      <c r="M636">
        <v>307</v>
      </c>
      <c r="N636">
        <v>44.1</v>
      </c>
      <c r="O636">
        <v>987</v>
      </c>
      <c r="P636" t="s">
        <v>1448</v>
      </c>
      <c r="Q636" s="1">
        <v>34552</v>
      </c>
      <c r="R636">
        <v>12.7</v>
      </c>
      <c r="S636" s="2">
        <v>0.03</v>
      </c>
      <c r="T636" s="3">
        <v>2.3638888888888889</v>
      </c>
      <c r="U636" s="2">
        <v>0.24</v>
      </c>
      <c r="V636" t="s">
        <v>1449</v>
      </c>
      <c r="W636" t="s">
        <v>1450</v>
      </c>
      <c r="X636" t="b">
        <v>0</v>
      </c>
      <c r="Y636" t="b">
        <v>0</v>
      </c>
    </row>
    <row r="637" spans="1:25">
      <c r="A637">
        <v>6360</v>
      </c>
      <c r="B637" t="s">
        <v>1382</v>
      </c>
      <c r="C637" t="s">
        <v>1451</v>
      </c>
      <c r="D637" t="s">
        <v>1384</v>
      </c>
      <c r="E637">
        <v>6360</v>
      </c>
      <c r="F637">
        <v>26.6</v>
      </c>
      <c r="G637">
        <v>901</v>
      </c>
      <c r="H637">
        <v>20.8</v>
      </c>
      <c r="I637">
        <v>782</v>
      </c>
      <c r="J637">
        <v>66.8</v>
      </c>
      <c r="K637">
        <v>628</v>
      </c>
      <c r="L637">
        <v>54</v>
      </c>
      <c r="M637">
        <v>738</v>
      </c>
      <c r="N637">
        <v>70.5</v>
      </c>
      <c r="O637">
        <v>401</v>
      </c>
      <c r="P637" t="s">
        <v>29</v>
      </c>
      <c r="Q637" s="1">
        <v>3217</v>
      </c>
      <c r="R637">
        <v>12.2</v>
      </c>
      <c r="S637" s="2">
        <v>0.27</v>
      </c>
      <c r="T637" s="3">
        <v>2.4868055555555557</v>
      </c>
      <c r="U637" s="2">
        <v>0.23</v>
      </c>
      <c r="V637" t="s">
        <v>1451</v>
      </c>
      <c r="W637" t="s">
        <v>1452</v>
      </c>
      <c r="X637" t="b">
        <v>0</v>
      </c>
      <c r="Y637" t="b">
        <v>0</v>
      </c>
    </row>
    <row r="638" spans="1:25">
      <c r="A638">
        <v>6370</v>
      </c>
      <c r="B638" t="s">
        <v>1382</v>
      </c>
      <c r="C638" t="s">
        <v>1453</v>
      </c>
      <c r="D638" t="s">
        <v>1384</v>
      </c>
      <c r="E638">
        <v>6370</v>
      </c>
      <c r="F638">
        <v>17.899999999999999</v>
      </c>
      <c r="G638">
        <v>1555</v>
      </c>
      <c r="H638">
        <v>16.600000000000001</v>
      </c>
      <c r="I638">
        <v>999</v>
      </c>
      <c r="J638">
        <v>88.2</v>
      </c>
      <c r="K638">
        <v>151</v>
      </c>
      <c r="L638">
        <v>30.5</v>
      </c>
      <c r="M638">
        <v>1171</v>
      </c>
      <c r="N638">
        <v>50</v>
      </c>
      <c r="O638">
        <v>803</v>
      </c>
      <c r="P638" t="s">
        <v>1102</v>
      </c>
      <c r="Q638" s="1">
        <v>34323</v>
      </c>
      <c r="R638">
        <v>16</v>
      </c>
      <c r="S638" s="2">
        <v>0.01</v>
      </c>
      <c r="T638" s="3">
        <v>1.7902777777777779</v>
      </c>
      <c r="U638" s="2">
        <v>0.4</v>
      </c>
      <c r="V638" t="s">
        <v>1453</v>
      </c>
      <c r="W638" t="s">
        <v>1454</v>
      </c>
      <c r="X638" t="b">
        <v>0</v>
      </c>
      <c r="Y638" t="b">
        <v>0</v>
      </c>
    </row>
    <row r="639" spans="1:25">
      <c r="A639">
        <v>6380</v>
      </c>
      <c r="B639" t="s">
        <v>1382</v>
      </c>
      <c r="C639" t="s">
        <v>1455</v>
      </c>
      <c r="D639" t="s">
        <v>1384</v>
      </c>
      <c r="E639">
        <v>6380</v>
      </c>
      <c r="F639">
        <v>27</v>
      </c>
      <c r="G639">
        <v>875</v>
      </c>
      <c r="H639">
        <v>19.899999999999999</v>
      </c>
      <c r="I639">
        <v>816</v>
      </c>
      <c r="J639">
        <v>62.6</v>
      </c>
      <c r="K639">
        <v>716</v>
      </c>
      <c r="L639">
        <v>41.9</v>
      </c>
      <c r="M639">
        <v>941</v>
      </c>
      <c r="N639">
        <v>52.3</v>
      </c>
      <c r="O639">
        <v>733</v>
      </c>
      <c r="P639" t="s">
        <v>386</v>
      </c>
      <c r="Q639" s="1">
        <v>17070</v>
      </c>
      <c r="R639">
        <v>12.9</v>
      </c>
      <c r="S639" s="2">
        <v>0.11</v>
      </c>
      <c r="T639" s="3">
        <v>2.4048611111111109</v>
      </c>
      <c r="U639" s="2">
        <v>0.22</v>
      </c>
      <c r="V639" t="s">
        <v>1455</v>
      </c>
      <c r="W639" t="s">
        <v>1456</v>
      </c>
      <c r="X639" t="b">
        <v>0</v>
      </c>
      <c r="Y639" t="b">
        <v>0</v>
      </c>
    </row>
    <row r="640" spans="1:25">
      <c r="A640">
        <v>6390</v>
      </c>
      <c r="B640" t="s">
        <v>1382</v>
      </c>
      <c r="C640" t="s">
        <v>1457</v>
      </c>
      <c r="D640" t="s">
        <v>1384</v>
      </c>
      <c r="E640">
        <v>6390</v>
      </c>
      <c r="F640">
        <v>20.9</v>
      </c>
      <c r="G640">
        <v>1306</v>
      </c>
      <c r="H640">
        <v>14.9</v>
      </c>
      <c r="I640">
        <v>1133</v>
      </c>
      <c r="J640">
        <v>69.599999999999994</v>
      </c>
      <c r="K640">
        <v>566</v>
      </c>
      <c r="L640">
        <v>26.8</v>
      </c>
      <c r="M640">
        <v>1268</v>
      </c>
      <c r="N640">
        <v>95.6</v>
      </c>
      <c r="O640">
        <v>35</v>
      </c>
      <c r="P640" t="s">
        <v>26</v>
      </c>
      <c r="Q640" s="1">
        <v>32635</v>
      </c>
      <c r="R640">
        <v>14.9</v>
      </c>
      <c r="S640" s="2">
        <v>0.48</v>
      </c>
      <c r="T640" s="3">
        <v>2.036111111111111</v>
      </c>
      <c r="U640" s="2">
        <v>0.3</v>
      </c>
      <c r="V640" t="s">
        <v>1457</v>
      </c>
      <c r="W640" t="s">
        <v>1458</v>
      </c>
      <c r="X640" t="b">
        <v>0</v>
      </c>
      <c r="Y640" t="b">
        <v>0</v>
      </c>
    </row>
    <row r="641" spans="1:25">
      <c r="A641">
        <v>6400</v>
      </c>
      <c r="B641" t="s">
        <v>1382</v>
      </c>
      <c r="C641" t="s">
        <v>1459</v>
      </c>
      <c r="D641" t="s">
        <v>1384</v>
      </c>
      <c r="E641">
        <v>6400</v>
      </c>
      <c r="F641">
        <v>29.4</v>
      </c>
      <c r="G641">
        <v>726</v>
      </c>
      <c r="H641">
        <v>19.100000000000001</v>
      </c>
      <c r="I641">
        <v>860</v>
      </c>
      <c r="J641">
        <v>63.3</v>
      </c>
      <c r="K641">
        <v>704</v>
      </c>
      <c r="L641">
        <v>21.9</v>
      </c>
      <c r="M641">
        <v>1442</v>
      </c>
      <c r="N641">
        <v>71.2</v>
      </c>
      <c r="O641">
        <v>390</v>
      </c>
      <c r="P641" t="s">
        <v>1223</v>
      </c>
      <c r="Q641" s="1">
        <v>3157</v>
      </c>
      <c r="R641">
        <v>15.3</v>
      </c>
      <c r="S641" s="2">
        <v>0.14000000000000001</v>
      </c>
      <c r="T641" s="3">
        <v>2.4048611111111109</v>
      </c>
      <c r="U641" s="2">
        <v>0.3</v>
      </c>
      <c r="V641" t="s">
        <v>1459</v>
      </c>
      <c r="W641" t="s">
        <v>1460</v>
      </c>
      <c r="X641" t="b">
        <v>0</v>
      </c>
      <c r="Y641" t="b">
        <v>0</v>
      </c>
    </row>
    <row r="642" spans="1:25">
      <c r="A642">
        <v>6410</v>
      </c>
      <c r="B642" t="s">
        <v>1382</v>
      </c>
      <c r="C642" t="s">
        <v>1461</v>
      </c>
      <c r="D642" t="s">
        <v>1384</v>
      </c>
      <c r="E642">
        <v>6410</v>
      </c>
      <c r="F642">
        <v>41.2</v>
      </c>
      <c r="G642">
        <v>274</v>
      </c>
      <c r="H642">
        <v>22.5</v>
      </c>
      <c r="I642">
        <v>707</v>
      </c>
      <c r="J642">
        <v>40.700000000000003</v>
      </c>
      <c r="K642">
        <v>1211</v>
      </c>
      <c r="L642">
        <v>51.1</v>
      </c>
      <c r="M642">
        <v>790</v>
      </c>
      <c r="N642">
        <v>59.7</v>
      </c>
      <c r="O642">
        <v>591</v>
      </c>
      <c r="P642" t="s">
        <v>691</v>
      </c>
      <c r="Q642" s="1">
        <v>19964</v>
      </c>
      <c r="R642">
        <v>12</v>
      </c>
      <c r="S642" s="2">
        <v>0.24</v>
      </c>
      <c r="T642" s="3">
        <v>2.3638888888888889</v>
      </c>
      <c r="U642" s="2">
        <v>0.24</v>
      </c>
      <c r="V642" t="s">
        <v>1461</v>
      </c>
      <c r="W642" t="s">
        <v>1462</v>
      </c>
      <c r="X642" t="b">
        <v>0</v>
      </c>
      <c r="Y642" t="b">
        <v>0</v>
      </c>
    </row>
    <row r="643" spans="1:25">
      <c r="A643">
        <v>6420</v>
      </c>
      <c r="B643" t="s">
        <v>1382</v>
      </c>
      <c r="C643" t="s">
        <v>1463</v>
      </c>
      <c r="D643" t="s">
        <v>1384</v>
      </c>
      <c r="E643">
        <v>6420</v>
      </c>
      <c r="F643">
        <v>17.8</v>
      </c>
      <c r="G643">
        <v>1564</v>
      </c>
      <c r="H643">
        <v>15.1</v>
      </c>
      <c r="I643">
        <v>1112</v>
      </c>
      <c r="J643">
        <v>71</v>
      </c>
      <c r="K643">
        <v>538</v>
      </c>
      <c r="L643">
        <v>45</v>
      </c>
      <c r="M643">
        <v>893</v>
      </c>
      <c r="N643">
        <v>93.9</v>
      </c>
      <c r="O643">
        <v>65</v>
      </c>
      <c r="P643" t="s">
        <v>26</v>
      </c>
      <c r="Q643" s="1">
        <v>23125</v>
      </c>
      <c r="R643">
        <v>18.5</v>
      </c>
      <c r="S643" s="2">
        <v>0.37</v>
      </c>
      <c r="T643" s="3">
        <v>2.3638888888888889</v>
      </c>
      <c r="U643" s="2">
        <v>0.26</v>
      </c>
      <c r="V643" t="s">
        <v>1463</v>
      </c>
      <c r="W643" t="s">
        <v>1464</v>
      </c>
      <c r="X643" t="b">
        <v>0</v>
      </c>
      <c r="Y643" t="b">
        <v>0</v>
      </c>
    </row>
    <row r="644" spans="1:25">
      <c r="A644">
        <v>6430</v>
      </c>
      <c r="B644" t="s">
        <v>1382</v>
      </c>
      <c r="C644" t="s">
        <v>1465</v>
      </c>
      <c r="D644" t="s">
        <v>1384</v>
      </c>
      <c r="E644">
        <v>6430</v>
      </c>
      <c r="F644">
        <v>18.5</v>
      </c>
      <c r="G644">
        <v>1505</v>
      </c>
      <c r="H644">
        <v>12.8</v>
      </c>
      <c r="I644">
        <v>1323</v>
      </c>
      <c r="J644">
        <v>71.8</v>
      </c>
      <c r="K644">
        <v>515</v>
      </c>
      <c r="L644">
        <v>26.5</v>
      </c>
      <c r="M644">
        <v>1282</v>
      </c>
      <c r="N644">
        <v>75</v>
      </c>
      <c r="O644">
        <v>330</v>
      </c>
      <c r="P644" t="s">
        <v>26</v>
      </c>
      <c r="Q644" s="1">
        <v>16170</v>
      </c>
      <c r="R644">
        <v>15.8</v>
      </c>
      <c r="S644" s="2">
        <v>0.18</v>
      </c>
      <c r="T644" s="3">
        <v>2.5277777777777777</v>
      </c>
      <c r="U644" s="2">
        <v>0.28000000000000003</v>
      </c>
      <c r="V644" t="s">
        <v>1465</v>
      </c>
      <c r="W644" t="s">
        <v>1466</v>
      </c>
      <c r="X644" t="b">
        <v>0</v>
      </c>
      <c r="Y644" t="b">
        <v>0</v>
      </c>
    </row>
    <row r="645" spans="1:25">
      <c r="A645">
        <v>6440</v>
      </c>
      <c r="B645" t="s">
        <v>1382</v>
      </c>
      <c r="C645" t="s">
        <v>1467</v>
      </c>
      <c r="D645" t="s">
        <v>1384</v>
      </c>
      <c r="E645">
        <v>6440</v>
      </c>
      <c r="F645">
        <v>12.1</v>
      </c>
      <c r="G645">
        <v>1874</v>
      </c>
      <c r="H645">
        <v>14.2</v>
      </c>
      <c r="I645">
        <v>1187</v>
      </c>
      <c r="J645">
        <v>87.5</v>
      </c>
      <c r="K645">
        <v>163</v>
      </c>
      <c r="L645">
        <v>17.399999999999999</v>
      </c>
      <c r="M645">
        <v>1713</v>
      </c>
      <c r="N645">
        <v>52.5</v>
      </c>
      <c r="O645">
        <v>727</v>
      </c>
      <c r="P645" t="s">
        <v>1468</v>
      </c>
      <c r="Q645" s="1">
        <v>23951</v>
      </c>
      <c r="R645">
        <v>24.3</v>
      </c>
      <c r="S645" s="2">
        <v>0</v>
      </c>
      <c r="T645" s="3">
        <v>2.4048611111111109</v>
      </c>
      <c r="U645" s="2">
        <v>0.42</v>
      </c>
      <c r="V645" t="s">
        <v>1467</v>
      </c>
      <c r="W645" t="s">
        <v>1469</v>
      </c>
      <c r="X645" t="b">
        <v>0</v>
      </c>
      <c r="Y645" t="b">
        <v>0</v>
      </c>
    </row>
    <row r="646" spans="1:25">
      <c r="A646">
        <v>6450</v>
      </c>
      <c r="B646" t="s">
        <v>1382</v>
      </c>
      <c r="C646" t="s">
        <v>1470</v>
      </c>
      <c r="D646" t="s">
        <v>1384</v>
      </c>
      <c r="E646">
        <v>6450</v>
      </c>
      <c r="F646">
        <v>29.9</v>
      </c>
      <c r="G646">
        <v>694</v>
      </c>
      <c r="H646">
        <v>25.8</v>
      </c>
      <c r="I646">
        <v>580</v>
      </c>
      <c r="J646">
        <v>60.2</v>
      </c>
      <c r="K646">
        <v>770</v>
      </c>
      <c r="L646">
        <v>87.1</v>
      </c>
      <c r="M646">
        <v>186</v>
      </c>
      <c r="N646">
        <v>23.2</v>
      </c>
      <c r="O646">
        <v>1770</v>
      </c>
      <c r="P646" t="s">
        <v>54</v>
      </c>
      <c r="Q646" s="1">
        <v>30974</v>
      </c>
      <c r="R646">
        <v>18</v>
      </c>
      <c r="S646" s="2">
        <v>0.02</v>
      </c>
      <c r="T646" s="3">
        <v>1.8722222222222222</v>
      </c>
      <c r="U646" s="2">
        <v>0.37</v>
      </c>
      <c r="V646" t="s">
        <v>1470</v>
      </c>
      <c r="W646" t="s">
        <v>1471</v>
      </c>
      <c r="X646" t="b">
        <v>0</v>
      </c>
      <c r="Y646" t="b">
        <v>0</v>
      </c>
    </row>
    <row r="647" spans="1:25">
      <c r="A647">
        <v>6460</v>
      </c>
      <c r="B647" t="s">
        <v>1382</v>
      </c>
      <c r="C647" t="s">
        <v>1472</v>
      </c>
      <c r="D647" t="s">
        <v>1384</v>
      </c>
      <c r="E647">
        <v>6460</v>
      </c>
      <c r="F647">
        <v>26</v>
      </c>
      <c r="G647">
        <v>934</v>
      </c>
      <c r="H647">
        <v>15.2</v>
      </c>
      <c r="I647">
        <v>1106</v>
      </c>
      <c r="J647">
        <v>73.8</v>
      </c>
      <c r="K647">
        <v>468</v>
      </c>
      <c r="L647">
        <v>35.9</v>
      </c>
      <c r="M647">
        <v>1079</v>
      </c>
      <c r="N647">
        <v>75.5</v>
      </c>
      <c r="O647">
        <v>323</v>
      </c>
      <c r="P647" t="s">
        <v>1473</v>
      </c>
      <c r="Q647" s="1">
        <v>13809</v>
      </c>
      <c r="R647">
        <v>25.4</v>
      </c>
      <c r="S647" s="2">
        <v>0.75</v>
      </c>
      <c r="T647" s="3">
        <v>1.8722222222222222</v>
      </c>
      <c r="U647" s="2">
        <v>0.28999999999999998</v>
      </c>
      <c r="V647" t="s">
        <v>1474</v>
      </c>
      <c r="W647" t="s">
        <v>1475</v>
      </c>
      <c r="X647" t="b">
        <v>0</v>
      </c>
      <c r="Y647" t="b">
        <v>0</v>
      </c>
    </row>
    <row r="648" spans="1:25">
      <c r="A648">
        <v>6470</v>
      </c>
      <c r="B648" t="s">
        <v>1382</v>
      </c>
      <c r="C648" t="s">
        <v>1476</v>
      </c>
      <c r="D648" t="s">
        <v>1384</v>
      </c>
      <c r="E648">
        <v>6470</v>
      </c>
      <c r="F648">
        <v>36</v>
      </c>
      <c r="G648">
        <v>425</v>
      </c>
      <c r="H648">
        <v>25.7</v>
      </c>
      <c r="I648">
        <v>585</v>
      </c>
      <c r="J648">
        <v>32.6</v>
      </c>
      <c r="K648">
        <v>1386</v>
      </c>
      <c r="L648">
        <v>82.5</v>
      </c>
      <c r="M648">
        <v>235</v>
      </c>
      <c r="N648">
        <v>79.2</v>
      </c>
      <c r="O648">
        <v>263</v>
      </c>
      <c r="P648" t="s">
        <v>125</v>
      </c>
      <c r="Q648" s="1">
        <v>2286</v>
      </c>
      <c r="R648">
        <v>16.399999999999999</v>
      </c>
      <c r="S648" s="2">
        <v>0.24</v>
      </c>
      <c r="T648" t="s">
        <v>529</v>
      </c>
      <c r="U648" s="2">
        <v>0.41</v>
      </c>
      <c r="V648" t="s">
        <v>1476</v>
      </c>
      <c r="W648" t="s">
        <v>1477</v>
      </c>
      <c r="X648" t="b">
        <v>0</v>
      </c>
      <c r="Y648" t="b">
        <v>0</v>
      </c>
    </row>
    <row r="649" spans="1:25">
      <c r="A649">
        <v>6480</v>
      </c>
      <c r="B649" t="s">
        <v>1382</v>
      </c>
      <c r="C649" t="s">
        <v>1478</v>
      </c>
      <c r="D649" t="s">
        <v>1384</v>
      </c>
      <c r="E649">
        <v>6480</v>
      </c>
      <c r="F649">
        <v>44.3</v>
      </c>
      <c r="G649">
        <v>211</v>
      </c>
      <c r="H649">
        <v>31.4</v>
      </c>
      <c r="I649">
        <v>431</v>
      </c>
      <c r="J649">
        <v>34.5</v>
      </c>
      <c r="K649">
        <v>1336</v>
      </c>
      <c r="L649">
        <v>77.3</v>
      </c>
      <c r="M649">
        <v>300</v>
      </c>
      <c r="N649">
        <v>70.599999999999994</v>
      </c>
      <c r="O649">
        <v>399</v>
      </c>
      <c r="P649" t="s">
        <v>125</v>
      </c>
      <c r="Q649" s="1">
        <v>1089</v>
      </c>
      <c r="R649">
        <v>9.8000000000000007</v>
      </c>
      <c r="S649" s="2">
        <v>0.24</v>
      </c>
      <c r="T649" t="s">
        <v>529</v>
      </c>
      <c r="U649" s="2">
        <v>0.43</v>
      </c>
      <c r="V649" t="s">
        <v>1478</v>
      </c>
      <c r="W649" t="s">
        <v>1479</v>
      </c>
      <c r="X649" t="b">
        <v>0</v>
      </c>
      <c r="Y649" t="b">
        <v>0</v>
      </c>
    </row>
    <row r="650" spans="1:25">
      <c r="A650">
        <v>6490</v>
      </c>
      <c r="B650" t="s">
        <v>1382</v>
      </c>
      <c r="C650" t="s">
        <v>1480</v>
      </c>
      <c r="D650" t="s">
        <v>1384</v>
      </c>
      <c r="E650">
        <v>6490</v>
      </c>
      <c r="F650">
        <v>32.1</v>
      </c>
      <c r="G650">
        <v>584</v>
      </c>
      <c r="H650">
        <v>37</v>
      </c>
      <c r="I650">
        <v>303</v>
      </c>
      <c r="J650">
        <v>31.3</v>
      </c>
      <c r="K650">
        <v>1418</v>
      </c>
      <c r="L650">
        <v>80.8</v>
      </c>
      <c r="M650">
        <v>253</v>
      </c>
      <c r="N650">
        <v>67.7</v>
      </c>
      <c r="O650">
        <v>436</v>
      </c>
      <c r="P650" t="s">
        <v>125</v>
      </c>
      <c r="Q650">
        <v>800</v>
      </c>
      <c r="R650">
        <v>14.8</v>
      </c>
      <c r="S650" s="2">
        <v>0.14000000000000001</v>
      </c>
      <c r="T650" s="3">
        <v>1.7902777777777779</v>
      </c>
      <c r="U650" s="2">
        <v>0.39</v>
      </c>
      <c r="V650" t="s">
        <v>1480</v>
      </c>
      <c r="W650" t="s">
        <v>1481</v>
      </c>
      <c r="X650" t="b">
        <v>0</v>
      </c>
      <c r="Y650" t="b">
        <v>0</v>
      </c>
    </row>
    <row r="651" spans="1:25">
      <c r="A651">
        <v>6500</v>
      </c>
      <c r="B651" t="s">
        <v>1382</v>
      </c>
      <c r="C651" t="s">
        <v>1482</v>
      </c>
      <c r="D651" t="s">
        <v>1384</v>
      </c>
      <c r="E651">
        <v>6500</v>
      </c>
      <c r="F651">
        <v>34.200000000000003</v>
      </c>
      <c r="G651">
        <v>487</v>
      </c>
      <c r="H651">
        <v>27.6</v>
      </c>
      <c r="I651">
        <v>525</v>
      </c>
      <c r="J651">
        <v>62.4</v>
      </c>
      <c r="K651">
        <v>722</v>
      </c>
      <c r="L651">
        <v>27.7</v>
      </c>
      <c r="M651">
        <v>1244</v>
      </c>
      <c r="N651">
        <v>51.5</v>
      </c>
      <c r="O651">
        <v>755</v>
      </c>
      <c r="P651" t="s">
        <v>1483</v>
      </c>
      <c r="Q651" s="1">
        <v>1751</v>
      </c>
      <c r="R651">
        <v>18.399999999999999</v>
      </c>
      <c r="S651" s="2">
        <v>0.03</v>
      </c>
      <c r="T651" t="s">
        <v>324</v>
      </c>
      <c r="U651" s="2">
        <v>0.48</v>
      </c>
      <c r="V651" t="s">
        <v>1482</v>
      </c>
      <c r="W651" t="s">
        <v>1484</v>
      </c>
      <c r="X651" t="b">
        <v>0</v>
      </c>
      <c r="Y651" t="b">
        <v>0</v>
      </c>
    </row>
    <row r="652" spans="1:25">
      <c r="A652">
        <v>6510</v>
      </c>
      <c r="B652" t="s">
        <v>1382</v>
      </c>
      <c r="C652" t="s">
        <v>1485</v>
      </c>
      <c r="D652" t="s">
        <v>1384</v>
      </c>
      <c r="E652">
        <v>6510</v>
      </c>
      <c r="F652">
        <v>16.399999999999999</v>
      </c>
      <c r="G652">
        <v>1668</v>
      </c>
      <c r="H652">
        <v>12.8</v>
      </c>
      <c r="I652">
        <v>1324</v>
      </c>
      <c r="J652">
        <v>82.6</v>
      </c>
      <c r="K652">
        <v>268</v>
      </c>
      <c r="L652">
        <v>17.100000000000001</v>
      </c>
      <c r="M652">
        <v>1744</v>
      </c>
      <c r="N652">
        <v>48.5</v>
      </c>
      <c r="O652">
        <v>854</v>
      </c>
      <c r="P652" t="s">
        <v>1102</v>
      </c>
      <c r="Q652" s="1">
        <v>5561</v>
      </c>
      <c r="R652">
        <v>19.399999999999999</v>
      </c>
      <c r="S652" s="2">
        <v>0.02</v>
      </c>
      <c r="T652">
        <v>0.76597222222222228</v>
      </c>
      <c r="U652" s="2">
        <v>0.42</v>
      </c>
      <c r="V652" t="s">
        <v>1485</v>
      </c>
      <c r="W652" t="s">
        <v>1486</v>
      </c>
      <c r="X652" t="b">
        <v>0</v>
      </c>
      <c r="Y652" t="b">
        <v>0</v>
      </c>
    </row>
    <row r="653" spans="1:25">
      <c r="A653">
        <v>6520</v>
      </c>
      <c r="B653" t="s">
        <v>1382</v>
      </c>
      <c r="C653" t="s">
        <v>1487</v>
      </c>
      <c r="D653" t="s">
        <v>1384</v>
      </c>
      <c r="E653">
        <v>6520</v>
      </c>
      <c r="F653">
        <v>41.5</v>
      </c>
      <c r="G653">
        <v>269</v>
      </c>
      <c r="H653">
        <v>33.1</v>
      </c>
      <c r="I653">
        <v>400</v>
      </c>
      <c r="J653">
        <v>38.1</v>
      </c>
      <c r="K653">
        <v>1258</v>
      </c>
      <c r="L653">
        <v>40.5</v>
      </c>
      <c r="M653">
        <v>971</v>
      </c>
      <c r="N653">
        <v>38.6</v>
      </c>
      <c r="O653">
        <v>1168</v>
      </c>
      <c r="P653" t="s">
        <v>577</v>
      </c>
      <c r="Q653" s="1">
        <v>34828</v>
      </c>
      <c r="R653">
        <v>12.8</v>
      </c>
      <c r="S653" s="2">
        <v>0.04</v>
      </c>
      <c r="T653" s="3">
        <v>2.2819444444444446</v>
      </c>
      <c r="U653" s="2">
        <v>0.24</v>
      </c>
      <c r="V653" t="s">
        <v>1487</v>
      </c>
      <c r="W653" t="s">
        <v>1488</v>
      </c>
      <c r="X653" t="b">
        <v>0</v>
      </c>
      <c r="Y653" t="b">
        <v>0</v>
      </c>
    </row>
    <row r="654" spans="1:25">
      <c r="A654">
        <v>6530</v>
      </c>
      <c r="B654" t="s">
        <v>1382</v>
      </c>
      <c r="C654" t="s">
        <v>1489</v>
      </c>
      <c r="D654" t="s">
        <v>1384</v>
      </c>
      <c r="E654">
        <v>6530</v>
      </c>
      <c r="F654">
        <v>37.6</v>
      </c>
      <c r="G654">
        <v>370</v>
      </c>
      <c r="H654">
        <v>35.299999999999997</v>
      </c>
      <c r="I654">
        <v>342</v>
      </c>
      <c r="J654">
        <v>44.5</v>
      </c>
      <c r="K654">
        <v>1134</v>
      </c>
      <c r="L654">
        <v>82.8</v>
      </c>
      <c r="M654">
        <v>232</v>
      </c>
      <c r="N654">
        <v>49.6</v>
      </c>
      <c r="O654">
        <v>816</v>
      </c>
      <c r="P654" t="s">
        <v>181</v>
      </c>
      <c r="Q654" s="1">
        <v>13999</v>
      </c>
      <c r="R654">
        <v>16.7</v>
      </c>
      <c r="S654" s="2">
        <v>0.15</v>
      </c>
      <c r="T654" s="3">
        <v>4.166666666666667</v>
      </c>
      <c r="U654" s="2">
        <v>0.19</v>
      </c>
      <c r="V654" t="s">
        <v>1489</v>
      </c>
      <c r="W654" t="s">
        <v>1490</v>
      </c>
      <c r="X654" t="b">
        <v>0</v>
      </c>
      <c r="Y654" t="b">
        <v>0</v>
      </c>
    </row>
    <row r="655" spans="1:25">
      <c r="A655">
        <v>6540</v>
      </c>
      <c r="B655" t="s">
        <v>1382</v>
      </c>
      <c r="C655" t="s">
        <v>1491</v>
      </c>
      <c r="D655" t="s">
        <v>1384</v>
      </c>
      <c r="E655">
        <v>6540</v>
      </c>
      <c r="F655">
        <v>41.8</v>
      </c>
      <c r="G655">
        <v>264</v>
      </c>
      <c r="H655">
        <v>36</v>
      </c>
      <c r="I655">
        <v>325</v>
      </c>
      <c r="J655">
        <v>36.700000000000003</v>
      </c>
      <c r="K655">
        <v>1285</v>
      </c>
      <c r="L655">
        <v>81</v>
      </c>
      <c r="M655">
        <v>251</v>
      </c>
      <c r="N655">
        <v>35.9</v>
      </c>
      <c r="O655">
        <v>1284</v>
      </c>
      <c r="P655" t="s">
        <v>577</v>
      </c>
      <c r="Q655" s="1">
        <v>52534</v>
      </c>
      <c r="R655">
        <v>13.5</v>
      </c>
      <c r="S655" s="2">
        <v>0.01</v>
      </c>
      <c r="T655" s="3">
        <v>2.3229166666666665</v>
      </c>
      <c r="U655" s="2">
        <v>0.26</v>
      </c>
      <c r="V655" t="s">
        <v>1491</v>
      </c>
      <c r="W655" t="s">
        <v>1492</v>
      </c>
      <c r="X655" t="b">
        <v>0</v>
      </c>
      <c r="Y655" t="b">
        <v>0</v>
      </c>
    </row>
    <row r="656" spans="1:25">
      <c r="A656">
        <v>6550</v>
      </c>
      <c r="B656" t="s">
        <v>1382</v>
      </c>
      <c r="C656" t="s">
        <v>1493</v>
      </c>
      <c r="D656" t="s">
        <v>1384</v>
      </c>
      <c r="E656">
        <v>6550</v>
      </c>
      <c r="F656">
        <v>36.4</v>
      </c>
      <c r="G656">
        <v>415</v>
      </c>
      <c r="H656">
        <v>22.5</v>
      </c>
      <c r="I656">
        <v>708</v>
      </c>
      <c r="J656">
        <v>54.1</v>
      </c>
      <c r="K656">
        <v>914</v>
      </c>
      <c r="L656">
        <v>52.9</v>
      </c>
      <c r="M656">
        <v>754</v>
      </c>
      <c r="N656">
        <v>34.1</v>
      </c>
      <c r="O656">
        <v>1352</v>
      </c>
      <c r="P656" t="s">
        <v>577</v>
      </c>
      <c r="Q656" s="1">
        <v>45760</v>
      </c>
      <c r="R656">
        <v>16.5</v>
      </c>
      <c r="S656" s="2">
        <v>0.01</v>
      </c>
      <c r="T656" s="3">
        <v>2.1590277777777778</v>
      </c>
      <c r="U656" s="2">
        <v>0.25</v>
      </c>
      <c r="V656" t="s">
        <v>1493</v>
      </c>
      <c r="W656" t="s">
        <v>1494</v>
      </c>
      <c r="X656" t="b">
        <v>0</v>
      </c>
      <c r="Y656" t="b">
        <v>0</v>
      </c>
    </row>
    <row r="657" spans="1:25">
      <c r="A657">
        <v>6560</v>
      </c>
      <c r="B657" t="s">
        <v>1382</v>
      </c>
      <c r="C657" t="s">
        <v>1495</v>
      </c>
      <c r="D657" t="s">
        <v>1384</v>
      </c>
      <c r="E657">
        <v>6560</v>
      </c>
      <c r="F657">
        <v>20.9</v>
      </c>
      <c r="G657">
        <v>1308</v>
      </c>
      <c r="H657">
        <v>17.2</v>
      </c>
      <c r="I657">
        <v>956</v>
      </c>
      <c r="J657">
        <v>71.3</v>
      </c>
      <c r="K657">
        <v>530</v>
      </c>
      <c r="L657">
        <v>41.7</v>
      </c>
      <c r="M657">
        <v>944</v>
      </c>
      <c r="N657">
        <v>85.8</v>
      </c>
      <c r="O657">
        <v>178</v>
      </c>
      <c r="P657" t="s">
        <v>116</v>
      </c>
      <c r="Q657" s="1">
        <v>9166</v>
      </c>
      <c r="R657">
        <v>16.8</v>
      </c>
      <c r="S657" s="2">
        <v>0.38</v>
      </c>
      <c r="T657" s="3">
        <v>2.9375</v>
      </c>
      <c r="U657" s="2">
        <v>0.3</v>
      </c>
      <c r="V657" t="s">
        <v>1496</v>
      </c>
      <c r="W657" t="s">
        <v>1497</v>
      </c>
      <c r="X657" t="b">
        <v>0</v>
      </c>
      <c r="Y657" t="b">
        <v>0</v>
      </c>
    </row>
    <row r="658" spans="1:25">
      <c r="A658">
        <v>6570</v>
      </c>
      <c r="B658" t="s">
        <v>1382</v>
      </c>
      <c r="C658" t="s">
        <v>1498</v>
      </c>
      <c r="D658" t="s">
        <v>1384</v>
      </c>
      <c r="E658">
        <v>6570</v>
      </c>
      <c r="F658">
        <v>24.3</v>
      </c>
      <c r="G658">
        <v>1056</v>
      </c>
      <c r="H658">
        <v>24.7</v>
      </c>
      <c r="I658">
        <v>620</v>
      </c>
      <c r="J658">
        <v>65.5</v>
      </c>
      <c r="K658">
        <v>665</v>
      </c>
      <c r="L658">
        <v>30.6</v>
      </c>
      <c r="M658">
        <v>1168</v>
      </c>
      <c r="N658">
        <v>30.3</v>
      </c>
      <c r="O658">
        <v>1490</v>
      </c>
      <c r="P658" t="s">
        <v>397</v>
      </c>
      <c r="Q658" s="1">
        <v>7845</v>
      </c>
      <c r="R658">
        <v>33.200000000000003</v>
      </c>
      <c r="S658" s="2">
        <v>0.01</v>
      </c>
      <c r="T658" s="3">
        <v>2.6506944444444445</v>
      </c>
      <c r="U658" s="2">
        <v>0.1</v>
      </c>
      <c r="V658" t="s">
        <v>1498</v>
      </c>
      <c r="W658" t="s">
        <v>1499</v>
      </c>
      <c r="X658" t="b">
        <v>0</v>
      </c>
      <c r="Y658" t="b">
        <v>0</v>
      </c>
    </row>
    <row r="659" spans="1:25">
      <c r="A659">
        <v>6580</v>
      </c>
      <c r="B659" t="s">
        <v>1382</v>
      </c>
      <c r="C659" t="s">
        <v>1500</v>
      </c>
      <c r="D659" t="s">
        <v>1384</v>
      </c>
      <c r="E659">
        <v>6580</v>
      </c>
      <c r="F659">
        <v>16.3</v>
      </c>
      <c r="G659">
        <v>1676</v>
      </c>
      <c r="H659">
        <v>18.3</v>
      </c>
      <c r="I659">
        <v>902</v>
      </c>
      <c r="J659">
        <v>71.7</v>
      </c>
      <c r="K659">
        <v>518</v>
      </c>
      <c r="L659">
        <v>59.9</v>
      </c>
      <c r="M659">
        <v>648</v>
      </c>
      <c r="N659">
        <v>40.6</v>
      </c>
      <c r="O659">
        <v>1099</v>
      </c>
      <c r="P659" t="s">
        <v>397</v>
      </c>
      <c r="Q659" s="1">
        <v>23336</v>
      </c>
      <c r="R659">
        <v>31.7</v>
      </c>
      <c r="S659" s="2">
        <v>0.02</v>
      </c>
      <c r="T659" s="3">
        <v>2.7326388888888888</v>
      </c>
      <c r="U659" s="2">
        <v>0.14000000000000001</v>
      </c>
      <c r="V659" t="s">
        <v>1500</v>
      </c>
      <c r="W659" t="s">
        <v>1501</v>
      </c>
      <c r="X659" t="b">
        <v>0</v>
      </c>
      <c r="Y659" t="b">
        <v>0</v>
      </c>
    </row>
    <row r="660" spans="1:25">
      <c r="A660">
        <v>6590</v>
      </c>
      <c r="B660" t="s">
        <v>1382</v>
      </c>
      <c r="C660" t="s">
        <v>1502</v>
      </c>
      <c r="D660" t="s">
        <v>1384</v>
      </c>
      <c r="E660">
        <v>6590</v>
      </c>
      <c r="F660">
        <v>20.7</v>
      </c>
      <c r="G660">
        <v>1320</v>
      </c>
      <c r="H660">
        <v>13.9</v>
      </c>
      <c r="I660">
        <v>1210</v>
      </c>
      <c r="J660">
        <v>66.7</v>
      </c>
      <c r="K660">
        <v>631</v>
      </c>
      <c r="L660">
        <v>46.1</v>
      </c>
      <c r="M660">
        <v>878</v>
      </c>
      <c r="N660">
        <v>75.599999999999994</v>
      </c>
      <c r="O660">
        <v>319</v>
      </c>
      <c r="P660" t="s">
        <v>26</v>
      </c>
      <c r="Q660" s="1">
        <v>14840</v>
      </c>
      <c r="R660">
        <v>24.1</v>
      </c>
      <c r="S660" s="2">
        <v>0.18</v>
      </c>
      <c r="T660" s="3">
        <v>2.4458333333333333</v>
      </c>
      <c r="U660" s="2">
        <v>0.2</v>
      </c>
      <c r="V660" t="s">
        <v>1502</v>
      </c>
      <c r="W660" t="s">
        <v>1503</v>
      </c>
      <c r="X660" t="b">
        <v>0</v>
      </c>
      <c r="Y660" t="b">
        <v>0</v>
      </c>
    </row>
    <row r="661" spans="1:25">
      <c r="A661">
        <v>6600</v>
      </c>
      <c r="B661" t="s">
        <v>1382</v>
      </c>
      <c r="C661" t="s">
        <v>1504</v>
      </c>
      <c r="D661" t="s">
        <v>1384</v>
      </c>
      <c r="E661">
        <v>6600</v>
      </c>
      <c r="F661">
        <v>20.8</v>
      </c>
      <c r="G661">
        <v>1316</v>
      </c>
      <c r="H661">
        <v>15</v>
      </c>
      <c r="I661">
        <v>1120</v>
      </c>
      <c r="J661">
        <v>83.4</v>
      </c>
      <c r="K661">
        <v>249</v>
      </c>
      <c r="L661">
        <v>32.700000000000003</v>
      </c>
      <c r="M661">
        <v>1132</v>
      </c>
      <c r="N661">
        <v>48.2</v>
      </c>
      <c r="O661">
        <v>861</v>
      </c>
      <c r="P661" t="s">
        <v>1102</v>
      </c>
      <c r="Q661" s="1">
        <v>21518</v>
      </c>
      <c r="R661">
        <v>26.5</v>
      </c>
      <c r="S661" s="2">
        <v>0</v>
      </c>
      <c r="T661" s="3">
        <v>2.2409722222222221</v>
      </c>
      <c r="U661" s="2">
        <v>0.28999999999999998</v>
      </c>
      <c r="V661" t="s">
        <v>1504</v>
      </c>
      <c r="W661" t="s">
        <v>1505</v>
      </c>
      <c r="X661" t="b">
        <v>0</v>
      </c>
      <c r="Y661" t="b">
        <v>0</v>
      </c>
    </row>
    <row r="662" spans="1:25">
      <c r="A662">
        <v>6610</v>
      </c>
      <c r="B662" t="s">
        <v>1382</v>
      </c>
      <c r="C662" t="s">
        <v>1506</v>
      </c>
      <c r="D662" t="s">
        <v>1384</v>
      </c>
      <c r="E662">
        <v>6610</v>
      </c>
      <c r="F662">
        <v>17.2</v>
      </c>
      <c r="G662">
        <v>1613</v>
      </c>
      <c r="H662">
        <v>19.3</v>
      </c>
      <c r="I662">
        <v>848</v>
      </c>
      <c r="J662">
        <v>79.599999999999994</v>
      </c>
      <c r="K662">
        <v>329</v>
      </c>
      <c r="L662">
        <v>63.5</v>
      </c>
      <c r="M662">
        <v>578</v>
      </c>
      <c r="N662">
        <v>28.4</v>
      </c>
      <c r="O662">
        <v>1564</v>
      </c>
      <c r="P662" t="s">
        <v>54</v>
      </c>
      <c r="Q662" s="1">
        <v>48569</v>
      </c>
      <c r="R662">
        <v>19</v>
      </c>
      <c r="S662" s="2">
        <v>0</v>
      </c>
      <c r="T662" t="s">
        <v>529</v>
      </c>
      <c r="U662" s="2">
        <v>0.42</v>
      </c>
      <c r="V662" t="s">
        <v>1506</v>
      </c>
      <c r="W662" t="s">
        <v>1507</v>
      </c>
      <c r="X662" t="b">
        <v>0</v>
      </c>
      <c r="Y662" t="b">
        <v>0</v>
      </c>
    </row>
    <row r="663" spans="1:25">
      <c r="A663">
        <v>6620</v>
      </c>
      <c r="B663" t="s">
        <v>1382</v>
      </c>
      <c r="C663" t="s">
        <v>1508</v>
      </c>
      <c r="D663" t="s">
        <v>1384</v>
      </c>
      <c r="E663">
        <v>6620</v>
      </c>
      <c r="F663">
        <v>32.5</v>
      </c>
      <c r="G663">
        <v>571</v>
      </c>
      <c r="H663">
        <v>26.8</v>
      </c>
      <c r="I663">
        <v>548</v>
      </c>
      <c r="J663">
        <v>50.4</v>
      </c>
      <c r="K663">
        <v>1014</v>
      </c>
      <c r="L663">
        <v>73.5</v>
      </c>
      <c r="M663">
        <v>356</v>
      </c>
      <c r="N663">
        <v>27.5</v>
      </c>
      <c r="O663">
        <v>1601</v>
      </c>
      <c r="P663" t="s">
        <v>895</v>
      </c>
      <c r="Q663" s="1">
        <v>37249</v>
      </c>
      <c r="R663">
        <v>19.899999999999999</v>
      </c>
      <c r="S663" s="2">
        <v>0.03</v>
      </c>
      <c r="T663" s="3">
        <v>2.4458333333333333</v>
      </c>
      <c r="U663" s="2">
        <v>0.17</v>
      </c>
      <c r="V663" t="s">
        <v>1508</v>
      </c>
      <c r="W663" t="s">
        <v>1509</v>
      </c>
      <c r="X663" t="b">
        <v>0</v>
      </c>
      <c r="Y663" t="b">
        <v>0</v>
      </c>
    </row>
    <row r="664" spans="1:25">
      <c r="A664">
        <v>6630</v>
      </c>
      <c r="B664" t="s">
        <v>1382</v>
      </c>
      <c r="C664" t="s">
        <v>1510</v>
      </c>
      <c r="D664" t="s">
        <v>1384</v>
      </c>
      <c r="E664">
        <v>6630</v>
      </c>
      <c r="F664">
        <v>23.9</v>
      </c>
      <c r="G664">
        <v>1085</v>
      </c>
      <c r="H664">
        <v>30.1</v>
      </c>
      <c r="I664">
        <v>469</v>
      </c>
      <c r="J664">
        <v>68.400000000000006</v>
      </c>
      <c r="K664">
        <v>595</v>
      </c>
      <c r="L664">
        <v>64.5</v>
      </c>
      <c r="M664">
        <v>558</v>
      </c>
      <c r="N664">
        <v>34.5</v>
      </c>
      <c r="O664">
        <v>1340</v>
      </c>
      <c r="P664" t="s">
        <v>588</v>
      </c>
      <c r="Q664" s="1">
        <v>17353</v>
      </c>
      <c r="R664">
        <v>18.399999999999999</v>
      </c>
      <c r="S664" s="2">
        <v>0.03</v>
      </c>
      <c r="T664" s="3">
        <v>2.7736111111111112</v>
      </c>
      <c r="U664" s="2">
        <v>0.21</v>
      </c>
      <c r="V664" t="s">
        <v>1510</v>
      </c>
      <c r="W664" t="s">
        <v>1511</v>
      </c>
      <c r="X664" t="b">
        <v>0</v>
      </c>
      <c r="Y664" t="b">
        <v>0</v>
      </c>
    </row>
    <row r="665" spans="1:25">
      <c r="A665">
        <v>6640</v>
      </c>
      <c r="B665" t="s">
        <v>1382</v>
      </c>
      <c r="C665" t="s">
        <v>1512</v>
      </c>
      <c r="D665" t="s">
        <v>1384</v>
      </c>
      <c r="E665">
        <v>6640</v>
      </c>
      <c r="F665">
        <v>22.1</v>
      </c>
      <c r="G665">
        <v>1224</v>
      </c>
      <c r="H665">
        <v>10.5</v>
      </c>
      <c r="I665">
        <v>1588</v>
      </c>
      <c r="J665">
        <v>72.3</v>
      </c>
      <c r="K665">
        <v>504</v>
      </c>
      <c r="L665">
        <v>23.5</v>
      </c>
      <c r="M665">
        <v>1381</v>
      </c>
      <c r="N665">
        <v>76.8</v>
      </c>
      <c r="O665">
        <v>301</v>
      </c>
      <c r="P665" t="s">
        <v>534</v>
      </c>
      <c r="Q665" s="1">
        <v>19400</v>
      </c>
      <c r="R665">
        <v>11.2</v>
      </c>
      <c r="S665" s="2">
        <v>0.03</v>
      </c>
      <c r="T665" s="3">
        <v>2.5687500000000001</v>
      </c>
      <c r="U665" s="2">
        <v>0.26</v>
      </c>
      <c r="V665" t="s">
        <v>1512</v>
      </c>
      <c r="W665" t="s">
        <v>1513</v>
      </c>
      <c r="X665" t="b">
        <v>0</v>
      </c>
      <c r="Y665" t="b">
        <v>0</v>
      </c>
    </row>
    <row r="666" spans="1:25">
      <c r="A666">
        <v>6650</v>
      </c>
      <c r="B666" t="s">
        <v>1382</v>
      </c>
      <c r="C666" t="s">
        <v>1514</v>
      </c>
      <c r="D666" t="s">
        <v>1384</v>
      </c>
      <c r="E666">
        <v>6650</v>
      </c>
      <c r="F666">
        <v>25.1</v>
      </c>
      <c r="G666">
        <v>992</v>
      </c>
      <c r="H666">
        <v>27.4</v>
      </c>
      <c r="I666">
        <v>529</v>
      </c>
      <c r="J666">
        <v>72.900000000000006</v>
      </c>
      <c r="K666">
        <v>485</v>
      </c>
      <c r="L666">
        <v>37.4</v>
      </c>
      <c r="M666">
        <v>1031</v>
      </c>
      <c r="N666">
        <v>41.1</v>
      </c>
      <c r="O666">
        <v>1078</v>
      </c>
      <c r="P666" t="s">
        <v>1220</v>
      </c>
      <c r="Q666" s="1">
        <v>3053</v>
      </c>
      <c r="R666">
        <v>44.9</v>
      </c>
      <c r="S666" s="2">
        <v>0.03</v>
      </c>
      <c r="T666" s="3">
        <v>2.2000000000000002</v>
      </c>
      <c r="U666" s="2">
        <v>0.21</v>
      </c>
      <c r="V666" t="s">
        <v>1514</v>
      </c>
      <c r="W666" t="s">
        <v>1515</v>
      </c>
      <c r="X666" t="b">
        <v>0</v>
      </c>
      <c r="Y666" t="b">
        <v>0</v>
      </c>
    </row>
    <row r="667" spans="1:25">
      <c r="A667">
        <v>6660</v>
      </c>
      <c r="B667" t="s">
        <v>1382</v>
      </c>
      <c r="C667" t="s">
        <v>1516</v>
      </c>
      <c r="D667" t="s">
        <v>1384</v>
      </c>
      <c r="E667">
        <v>6660</v>
      </c>
      <c r="F667">
        <v>18.600000000000001</v>
      </c>
      <c r="G667">
        <v>1492</v>
      </c>
      <c r="H667">
        <v>13.4</v>
      </c>
      <c r="I667">
        <v>1264</v>
      </c>
      <c r="J667">
        <v>67.2</v>
      </c>
      <c r="K667">
        <v>618</v>
      </c>
      <c r="L667">
        <v>33.9</v>
      </c>
      <c r="M667">
        <v>1112</v>
      </c>
      <c r="N667">
        <v>91.6</v>
      </c>
      <c r="O667">
        <v>106</v>
      </c>
      <c r="P667" t="s">
        <v>26</v>
      </c>
      <c r="Q667" s="1">
        <v>20480</v>
      </c>
      <c r="R667">
        <v>16.3</v>
      </c>
      <c r="S667" s="2">
        <v>0.4</v>
      </c>
      <c r="T667" s="3">
        <v>2.2000000000000002</v>
      </c>
      <c r="U667" s="2">
        <v>0.24</v>
      </c>
      <c r="V667" t="s">
        <v>1516</v>
      </c>
      <c r="W667" t="s">
        <v>1517</v>
      </c>
      <c r="X667" t="b">
        <v>0</v>
      </c>
      <c r="Y667" t="b">
        <v>0</v>
      </c>
    </row>
    <row r="668" spans="1:25">
      <c r="A668">
        <v>6670</v>
      </c>
      <c r="B668" t="s">
        <v>1382</v>
      </c>
      <c r="C668" t="s">
        <v>1518</v>
      </c>
      <c r="D668" t="s">
        <v>1384</v>
      </c>
      <c r="E668">
        <v>6670</v>
      </c>
      <c r="F668">
        <v>39.6</v>
      </c>
      <c r="G668">
        <v>318</v>
      </c>
      <c r="H668">
        <v>26.4</v>
      </c>
      <c r="I668">
        <v>558</v>
      </c>
      <c r="J668">
        <v>44.7</v>
      </c>
      <c r="K668">
        <v>1126</v>
      </c>
      <c r="L668">
        <v>68.5</v>
      </c>
      <c r="M668">
        <v>466</v>
      </c>
      <c r="N668">
        <v>51.5</v>
      </c>
      <c r="O668">
        <v>756</v>
      </c>
      <c r="P668" t="s">
        <v>94</v>
      </c>
      <c r="Q668" s="1">
        <v>14590</v>
      </c>
      <c r="R668">
        <v>7.6</v>
      </c>
      <c r="S668" s="2">
        <v>0.1</v>
      </c>
      <c r="T668" t="s">
        <v>696</v>
      </c>
      <c r="U668" s="2">
        <v>0.26</v>
      </c>
      <c r="V668" t="s">
        <v>1518</v>
      </c>
      <c r="W668" t="s">
        <v>1519</v>
      </c>
      <c r="X668" t="b">
        <v>0</v>
      </c>
      <c r="Y668" t="b">
        <v>0</v>
      </c>
    </row>
    <row r="669" spans="1:25">
      <c r="A669">
        <v>6680</v>
      </c>
      <c r="B669" t="s">
        <v>1382</v>
      </c>
      <c r="C669" t="s">
        <v>1520</v>
      </c>
      <c r="D669" t="s">
        <v>1384</v>
      </c>
      <c r="E669">
        <v>6680</v>
      </c>
      <c r="F669">
        <v>27.7</v>
      </c>
      <c r="G669">
        <v>823</v>
      </c>
      <c r="H669">
        <v>13.9</v>
      </c>
      <c r="I669">
        <v>1211</v>
      </c>
      <c r="J669">
        <v>70.599999999999994</v>
      </c>
      <c r="K669">
        <v>549</v>
      </c>
      <c r="L669">
        <v>20.8</v>
      </c>
      <c r="M669">
        <v>1495</v>
      </c>
      <c r="N669">
        <v>75.3</v>
      </c>
      <c r="O669">
        <v>327</v>
      </c>
      <c r="P669" t="s">
        <v>534</v>
      </c>
      <c r="Q669" s="1">
        <v>23781</v>
      </c>
      <c r="R669">
        <v>11.3</v>
      </c>
      <c r="S669" s="2">
        <v>0.04</v>
      </c>
      <c r="T669" s="3">
        <v>3.5111111111111111</v>
      </c>
      <c r="U669" s="2">
        <v>0.26</v>
      </c>
      <c r="V669" t="s">
        <v>1520</v>
      </c>
      <c r="W669" t="s">
        <v>1521</v>
      </c>
      <c r="X669" t="b">
        <v>0</v>
      </c>
      <c r="Y669" t="b">
        <v>0</v>
      </c>
    </row>
    <row r="670" spans="1:25">
      <c r="A670">
        <v>6690</v>
      </c>
      <c r="B670" t="s">
        <v>1382</v>
      </c>
      <c r="C670" t="s">
        <v>1522</v>
      </c>
      <c r="D670" t="s">
        <v>1384</v>
      </c>
      <c r="E670">
        <v>6690</v>
      </c>
      <c r="F670">
        <v>30.6</v>
      </c>
      <c r="G670">
        <v>660</v>
      </c>
      <c r="H670">
        <v>19.600000000000001</v>
      </c>
      <c r="I670">
        <v>834</v>
      </c>
      <c r="J670">
        <v>72.400000000000006</v>
      </c>
      <c r="K670">
        <v>501</v>
      </c>
      <c r="L670">
        <v>26.7</v>
      </c>
      <c r="M670">
        <v>1272</v>
      </c>
      <c r="N670">
        <v>26.9</v>
      </c>
      <c r="O670">
        <v>1618</v>
      </c>
      <c r="P670" t="s">
        <v>795</v>
      </c>
      <c r="Q670" s="1">
        <v>8156</v>
      </c>
      <c r="R670">
        <v>25.8</v>
      </c>
      <c r="S670" s="2">
        <v>0.05</v>
      </c>
      <c r="T670" s="3">
        <v>2.2819444444444446</v>
      </c>
      <c r="U670" s="2">
        <v>0.42</v>
      </c>
      <c r="V670" t="s">
        <v>1522</v>
      </c>
      <c r="W670" t="s">
        <v>1523</v>
      </c>
      <c r="X670" t="b">
        <v>0</v>
      </c>
      <c r="Y670" t="b">
        <v>0</v>
      </c>
    </row>
    <row r="671" spans="1:25">
      <c r="A671">
        <v>6700</v>
      </c>
      <c r="B671" t="s">
        <v>1382</v>
      </c>
      <c r="C671" t="s">
        <v>1524</v>
      </c>
      <c r="D671" t="s">
        <v>1384</v>
      </c>
      <c r="E671">
        <v>6700</v>
      </c>
      <c r="F671">
        <v>35.5</v>
      </c>
      <c r="G671">
        <v>447</v>
      </c>
      <c r="H671">
        <v>24.1</v>
      </c>
      <c r="I671">
        <v>645</v>
      </c>
      <c r="J671">
        <v>52</v>
      </c>
      <c r="K671">
        <v>963</v>
      </c>
      <c r="L671">
        <v>49.5</v>
      </c>
      <c r="M671">
        <v>818</v>
      </c>
      <c r="N671">
        <v>28.6</v>
      </c>
      <c r="O671">
        <v>1558</v>
      </c>
      <c r="P671" t="s">
        <v>528</v>
      </c>
      <c r="Q671" s="1">
        <v>8157</v>
      </c>
      <c r="R671">
        <v>18</v>
      </c>
      <c r="S671" s="2">
        <v>0.01</v>
      </c>
      <c r="T671" t="s">
        <v>1062</v>
      </c>
      <c r="U671" s="2">
        <v>0.48</v>
      </c>
      <c r="V671" t="s">
        <v>1524</v>
      </c>
      <c r="W671" t="s">
        <v>1525</v>
      </c>
      <c r="X671" t="b">
        <v>0</v>
      </c>
      <c r="Y671" t="b">
        <v>0</v>
      </c>
    </row>
    <row r="672" spans="1:25">
      <c r="A672">
        <v>6710</v>
      </c>
      <c r="B672" t="s">
        <v>1382</v>
      </c>
      <c r="C672" t="s">
        <v>1526</v>
      </c>
      <c r="D672" t="s">
        <v>1384</v>
      </c>
      <c r="E672">
        <v>6710</v>
      </c>
      <c r="F672">
        <v>37.6</v>
      </c>
      <c r="G672">
        <v>372</v>
      </c>
      <c r="H672">
        <v>24.1</v>
      </c>
      <c r="I672">
        <v>646</v>
      </c>
      <c r="J672">
        <v>59.7</v>
      </c>
      <c r="K672">
        <v>789</v>
      </c>
      <c r="L672">
        <v>30</v>
      </c>
      <c r="M672">
        <v>1183</v>
      </c>
      <c r="N672">
        <v>18.399999999999999</v>
      </c>
      <c r="O672">
        <v>1893</v>
      </c>
      <c r="P672" t="s">
        <v>528</v>
      </c>
      <c r="Q672" s="1">
        <v>6174</v>
      </c>
      <c r="R672">
        <v>16.7</v>
      </c>
      <c r="S672" s="2">
        <v>0</v>
      </c>
      <c r="T672">
        <v>0.80694444444444446</v>
      </c>
      <c r="U672" s="2">
        <v>0.5</v>
      </c>
      <c r="V672" t="s">
        <v>1526</v>
      </c>
      <c r="W672" t="s">
        <v>1527</v>
      </c>
      <c r="X672" t="b">
        <v>0</v>
      </c>
      <c r="Y672" t="b">
        <v>0</v>
      </c>
    </row>
    <row r="673" spans="1:25">
      <c r="A673">
        <v>6720</v>
      </c>
      <c r="B673" t="s">
        <v>1382</v>
      </c>
      <c r="C673" t="s">
        <v>1528</v>
      </c>
      <c r="D673" t="s">
        <v>1384</v>
      </c>
      <c r="E673">
        <v>6720</v>
      </c>
      <c r="F673">
        <v>33.200000000000003</v>
      </c>
      <c r="G673">
        <v>535</v>
      </c>
      <c r="H673">
        <v>24.1</v>
      </c>
      <c r="I673">
        <v>647</v>
      </c>
      <c r="J673">
        <v>70.599999999999994</v>
      </c>
      <c r="K673">
        <v>550</v>
      </c>
      <c r="L673">
        <v>19.8</v>
      </c>
      <c r="M673">
        <v>1544</v>
      </c>
      <c r="N673">
        <v>22.3</v>
      </c>
      <c r="O673">
        <v>1798</v>
      </c>
      <c r="P673" t="s">
        <v>528</v>
      </c>
      <c r="Q673" s="1">
        <v>2375</v>
      </c>
      <c r="R673">
        <v>18.8</v>
      </c>
      <c r="S673" s="2">
        <v>0.01</v>
      </c>
      <c r="T673">
        <v>0.80694444444444446</v>
      </c>
      <c r="U673" s="2">
        <v>0.46</v>
      </c>
      <c r="V673" t="s">
        <v>1528</v>
      </c>
      <c r="W673" t="s">
        <v>1529</v>
      </c>
      <c r="X673" t="b">
        <v>0</v>
      </c>
      <c r="Y673" t="b">
        <v>0</v>
      </c>
    </row>
    <row r="674" spans="1:25">
      <c r="A674">
        <v>6730</v>
      </c>
      <c r="B674" t="s">
        <v>1382</v>
      </c>
      <c r="C674" t="s">
        <v>1530</v>
      </c>
      <c r="D674" t="s">
        <v>1384</v>
      </c>
      <c r="E674">
        <v>6730</v>
      </c>
      <c r="F674">
        <v>19.7</v>
      </c>
      <c r="G674">
        <v>1402</v>
      </c>
      <c r="H674">
        <v>22.7</v>
      </c>
      <c r="I674">
        <v>700</v>
      </c>
      <c r="J674">
        <v>80.400000000000006</v>
      </c>
      <c r="K674">
        <v>314</v>
      </c>
      <c r="L674">
        <v>43.2</v>
      </c>
      <c r="M674">
        <v>919</v>
      </c>
      <c r="N674">
        <v>42.4</v>
      </c>
      <c r="O674">
        <v>1035</v>
      </c>
      <c r="P674" t="s">
        <v>397</v>
      </c>
      <c r="Q674" s="1">
        <v>10244</v>
      </c>
      <c r="R674">
        <v>27.5</v>
      </c>
      <c r="S674" s="2">
        <v>0.05</v>
      </c>
      <c r="T674" s="3">
        <v>2.3638888888888889</v>
      </c>
      <c r="U674" s="2">
        <v>0.19</v>
      </c>
      <c r="V674" t="s">
        <v>1530</v>
      </c>
      <c r="W674" t="s">
        <v>1531</v>
      </c>
      <c r="X674" t="b">
        <v>0</v>
      </c>
      <c r="Y674" t="b">
        <v>0</v>
      </c>
    </row>
    <row r="675" spans="1:25">
      <c r="A675">
        <v>6740</v>
      </c>
      <c r="B675" t="s">
        <v>1382</v>
      </c>
      <c r="C675" t="s">
        <v>1532</v>
      </c>
      <c r="D675" t="s">
        <v>1384</v>
      </c>
      <c r="E675">
        <v>6740</v>
      </c>
      <c r="F675">
        <v>26</v>
      </c>
      <c r="G675">
        <v>936</v>
      </c>
      <c r="H675">
        <v>21.4</v>
      </c>
      <c r="I675">
        <v>753</v>
      </c>
      <c r="J675">
        <v>71.7</v>
      </c>
      <c r="K675">
        <v>519</v>
      </c>
      <c r="L675">
        <v>49.6</v>
      </c>
      <c r="M675">
        <v>817</v>
      </c>
      <c r="N675">
        <v>39.5</v>
      </c>
      <c r="O675">
        <v>1135</v>
      </c>
      <c r="P675" t="s">
        <v>528</v>
      </c>
      <c r="Q675" s="1">
        <v>1905</v>
      </c>
      <c r="R675">
        <v>18.3</v>
      </c>
      <c r="S675" s="2">
        <v>7.0000000000000007E-2</v>
      </c>
      <c r="T675">
        <v>0.92986111111111114</v>
      </c>
      <c r="U675" s="2">
        <v>0.46</v>
      </c>
      <c r="V675" t="s">
        <v>1532</v>
      </c>
      <c r="W675" t="s">
        <v>1533</v>
      </c>
      <c r="X675" t="b">
        <v>0</v>
      </c>
      <c r="Y675" t="b">
        <v>0</v>
      </c>
    </row>
    <row r="676" spans="1:25">
      <c r="A676">
        <v>6750</v>
      </c>
      <c r="B676" t="s">
        <v>1382</v>
      </c>
      <c r="C676" t="s">
        <v>1534</v>
      </c>
      <c r="D676" t="s">
        <v>1384</v>
      </c>
      <c r="E676">
        <v>6750</v>
      </c>
      <c r="F676">
        <v>48.2</v>
      </c>
      <c r="G676">
        <v>155</v>
      </c>
      <c r="H676">
        <v>16.399999999999999</v>
      </c>
      <c r="I676">
        <v>1017</v>
      </c>
      <c r="J676">
        <v>54.5</v>
      </c>
      <c r="K676">
        <v>898</v>
      </c>
      <c r="L676">
        <v>39.1</v>
      </c>
      <c r="M676">
        <v>1005</v>
      </c>
      <c r="N676">
        <v>38.299999999999997</v>
      </c>
      <c r="O676">
        <v>1180</v>
      </c>
      <c r="P676" t="s">
        <v>795</v>
      </c>
      <c r="Q676" s="1">
        <v>9084</v>
      </c>
      <c r="R676">
        <v>8.3000000000000007</v>
      </c>
      <c r="S676" s="2">
        <v>0.1</v>
      </c>
      <c r="T676" s="3">
        <v>2.3229166666666665</v>
      </c>
      <c r="U676" s="2">
        <v>0.08</v>
      </c>
      <c r="V676" t="s">
        <v>1534</v>
      </c>
      <c r="W676" t="s">
        <v>1535</v>
      </c>
      <c r="X676" t="b">
        <v>0</v>
      </c>
      <c r="Y676" t="b">
        <v>0</v>
      </c>
    </row>
    <row r="677" spans="1:25">
      <c r="A677">
        <v>6760</v>
      </c>
      <c r="B677" t="s">
        <v>1382</v>
      </c>
      <c r="C677" t="s">
        <v>1536</v>
      </c>
      <c r="D677" t="s">
        <v>1384</v>
      </c>
      <c r="E677">
        <v>6760</v>
      </c>
      <c r="F677">
        <v>26.4</v>
      </c>
      <c r="G677">
        <v>915</v>
      </c>
      <c r="H677">
        <v>35.700000000000003</v>
      </c>
      <c r="I677">
        <v>330</v>
      </c>
      <c r="J677">
        <v>56.3</v>
      </c>
      <c r="K677">
        <v>863</v>
      </c>
      <c r="L677">
        <v>55.2</v>
      </c>
      <c r="M677">
        <v>721</v>
      </c>
      <c r="N677">
        <v>53</v>
      </c>
      <c r="O677">
        <v>714</v>
      </c>
      <c r="P677" t="s">
        <v>992</v>
      </c>
      <c r="Q677" s="1">
        <v>10353</v>
      </c>
      <c r="R677">
        <v>26.7</v>
      </c>
      <c r="S677" s="2">
        <v>0.17</v>
      </c>
      <c r="T677" s="3">
        <v>2.2000000000000002</v>
      </c>
      <c r="U677" s="2">
        <v>0.25</v>
      </c>
      <c r="V677" t="s">
        <v>1536</v>
      </c>
      <c r="W677" t="s">
        <v>1537</v>
      </c>
      <c r="X677" t="b">
        <v>0</v>
      </c>
      <c r="Y677" t="b">
        <v>0</v>
      </c>
    </row>
    <row r="678" spans="1:25">
      <c r="A678">
        <v>6770</v>
      </c>
      <c r="B678" t="s">
        <v>1382</v>
      </c>
      <c r="C678" t="s">
        <v>1538</v>
      </c>
      <c r="D678" t="s">
        <v>1384</v>
      </c>
      <c r="E678">
        <v>6770</v>
      </c>
      <c r="F678">
        <v>21.5</v>
      </c>
      <c r="G678">
        <v>1265</v>
      </c>
      <c r="H678">
        <v>26.5</v>
      </c>
      <c r="I678">
        <v>557</v>
      </c>
      <c r="J678">
        <v>62</v>
      </c>
      <c r="K678">
        <v>737</v>
      </c>
      <c r="L678">
        <v>75.2</v>
      </c>
      <c r="M678">
        <v>334</v>
      </c>
      <c r="N678">
        <v>33</v>
      </c>
      <c r="O678">
        <v>1390</v>
      </c>
      <c r="P678" t="s">
        <v>795</v>
      </c>
      <c r="Q678" s="1">
        <v>10529</v>
      </c>
      <c r="R678">
        <v>22.7</v>
      </c>
      <c r="S678" s="2">
        <v>0.01</v>
      </c>
      <c r="T678" t="s">
        <v>658</v>
      </c>
      <c r="U678" s="2">
        <v>0.41</v>
      </c>
      <c r="V678" t="s">
        <v>1538</v>
      </c>
      <c r="W678" t="s">
        <v>1539</v>
      </c>
      <c r="X678" t="b">
        <v>0</v>
      </c>
      <c r="Y678" t="b">
        <v>0</v>
      </c>
    </row>
    <row r="679" spans="1:25">
      <c r="A679">
        <v>6780</v>
      </c>
      <c r="B679" t="s">
        <v>1382</v>
      </c>
      <c r="C679" t="s">
        <v>1540</v>
      </c>
      <c r="D679" t="s">
        <v>1384</v>
      </c>
      <c r="E679">
        <v>6780</v>
      </c>
      <c r="F679">
        <v>34</v>
      </c>
      <c r="G679">
        <v>494</v>
      </c>
      <c r="H679">
        <v>34.9</v>
      </c>
      <c r="I679">
        <v>351</v>
      </c>
      <c r="J679">
        <v>40</v>
      </c>
      <c r="K679">
        <v>1223</v>
      </c>
      <c r="L679">
        <v>69</v>
      </c>
      <c r="M679">
        <v>454</v>
      </c>
      <c r="N679">
        <v>67.099999999999994</v>
      </c>
      <c r="O679">
        <v>444</v>
      </c>
      <c r="P679" t="s">
        <v>255</v>
      </c>
      <c r="Q679" s="1">
        <v>10902</v>
      </c>
      <c r="R679">
        <v>14.6</v>
      </c>
      <c r="S679" s="2">
        <v>0.18</v>
      </c>
      <c r="T679" t="s">
        <v>113</v>
      </c>
      <c r="U679" s="2">
        <v>0.44</v>
      </c>
      <c r="V679" t="s">
        <v>1540</v>
      </c>
      <c r="W679" t="s">
        <v>1541</v>
      </c>
      <c r="X679" t="b">
        <v>0</v>
      </c>
      <c r="Y679" t="b">
        <v>0</v>
      </c>
    </row>
    <row r="680" spans="1:25">
      <c r="A680">
        <v>6790</v>
      </c>
      <c r="B680" t="s">
        <v>1382</v>
      </c>
      <c r="C680" t="s">
        <v>1542</v>
      </c>
      <c r="D680" t="s">
        <v>1384</v>
      </c>
      <c r="E680">
        <v>6790</v>
      </c>
      <c r="F680">
        <v>38.4</v>
      </c>
      <c r="G680">
        <v>349</v>
      </c>
      <c r="H680">
        <v>29</v>
      </c>
      <c r="I680">
        <v>496</v>
      </c>
      <c r="J680">
        <v>55.7</v>
      </c>
      <c r="K680">
        <v>870</v>
      </c>
      <c r="L680">
        <v>46.7</v>
      </c>
      <c r="M680">
        <v>870</v>
      </c>
      <c r="N680">
        <v>43.4</v>
      </c>
      <c r="O680">
        <v>1004</v>
      </c>
      <c r="P680" t="s">
        <v>1543</v>
      </c>
      <c r="Q680" s="1">
        <v>34309</v>
      </c>
      <c r="R680">
        <v>8.8000000000000007</v>
      </c>
      <c r="S680" s="2">
        <v>0.11</v>
      </c>
      <c r="T680" s="3">
        <v>2.8145833333333332</v>
      </c>
      <c r="U680" s="2">
        <v>0.21</v>
      </c>
      <c r="V680" t="s">
        <v>1542</v>
      </c>
      <c r="W680" t="s">
        <v>1544</v>
      </c>
      <c r="X680" t="b">
        <v>0</v>
      </c>
      <c r="Y680" t="b">
        <v>0</v>
      </c>
    </row>
    <row r="681" spans="1:25">
      <c r="A681">
        <v>6800</v>
      </c>
      <c r="B681" t="s">
        <v>1382</v>
      </c>
      <c r="C681" t="s">
        <v>1545</v>
      </c>
      <c r="D681" t="s">
        <v>1384</v>
      </c>
      <c r="E681">
        <v>6800</v>
      </c>
      <c r="F681">
        <v>21.1</v>
      </c>
      <c r="G681">
        <v>1295</v>
      </c>
      <c r="H681">
        <v>15</v>
      </c>
      <c r="I681">
        <v>1121</v>
      </c>
      <c r="J681">
        <v>74.8</v>
      </c>
      <c r="K681">
        <v>440</v>
      </c>
      <c r="L681">
        <v>40.4</v>
      </c>
      <c r="M681">
        <v>972</v>
      </c>
      <c r="N681">
        <v>41.9</v>
      </c>
      <c r="O681">
        <v>1056</v>
      </c>
      <c r="P681" t="s">
        <v>528</v>
      </c>
      <c r="Q681" s="1">
        <v>9831</v>
      </c>
      <c r="R681">
        <v>18.5</v>
      </c>
      <c r="S681" s="2">
        <v>0.03</v>
      </c>
      <c r="T681" s="3">
        <v>1.7493055555555554</v>
      </c>
      <c r="U681" s="2">
        <v>0.15</v>
      </c>
      <c r="V681" t="s">
        <v>1545</v>
      </c>
      <c r="W681" t="s">
        <v>1546</v>
      </c>
      <c r="X681" t="b">
        <v>0</v>
      </c>
      <c r="Y681" t="b">
        <v>0</v>
      </c>
    </row>
    <row r="682" spans="1:25">
      <c r="A682">
        <v>6810</v>
      </c>
      <c r="B682" t="s">
        <v>1382</v>
      </c>
      <c r="C682" t="s">
        <v>1547</v>
      </c>
      <c r="D682" t="s">
        <v>1384</v>
      </c>
      <c r="E682">
        <v>6810</v>
      </c>
      <c r="F682">
        <v>41.9</v>
      </c>
      <c r="G682">
        <v>263</v>
      </c>
      <c r="H682">
        <v>24.3</v>
      </c>
      <c r="I682">
        <v>639</v>
      </c>
      <c r="J682">
        <v>51.8</v>
      </c>
      <c r="K682">
        <v>973</v>
      </c>
      <c r="L682">
        <v>33.9</v>
      </c>
      <c r="M682">
        <v>1113</v>
      </c>
      <c r="N682">
        <v>23.7</v>
      </c>
      <c r="O682">
        <v>1754</v>
      </c>
      <c r="P682" t="s">
        <v>528</v>
      </c>
      <c r="Q682" s="1">
        <v>9737</v>
      </c>
      <c r="R682">
        <v>16.100000000000001</v>
      </c>
      <c r="S682" s="2">
        <v>0.01</v>
      </c>
      <c r="T682" s="3">
        <v>1.9131944444444444</v>
      </c>
      <c r="U682" s="2">
        <v>0.28000000000000003</v>
      </c>
      <c r="V682" t="s">
        <v>1547</v>
      </c>
      <c r="W682" t="s">
        <v>1548</v>
      </c>
      <c r="X682" t="b">
        <v>0</v>
      </c>
      <c r="Y682" t="b">
        <v>0</v>
      </c>
    </row>
    <row r="683" spans="1:25">
      <c r="A683">
        <v>6820</v>
      </c>
      <c r="B683" t="s">
        <v>1382</v>
      </c>
      <c r="C683" t="s">
        <v>1549</v>
      </c>
      <c r="D683" t="s">
        <v>1384</v>
      </c>
      <c r="E683">
        <v>6820</v>
      </c>
      <c r="F683">
        <v>25.6</v>
      </c>
      <c r="G683">
        <v>967</v>
      </c>
      <c r="H683">
        <v>14.1</v>
      </c>
      <c r="I683">
        <v>1195</v>
      </c>
      <c r="J683">
        <v>77.5</v>
      </c>
      <c r="K683">
        <v>382</v>
      </c>
      <c r="L683">
        <v>51.1</v>
      </c>
      <c r="M683">
        <v>791</v>
      </c>
      <c r="N683">
        <v>55.1</v>
      </c>
      <c r="O683">
        <v>671</v>
      </c>
      <c r="P683" t="s">
        <v>54</v>
      </c>
      <c r="Q683" s="1">
        <v>35258</v>
      </c>
      <c r="R683">
        <v>9.4</v>
      </c>
      <c r="S683" s="2">
        <v>0.06</v>
      </c>
      <c r="T683" s="3">
        <v>1.83125</v>
      </c>
      <c r="U683" s="2">
        <v>0.36</v>
      </c>
      <c r="V683" t="s">
        <v>1549</v>
      </c>
      <c r="W683" t="s">
        <v>1550</v>
      </c>
      <c r="X683" t="b">
        <v>0</v>
      </c>
      <c r="Y683" t="b">
        <v>0</v>
      </c>
    </row>
    <row r="684" spans="1:25">
      <c r="A684">
        <v>6830</v>
      </c>
      <c r="B684" t="s">
        <v>1382</v>
      </c>
      <c r="C684" t="s">
        <v>1551</v>
      </c>
      <c r="D684" t="s">
        <v>1384</v>
      </c>
      <c r="E684">
        <v>6830</v>
      </c>
      <c r="F684">
        <v>20.100000000000001</v>
      </c>
      <c r="G684">
        <v>1367</v>
      </c>
      <c r="H684">
        <v>19.2</v>
      </c>
      <c r="I684">
        <v>858</v>
      </c>
      <c r="J684">
        <v>78.3</v>
      </c>
      <c r="K684">
        <v>358</v>
      </c>
      <c r="L684">
        <v>28.2</v>
      </c>
      <c r="M684">
        <v>1232</v>
      </c>
      <c r="N684">
        <v>65.7</v>
      </c>
      <c r="O684">
        <v>472</v>
      </c>
      <c r="P684" t="s">
        <v>150</v>
      </c>
      <c r="Q684" s="1">
        <v>6910</v>
      </c>
      <c r="R684">
        <v>13</v>
      </c>
      <c r="S684" s="2">
        <v>0.13</v>
      </c>
      <c r="T684" s="3">
        <v>2.5277777777777777</v>
      </c>
      <c r="U684" s="2">
        <v>0.2</v>
      </c>
      <c r="V684" t="s">
        <v>1551</v>
      </c>
      <c r="W684" t="s">
        <v>1552</v>
      </c>
      <c r="X684" t="b">
        <v>0</v>
      </c>
      <c r="Y684" t="b">
        <v>0</v>
      </c>
    </row>
    <row r="685" spans="1:25">
      <c r="A685">
        <v>6840</v>
      </c>
      <c r="B685" t="s">
        <v>1382</v>
      </c>
      <c r="C685" t="s">
        <v>1553</v>
      </c>
      <c r="D685" t="s">
        <v>1384</v>
      </c>
      <c r="E685">
        <v>6840</v>
      </c>
      <c r="F685">
        <v>27.8</v>
      </c>
      <c r="G685">
        <v>817</v>
      </c>
      <c r="H685">
        <v>13.4</v>
      </c>
      <c r="I685">
        <v>1266</v>
      </c>
      <c r="J685">
        <v>62.7</v>
      </c>
      <c r="K685">
        <v>712</v>
      </c>
      <c r="L685">
        <v>30.8</v>
      </c>
      <c r="M685">
        <v>1163</v>
      </c>
      <c r="N685">
        <v>67.099999999999994</v>
      </c>
      <c r="O685">
        <v>445</v>
      </c>
      <c r="P685" t="s">
        <v>1554</v>
      </c>
      <c r="Q685" s="1">
        <v>25631</v>
      </c>
      <c r="R685">
        <v>10.3</v>
      </c>
      <c r="S685" s="2">
        <v>0.2</v>
      </c>
      <c r="T685" s="3">
        <v>2.8965277777777776</v>
      </c>
      <c r="U685" s="2">
        <v>0.25</v>
      </c>
      <c r="V685" t="s">
        <v>1553</v>
      </c>
      <c r="W685" t="s">
        <v>1555</v>
      </c>
      <c r="X685" t="b">
        <v>0</v>
      </c>
      <c r="Y685" t="b">
        <v>0</v>
      </c>
    </row>
    <row r="686" spans="1:25">
      <c r="A686">
        <v>6850</v>
      </c>
      <c r="B686" t="s">
        <v>1382</v>
      </c>
      <c r="C686" t="s">
        <v>1556</v>
      </c>
      <c r="D686" t="s">
        <v>1384</v>
      </c>
      <c r="E686">
        <v>6850</v>
      </c>
      <c r="F686">
        <v>30.5</v>
      </c>
      <c r="G686">
        <v>667</v>
      </c>
      <c r="H686">
        <v>18.3</v>
      </c>
      <c r="I686">
        <v>904</v>
      </c>
      <c r="J686">
        <v>58.3</v>
      </c>
      <c r="K686">
        <v>817</v>
      </c>
      <c r="L686">
        <v>21.3</v>
      </c>
      <c r="M686">
        <v>1468</v>
      </c>
      <c r="N686">
        <v>76.7</v>
      </c>
      <c r="O686">
        <v>302</v>
      </c>
      <c r="P686" t="s">
        <v>534</v>
      </c>
      <c r="Q686" s="1">
        <v>19006</v>
      </c>
      <c r="R686">
        <v>9.6</v>
      </c>
      <c r="S686" s="2">
        <v>0.03</v>
      </c>
      <c r="T686" s="3">
        <v>2.6916666666666669</v>
      </c>
      <c r="U686" s="2">
        <v>0.28000000000000003</v>
      </c>
      <c r="V686" t="s">
        <v>1556</v>
      </c>
      <c r="W686" t="s">
        <v>1557</v>
      </c>
      <c r="X686" t="b">
        <v>0</v>
      </c>
      <c r="Y686" t="b">
        <v>0</v>
      </c>
    </row>
    <row r="687" spans="1:25">
      <c r="A687">
        <v>6860</v>
      </c>
      <c r="B687" t="s">
        <v>1382</v>
      </c>
      <c r="C687" t="s">
        <v>1558</v>
      </c>
      <c r="D687" t="s">
        <v>1384</v>
      </c>
      <c r="E687">
        <v>6860</v>
      </c>
      <c r="F687">
        <v>37.6</v>
      </c>
      <c r="G687">
        <v>373</v>
      </c>
      <c r="H687">
        <v>17.100000000000001</v>
      </c>
      <c r="I687">
        <v>962</v>
      </c>
      <c r="J687">
        <v>59.3</v>
      </c>
      <c r="K687">
        <v>798</v>
      </c>
      <c r="L687">
        <v>81.400000000000006</v>
      </c>
      <c r="M687">
        <v>245</v>
      </c>
      <c r="N687">
        <v>25.3</v>
      </c>
      <c r="O687">
        <v>1692</v>
      </c>
      <c r="P687" t="s">
        <v>94</v>
      </c>
      <c r="Q687" s="1">
        <v>6579</v>
      </c>
      <c r="R687">
        <v>5</v>
      </c>
      <c r="S687" s="2">
        <v>0.03</v>
      </c>
      <c r="T687" s="3">
        <v>2.2819444444444446</v>
      </c>
      <c r="U687" s="2">
        <v>0.03</v>
      </c>
      <c r="V687" t="s">
        <v>1558</v>
      </c>
      <c r="W687" t="s">
        <v>1559</v>
      </c>
      <c r="X687" t="b">
        <v>0</v>
      </c>
      <c r="Y687" t="b">
        <v>0</v>
      </c>
    </row>
    <row r="688" spans="1:25">
      <c r="A688">
        <v>6870</v>
      </c>
      <c r="B688" t="s">
        <v>1382</v>
      </c>
      <c r="C688" t="s">
        <v>1560</v>
      </c>
      <c r="D688" t="s">
        <v>1384</v>
      </c>
      <c r="E688">
        <v>6870</v>
      </c>
      <c r="F688">
        <v>38.700000000000003</v>
      </c>
      <c r="G688">
        <v>345</v>
      </c>
      <c r="H688">
        <v>28.7</v>
      </c>
      <c r="I688">
        <v>500</v>
      </c>
      <c r="J688">
        <v>44.4</v>
      </c>
      <c r="K688">
        <v>1139</v>
      </c>
      <c r="L688">
        <v>83</v>
      </c>
      <c r="M688">
        <v>228</v>
      </c>
      <c r="N688">
        <v>56.7</v>
      </c>
      <c r="O688">
        <v>649</v>
      </c>
      <c r="P688" t="s">
        <v>99</v>
      </c>
      <c r="Q688" s="1">
        <v>6912</v>
      </c>
      <c r="R688">
        <v>22</v>
      </c>
      <c r="S688" s="2">
        <v>0.19</v>
      </c>
      <c r="T688" t="s">
        <v>113</v>
      </c>
      <c r="U688" s="2">
        <v>0.46</v>
      </c>
      <c r="V688" t="s">
        <v>1560</v>
      </c>
      <c r="W688" t="s">
        <v>1561</v>
      </c>
      <c r="X688" t="b">
        <v>0</v>
      </c>
      <c r="Y688" t="b">
        <v>0</v>
      </c>
    </row>
    <row r="689" spans="1:25">
      <c r="A689">
        <v>6880</v>
      </c>
      <c r="B689" t="s">
        <v>1382</v>
      </c>
      <c r="C689" t="s">
        <v>1562</v>
      </c>
      <c r="D689" t="s">
        <v>1384</v>
      </c>
      <c r="E689">
        <v>6880</v>
      </c>
      <c r="F689">
        <v>32.9</v>
      </c>
      <c r="G689">
        <v>547</v>
      </c>
      <c r="H689">
        <v>20.9</v>
      </c>
      <c r="I689">
        <v>776</v>
      </c>
      <c r="J689">
        <v>57.4</v>
      </c>
      <c r="K689">
        <v>834</v>
      </c>
      <c r="L689">
        <v>66.900000000000006</v>
      </c>
      <c r="M689">
        <v>503</v>
      </c>
      <c r="N689">
        <v>57.5</v>
      </c>
      <c r="O689">
        <v>633</v>
      </c>
      <c r="P689" t="s">
        <v>29</v>
      </c>
      <c r="Q689" s="1">
        <v>19332</v>
      </c>
      <c r="R689">
        <v>13.8</v>
      </c>
      <c r="S689" s="2">
        <v>0.06</v>
      </c>
      <c r="T689" s="3">
        <v>2.2409722222222221</v>
      </c>
      <c r="U689" s="2">
        <v>0.28000000000000003</v>
      </c>
      <c r="V689" t="s">
        <v>1562</v>
      </c>
      <c r="W689" t="s">
        <v>1563</v>
      </c>
      <c r="X689" t="b">
        <v>0</v>
      </c>
      <c r="Y689" t="b">
        <v>0</v>
      </c>
    </row>
    <row r="690" spans="1:25">
      <c r="A690">
        <v>6890</v>
      </c>
      <c r="B690" t="s">
        <v>1382</v>
      </c>
      <c r="C690" t="s">
        <v>1564</v>
      </c>
      <c r="D690" t="s">
        <v>1384</v>
      </c>
      <c r="E690">
        <v>6890</v>
      </c>
      <c r="F690">
        <v>27.1</v>
      </c>
      <c r="G690">
        <v>870</v>
      </c>
      <c r="H690">
        <v>19.899999999999999</v>
      </c>
      <c r="I690">
        <v>818</v>
      </c>
      <c r="J690">
        <v>74.7</v>
      </c>
      <c r="K690">
        <v>446</v>
      </c>
      <c r="L690">
        <v>21.9</v>
      </c>
      <c r="M690">
        <v>1443</v>
      </c>
      <c r="N690">
        <v>24.8</v>
      </c>
      <c r="O690">
        <v>1714</v>
      </c>
      <c r="P690" t="s">
        <v>795</v>
      </c>
      <c r="Q690" s="1">
        <v>8654</v>
      </c>
      <c r="R690">
        <v>28.4</v>
      </c>
      <c r="S690" s="2">
        <v>0.02</v>
      </c>
      <c r="T690" s="3">
        <v>2.3229166666666665</v>
      </c>
      <c r="U690" s="2">
        <v>0.42</v>
      </c>
      <c r="V690" t="s">
        <v>1564</v>
      </c>
      <c r="W690" t="s">
        <v>1565</v>
      </c>
      <c r="X690" t="b">
        <v>0</v>
      </c>
      <c r="Y690" t="b">
        <v>0</v>
      </c>
    </row>
    <row r="691" spans="1:25">
      <c r="A691">
        <v>6900</v>
      </c>
      <c r="B691" t="s">
        <v>1382</v>
      </c>
      <c r="C691" t="s">
        <v>1566</v>
      </c>
      <c r="D691" t="s">
        <v>1384</v>
      </c>
      <c r="E691">
        <v>6900</v>
      </c>
      <c r="F691">
        <v>32.9</v>
      </c>
      <c r="G691">
        <v>548</v>
      </c>
      <c r="H691">
        <v>15</v>
      </c>
      <c r="I691">
        <v>1122</v>
      </c>
      <c r="J691">
        <v>75.599999999999994</v>
      </c>
      <c r="K691">
        <v>429</v>
      </c>
      <c r="L691">
        <v>17.399999999999999</v>
      </c>
      <c r="M691">
        <v>1714</v>
      </c>
      <c r="N691">
        <v>25.3</v>
      </c>
      <c r="O691">
        <v>1693</v>
      </c>
      <c r="P691" t="s">
        <v>795</v>
      </c>
      <c r="Q691" s="1">
        <v>3265</v>
      </c>
      <c r="R691">
        <v>20.5</v>
      </c>
      <c r="S691" s="2">
        <v>0.03</v>
      </c>
      <c r="T691" s="3">
        <v>2.4458333333333333</v>
      </c>
      <c r="U691" s="2">
        <v>0.08</v>
      </c>
      <c r="V691" t="s">
        <v>1566</v>
      </c>
      <c r="W691" t="s">
        <v>1567</v>
      </c>
      <c r="X691" t="b">
        <v>0</v>
      </c>
      <c r="Y691" t="b">
        <v>0</v>
      </c>
    </row>
    <row r="692" spans="1:25">
      <c r="A692">
        <v>6910</v>
      </c>
      <c r="B692" t="s">
        <v>1382</v>
      </c>
      <c r="C692" t="s">
        <v>1568</v>
      </c>
      <c r="D692" t="s">
        <v>1384</v>
      </c>
      <c r="E692">
        <v>6910</v>
      </c>
      <c r="F692">
        <v>36.9</v>
      </c>
      <c r="G692">
        <v>391</v>
      </c>
      <c r="H692">
        <v>27</v>
      </c>
      <c r="I692">
        <v>542</v>
      </c>
      <c r="J692">
        <v>49.2</v>
      </c>
      <c r="K692">
        <v>1036</v>
      </c>
      <c r="L692">
        <v>73.3</v>
      </c>
      <c r="M692">
        <v>360</v>
      </c>
      <c r="N692">
        <v>38.4</v>
      </c>
      <c r="O692">
        <v>1174</v>
      </c>
      <c r="P692" t="s">
        <v>94</v>
      </c>
      <c r="Q692" s="1">
        <v>33577</v>
      </c>
      <c r="R692">
        <v>10.199999999999999</v>
      </c>
      <c r="S692" s="2">
        <v>0.08</v>
      </c>
      <c r="T692" t="s">
        <v>801</v>
      </c>
      <c r="U692" s="2">
        <v>0.21</v>
      </c>
      <c r="V692" t="s">
        <v>1568</v>
      </c>
      <c r="W692" t="s">
        <v>1569</v>
      </c>
      <c r="X692" t="b">
        <v>0</v>
      </c>
      <c r="Y692" t="b">
        <v>0</v>
      </c>
    </row>
    <row r="693" spans="1:25">
      <c r="A693">
        <v>6920</v>
      </c>
      <c r="B693" t="s">
        <v>1382</v>
      </c>
      <c r="C693" t="s">
        <v>1570</v>
      </c>
      <c r="D693" t="s">
        <v>1384</v>
      </c>
      <c r="E693">
        <v>6920</v>
      </c>
      <c r="F693">
        <v>38.5</v>
      </c>
      <c r="G693">
        <v>348</v>
      </c>
      <c r="H693">
        <v>15.8</v>
      </c>
      <c r="I693">
        <v>1062</v>
      </c>
      <c r="J693">
        <v>61.5</v>
      </c>
      <c r="K693">
        <v>743</v>
      </c>
      <c r="L693">
        <v>52</v>
      </c>
      <c r="M693">
        <v>772</v>
      </c>
      <c r="N693">
        <v>39.4</v>
      </c>
      <c r="O693">
        <v>1136</v>
      </c>
      <c r="P693" t="s">
        <v>528</v>
      </c>
      <c r="Q693" s="1">
        <v>24802</v>
      </c>
      <c r="R693">
        <v>12.3</v>
      </c>
      <c r="S693" s="2">
        <v>0.1</v>
      </c>
      <c r="T693" s="3">
        <v>2.0770833333333334</v>
      </c>
      <c r="U693" s="2">
        <v>0.36</v>
      </c>
      <c r="V693" t="s">
        <v>1570</v>
      </c>
      <c r="W693" t="s">
        <v>1571</v>
      </c>
      <c r="X693" t="b">
        <v>0</v>
      </c>
      <c r="Y693" t="b">
        <v>0</v>
      </c>
    </row>
    <row r="694" spans="1:25">
      <c r="A694">
        <v>6930</v>
      </c>
      <c r="B694" t="s">
        <v>1382</v>
      </c>
      <c r="C694" t="s">
        <v>1572</v>
      </c>
      <c r="D694" t="s">
        <v>1384</v>
      </c>
      <c r="E694">
        <v>6930</v>
      </c>
      <c r="F694">
        <v>40.799999999999997</v>
      </c>
      <c r="G694">
        <v>283</v>
      </c>
      <c r="H694">
        <v>21.7</v>
      </c>
      <c r="I694">
        <v>744</v>
      </c>
      <c r="J694">
        <v>43.6</v>
      </c>
      <c r="K694">
        <v>1153</v>
      </c>
      <c r="L694">
        <v>36.1</v>
      </c>
      <c r="M694">
        <v>1073</v>
      </c>
      <c r="N694">
        <v>64.400000000000006</v>
      </c>
      <c r="O694">
        <v>498</v>
      </c>
      <c r="P694" t="s">
        <v>534</v>
      </c>
      <c r="Q694" s="1">
        <v>8594</v>
      </c>
      <c r="R694">
        <v>13</v>
      </c>
      <c r="S694" s="2">
        <v>0.01</v>
      </c>
      <c r="T694" s="3">
        <v>2.1590277777777778</v>
      </c>
      <c r="U694" s="2">
        <v>0.05</v>
      </c>
      <c r="V694" t="s">
        <v>1572</v>
      </c>
      <c r="W694" t="s">
        <v>253</v>
      </c>
      <c r="X694" t="b">
        <v>0</v>
      </c>
      <c r="Y694" t="b">
        <v>0</v>
      </c>
    </row>
    <row r="695" spans="1:25">
      <c r="A695">
        <v>6940</v>
      </c>
      <c r="B695" t="s">
        <v>1382</v>
      </c>
      <c r="C695" t="s">
        <v>1573</v>
      </c>
      <c r="D695" t="s">
        <v>1384</v>
      </c>
      <c r="E695">
        <v>6940</v>
      </c>
      <c r="F695">
        <v>39.5</v>
      </c>
      <c r="G695">
        <v>325</v>
      </c>
      <c r="H695">
        <v>27.2</v>
      </c>
      <c r="I695">
        <v>536</v>
      </c>
      <c r="J695">
        <v>48.1</v>
      </c>
      <c r="K695">
        <v>1058</v>
      </c>
      <c r="L695">
        <v>75.400000000000006</v>
      </c>
      <c r="M695">
        <v>329</v>
      </c>
      <c r="N695">
        <v>39</v>
      </c>
      <c r="O695">
        <v>1151</v>
      </c>
      <c r="P695" t="s">
        <v>94</v>
      </c>
      <c r="Q695" s="1">
        <v>15333</v>
      </c>
      <c r="R695">
        <v>10.199999999999999</v>
      </c>
      <c r="S695" s="2">
        <v>7.0000000000000007E-2</v>
      </c>
      <c r="T695" t="s">
        <v>350</v>
      </c>
      <c r="U695" s="2">
        <v>0.25</v>
      </c>
      <c r="V695" t="s">
        <v>1573</v>
      </c>
      <c r="W695" t="s">
        <v>1574</v>
      </c>
      <c r="X695" t="b">
        <v>0</v>
      </c>
      <c r="Y695" t="b">
        <v>0</v>
      </c>
    </row>
    <row r="696" spans="1:25">
      <c r="A696">
        <v>6950</v>
      </c>
      <c r="B696" t="s">
        <v>1382</v>
      </c>
      <c r="C696" t="s">
        <v>1575</v>
      </c>
      <c r="D696" t="s">
        <v>1384</v>
      </c>
      <c r="E696">
        <v>6950</v>
      </c>
      <c r="F696">
        <v>32.200000000000003</v>
      </c>
      <c r="G696">
        <v>582</v>
      </c>
      <c r="H696">
        <v>37.6</v>
      </c>
      <c r="I696">
        <v>298</v>
      </c>
      <c r="J696">
        <v>49.1</v>
      </c>
      <c r="K696">
        <v>1039</v>
      </c>
      <c r="L696">
        <v>73.7</v>
      </c>
      <c r="M696">
        <v>354</v>
      </c>
      <c r="N696">
        <v>45</v>
      </c>
      <c r="O696">
        <v>960</v>
      </c>
      <c r="P696" t="s">
        <v>181</v>
      </c>
      <c r="Q696" s="1">
        <v>12805</v>
      </c>
      <c r="R696">
        <v>25.2</v>
      </c>
      <c r="S696" s="2">
        <v>0.15</v>
      </c>
      <c r="T696" s="3">
        <v>2.036111111111111</v>
      </c>
      <c r="U696" s="2">
        <v>0.22</v>
      </c>
      <c r="V696" t="s">
        <v>1575</v>
      </c>
      <c r="W696" t="s">
        <v>1576</v>
      </c>
      <c r="X696" t="b">
        <v>0</v>
      </c>
      <c r="Y696" t="b">
        <v>0</v>
      </c>
    </row>
    <row r="697" spans="1:25">
      <c r="A697">
        <v>6960</v>
      </c>
      <c r="B697" t="s">
        <v>1382</v>
      </c>
      <c r="C697" t="s">
        <v>1577</v>
      </c>
      <c r="D697" t="s">
        <v>1384</v>
      </c>
      <c r="E697">
        <v>6960</v>
      </c>
      <c r="F697">
        <v>40.799999999999997</v>
      </c>
      <c r="G697">
        <v>284</v>
      </c>
      <c r="H697">
        <v>11.2</v>
      </c>
      <c r="I697">
        <v>1504</v>
      </c>
      <c r="J697">
        <v>67.599999999999994</v>
      </c>
      <c r="K697">
        <v>609</v>
      </c>
      <c r="L697">
        <v>18.8</v>
      </c>
      <c r="M697">
        <v>1604</v>
      </c>
      <c r="N697">
        <v>27.9</v>
      </c>
      <c r="O697">
        <v>1583</v>
      </c>
      <c r="P697" t="s">
        <v>795</v>
      </c>
      <c r="Q697" s="1">
        <v>3229</v>
      </c>
      <c r="R697">
        <v>10.7</v>
      </c>
      <c r="S697" s="2">
        <v>0.02</v>
      </c>
      <c r="T697" s="3">
        <v>2.036111111111111</v>
      </c>
      <c r="U697" s="2">
        <v>0.11</v>
      </c>
      <c r="V697" t="s">
        <v>1577</v>
      </c>
      <c r="W697" t="s">
        <v>1578</v>
      </c>
      <c r="X697" t="b">
        <v>0</v>
      </c>
      <c r="Y697" t="b">
        <v>0</v>
      </c>
    </row>
    <row r="698" spans="1:25">
      <c r="A698">
        <v>6970</v>
      </c>
      <c r="B698" t="s">
        <v>1382</v>
      </c>
      <c r="C698" t="s">
        <v>1579</v>
      </c>
      <c r="D698" t="s">
        <v>1384</v>
      </c>
      <c r="E698">
        <v>6970</v>
      </c>
      <c r="F698">
        <v>33</v>
      </c>
      <c r="G698">
        <v>544</v>
      </c>
      <c r="H698">
        <v>22.5</v>
      </c>
      <c r="I698">
        <v>710</v>
      </c>
      <c r="J698">
        <v>57.6</v>
      </c>
      <c r="K698">
        <v>830</v>
      </c>
      <c r="L698">
        <v>63.6</v>
      </c>
      <c r="M698">
        <v>574</v>
      </c>
      <c r="N698">
        <v>73.8</v>
      </c>
      <c r="O698">
        <v>354</v>
      </c>
      <c r="P698" t="s">
        <v>29</v>
      </c>
      <c r="Q698" s="1">
        <v>6518</v>
      </c>
      <c r="R698">
        <v>11.2</v>
      </c>
      <c r="S698" s="2">
        <v>0.17</v>
      </c>
      <c r="T698" s="3">
        <v>1.9541666666666666</v>
      </c>
      <c r="U698" s="2">
        <v>0.4</v>
      </c>
      <c r="V698" t="s">
        <v>1579</v>
      </c>
      <c r="W698" t="s">
        <v>1580</v>
      </c>
      <c r="X698" t="b">
        <v>0</v>
      </c>
      <c r="Y698" t="b">
        <v>0</v>
      </c>
    </row>
    <row r="699" spans="1:25">
      <c r="A699">
        <v>6980</v>
      </c>
      <c r="B699" t="s">
        <v>1382</v>
      </c>
      <c r="C699" t="s">
        <v>1581</v>
      </c>
      <c r="D699" t="s">
        <v>1384</v>
      </c>
      <c r="E699">
        <v>6980</v>
      </c>
      <c r="F699">
        <v>32.5</v>
      </c>
      <c r="G699">
        <v>572</v>
      </c>
      <c r="H699">
        <v>23.2</v>
      </c>
      <c r="I699">
        <v>679</v>
      </c>
      <c r="J699">
        <v>58.6</v>
      </c>
      <c r="K699">
        <v>811</v>
      </c>
      <c r="L699">
        <v>67.2</v>
      </c>
      <c r="M699">
        <v>494</v>
      </c>
      <c r="N699">
        <v>68</v>
      </c>
      <c r="O699">
        <v>433</v>
      </c>
      <c r="P699" t="s">
        <v>125</v>
      </c>
      <c r="Q699" s="1">
        <v>79372</v>
      </c>
      <c r="R699">
        <v>31.5</v>
      </c>
      <c r="S699" s="2">
        <v>0.13</v>
      </c>
      <c r="T699" s="3">
        <v>2.5687500000000001</v>
      </c>
      <c r="U699" s="2">
        <v>0.27</v>
      </c>
      <c r="V699" t="s">
        <v>1581</v>
      </c>
      <c r="W699" t="s">
        <v>1582</v>
      </c>
      <c r="X699" t="b">
        <v>0</v>
      </c>
      <c r="Y699" t="b">
        <v>0</v>
      </c>
    </row>
    <row r="700" spans="1:25">
      <c r="A700">
        <v>6990</v>
      </c>
      <c r="B700" t="s">
        <v>1382</v>
      </c>
      <c r="C700" t="s">
        <v>1583</v>
      </c>
      <c r="D700" t="s">
        <v>1384</v>
      </c>
      <c r="E700">
        <v>6990</v>
      </c>
      <c r="F700">
        <v>18.600000000000001</v>
      </c>
      <c r="G700">
        <v>1495</v>
      </c>
      <c r="H700">
        <v>12.4</v>
      </c>
      <c r="I700">
        <v>1366</v>
      </c>
      <c r="J700">
        <v>65.900000000000006</v>
      </c>
      <c r="K700">
        <v>651</v>
      </c>
      <c r="L700">
        <v>52.4</v>
      </c>
      <c r="M700">
        <v>762</v>
      </c>
      <c r="N700">
        <v>92.3</v>
      </c>
      <c r="O700">
        <v>98</v>
      </c>
      <c r="P700" t="s">
        <v>26</v>
      </c>
      <c r="Q700" s="1">
        <v>14510</v>
      </c>
      <c r="R700">
        <v>17.5</v>
      </c>
      <c r="S700" s="2">
        <v>0.37</v>
      </c>
      <c r="T700" s="3">
        <v>2.3638888888888889</v>
      </c>
      <c r="U700" s="2">
        <v>0.3</v>
      </c>
      <c r="V700" t="s">
        <v>1583</v>
      </c>
      <c r="W700" t="s">
        <v>1584</v>
      </c>
      <c r="X700" t="b">
        <v>0</v>
      </c>
      <c r="Y700" t="b">
        <v>0</v>
      </c>
    </row>
    <row r="701" spans="1:25">
      <c r="A701">
        <v>7000</v>
      </c>
      <c r="B701" t="s">
        <v>1382</v>
      </c>
      <c r="C701" t="s">
        <v>1585</v>
      </c>
      <c r="D701" t="s">
        <v>1384</v>
      </c>
      <c r="E701">
        <v>7000</v>
      </c>
      <c r="F701">
        <v>27.3</v>
      </c>
      <c r="G701">
        <v>861</v>
      </c>
      <c r="H701">
        <v>18.899999999999999</v>
      </c>
      <c r="I701">
        <v>870</v>
      </c>
      <c r="J701">
        <v>58</v>
      </c>
      <c r="K701">
        <v>824</v>
      </c>
      <c r="L701">
        <v>60.6</v>
      </c>
      <c r="M701">
        <v>633</v>
      </c>
      <c r="N701">
        <v>72.900000000000006</v>
      </c>
      <c r="O701">
        <v>366</v>
      </c>
      <c r="P701" t="s">
        <v>125</v>
      </c>
      <c r="Q701" s="1">
        <v>63803</v>
      </c>
      <c r="R701">
        <v>20</v>
      </c>
      <c r="S701" s="2">
        <v>0.16</v>
      </c>
      <c r="T701" s="3">
        <v>2.2409722222222221</v>
      </c>
      <c r="U701" s="2">
        <v>0.34</v>
      </c>
      <c r="V701" t="s">
        <v>1585</v>
      </c>
      <c r="W701" t="s">
        <v>1586</v>
      </c>
      <c r="X701" t="b">
        <v>0</v>
      </c>
      <c r="Y701" t="b">
        <v>0</v>
      </c>
    </row>
    <row r="702" spans="1:25">
      <c r="A702">
        <v>7010</v>
      </c>
      <c r="B702" t="s">
        <v>1382</v>
      </c>
      <c r="C702" t="s">
        <v>1587</v>
      </c>
      <c r="D702" t="s">
        <v>1384</v>
      </c>
      <c r="E702">
        <v>7010</v>
      </c>
      <c r="F702">
        <v>32.700000000000003</v>
      </c>
      <c r="G702">
        <v>562</v>
      </c>
      <c r="H702">
        <v>21.4</v>
      </c>
      <c r="I702">
        <v>754</v>
      </c>
      <c r="J702">
        <v>61.1</v>
      </c>
      <c r="K702">
        <v>752</v>
      </c>
      <c r="L702">
        <v>63.1</v>
      </c>
      <c r="M702">
        <v>585</v>
      </c>
      <c r="N702">
        <v>47.8</v>
      </c>
      <c r="O702">
        <v>870</v>
      </c>
      <c r="P702" t="s">
        <v>29</v>
      </c>
      <c r="Q702" s="1">
        <v>31112</v>
      </c>
      <c r="R702">
        <v>19.399999999999999</v>
      </c>
      <c r="S702" s="2">
        <v>0.04</v>
      </c>
      <c r="T702" s="3">
        <v>2.3229166666666665</v>
      </c>
      <c r="U702" s="2">
        <v>0.33</v>
      </c>
      <c r="V702" t="s">
        <v>1587</v>
      </c>
      <c r="W702" t="s">
        <v>1588</v>
      </c>
      <c r="X702" t="b">
        <v>0</v>
      </c>
      <c r="Y702" t="b">
        <v>0</v>
      </c>
    </row>
    <row r="703" spans="1:25">
      <c r="A703">
        <v>7020</v>
      </c>
      <c r="B703" t="s">
        <v>1382</v>
      </c>
      <c r="C703" t="s">
        <v>1589</v>
      </c>
      <c r="D703" t="s">
        <v>1384</v>
      </c>
      <c r="E703">
        <v>7020</v>
      </c>
      <c r="F703">
        <v>22.9</v>
      </c>
      <c r="G703">
        <v>1158</v>
      </c>
      <c r="H703">
        <v>11.3</v>
      </c>
      <c r="I703">
        <v>1490</v>
      </c>
      <c r="J703">
        <v>34.200000000000003</v>
      </c>
      <c r="K703">
        <v>1347</v>
      </c>
      <c r="L703">
        <v>18.8</v>
      </c>
      <c r="M703">
        <v>1605</v>
      </c>
      <c r="N703">
        <v>27.1</v>
      </c>
      <c r="O703">
        <v>1612</v>
      </c>
      <c r="P703" t="s">
        <v>1123</v>
      </c>
      <c r="Q703" s="1">
        <v>22580</v>
      </c>
      <c r="R703">
        <v>11.9</v>
      </c>
      <c r="S703" s="2">
        <v>0.01</v>
      </c>
      <c r="T703" s="3">
        <v>1.7493055555555554</v>
      </c>
      <c r="U703" s="2">
        <v>0.42</v>
      </c>
      <c r="V703" t="s">
        <v>1589</v>
      </c>
      <c r="W703" t="s">
        <v>1590</v>
      </c>
      <c r="X703" t="b">
        <v>0</v>
      </c>
      <c r="Y703" t="b">
        <v>0</v>
      </c>
    </row>
    <row r="704" spans="1:25">
      <c r="A704">
        <v>7030</v>
      </c>
      <c r="B704" t="s">
        <v>1382</v>
      </c>
      <c r="C704" t="s">
        <v>1591</v>
      </c>
      <c r="D704" t="s">
        <v>1384</v>
      </c>
      <c r="E704">
        <v>7030</v>
      </c>
      <c r="F704">
        <v>39.299999999999997</v>
      </c>
      <c r="G704">
        <v>327</v>
      </c>
      <c r="H704">
        <v>25</v>
      </c>
      <c r="I704">
        <v>611</v>
      </c>
      <c r="J704">
        <v>46.3</v>
      </c>
      <c r="K704">
        <v>1089</v>
      </c>
      <c r="L704">
        <v>78.599999999999994</v>
      </c>
      <c r="M704">
        <v>281</v>
      </c>
      <c r="N704">
        <v>48.7</v>
      </c>
      <c r="O704">
        <v>843</v>
      </c>
      <c r="P704" t="s">
        <v>1448</v>
      </c>
      <c r="Q704" s="1">
        <v>28790</v>
      </c>
      <c r="R704">
        <v>8.9</v>
      </c>
      <c r="S704" s="2">
        <v>0.05</v>
      </c>
      <c r="T704" s="3">
        <v>2.6916666666666669</v>
      </c>
      <c r="U704" s="2">
        <v>0.12</v>
      </c>
      <c r="V704" t="s">
        <v>1591</v>
      </c>
      <c r="W704" t="s">
        <v>1592</v>
      </c>
      <c r="X704" t="b">
        <v>0</v>
      </c>
      <c r="Y704" t="b">
        <v>0</v>
      </c>
    </row>
    <row r="705" spans="1:25">
      <c r="A705">
        <v>7040</v>
      </c>
      <c r="B705" t="s">
        <v>1382</v>
      </c>
      <c r="C705" t="s">
        <v>1593</v>
      </c>
      <c r="D705" t="s">
        <v>1384</v>
      </c>
      <c r="E705">
        <v>7040</v>
      </c>
      <c r="F705">
        <v>29.9</v>
      </c>
      <c r="G705">
        <v>695</v>
      </c>
      <c r="H705">
        <v>15.6</v>
      </c>
      <c r="I705">
        <v>1077</v>
      </c>
      <c r="J705">
        <v>76.5</v>
      </c>
      <c r="K705">
        <v>406</v>
      </c>
      <c r="L705">
        <v>19.8</v>
      </c>
      <c r="M705">
        <v>1545</v>
      </c>
      <c r="N705">
        <v>20.3</v>
      </c>
      <c r="O705">
        <v>1860</v>
      </c>
      <c r="P705" t="s">
        <v>528</v>
      </c>
      <c r="Q705" s="1">
        <v>4715</v>
      </c>
      <c r="R705">
        <v>17.3</v>
      </c>
      <c r="S705" s="2">
        <v>0</v>
      </c>
      <c r="T705" t="s">
        <v>145</v>
      </c>
      <c r="U705" s="2">
        <v>0.46</v>
      </c>
      <c r="V705" t="s">
        <v>1593</v>
      </c>
      <c r="W705" t="s">
        <v>1594</v>
      </c>
      <c r="X705" t="b">
        <v>0</v>
      </c>
      <c r="Y705" t="b">
        <v>0</v>
      </c>
    </row>
    <row r="706" spans="1:25">
      <c r="A706">
        <v>7050</v>
      </c>
      <c r="B706" t="s">
        <v>1382</v>
      </c>
      <c r="C706" t="s">
        <v>1595</v>
      </c>
      <c r="D706" t="s">
        <v>1384</v>
      </c>
      <c r="E706">
        <v>7050</v>
      </c>
      <c r="F706">
        <v>27.4</v>
      </c>
      <c r="G706">
        <v>852</v>
      </c>
      <c r="H706">
        <v>19</v>
      </c>
      <c r="I706">
        <v>863</v>
      </c>
      <c r="J706">
        <v>67.5</v>
      </c>
      <c r="K706">
        <v>612</v>
      </c>
      <c r="L706">
        <v>28.3</v>
      </c>
      <c r="M706">
        <v>1226</v>
      </c>
      <c r="N706">
        <v>57.9</v>
      </c>
      <c r="O706">
        <v>624</v>
      </c>
      <c r="P706" t="s">
        <v>664</v>
      </c>
      <c r="Q706" s="1">
        <v>8331</v>
      </c>
      <c r="R706">
        <v>13.5</v>
      </c>
      <c r="S706" s="2">
        <v>0.08</v>
      </c>
      <c r="T706" s="3">
        <v>2.0770833333333334</v>
      </c>
      <c r="U706" s="2">
        <v>0.43</v>
      </c>
      <c r="V706" t="s">
        <v>1595</v>
      </c>
      <c r="W706" t="s">
        <v>1596</v>
      </c>
      <c r="X706" t="b">
        <v>0</v>
      </c>
      <c r="Y706" t="b">
        <v>0</v>
      </c>
    </row>
    <row r="707" spans="1:25">
      <c r="A707">
        <v>7060</v>
      </c>
      <c r="B707" t="s">
        <v>1382</v>
      </c>
      <c r="C707" t="s">
        <v>1597</v>
      </c>
      <c r="D707" t="s">
        <v>1384</v>
      </c>
      <c r="E707">
        <v>7060</v>
      </c>
      <c r="F707">
        <v>45</v>
      </c>
      <c r="G707">
        <v>204</v>
      </c>
      <c r="H707">
        <v>18.5</v>
      </c>
      <c r="I707">
        <v>890</v>
      </c>
      <c r="J707">
        <v>46.3</v>
      </c>
      <c r="K707">
        <v>1090</v>
      </c>
      <c r="L707">
        <v>44.9</v>
      </c>
      <c r="M707">
        <v>897</v>
      </c>
      <c r="N707">
        <v>48.3</v>
      </c>
      <c r="O707">
        <v>858</v>
      </c>
      <c r="P707" t="s">
        <v>528</v>
      </c>
      <c r="Q707" s="1">
        <v>23602</v>
      </c>
      <c r="R707">
        <v>9.1</v>
      </c>
      <c r="S707" s="2">
        <v>0.12</v>
      </c>
      <c r="T707" s="3">
        <v>1.9951388888888888</v>
      </c>
      <c r="U707" s="2">
        <v>0.26</v>
      </c>
      <c r="V707" t="s">
        <v>1597</v>
      </c>
      <c r="W707" t="s">
        <v>1598</v>
      </c>
      <c r="X707" t="b">
        <v>0</v>
      </c>
      <c r="Y707" t="b">
        <v>0</v>
      </c>
    </row>
    <row r="708" spans="1:25">
      <c r="A708">
        <v>7070</v>
      </c>
      <c r="B708" t="s">
        <v>1382</v>
      </c>
      <c r="C708" t="s">
        <v>1599</v>
      </c>
      <c r="D708" t="s">
        <v>1384</v>
      </c>
      <c r="E708">
        <v>7070</v>
      </c>
      <c r="F708">
        <v>23.2</v>
      </c>
      <c r="G708">
        <v>1138</v>
      </c>
      <c r="H708">
        <v>22.6</v>
      </c>
      <c r="I708">
        <v>703</v>
      </c>
      <c r="J708">
        <v>75.599999999999994</v>
      </c>
      <c r="K708">
        <v>430</v>
      </c>
      <c r="L708">
        <v>64.900000000000006</v>
      </c>
      <c r="M708">
        <v>551</v>
      </c>
      <c r="N708">
        <v>36</v>
      </c>
      <c r="O708">
        <v>1279</v>
      </c>
      <c r="P708" t="s">
        <v>397</v>
      </c>
      <c r="Q708" s="1">
        <v>14332</v>
      </c>
      <c r="R708">
        <v>28.9</v>
      </c>
      <c r="S708" s="2">
        <v>0.05</v>
      </c>
      <c r="T708" s="3">
        <v>1.9951388888888888</v>
      </c>
      <c r="U708" s="2">
        <v>0.26</v>
      </c>
      <c r="V708" t="s">
        <v>1599</v>
      </c>
      <c r="W708" t="s">
        <v>1600</v>
      </c>
      <c r="X708" t="b">
        <v>0</v>
      </c>
      <c r="Y708" t="b">
        <v>0</v>
      </c>
    </row>
    <row r="709" spans="1:25">
      <c r="A709">
        <v>7080</v>
      </c>
      <c r="B709" t="s">
        <v>1382</v>
      </c>
      <c r="C709" t="s">
        <v>1601</v>
      </c>
      <c r="D709" t="s">
        <v>1384</v>
      </c>
      <c r="E709">
        <v>7080</v>
      </c>
      <c r="F709">
        <v>28.8</v>
      </c>
      <c r="G709">
        <v>754</v>
      </c>
      <c r="H709">
        <v>24.6</v>
      </c>
      <c r="I709">
        <v>624</v>
      </c>
      <c r="J709">
        <v>61.5</v>
      </c>
      <c r="K709">
        <v>744</v>
      </c>
      <c r="L709">
        <v>66.8</v>
      </c>
      <c r="M709">
        <v>508</v>
      </c>
      <c r="N709">
        <v>50.1</v>
      </c>
      <c r="O709">
        <v>801</v>
      </c>
      <c r="P709" t="s">
        <v>29</v>
      </c>
      <c r="Q709" s="1">
        <v>11668</v>
      </c>
      <c r="R709">
        <v>17.2</v>
      </c>
      <c r="S709" s="2">
        <v>0.11</v>
      </c>
      <c r="T709" s="3">
        <v>1.9541666666666666</v>
      </c>
      <c r="U709" s="2">
        <v>0.41</v>
      </c>
      <c r="V709" t="s">
        <v>1601</v>
      </c>
      <c r="W709" t="s">
        <v>1602</v>
      </c>
      <c r="X709" t="b">
        <v>0</v>
      </c>
      <c r="Y709" t="b">
        <v>0</v>
      </c>
    </row>
    <row r="710" spans="1:25">
      <c r="A710">
        <v>7090</v>
      </c>
      <c r="B710" t="s">
        <v>1382</v>
      </c>
      <c r="C710" t="s">
        <v>1603</v>
      </c>
      <c r="D710" t="s">
        <v>1384</v>
      </c>
      <c r="E710">
        <v>7090</v>
      </c>
      <c r="F710">
        <v>25.9</v>
      </c>
      <c r="G710">
        <v>945</v>
      </c>
      <c r="H710">
        <v>31</v>
      </c>
      <c r="I710">
        <v>443</v>
      </c>
      <c r="J710">
        <v>50.1</v>
      </c>
      <c r="K710">
        <v>1020</v>
      </c>
      <c r="L710">
        <v>41.7</v>
      </c>
      <c r="M710">
        <v>945</v>
      </c>
      <c r="N710">
        <v>66.3</v>
      </c>
      <c r="O710">
        <v>461</v>
      </c>
      <c r="P710" t="s">
        <v>984</v>
      </c>
      <c r="Q710" s="1">
        <v>32789</v>
      </c>
      <c r="R710">
        <v>18.399999999999999</v>
      </c>
      <c r="S710" s="2">
        <v>0.23</v>
      </c>
      <c r="T710" s="3">
        <v>2.6097222222222221</v>
      </c>
      <c r="U710" s="2">
        <v>0.24</v>
      </c>
      <c r="V710" t="s">
        <v>1603</v>
      </c>
      <c r="W710" t="s">
        <v>1604</v>
      </c>
      <c r="X710" t="b">
        <v>0</v>
      </c>
      <c r="Y710" t="b">
        <v>0</v>
      </c>
    </row>
    <row r="711" spans="1:25">
      <c r="A711">
        <v>7100</v>
      </c>
      <c r="B711" t="s">
        <v>1382</v>
      </c>
      <c r="C711" t="s">
        <v>1605</v>
      </c>
      <c r="D711" t="s">
        <v>1384</v>
      </c>
      <c r="E711">
        <v>7100</v>
      </c>
      <c r="F711">
        <v>34.9</v>
      </c>
      <c r="G711">
        <v>466</v>
      </c>
      <c r="H711">
        <v>14.7</v>
      </c>
      <c r="I711">
        <v>1148</v>
      </c>
      <c r="J711">
        <v>63.9</v>
      </c>
      <c r="K711">
        <v>693</v>
      </c>
      <c r="L711">
        <v>28.5</v>
      </c>
      <c r="M711">
        <v>1222</v>
      </c>
      <c r="N711">
        <v>29.7</v>
      </c>
      <c r="O711">
        <v>1506</v>
      </c>
      <c r="P711" t="s">
        <v>795</v>
      </c>
      <c r="Q711" s="1">
        <v>8666</v>
      </c>
      <c r="R711">
        <v>9</v>
      </c>
      <c r="S711" s="2">
        <v>0.04</v>
      </c>
      <c r="T711" s="3">
        <v>2.4048611111111109</v>
      </c>
      <c r="U711" s="2">
        <v>0.08</v>
      </c>
      <c r="V711" t="s">
        <v>1605</v>
      </c>
      <c r="W711" t="s">
        <v>1199</v>
      </c>
      <c r="X711" t="b">
        <v>0</v>
      </c>
      <c r="Y711" t="b">
        <v>0</v>
      </c>
    </row>
    <row r="712" spans="1:25">
      <c r="A712">
        <v>7110</v>
      </c>
      <c r="B712" t="s">
        <v>1382</v>
      </c>
      <c r="C712" t="s">
        <v>1606</v>
      </c>
      <c r="D712" t="s">
        <v>1384</v>
      </c>
      <c r="E712">
        <v>7110</v>
      </c>
      <c r="F712">
        <v>44.1</v>
      </c>
      <c r="G712">
        <v>215</v>
      </c>
      <c r="H712">
        <v>12.4</v>
      </c>
      <c r="I712">
        <v>1368</v>
      </c>
      <c r="J712">
        <v>65.599999999999994</v>
      </c>
      <c r="K712">
        <v>663</v>
      </c>
      <c r="L712">
        <v>28.1</v>
      </c>
      <c r="M712">
        <v>1233</v>
      </c>
      <c r="N712">
        <v>24.7</v>
      </c>
      <c r="O712">
        <v>1717</v>
      </c>
      <c r="P712" t="s">
        <v>795</v>
      </c>
      <c r="Q712" s="1">
        <v>6715</v>
      </c>
      <c r="R712">
        <v>12.4</v>
      </c>
      <c r="S712" s="2">
        <v>0.01</v>
      </c>
      <c r="T712" s="3">
        <v>2.3638888888888889</v>
      </c>
      <c r="U712" s="2">
        <v>7.0000000000000007E-2</v>
      </c>
      <c r="V712" t="s">
        <v>1606</v>
      </c>
      <c r="W712" t="s">
        <v>1607</v>
      </c>
      <c r="X712" t="b">
        <v>0</v>
      </c>
      <c r="Y712" t="b">
        <v>0</v>
      </c>
    </row>
    <row r="713" spans="1:25">
      <c r="A713">
        <v>7120</v>
      </c>
      <c r="B713" t="s">
        <v>1382</v>
      </c>
      <c r="C713" t="s">
        <v>1608</v>
      </c>
      <c r="D713" t="s">
        <v>1384</v>
      </c>
      <c r="E713">
        <v>7120</v>
      </c>
      <c r="F713">
        <v>26.3</v>
      </c>
      <c r="G713">
        <v>922</v>
      </c>
      <c r="H713">
        <v>30.3</v>
      </c>
      <c r="I713">
        <v>462</v>
      </c>
      <c r="J713">
        <v>59.3</v>
      </c>
      <c r="K713">
        <v>799</v>
      </c>
      <c r="L713">
        <v>74.7</v>
      </c>
      <c r="M713">
        <v>340</v>
      </c>
      <c r="N713">
        <v>51.9</v>
      </c>
      <c r="O713">
        <v>744</v>
      </c>
      <c r="P713" t="s">
        <v>992</v>
      </c>
      <c r="Q713" s="1">
        <v>20001</v>
      </c>
      <c r="R713">
        <v>19.5</v>
      </c>
      <c r="S713" s="2">
        <v>0.13</v>
      </c>
      <c r="T713" s="3">
        <v>2.3638888888888889</v>
      </c>
      <c r="U713" s="2">
        <v>0.31</v>
      </c>
      <c r="V713" t="s">
        <v>1608</v>
      </c>
      <c r="W713" t="s">
        <v>1609</v>
      </c>
      <c r="X713" t="b">
        <v>0</v>
      </c>
      <c r="Y713" t="b">
        <v>0</v>
      </c>
    </row>
    <row r="714" spans="1:25">
      <c r="A714">
        <v>7130</v>
      </c>
      <c r="B714" t="s">
        <v>1382</v>
      </c>
      <c r="C714" t="s">
        <v>1610</v>
      </c>
      <c r="D714" t="s">
        <v>1384</v>
      </c>
      <c r="E714">
        <v>7130</v>
      </c>
      <c r="F714">
        <v>27.3</v>
      </c>
      <c r="G714">
        <v>862</v>
      </c>
      <c r="H714">
        <v>20</v>
      </c>
      <c r="I714">
        <v>814</v>
      </c>
      <c r="J714">
        <v>58.8</v>
      </c>
      <c r="K714">
        <v>806</v>
      </c>
      <c r="L714">
        <v>66.2</v>
      </c>
      <c r="M714">
        <v>522</v>
      </c>
      <c r="N714">
        <v>50.7</v>
      </c>
      <c r="O714">
        <v>783</v>
      </c>
      <c r="P714" t="s">
        <v>29</v>
      </c>
      <c r="Q714" s="1">
        <v>21181</v>
      </c>
      <c r="R714">
        <v>14.6</v>
      </c>
      <c r="S714" s="2">
        <v>0.04</v>
      </c>
      <c r="T714" s="3">
        <v>2.2409722222222221</v>
      </c>
      <c r="U714" s="2">
        <v>0.32</v>
      </c>
      <c r="V714" t="s">
        <v>1610</v>
      </c>
      <c r="W714" t="s">
        <v>1611</v>
      </c>
      <c r="X714" t="b">
        <v>0</v>
      </c>
      <c r="Y714" t="b">
        <v>0</v>
      </c>
    </row>
    <row r="715" spans="1:25">
      <c r="A715">
        <v>7140</v>
      </c>
      <c r="B715" t="s">
        <v>1382</v>
      </c>
      <c r="C715" t="s">
        <v>1612</v>
      </c>
      <c r="D715" t="s">
        <v>1384</v>
      </c>
      <c r="E715">
        <v>7140</v>
      </c>
      <c r="F715">
        <v>24</v>
      </c>
      <c r="G715">
        <v>1081</v>
      </c>
      <c r="H715">
        <v>22.7</v>
      </c>
      <c r="I715">
        <v>701</v>
      </c>
      <c r="J715">
        <v>61.9</v>
      </c>
      <c r="K715">
        <v>740</v>
      </c>
      <c r="L715">
        <v>60.1</v>
      </c>
      <c r="M715">
        <v>645</v>
      </c>
      <c r="N715">
        <v>65.8</v>
      </c>
      <c r="O715">
        <v>467</v>
      </c>
      <c r="P715" t="s">
        <v>1613</v>
      </c>
      <c r="Q715" s="1">
        <v>16693</v>
      </c>
      <c r="R715">
        <v>14.9</v>
      </c>
      <c r="S715" s="2">
        <v>0.12</v>
      </c>
      <c r="T715" s="3">
        <v>1.83125</v>
      </c>
      <c r="U715" s="2">
        <v>0.33</v>
      </c>
      <c r="V715" t="s">
        <v>1614</v>
      </c>
      <c r="W715" t="s">
        <v>1615</v>
      </c>
      <c r="X715" t="b">
        <v>0</v>
      </c>
      <c r="Y715" t="b">
        <v>0</v>
      </c>
    </row>
    <row r="716" spans="1:25">
      <c r="A716">
        <v>7150</v>
      </c>
      <c r="B716" t="s">
        <v>1382</v>
      </c>
      <c r="C716" t="s">
        <v>1616</v>
      </c>
      <c r="D716" t="s">
        <v>1384</v>
      </c>
      <c r="E716">
        <v>7150</v>
      </c>
      <c r="F716">
        <v>24.4</v>
      </c>
      <c r="G716">
        <v>1050</v>
      </c>
      <c r="H716">
        <v>27.2</v>
      </c>
      <c r="I716">
        <v>537</v>
      </c>
      <c r="J716">
        <v>53.7</v>
      </c>
      <c r="K716">
        <v>928</v>
      </c>
      <c r="L716">
        <v>62.8</v>
      </c>
      <c r="M716">
        <v>598</v>
      </c>
      <c r="N716">
        <v>69.7</v>
      </c>
      <c r="O716">
        <v>412</v>
      </c>
      <c r="P716" t="s">
        <v>137</v>
      </c>
      <c r="Q716" s="1">
        <v>6616</v>
      </c>
      <c r="R716">
        <v>22.2</v>
      </c>
      <c r="S716" s="2">
        <v>0.12</v>
      </c>
      <c r="T716" s="3">
        <v>2.4458333333333333</v>
      </c>
      <c r="U716" s="2">
        <v>0.3</v>
      </c>
      <c r="V716" t="s">
        <v>1616</v>
      </c>
      <c r="W716" t="s">
        <v>1617</v>
      </c>
      <c r="X716" t="b">
        <v>0</v>
      </c>
      <c r="Y716" t="b">
        <v>0</v>
      </c>
    </row>
    <row r="717" spans="1:25">
      <c r="A717">
        <v>7160</v>
      </c>
      <c r="B717" t="s">
        <v>1382</v>
      </c>
      <c r="C717" t="s">
        <v>1618</v>
      </c>
      <c r="D717" t="s">
        <v>1384</v>
      </c>
      <c r="E717">
        <v>7160</v>
      </c>
      <c r="F717">
        <v>28.2</v>
      </c>
      <c r="G717">
        <v>798</v>
      </c>
      <c r="H717">
        <v>31.6</v>
      </c>
      <c r="I717">
        <v>428</v>
      </c>
      <c r="J717">
        <v>50.1</v>
      </c>
      <c r="K717">
        <v>1021</v>
      </c>
      <c r="L717">
        <v>71.400000000000006</v>
      </c>
      <c r="M717">
        <v>399</v>
      </c>
      <c r="N717">
        <v>24.7</v>
      </c>
      <c r="O717">
        <v>1719</v>
      </c>
      <c r="P717" t="s">
        <v>54</v>
      </c>
      <c r="Q717" s="1">
        <v>33883</v>
      </c>
      <c r="R717">
        <v>15.4</v>
      </c>
      <c r="S717" s="2">
        <v>0.03</v>
      </c>
      <c r="U717" s="2">
        <v>0.47</v>
      </c>
      <c r="V717" t="s">
        <v>1618</v>
      </c>
      <c r="W717" t="s">
        <v>1619</v>
      </c>
      <c r="X717" t="b">
        <v>0</v>
      </c>
      <c r="Y717" t="b">
        <v>0</v>
      </c>
    </row>
    <row r="718" spans="1:25">
      <c r="A718">
        <v>7170</v>
      </c>
      <c r="B718" t="s">
        <v>1382</v>
      </c>
      <c r="C718" t="s">
        <v>1620</v>
      </c>
      <c r="D718" t="s">
        <v>1384</v>
      </c>
      <c r="E718">
        <v>7170</v>
      </c>
      <c r="F718">
        <v>22.6</v>
      </c>
      <c r="G718">
        <v>1179</v>
      </c>
      <c r="H718">
        <v>21.2</v>
      </c>
      <c r="I718">
        <v>762</v>
      </c>
      <c r="J718">
        <v>79.400000000000006</v>
      </c>
      <c r="K718">
        <v>335</v>
      </c>
      <c r="L718">
        <v>28.7</v>
      </c>
      <c r="M718">
        <v>1214</v>
      </c>
      <c r="N718">
        <v>28</v>
      </c>
      <c r="O718">
        <v>1578</v>
      </c>
      <c r="P718" t="s">
        <v>54</v>
      </c>
      <c r="Q718" s="1">
        <v>32345</v>
      </c>
      <c r="R718">
        <v>16.5</v>
      </c>
      <c r="S718" s="2">
        <v>0.01</v>
      </c>
      <c r="U718" s="2">
        <v>0.36</v>
      </c>
      <c r="V718" t="s">
        <v>1620</v>
      </c>
      <c r="W718" t="s">
        <v>1621</v>
      </c>
      <c r="X718" t="b">
        <v>0</v>
      </c>
      <c r="Y718" t="b">
        <v>0</v>
      </c>
    </row>
    <row r="719" spans="1:25">
      <c r="A719">
        <v>7180</v>
      </c>
      <c r="B719" t="s">
        <v>1382</v>
      </c>
      <c r="C719" t="s">
        <v>1622</v>
      </c>
      <c r="D719" t="s">
        <v>1384</v>
      </c>
      <c r="E719">
        <v>7180</v>
      </c>
      <c r="F719">
        <v>21.8</v>
      </c>
      <c r="G719">
        <v>1248</v>
      </c>
      <c r="H719">
        <v>16.2</v>
      </c>
      <c r="I719">
        <v>1036</v>
      </c>
      <c r="J719">
        <v>69.099999999999994</v>
      </c>
      <c r="K719">
        <v>579</v>
      </c>
      <c r="L719">
        <v>68.099999999999994</v>
      </c>
      <c r="M719">
        <v>480</v>
      </c>
      <c r="N719">
        <v>37.1</v>
      </c>
      <c r="O719">
        <v>1236</v>
      </c>
      <c r="P719" t="s">
        <v>54</v>
      </c>
      <c r="Q719" s="1">
        <v>38866</v>
      </c>
      <c r="R719">
        <v>13.5</v>
      </c>
      <c r="S719" s="2">
        <v>0.03</v>
      </c>
      <c r="U719" s="2">
        <v>0.39</v>
      </c>
      <c r="V719" t="s">
        <v>1622</v>
      </c>
      <c r="W719" t="s">
        <v>1623</v>
      </c>
      <c r="X719" t="b">
        <v>0</v>
      </c>
      <c r="Y719" t="b">
        <v>0</v>
      </c>
    </row>
    <row r="720" spans="1:25">
      <c r="A720">
        <v>7190</v>
      </c>
      <c r="B720" t="s">
        <v>1382</v>
      </c>
      <c r="C720" t="s">
        <v>1624</v>
      </c>
      <c r="D720" t="s">
        <v>1384</v>
      </c>
      <c r="E720">
        <v>7190</v>
      </c>
      <c r="F720">
        <v>37.200000000000003</v>
      </c>
      <c r="G720">
        <v>385</v>
      </c>
      <c r="H720">
        <v>27</v>
      </c>
      <c r="I720">
        <v>543</v>
      </c>
      <c r="J720">
        <v>38.299999999999997</v>
      </c>
      <c r="K720">
        <v>1254</v>
      </c>
      <c r="L720">
        <v>93.8</v>
      </c>
      <c r="M720">
        <v>130</v>
      </c>
      <c r="N720">
        <v>75.099999999999994</v>
      </c>
      <c r="O720">
        <v>329</v>
      </c>
      <c r="P720" t="s">
        <v>125</v>
      </c>
      <c r="Q720" s="1">
        <v>6130</v>
      </c>
      <c r="R720">
        <v>18.7</v>
      </c>
      <c r="S720" s="2">
        <v>0.28999999999999998</v>
      </c>
      <c r="T720" t="s">
        <v>801</v>
      </c>
      <c r="U720" s="2">
        <v>0.33</v>
      </c>
      <c r="V720" t="s">
        <v>1624</v>
      </c>
      <c r="W720" t="s">
        <v>1625</v>
      </c>
      <c r="X720" t="b">
        <v>0</v>
      </c>
      <c r="Y720" t="b">
        <v>0</v>
      </c>
    </row>
    <row r="721" spans="1:25">
      <c r="A721">
        <v>7200</v>
      </c>
      <c r="B721" t="s">
        <v>1382</v>
      </c>
      <c r="C721" t="s">
        <v>1626</v>
      </c>
      <c r="D721" t="s">
        <v>1384</v>
      </c>
      <c r="E721">
        <v>7200</v>
      </c>
      <c r="F721">
        <v>25.1</v>
      </c>
      <c r="G721">
        <v>995</v>
      </c>
      <c r="H721">
        <v>19.399999999999999</v>
      </c>
      <c r="I721">
        <v>846</v>
      </c>
      <c r="J721">
        <v>71.2</v>
      </c>
      <c r="K721">
        <v>532</v>
      </c>
      <c r="L721">
        <v>34.9</v>
      </c>
      <c r="M721">
        <v>1094</v>
      </c>
      <c r="N721">
        <v>55.1</v>
      </c>
      <c r="O721">
        <v>673</v>
      </c>
      <c r="P721" t="s">
        <v>1102</v>
      </c>
      <c r="Q721" s="1">
        <v>12212</v>
      </c>
      <c r="R721">
        <v>9.3000000000000007</v>
      </c>
      <c r="S721" s="2">
        <v>0.05</v>
      </c>
      <c r="T721" t="s">
        <v>113</v>
      </c>
      <c r="U721" s="2">
        <v>0.41</v>
      </c>
      <c r="V721" t="s">
        <v>1626</v>
      </c>
      <c r="W721" t="s">
        <v>1627</v>
      </c>
      <c r="X721" t="b">
        <v>0</v>
      </c>
      <c r="Y721" t="b">
        <v>0</v>
      </c>
    </row>
    <row r="722" spans="1:25">
      <c r="A722">
        <v>7210</v>
      </c>
      <c r="B722" t="s">
        <v>1382</v>
      </c>
      <c r="C722" t="s">
        <v>1628</v>
      </c>
      <c r="D722" t="s">
        <v>1384</v>
      </c>
      <c r="E722">
        <v>7210</v>
      </c>
      <c r="F722">
        <v>39.1</v>
      </c>
      <c r="G722">
        <v>330</v>
      </c>
      <c r="H722">
        <v>27.1</v>
      </c>
      <c r="I722">
        <v>540</v>
      </c>
      <c r="J722">
        <v>43.2</v>
      </c>
      <c r="K722">
        <v>1164</v>
      </c>
      <c r="L722">
        <v>64.099999999999994</v>
      </c>
      <c r="M722">
        <v>565</v>
      </c>
      <c r="N722">
        <v>65.599999999999994</v>
      </c>
      <c r="O722">
        <v>474</v>
      </c>
      <c r="P722" t="s">
        <v>255</v>
      </c>
      <c r="Q722" s="1">
        <v>7198</v>
      </c>
      <c r="R722">
        <v>12</v>
      </c>
      <c r="S722" s="2">
        <v>0.21</v>
      </c>
      <c r="T722" t="s">
        <v>658</v>
      </c>
      <c r="U722" s="2">
        <v>0.38</v>
      </c>
      <c r="V722" t="s">
        <v>1629</v>
      </c>
      <c r="W722" t="s">
        <v>1630</v>
      </c>
      <c r="X722" t="b">
        <v>0</v>
      </c>
      <c r="Y722" t="b">
        <v>0</v>
      </c>
    </row>
    <row r="723" spans="1:25">
      <c r="A723">
        <v>7220</v>
      </c>
      <c r="B723" t="s">
        <v>1382</v>
      </c>
      <c r="C723" t="s">
        <v>1631</v>
      </c>
      <c r="D723" t="s">
        <v>1384</v>
      </c>
      <c r="E723">
        <v>7220</v>
      </c>
      <c r="F723">
        <v>28.2</v>
      </c>
      <c r="G723">
        <v>799</v>
      </c>
      <c r="H723">
        <v>33.700000000000003</v>
      </c>
      <c r="I723">
        <v>386</v>
      </c>
      <c r="J723">
        <v>43.8</v>
      </c>
      <c r="K723">
        <v>1147</v>
      </c>
      <c r="L723">
        <v>79.099999999999994</v>
      </c>
      <c r="M723">
        <v>274</v>
      </c>
      <c r="N723">
        <v>47.2</v>
      </c>
      <c r="O723">
        <v>887</v>
      </c>
      <c r="P723" t="s">
        <v>389</v>
      </c>
      <c r="Q723" s="1">
        <v>8497</v>
      </c>
      <c r="R723">
        <v>12.6</v>
      </c>
      <c r="S723" s="2">
        <v>0.09</v>
      </c>
      <c r="T723" s="3">
        <v>1.7902777777777779</v>
      </c>
      <c r="U723" s="2">
        <v>0.33</v>
      </c>
      <c r="V723" t="s">
        <v>1631</v>
      </c>
      <c r="W723" t="s">
        <v>1632</v>
      </c>
      <c r="X723" t="b">
        <v>0</v>
      </c>
      <c r="Y723" t="b">
        <v>0</v>
      </c>
    </row>
    <row r="724" spans="1:25">
      <c r="A724">
        <v>7230</v>
      </c>
      <c r="B724" t="s">
        <v>1382</v>
      </c>
      <c r="C724" t="s">
        <v>1633</v>
      </c>
      <c r="D724" t="s">
        <v>1384</v>
      </c>
      <c r="E724">
        <v>7230</v>
      </c>
      <c r="F724">
        <v>26.3</v>
      </c>
      <c r="G724">
        <v>923</v>
      </c>
      <c r="H724">
        <v>23</v>
      </c>
      <c r="I724">
        <v>687</v>
      </c>
      <c r="J724">
        <v>59.1</v>
      </c>
      <c r="K724">
        <v>803</v>
      </c>
      <c r="L724">
        <v>59.7</v>
      </c>
      <c r="M724">
        <v>652</v>
      </c>
      <c r="N724">
        <v>38.1</v>
      </c>
      <c r="O724">
        <v>1189</v>
      </c>
      <c r="P724" t="s">
        <v>1220</v>
      </c>
      <c r="Q724" s="1">
        <v>13532</v>
      </c>
      <c r="R724">
        <v>20.3</v>
      </c>
      <c r="S724" s="2">
        <v>0.06</v>
      </c>
      <c r="T724" t="s">
        <v>40</v>
      </c>
      <c r="U724" s="2">
        <v>0.51</v>
      </c>
      <c r="V724" t="s">
        <v>1633</v>
      </c>
      <c r="W724" t="s">
        <v>1634</v>
      </c>
      <c r="X724" t="b">
        <v>0</v>
      </c>
      <c r="Y724" t="b">
        <v>0</v>
      </c>
    </row>
    <row r="725" spans="1:25">
      <c r="A725">
        <v>7240</v>
      </c>
      <c r="B725" t="s">
        <v>1382</v>
      </c>
      <c r="C725" t="s">
        <v>1635</v>
      </c>
      <c r="D725" t="s">
        <v>1384</v>
      </c>
      <c r="E725">
        <v>7240</v>
      </c>
      <c r="F725">
        <v>30.6</v>
      </c>
      <c r="G725">
        <v>661</v>
      </c>
      <c r="H725">
        <v>20.2</v>
      </c>
      <c r="I725">
        <v>801</v>
      </c>
      <c r="J725">
        <v>64.7</v>
      </c>
      <c r="K725">
        <v>679</v>
      </c>
      <c r="L725">
        <v>29.9</v>
      </c>
      <c r="M725">
        <v>1186</v>
      </c>
      <c r="N725">
        <v>23.1</v>
      </c>
      <c r="O725">
        <v>1776</v>
      </c>
      <c r="P725" t="s">
        <v>528</v>
      </c>
      <c r="Q725" s="1">
        <v>7661</v>
      </c>
      <c r="R725">
        <v>20.6</v>
      </c>
      <c r="S725" s="2">
        <v>0.04</v>
      </c>
      <c r="T725">
        <v>0.97083333333333333</v>
      </c>
      <c r="U725" s="2">
        <v>0.43</v>
      </c>
      <c r="V725" t="s">
        <v>1635</v>
      </c>
      <c r="W725" t="s">
        <v>1636</v>
      </c>
      <c r="X725" t="b">
        <v>0</v>
      </c>
      <c r="Y725" t="b">
        <v>0</v>
      </c>
    </row>
    <row r="726" spans="1:25">
      <c r="A726">
        <v>7250</v>
      </c>
      <c r="B726" t="s">
        <v>1382</v>
      </c>
      <c r="C726" t="s">
        <v>1637</v>
      </c>
      <c r="D726" t="s">
        <v>1384</v>
      </c>
      <c r="E726">
        <v>7250</v>
      </c>
      <c r="F726">
        <v>32.4</v>
      </c>
      <c r="G726">
        <v>575</v>
      </c>
      <c r="H726">
        <v>19.5</v>
      </c>
      <c r="I726">
        <v>840</v>
      </c>
      <c r="J726">
        <v>71.7</v>
      </c>
      <c r="K726">
        <v>520</v>
      </c>
      <c r="L726">
        <v>18.399999999999999</v>
      </c>
      <c r="M726">
        <v>1638</v>
      </c>
      <c r="N726">
        <v>20.5</v>
      </c>
      <c r="O726">
        <v>1851</v>
      </c>
      <c r="P726" t="s">
        <v>528</v>
      </c>
      <c r="Q726" s="1">
        <v>4704</v>
      </c>
      <c r="R726">
        <v>16.3</v>
      </c>
      <c r="S726" s="2">
        <v>0.02</v>
      </c>
      <c r="T726">
        <v>0.88888888888888884</v>
      </c>
      <c r="U726" s="2">
        <v>0.44</v>
      </c>
      <c r="V726" t="s">
        <v>1637</v>
      </c>
      <c r="W726" t="s">
        <v>1638</v>
      </c>
      <c r="X726" t="b">
        <v>0</v>
      </c>
      <c r="Y726" t="b">
        <v>0</v>
      </c>
    </row>
    <row r="727" spans="1:25">
      <c r="A727">
        <v>7260</v>
      </c>
      <c r="B727" t="s">
        <v>1382</v>
      </c>
      <c r="C727" t="s">
        <v>1639</v>
      </c>
      <c r="D727" t="s">
        <v>1384</v>
      </c>
      <c r="E727">
        <v>7260</v>
      </c>
      <c r="F727">
        <v>25.9</v>
      </c>
      <c r="G727">
        <v>946</v>
      </c>
      <c r="H727">
        <v>18.8</v>
      </c>
      <c r="I727">
        <v>880</v>
      </c>
      <c r="J727">
        <v>66.599999999999994</v>
      </c>
      <c r="K727">
        <v>634</v>
      </c>
      <c r="L727">
        <v>49.9</v>
      </c>
      <c r="M727">
        <v>811</v>
      </c>
      <c r="N727">
        <v>86.8</v>
      </c>
      <c r="O727">
        <v>173</v>
      </c>
      <c r="P727" t="s">
        <v>1473</v>
      </c>
      <c r="Q727" s="1">
        <v>23137</v>
      </c>
      <c r="R727">
        <v>29.2</v>
      </c>
      <c r="S727" s="2">
        <v>0.86</v>
      </c>
      <c r="T727" s="3">
        <v>1.9131944444444444</v>
      </c>
      <c r="U727" s="2">
        <v>0.24</v>
      </c>
      <c r="V727" t="s">
        <v>1639</v>
      </c>
      <c r="W727" t="s">
        <v>1640</v>
      </c>
      <c r="X727" t="b">
        <v>0</v>
      </c>
      <c r="Y727" t="b">
        <v>0</v>
      </c>
    </row>
    <row r="728" spans="1:25">
      <c r="A728">
        <v>7270</v>
      </c>
      <c r="B728" t="s">
        <v>1382</v>
      </c>
      <c r="C728" t="s">
        <v>1641</v>
      </c>
      <c r="D728" t="s">
        <v>1384</v>
      </c>
      <c r="E728">
        <v>7270</v>
      </c>
      <c r="F728">
        <v>29.3</v>
      </c>
      <c r="G728">
        <v>731</v>
      </c>
      <c r="H728">
        <v>25.6</v>
      </c>
      <c r="I728">
        <v>588</v>
      </c>
      <c r="J728">
        <v>64.7</v>
      </c>
      <c r="K728">
        <v>680</v>
      </c>
      <c r="L728">
        <v>51.5</v>
      </c>
      <c r="M728">
        <v>784</v>
      </c>
      <c r="N728">
        <v>38.299999999999997</v>
      </c>
      <c r="O728">
        <v>1181</v>
      </c>
      <c r="P728" t="s">
        <v>29</v>
      </c>
      <c r="Q728" s="1">
        <v>26730</v>
      </c>
      <c r="R728">
        <v>23.2</v>
      </c>
      <c r="S728" s="2">
        <v>0.04</v>
      </c>
      <c r="T728" s="3">
        <v>2.4048611111111109</v>
      </c>
      <c r="U728" s="2">
        <v>0.28000000000000003</v>
      </c>
      <c r="V728" t="s">
        <v>1641</v>
      </c>
      <c r="W728" t="s">
        <v>1642</v>
      </c>
      <c r="X728" t="b">
        <v>0</v>
      </c>
      <c r="Y728" t="b">
        <v>0</v>
      </c>
    </row>
    <row r="729" spans="1:25">
      <c r="A729">
        <v>7280</v>
      </c>
      <c r="B729" t="s">
        <v>1382</v>
      </c>
      <c r="C729" t="s">
        <v>1643</v>
      </c>
      <c r="D729" t="s">
        <v>1384</v>
      </c>
      <c r="E729">
        <v>7280</v>
      </c>
      <c r="F729">
        <v>24.3</v>
      </c>
      <c r="G729">
        <v>1059</v>
      </c>
      <c r="H729">
        <v>25</v>
      </c>
      <c r="I729">
        <v>614</v>
      </c>
      <c r="J729">
        <v>62.4</v>
      </c>
      <c r="K729">
        <v>723</v>
      </c>
      <c r="L729">
        <v>64</v>
      </c>
      <c r="M729">
        <v>569</v>
      </c>
      <c r="N729">
        <v>81.099999999999994</v>
      </c>
      <c r="O729">
        <v>238</v>
      </c>
      <c r="P729" t="s">
        <v>76</v>
      </c>
      <c r="Q729" s="1">
        <v>8308</v>
      </c>
      <c r="R729">
        <v>15</v>
      </c>
      <c r="S729" s="2">
        <v>0.14000000000000001</v>
      </c>
      <c r="T729" s="3">
        <v>2.2409722222222221</v>
      </c>
      <c r="U729" s="2">
        <v>0.38</v>
      </c>
      <c r="V729" t="s">
        <v>1643</v>
      </c>
      <c r="W729" t="s">
        <v>1644</v>
      </c>
      <c r="X729" t="b">
        <v>0</v>
      </c>
      <c r="Y729" t="b">
        <v>0</v>
      </c>
    </row>
    <row r="730" spans="1:25">
      <c r="A730">
        <v>7290</v>
      </c>
      <c r="B730" t="s">
        <v>1382</v>
      </c>
      <c r="C730" t="s">
        <v>1645</v>
      </c>
      <c r="D730" t="s">
        <v>1384</v>
      </c>
      <c r="E730">
        <v>7290</v>
      </c>
      <c r="F730">
        <v>23.2</v>
      </c>
      <c r="G730">
        <v>1140</v>
      </c>
      <c r="H730">
        <v>22.1</v>
      </c>
      <c r="I730">
        <v>726</v>
      </c>
      <c r="J730">
        <v>74.400000000000006</v>
      </c>
      <c r="K730">
        <v>456</v>
      </c>
      <c r="L730">
        <v>58.7</v>
      </c>
      <c r="M730">
        <v>668</v>
      </c>
      <c r="N730">
        <v>37</v>
      </c>
      <c r="O730">
        <v>1241</v>
      </c>
      <c r="P730" t="s">
        <v>29</v>
      </c>
      <c r="Q730" s="1">
        <v>26819</v>
      </c>
      <c r="R730">
        <v>20.6</v>
      </c>
      <c r="S730" s="2">
        <v>0.06</v>
      </c>
      <c r="T730" s="3">
        <v>2.0770833333333334</v>
      </c>
      <c r="U730" s="2">
        <v>0.32</v>
      </c>
      <c r="V730" t="s">
        <v>1645</v>
      </c>
      <c r="W730" t="s">
        <v>1646</v>
      </c>
      <c r="X730" t="b">
        <v>0</v>
      </c>
      <c r="Y730" t="b">
        <v>0</v>
      </c>
    </row>
    <row r="731" spans="1:25">
      <c r="A731">
        <v>7300</v>
      </c>
      <c r="B731" t="s">
        <v>1382</v>
      </c>
      <c r="C731" t="s">
        <v>1647</v>
      </c>
      <c r="D731" t="s">
        <v>1384</v>
      </c>
      <c r="E731">
        <v>7300</v>
      </c>
      <c r="F731">
        <v>31.5</v>
      </c>
      <c r="G731">
        <v>616</v>
      </c>
      <c r="H731">
        <v>28.1</v>
      </c>
      <c r="I731">
        <v>515</v>
      </c>
      <c r="J731">
        <v>57.8</v>
      </c>
      <c r="K731">
        <v>827</v>
      </c>
      <c r="L731">
        <v>73.7</v>
      </c>
      <c r="M731">
        <v>355</v>
      </c>
      <c r="N731">
        <v>46.7</v>
      </c>
      <c r="O731">
        <v>906</v>
      </c>
      <c r="P731" t="s">
        <v>54</v>
      </c>
      <c r="Q731" s="1">
        <v>39996</v>
      </c>
      <c r="R731">
        <v>13.2</v>
      </c>
      <c r="S731" s="2">
        <v>0.03</v>
      </c>
      <c r="U731" s="2">
        <v>0.43</v>
      </c>
      <c r="V731" t="s">
        <v>1647</v>
      </c>
      <c r="W731" t="s">
        <v>1648</v>
      </c>
      <c r="X731" t="b">
        <v>0</v>
      </c>
      <c r="Y731" t="b">
        <v>0</v>
      </c>
    </row>
    <row r="732" spans="1:25">
      <c r="A732">
        <v>7310</v>
      </c>
      <c r="B732" t="s">
        <v>1382</v>
      </c>
      <c r="C732" t="s">
        <v>1649</v>
      </c>
      <c r="D732" t="s">
        <v>1384</v>
      </c>
      <c r="E732">
        <v>7310</v>
      </c>
      <c r="F732">
        <v>26.3</v>
      </c>
      <c r="G732">
        <v>924</v>
      </c>
      <c r="H732">
        <v>15.9</v>
      </c>
      <c r="I732">
        <v>1054</v>
      </c>
      <c r="J732">
        <v>60</v>
      </c>
      <c r="K732">
        <v>783</v>
      </c>
      <c r="L732">
        <v>60.4</v>
      </c>
      <c r="M732">
        <v>638</v>
      </c>
      <c r="N732">
        <v>62.8</v>
      </c>
      <c r="O732">
        <v>525</v>
      </c>
      <c r="P732" t="s">
        <v>29</v>
      </c>
      <c r="Q732" s="1">
        <v>13248</v>
      </c>
      <c r="R732">
        <v>14.3</v>
      </c>
      <c r="S732" s="2">
        <v>0.06</v>
      </c>
      <c r="T732" s="3">
        <v>2.2819444444444446</v>
      </c>
      <c r="U732" s="2">
        <v>0.3</v>
      </c>
      <c r="V732" t="s">
        <v>1649</v>
      </c>
      <c r="W732" t="s">
        <v>1650</v>
      </c>
      <c r="X732" t="b">
        <v>0</v>
      </c>
      <c r="Y732" t="b">
        <v>0</v>
      </c>
    </row>
    <row r="733" spans="1:25">
      <c r="A733">
        <v>7320</v>
      </c>
      <c r="B733" t="s">
        <v>1382</v>
      </c>
      <c r="C733" t="s">
        <v>1651</v>
      </c>
      <c r="D733" t="s">
        <v>1384</v>
      </c>
      <c r="E733">
        <v>7320</v>
      </c>
      <c r="F733">
        <v>22.7</v>
      </c>
      <c r="G733">
        <v>1172</v>
      </c>
      <c r="H733">
        <v>18.7</v>
      </c>
      <c r="I733">
        <v>884</v>
      </c>
      <c r="J733">
        <v>64.3</v>
      </c>
      <c r="K733">
        <v>686</v>
      </c>
      <c r="L733">
        <v>48</v>
      </c>
      <c r="M733">
        <v>845</v>
      </c>
      <c r="N733">
        <v>56.6</v>
      </c>
      <c r="O733">
        <v>653</v>
      </c>
      <c r="P733" t="s">
        <v>421</v>
      </c>
      <c r="Q733" s="1">
        <v>39684</v>
      </c>
      <c r="R733">
        <v>25.5</v>
      </c>
      <c r="S733" s="2">
        <v>0.03</v>
      </c>
      <c r="T733" s="3">
        <v>2.5687500000000001</v>
      </c>
      <c r="U733" s="2">
        <v>0.23</v>
      </c>
      <c r="V733" t="s">
        <v>1651</v>
      </c>
      <c r="W733" t="s">
        <v>1652</v>
      </c>
      <c r="X733" t="b">
        <v>0</v>
      </c>
      <c r="Y733" t="b">
        <v>0</v>
      </c>
    </row>
    <row r="734" spans="1:25">
      <c r="A734">
        <v>7330</v>
      </c>
      <c r="B734" t="s">
        <v>1382</v>
      </c>
      <c r="C734" t="s">
        <v>1653</v>
      </c>
      <c r="D734" t="s">
        <v>1384</v>
      </c>
      <c r="E734">
        <v>7330</v>
      </c>
      <c r="F734">
        <v>32.1</v>
      </c>
      <c r="G734">
        <v>586</v>
      </c>
      <c r="H734">
        <v>14.7</v>
      </c>
      <c r="I734">
        <v>1149</v>
      </c>
      <c r="J734">
        <v>64</v>
      </c>
      <c r="K734">
        <v>691</v>
      </c>
      <c r="L734">
        <v>36.5</v>
      </c>
      <c r="M734">
        <v>1062</v>
      </c>
      <c r="N734">
        <v>70.8</v>
      </c>
      <c r="O734">
        <v>395</v>
      </c>
      <c r="P734" t="s">
        <v>327</v>
      </c>
      <c r="Q734" s="1">
        <v>7275</v>
      </c>
      <c r="R734">
        <v>8.1999999999999993</v>
      </c>
      <c r="S734" s="2">
        <v>0.12</v>
      </c>
      <c r="T734" s="3">
        <v>2.5687500000000001</v>
      </c>
      <c r="U734" s="2">
        <v>0.25</v>
      </c>
      <c r="V734" t="s">
        <v>1653</v>
      </c>
      <c r="W734" t="s">
        <v>1654</v>
      </c>
      <c r="X734" t="b">
        <v>0</v>
      </c>
      <c r="Y734" t="b">
        <v>0</v>
      </c>
    </row>
    <row r="735" spans="1:25">
      <c r="A735">
        <v>7340</v>
      </c>
      <c r="B735" t="s">
        <v>1382</v>
      </c>
      <c r="C735" t="s">
        <v>1655</v>
      </c>
      <c r="D735" t="s">
        <v>1384</v>
      </c>
      <c r="E735">
        <v>7340</v>
      </c>
      <c r="F735">
        <v>42.2</v>
      </c>
      <c r="G735">
        <v>259</v>
      </c>
      <c r="H735">
        <v>36.6</v>
      </c>
      <c r="I735">
        <v>313</v>
      </c>
      <c r="J735">
        <v>31.6</v>
      </c>
      <c r="K735">
        <v>1411</v>
      </c>
      <c r="L735">
        <v>40.700000000000003</v>
      </c>
      <c r="M735">
        <v>964</v>
      </c>
      <c r="N735">
        <v>51.9</v>
      </c>
      <c r="O735">
        <v>745</v>
      </c>
      <c r="P735" t="s">
        <v>255</v>
      </c>
      <c r="Q735" s="1">
        <v>7264</v>
      </c>
      <c r="R735">
        <v>6.6</v>
      </c>
      <c r="S735" s="2">
        <v>0.2</v>
      </c>
      <c r="U735" s="2">
        <v>0.4</v>
      </c>
      <c r="V735" t="s">
        <v>1655</v>
      </c>
      <c r="W735" t="s">
        <v>1656</v>
      </c>
      <c r="X735" t="b">
        <v>0</v>
      </c>
      <c r="Y735" t="b">
        <v>0</v>
      </c>
    </row>
    <row r="736" spans="1:25">
      <c r="A736">
        <v>7350</v>
      </c>
      <c r="B736" t="s">
        <v>1382</v>
      </c>
      <c r="C736" t="s">
        <v>1657</v>
      </c>
      <c r="D736" t="s">
        <v>1384</v>
      </c>
      <c r="E736">
        <v>7350</v>
      </c>
      <c r="F736">
        <v>30.6</v>
      </c>
      <c r="G736">
        <v>663</v>
      </c>
      <c r="H736">
        <v>20.100000000000001</v>
      </c>
      <c r="I736">
        <v>808</v>
      </c>
      <c r="J736">
        <v>61.2</v>
      </c>
      <c r="K736">
        <v>748</v>
      </c>
      <c r="L736">
        <v>54.7</v>
      </c>
      <c r="M736">
        <v>733</v>
      </c>
      <c r="N736">
        <v>37.200000000000003</v>
      </c>
      <c r="O736">
        <v>1232</v>
      </c>
      <c r="P736" t="s">
        <v>29</v>
      </c>
      <c r="Q736" s="1">
        <v>20948</v>
      </c>
      <c r="R736">
        <v>19.899999999999999</v>
      </c>
      <c r="S736" s="2">
        <v>0.04</v>
      </c>
      <c r="T736" s="3">
        <v>2.4458333333333333</v>
      </c>
      <c r="U736" s="2">
        <v>0.15</v>
      </c>
      <c r="V736" t="s">
        <v>1657</v>
      </c>
      <c r="W736" t="s">
        <v>1658</v>
      </c>
      <c r="X736" t="b">
        <v>0</v>
      </c>
      <c r="Y736" t="b">
        <v>0</v>
      </c>
    </row>
    <row r="737" spans="1:25">
      <c r="A737">
        <v>7360</v>
      </c>
      <c r="B737" t="s">
        <v>1382</v>
      </c>
      <c r="C737" t="s">
        <v>1659</v>
      </c>
      <c r="D737" t="s">
        <v>1384</v>
      </c>
      <c r="E737">
        <v>7360</v>
      </c>
      <c r="F737">
        <v>34.1</v>
      </c>
      <c r="G737">
        <v>490</v>
      </c>
      <c r="H737">
        <v>20.9</v>
      </c>
      <c r="I737">
        <v>777</v>
      </c>
      <c r="J737">
        <v>60.8</v>
      </c>
      <c r="K737">
        <v>764</v>
      </c>
      <c r="L737">
        <v>65.8</v>
      </c>
      <c r="M737">
        <v>533</v>
      </c>
      <c r="N737">
        <v>56</v>
      </c>
      <c r="O737">
        <v>662</v>
      </c>
      <c r="P737" t="s">
        <v>29</v>
      </c>
      <c r="Q737" s="1">
        <v>21239</v>
      </c>
      <c r="R737">
        <v>14.1</v>
      </c>
      <c r="S737" s="2">
        <v>0.05</v>
      </c>
      <c r="T737" s="3">
        <v>2.2000000000000002</v>
      </c>
      <c r="U737" s="2">
        <v>0.3</v>
      </c>
      <c r="V737" t="s">
        <v>1659</v>
      </c>
      <c r="W737" t="s">
        <v>1660</v>
      </c>
      <c r="X737" t="b">
        <v>0</v>
      </c>
      <c r="Y737" t="b">
        <v>0</v>
      </c>
    </row>
    <row r="738" spans="1:25">
      <c r="A738">
        <v>7370</v>
      </c>
      <c r="B738" t="s">
        <v>1382</v>
      </c>
      <c r="C738" t="s">
        <v>1661</v>
      </c>
      <c r="D738" t="s">
        <v>1384</v>
      </c>
      <c r="E738">
        <v>7370</v>
      </c>
      <c r="F738">
        <v>26.1</v>
      </c>
      <c r="G738">
        <v>931</v>
      </c>
      <c r="H738">
        <v>20.399999999999999</v>
      </c>
      <c r="I738">
        <v>794</v>
      </c>
      <c r="J738">
        <v>61.2</v>
      </c>
      <c r="K738">
        <v>749</v>
      </c>
      <c r="L738">
        <v>64</v>
      </c>
      <c r="M738">
        <v>570</v>
      </c>
      <c r="N738">
        <v>38.1</v>
      </c>
      <c r="O738">
        <v>1190</v>
      </c>
      <c r="P738" t="s">
        <v>29</v>
      </c>
      <c r="Q738" s="1">
        <v>18725</v>
      </c>
      <c r="R738">
        <v>18.2</v>
      </c>
      <c r="S738" s="2">
        <v>0.02</v>
      </c>
      <c r="T738" s="3">
        <v>2.4048611111111109</v>
      </c>
      <c r="U738" s="2">
        <v>0.35</v>
      </c>
      <c r="V738" t="s">
        <v>1661</v>
      </c>
      <c r="W738" t="s">
        <v>1662</v>
      </c>
      <c r="X738" t="b">
        <v>0</v>
      </c>
      <c r="Y738" t="b">
        <v>0</v>
      </c>
    </row>
    <row r="739" spans="1:25">
      <c r="A739">
        <v>7380</v>
      </c>
      <c r="B739" t="s">
        <v>1382</v>
      </c>
      <c r="C739" t="s">
        <v>1663</v>
      </c>
      <c r="D739" t="s">
        <v>1384</v>
      </c>
      <c r="E739">
        <v>7380</v>
      </c>
      <c r="F739">
        <v>18.8</v>
      </c>
      <c r="G739">
        <v>1481</v>
      </c>
      <c r="H739">
        <v>25</v>
      </c>
      <c r="I739">
        <v>615</v>
      </c>
      <c r="J739">
        <v>63.5</v>
      </c>
      <c r="K739">
        <v>702</v>
      </c>
      <c r="L739">
        <v>51.9</v>
      </c>
      <c r="M739">
        <v>777</v>
      </c>
      <c r="N739">
        <v>63.2</v>
      </c>
      <c r="O739">
        <v>513</v>
      </c>
      <c r="P739" t="s">
        <v>76</v>
      </c>
      <c r="Q739" s="1">
        <v>9449</v>
      </c>
      <c r="R739">
        <v>30.1</v>
      </c>
      <c r="S739" s="2">
        <v>0.08</v>
      </c>
      <c r="T739" s="3">
        <v>1.83125</v>
      </c>
      <c r="U739" s="2">
        <v>0.42</v>
      </c>
      <c r="V739" t="s">
        <v>1663</v>
      </c>
      <c r="W739" t="s">
        <v>1664</v>
      </c>
      <c r="X739" t="b">
        <v>0</v>
      </c>
      <c r="Y739" t="b">
        <v>0</v>
      </c>
    </row>
    <row r="740" spans="1:25">
      <c r="A740">
        <v>7390</v>
      </c>
      <c r="B740" t="s">
        <v>1382</v>
      </c>
      <c r="C740" t="s">
        <v>1665</v>
      </c>
      <c r="D740" t="s">
        <v>1384</v>
      </c>
      <c r="E740">
        <v>7390</v>
      </c>
      <c r="F740">
        <v>17.7</v>
      </c>
      <c r="G740">
        <v>1583</v>
      </c>
      <c r="H740">
        <v>16.100000000000001</v>
      </c>
      <c r="I740">
        <v>1045</v>
      </c>
      <c r="J740">
        <v>68.7</v>
      </c>
      <c r="K740">
        <v>590</v>
      </c>
      <c r="L740">
        <v>52.6</v>
      </c>
      <c r="M740">
        <v>760</v>
      </c>
      <c r="N740">
        <v>63.6</v>
      </c>
      <c r="O740">
        <v>510</v>
      </c>
      <c r="P740" t="s">
        <v>26</v>
      </c>
      <c r="Q740" s="1">
        <v>81570</v>
      </c>
      <c r="R740">
        <v>33.5</v>
      </c>
      <c r="S740" s="2">
        <v>0.08</v>
      </c>
      <c r="T740" s="3">
        <v>2.7326388888888888</v>
      </c>
      <c r="U740" s="2">
        <v>0.35</v>
      </c>
      <c r="V740" t="s">
        <v>1665</v>
      </c>
      <c r="W740" t="s">
        <v>1666</v>
      </c>
      <c r="X740" t="b">
        <v>0</v>
      </c>
      <c r="Y740" t="b">
        <v>0</v>
      </c>
    </row>
    <row r="741" spans="1:25">
      <c r="A741">
        <v>7400</v>
      </c>
      <c r="B741" t="s">
        <v>1382</v>
      </c>
      <c r="C741" t="s">
        <v>1667</v>
      </c>
      <c r="D741" t="s">
        <v>1384</v>
      </c>
      <c r="E741">
        <v>7400</v>
      </c>
      <c r="F741">
        <v>18.399999999999999</v>
      </c>
      <c r="G741">
        <v>1519</v>
      </c>
      <c r="H741">
        <v>18.2</v>
      </c>
      <c r="I741">
        <v>910</v>
      </c>
      <c r="J741">
        <v>75.900000000000006</v>
      </c>
      <c r="K741">
        <v>421</v>
      </c>
      <c r="L741">
        <v>29.7</v>
      </c>
      <c r="M741">
        <v>1192</v>
      </c>
      <c r="N741">
        <v>51</v>
      </c>
      <c r="O741">
        <v>774</v>
      </c>
      <c r="P741" t="s">
        <v>386</v>
      </c>
      <c r="Q741" s="1">
        <v>33296</v>
      </c>
      <c r="R741">
        <v>96.5</v>
      </c>
      <c r="S741" s="2">
        <v>0.06</v>
      </c>
      <c r="T741" s="3">
        <v>2.3638888888888889</v>
      </c>
      <c r="U741" s="2">
        <v>0.28000000000000003</v>
      </c>
      <c r="V741" t="s">
        <v>1667</v>
      </c>
      <c r="W741" t="s">
        <v>1668</v>
      </c>
      <c r="X741" t="b">
        <v>0</v>
      </c>
      <c r="Y741" t="b">
        <v>0</v>
      </c>
    </row>
    <row r="742" spans="1:25">
      <c r="A742">
        <v>7410</v>
      </c>
      <c r="B742" t="s">
        <v>1382</v>
      </c>
      <c r="C742" t="s">
        <v>1669</v>
      </c>
      <c r="D742" t="s">
        <v>1384</v>
      </c>
      <c r="E742">
        <v>7410</v>
      </c>
      <c r="F742">
        <v>20.100000000000001</v>
      </c>
      <c r="G742">
        <v>1369</v>
      </c>
      <c r="H742">
        <v>22.5</v>
      </c>
      <c r="I742">
        <v>711</v>
      </c>
      <c r="J742">
        <v>77.900000000000006</v>
      </c>
      <c r="K742">
        <v>371</v>
      </c>
      <c r="L742">
        <v>43.8</v>
      </c>
      <c r="M742">
        <v>910</v>
      </c>
      <c r="N742">
        <v>54.6</v>
      </c>
      <c r="O742">
        <v>683</v>
      </c>
      <c r="P742" t="s">
        <v>150</v>
      </c>
      <c r="Q742" s="1">
        <v>10132</v>
      </c>
      <c r="R742">
        <v>15.6</v>
      </c>
      <c r="S742" s="2">
        <v>0.05</v>
      </c>
      <c r="T742" s="3">
        <v>2.6097222222222221</v>
      </c>
      <c r="U742" s="2">
        <v>0.12</v>
      </c>
      <c r="V742" t="s">
        <v>1669</v>
      </c>
      <c r="W742" t="s">
        <v>1670</v>
      </c>
      <c r="X742" t="b">
        <v>0</v>
      </c>
      <c r="Y742" t="b">
        <v>0</v>
      </c>
    </row>
    <row r="743" spans="1:25">
      <c r="A743">
        <v>7420</v>
      </c>
      <c r="B743" t="s">
        <v>1382</v>
      </c>
      <c r="C743" t="s">
        <v>1671</v>
      </c>
      <c r="D743" t="s">
        <v>1384</v>
      </c>
      <c r="E743">
        <v>7420</v>
      </c>
      <c r="F743">
        <v>33.4</v>
      </c>
      <c r="G743">
        <v>529</v>
      </c>
      <c r="H743">
        <v>18</v>
      </c>
      <c r="I743">
        <v>919</v>
      </c>
      <c r="J743">
        <v>54.4</v>
      </c>
      <c r="K743">
        <v>903</v>
      </c>
      <c r="L743">
        <v>51.4</v>
      </c>
      <c r="M743">
        <v>787</v>
      </c>
      <c r="N743">
        <v>74.5</v>
      </c>
      <c r="O743">
        <v>338</v>
      </c>
      <c r="P743" t="s">
        <v>99</v>
      </c>
      <c r="Q743" s="1">
        <v>13562</v>
      </c>
      <c r="R743">
        <v>11.2</v>
      </c>
      <c r="S743" s="2">
        <v>0.26</v>
      </c>
      <c r="T743" s="3">
        <v>1.7902777777777779</v>
      </c>
      <c r="U743" s="2">
        <v>0.3</v>
      </c>
      <c r="V743" t="s">
        <v>1671</v>
      </c>
      <c r="W743" t="s">
        <v>1672</v>
      </c>
      <c r="X743" t="b">
        <v>0</v>
      </c>
      <c r="Y743" t="b">
        <v>0</v>
      </c>
    </row>
    <row r="744" spans="1:25">
      <c r="A744">
        <v>7430</v>
      </c>
      <c r="B744" t="s">
        <v>1382</v>
      </c>
      <c r="C744" t="s">
        <v>1673</v>
      </c>
      <c r="D744" t="s">
        <v>1384</v>
      </c>
      <c r="E744">
        <v>7430</v>
      </c>
      <c r="F744">
        <v>25.1</v>
      </c>
      <c r="G744">
        <v>997</v>
      </c>
      <c r="H744">
        <v>21.1</v>
      </c>
      <c r="I744">
        <v>766</v>
      </c>
      <c r="J744">
        <v>62.5</v>
      </c>
      <c r="K744">
        <v>720</v>
      </c>
      <c r="L744">
        <v>29.1</v>
      </c>
      <c r="M744">
        <v>1200</v>
      </c>
      <c r="N744">
        <v>87.9</v>
      </c>
      <c r="O744">
        <v>152</v>
      </c>
      <c r="P744" t="s">
        <v>26</v>
      </c>
      <c r="Q744" s="1">
        <v>13860</v>
      </c>
      <c r="R744">
        <v>14</v>
      </c>
      <c r="S744" s="2">
        <v>0.25</v>
      </c>
      <c r="T744" s="3">
        <v>2.4458333333333333</v>
      </c>
      <c r="U744" s="2">
        <v>0.18</v>
      </c>
      <c r="V744" t="s">
        <v>1673</v>
      </c>
      <c r="W744" t="s">
        <v>1674</v>
      </c>
      <c r="X744" t="b">
        <v>0</v>
      </c>
      <c r="Y744" t="b">
        <v>0</v>
      </c>
    </row>
    <row r="745" spans="1:25">
      <c r="A745">
        <v>7440</v>
      </c>
      <c r="B745" t="s">
        <v>1382</v>
      </c>
      <c r="C745" t="s">
        <v>1675</v>
      </c>
      <c r="D745" t="s">
        <v>1384</v>
      </c>
      <c r="E745">
        <v>7440</v>
      </c>
      <c r="F745">
        <v>18.899999999999999</v>
      </c>
      <c r="G745">
        <v>1474</v>
      </c>
      <c r="H745">
        <v>22.5</v>
      </c>
      <c r="I745">
        <v>712</v>
      </c>
      <c r="J745">
        <v>69.8</v>
      </c>
      <c r="K745">
        <v>561</v>
      </c>
      <c r="L745">
        <v>47.2</v>
      </c>
      <c r="M745">
        <v>861</v>
      </c>
      <c r="N745">
        <v>34.799999999999997</v>
      </c>
      <c r="O745">
        <v>1330</v>
      </c>
      <c r="P745" t="s">
        <v>397</v>
      </c>
      <c r="Q745" s="1">
        <v>33972</v>
      </c>
      <c r="R745">
        <v>22</v>
      </c>
      <c r="S745" s="2">
        <v>0.01</v>
      </c>
      <c r="T745" s="3">
        <v>2.4868055555555557</v>
      </c>
      <c r="U745" s="2">
        <v>0.24</v>
      </c>
      <c r="V745" t="s">
        <v>1675</v>
      </c>
      <c r="W745" t="s">
        <v>1676</v>
      </c>
      <c r="X745" t="b">
        <v>0</v>
      </c>
      <c r="Y745" t="b">
        <v>0</v>
      </c>
    </row>
    <row r="746" spans="1:25">
      <c r="A746">
        <v>7450</v>
      </c>
      <c r="B746" t="s">
        <v>1382</v>
      </c>
      <c r="C746" t="s">
        <v>1677</v>
      </c>
      <c r="D746" t="s">
        <v>1384</v>
      </c>
      <c r="E746">
        <v>7450</v>
      </c>
      <c r="F746">
        <v>32.6</v>
      </c>
      <c r="G746">
        <v>567</v>
      </c>
      <c r="H746">
        <v>16.2</v>
      </c>
      <c r="I746">
        <v>1037</v>
      </c>
      <c r="J746">
        <v>67.900000000000006</v>
      </c>
      <c r="K746">
        <v>606</v>
      </c>
      <c r="L746">
        <v>39.200000000000003</v>
      </c>
      <c r="M746">
        <v>1002</v>
      </c>
      <c r="N746">
        <v>23.5</v>
      </c>
      <c r="O746">
        <v>1760</v>
      </c>
      <c r="P746" t="s">
        <v>528</v>
      </c>
      <c r="Q746" s="1">
        <v>19695</v>
      </c>
      <c r="R746">
        <v>18.600000000000001</v>
      </c>
      <c r="S746" s="2">
        <v>0.01</v>
      </c>
      <c r="T746" s="3">
        <v>2.1590277777777778</v>
      </c>
      <c r="U746" s="2">
        <v>0.34</v>
      </c>
      <c r="V746" t="s">
        <v>1677</v>
      </c>
      <c r="W746" t="s">
        <v>1678</v>
      </c>
      <c r="X746" t="b">
        <v>0</v>
      </c>
      <c r="Y746" t="b">
        <v>0</v>
      </c>
    </row>
    <row r="747" spans="1:25">
      <c r="A747">
        <v>7460</v>
      </c>
      <c r="B747" t="s">
        <v>1382</v>
      </c>
      <c r="C747" t="s">
        <v>1679</v>
      </c>
      <c r="D747" t="s">
        <v>1384</v>
      </c>
      <c r="E747">
        <v>7460</v>
      </c>
      <c r="F747">
        <v>19.399999999999999</v>
      </c>
      <c r="G747">
        <v>1434</v>
      </c>
      <c r="H747">
        <v>22.6</v>
      </c>
      <c r="I747">
        <v>704</v>
      </c>
      <c r="J747">
        <v>72.2</v>
      </c>
      <c r="K747">
        <v>506</v>
      </c>
      <c r="L747">
        <v>65.900000000000006</v>
      </c>
      <c r="M747">
        <v>532</v>
      </c>
      <c r="N747">
        <v>38.700000000000003</v>
      </c>
      <c r="O747">
        <v>1165</v>
      </c>
      <c r="P747" t="s">
        <v>397</v>
      </c>
      <c r="Q747" s="1">
        <v>29840</v>
      </c>
      <c r="R747">
        <v>33.4</v>
      </c>
      <c r="S747" s="2">
        <v>0.06</v>
      </c>
      <c r="T747" s="3">
        <v>2.4458333333333333</v>
      </c>
      <c r="U747" s="2">
        <v>0.23</v>
      </c>
      <c r="V747" t="s">
        <v>1679</v>
      </c>
      <c r="W747" t="s">
        <v>1680</v>
      </c>
      <c r="X747" t="b">
        <v>0</v>
      </c>
      <c r="Y747" t="b">
        <v>0</v>
      </c>
    </row>
    <row r="748" spans="1:25">
      <c r="A748">
        <v>7470</v>
      </c>
      <c r="B748" t="s">
        <v>1382</v>
      </c>
      <c r="C748" t="s">
        <v>1681</v>
      </c>
      <c r="D748" t="s">
        <v>1384</v>
      </c>
      <c r="E748">
        <v>7470</v>
      </c>
      <c r="F748">
        <v>18.5</v>
      </c>
      <c r="G748">
        <v>1509</v>
      </c>
      <c r="H748">
        <v>22.6</v>
      </c>
      <c r="I748">
        <v>705</v>
      </c>
      <c r="J748">
        <v>78.2</v>
      </c>
      <c r="K748">
        <v>362</v>
      </c>
      <c r="L748">
        <v>25.6</v>
      </c>
      <c r="M748">
        <v>1313</v>
      </c>
      <c r="N748">
        <v>32.200000000000003</v>
      </c>
      <c r="O748">
        <v>1420</v>
      </c>
      <c r="P748" t="s">
        <v>397</v>
      </c>
      <c r="Q748" s="1">
        <v>11126</v>
      </c>
      <c r="R748">
        <v>32.4</v>
      </c>
      <c r="S748" s="2">
        <v>0.01</v>
      </c>
      <c r="T748" s="3">
        <v>1.7902777777777779</v>
      </c>
      <c r="U748" s="2">
        <v>0.37</v>
      </c>
      <c r="V748" t="s">
        <v>1681</v>
      </c>
      <c r="W748" t="s">
        <v>1682</v>
      </c>
      <c r="X748" t="b">
        <v>0</v>
      </c>
      <c r="Y748" t="b">
        <v>0</v>
      </c>
    </row>
    <row r="749" spans="1:25">
      <c r="A749">
        <v>7480</v>
      </c>
      <c r="B749" t="s">
        <v>1382</v>
      </c>
      <c r="C749" t="s">
        <v>1683</v>
      </c>
      <c r="D749" t="s">
        <v>1384</v>
      </c>
      <c r="E749">
        <v>7480</v>
      </c>
      <c r="F749">
        <v>35.299999999999997</v>
      </c>
      <c r="G749">
        <v>452</v>
      </c>
      <c r="H749">
        <v>25.2</v>
      </c>
      <c r="I749">
        <v>605</v>
      </c>
      <c r="J749">
        <v>38.799999999999997</v>
      </c>
      <c r="K749">
        <v>1247</v>
      </c>
      <c r="L749">
        <v>62.3</v>
      </c>
      <c r="M749">
        <v>610</v>
      </c>
      <c r="N749">
        <v>70.8</v>
      </c>
      <c r="O749">
        <v>396</v>
      </c>
      <c r="P749" t="s">
        <v>664</v>
      </c>
      <c r="Q749" s="1">
        <v>5920</v>
      </c>
      <c r="R749">
        <v>9.8000000000000007</v>
      </c>
      <c r="S749" s="2">
        <v>0.2</v>
      </c>
      <c r="T749" s="3">
        <v>2.4048611111111109</v>
      </c>
      <c r="U749" s="2">
        <v>0.24</v>
      </c>
      <c r="V749" t="s">
        <v>1683</v>
      </c>
      <c r="W749" t="s">
        <v>1684</v>
      </c>
      <c r="X749" t="b">
        <v>0</v>
      </c>
      <c r="Y749" t="b">
        <v>0</v>
      </c>
    </row>
    <row r="750" spans="1:25">
      <c r="A750">
        <v>7490</v>
      </c>
      <c r="B750" t="s">
        <v>1382</v>
      </c>
      <c r="C750" t="s">
        <v>1685</v>
      </c>
      <c r="D750" t="s">
        <v>1384</v>
      </c>
      <c r="E750">
        <v>7490</v>
      </c>
      <c r="F750">
        <v>31.2</v>
      </c>
      <c r="G750">
        <v>633</v>
      </c>
      <c r="H750">
        <v>21</v>
      </c>
      <c r="I750">
        <v>770</v>
      </c>
      <c r="J750">
        <v>57.3</v>
      </c>
      <c r="K750">
        <v>841</v>
      </c>
      <c r="L750">
        <v>69.7</v>
      </c>
      <c r="M750">
        <v>439</v>
      </c>
      <c r="N750">
        <v>61.4</v>
      </c>
      <c r="O750">
        <v>553</v>
      </c>
      <c r="P750" t="s">
        <v>386</v>
      </c>
      <c r="Q750" s="1">
        <v>23272</v>
      </c>
      <c r="R750">
        <v>9.8000000000000007</v>
      </c>
      <c r="S750" s="2">
        <v>0.13</v>
      </c>
      <c r="T750" t="s">
        <v>336</v>
      </c>
      <c r="U750" s="2">
        <v>0.5</v>
      </c>
      <c r="V750" t="s">
        <v>1685</v>
      </c>
      <c r="W750" t="s">
        <v>1686</v>
      </c>
      <c r="X750" t="b">
        <v>0</v>
      </c>
      <c r="Y750" t="b">
        <v>0</v>
      </c>
    </row>
    <row r="751" spans="1:25">
      <c r="A751">
        <v>7500</v>
      </c>
      <c r="B751" t="s">
        <v>1382</v>
      </c>
      <c r="C751" t="s">
        <v>1687</v>
      </c>
      <c r="D751" t="s">
        <v>1384</v>
      </c>
      <c r="E751">
        <v>7500</v>
      </c>
      <c r="F751">
        <v>30</v>
      </c>
      <c r="G751">
        <v>688</v>
      </c>
      <c r="H751">
        <v>25</v>
      </c>
      <c r="I751">
        <v>616</v>
      </c>
      <c r="J751">
        <v>55.4</v>
      </c>
      <c r="K751">
        <v>882</v>
      </c>
      <c r="L751">
        <v>83.2</v>
      </c>
      <c r="M751">
        <v>224</v>
      </c>
      <c r="N751">
        <v>57.6</v>
      </c>
      <c r="O751">
        <v>631</v>
      </c>
      <c r="P751" t="s">
        <v>386</v>
      </c>
      <c r="Q751" s="1">
        <v>26967</v>
      </c>
      <c r="R751">
        <v>14.5</v>
      </c>
      <c r="S751" s="2">
        <v>0.14000000000000001</v>
      </c>
      <c r="T751" s="3">
        <v>1.7493055555555554</v>
      </c>
      <c r="U751" s="2">
        <v>0.41</v>
      </c>
      <c r="V751" t="s">
        <v>1687</v>
      </c>
      <c r="W751" t="s">
        <v>1688</v>
      </c>
      <c r="X751" t="b">
        <v>0</v>
      </c>
      <c r="Y751" t="b">
        <v>0</v>
      </c>
    </row>
    <row r="752" spans="1:25">
      <c r="A752">
        <v>7510</v>
      </c>
      <c r="B752" t="s">
        <v>1382</v>
      </c>
      <c r="C752" t="s">
        <v>1689</v>
      </c>
      <c r="D752" t="s">
        <v>1384</v>
      </c>
      <c r="E752">
        <v>7510</v>
      </c>
      <c r="F752">
        <v>21.3</v>
      </c>
      <c r="G752">
        <v>1283</v>
      </c>
      <c r="H752">
        <v>12</v>
      </c>
      <c r="I752">
        <v>1410</v>
      </c>
      <c r="J752">
        <v>80.8</v>
      </c>
      <c r="K752">
        <v>306</v>
      </c>
      <c r="L752">
        <v>23.5</v>
      </c>
      <c r="M752">
        <v>1384</v>
      </c>
      <c r="N752">
        <v>75.8</v>
      </c>
      <c r="O752">
        <v>317</v>
      </c>
      <c r="P752" t="s">
        <v>534</v>
      </c>
      <c r="Q752" s="1">
        <v>26740</v>
      </c>
      <c r="R752">
        <v>11.9</v>
      </c>
      <c r="S752" s="2">
        <v>0.02</v>
      </c>
      <c r="T752" s="3">
        <v>2.5687500000000001</v>
      </c>
      <c r="U752" s="2">
        <v>0.34</v>
      </c>
      <c r="V752" t="s">
        <v>1689</v>
      </c>
      <c r="W752" t="s">
        <v>1690</v>
      </c>
      <c r="X752" t="b">
        <v>0</v>
      </c>
      <c r="Y752" t="b">
        <v>0</v>
      </c>
    </row>
    <row r="753" spans="1:25">
      <c r="A753">
        <v>7520</v>
      </c>
      <c r="B753" t="s">
        <v>1382</v>
      </c>
      <c r="C753" t="s">
        <v>1691</v>
      </c>
      <c r="D753" t="s">
        <v>1384</v>
      </c>
      <c r="E753">
        <v>7520</v>
      </c>
      <c r="F753">
        <v>26.7</v>
      </c>
      <c r="G753">
        <v>894</v>
      </c>
      <c r="H753">
        <v>16.3</v>
      </c>
      <c r="I753">
        <v>1028</v>
      </c>
      <c r="J753">
        <v>66.099999999999994</v>
      </c>
      <c r="K753">
        <v>648</v>
      </c>
      <c r="L753">
        <v>28.3</v>
      </c>
      <c r="M753">
        <v>1228</v>
      </c>
      <c r="N753">
        <v>91.7</v>
      </c>
      <c r="O753">
        <v>103</v>
      </c>
      <c r="P753" t="s">
        <v>534</v>
      </c>
      <c r="Q753" s="1">
        <v>22552</v>
      </c>
      <c r="R753">
        <v>12.1</v>
      </c>
      <c r="S753" s="2">
        <v>0.17</v>
      </c>
      <c r="T753" s="3">
        <v>4.166666666666667</v>
      </c>
      <c r="U753" s="2">
        <v>0.32</v>
      </c>
      <c r="V753" t="s">
        <v>1691</v>
      </c>
      <c r="W753" t="s">
        <v>1692</v>
      </c>
      <c r="X753" t="b">
        <v>0</v>
      </c>
      <c r="Y753" t="b">
        <v>0</v>
      </c>
    </row>
    <row r="754" spans="1:25">
      <c r="A754">
        <v>7530</v>
      </c>
      <c r="B754" t="s">
        <v>1382</v>
      </c>
      <c r="C754" t="s">
        <v>1693</v>
      </c>
      <c r="D754" t="s">
        <v>1384</v>
      </c>
      <c r="E754">
        <v>7530</v>
      </c>
      <c r="F754">
        <v>38.700000000000003</v>
      </c>
      <c r="G754">
        <v>346</v>
      </c>
      <c r="H754">
        <v>11.6</v>
      </c>
      <c r="I754">
        <v>1458</v>
      </c>
      <c r="J754">
        <v>71.900000000000006</v>
      </c>
      <c r="K754">
        <v>512</v>
      </c>
      <c r="L754">
        <v>18.7</v>
      </c>
      <c r="M754">
        <v>1613</v>
      </c>
      <c r="N754">
        <v>26.5</v>
      </c>
      <c r="O754">
        <v>1644</v>
      </c>
      <c r="P754" t="s">
        <v>795</v>
      </c>
      <c r="Q754">
        <v>480</v>
      </c>
      <c r="R754">
        <v>1.6</v>
      </c>
      <c r="S754" s="2">
        <v>0.02</v>
      </c>
      <c r="T754" s="3">
        <v>2.3638888888888889</v>
      </c>
      <c r="U754" s="2">
        <v>7.0000000000000007E-2</v>
      </c>
      <c r="V754" t="s">
        <v>1693</v>
      </c>
      <c r="W754" t="s">
        <v>253</v>
      </c>
      <c r="X754" t="b">
        <v>0</v>
      </c>
      <c r="Y754" t="b">
        <v>0</v>
      </c>
    </row>
    <row r="755" spans="1:25">
      <c r="A755">
        <v>7540</v>
      </c>
      <c r="B755" t="s">
        <v>1382</v>
      </c>
      <c r="C755" t="s">
        <v>1694</v>
      </c>
      <c r="D755" t="s">
        <v>1384</v>
      </c>
      <c r="E755">
        <v>7540</v>
      </c>
      <c r="F755">
        <v>17.8</v>
      </c>
      <c r="G755">
        <v>1571</v>
      </c>
      <c r="H755">
        <v>18.399999999999999</v>
      </c>
      <c r="I755">
        <v>899</v>
      </c>
      <c r="J755">
        <v>84.1</v>
      </c>
      <c r="K755">
        <v>232</v>
      </c>
      <c r="L755">
        <v>40</v>
      </c>
      <c r="M755">
        <v>979</v>
      </c>
      <c r="N755">
        <v>24.4</v>
      </c>
      <c r="O755">
        <v>1729</v>
      </c>
      <c r="P755" t="s">
        <v>54</v>
      </c>
      <c r="Q755" s="1">
        <v>42668</v>
      </c>
      <c r="R755">
        <v>15.1</v>
      </c>
      <c r="S755" s="2">
        <v>0.01</v>
      </c>
      <c r="T755" s="3">
        <v>2.2409722222222221</v>
      </c>
      <c r="U755" s="2">
        <v>0.24</v>
      </c>
      <c r="V755" t="s">
        <v>1694</v>
      </c>
      <c r="W755" t="s">
        <v>1695</v>
      </c>
      <c r="X755" t="b">
        <v>0</v>
      </c>
      <c r="Y755" t="b">
        <v>0</v>
      </c>
    </row>
    <row r="756" spans="1:25">
      <c r="A756">
        <v>7550</v>
      </c>
      <c r="B756" t="s">
        <v>1382</v>
      </c>
      <c r="C756" t="s">
        <v>1696</v>
      </c>
      <c r="D756" t="s">
        <v>1384</v>
      </c>
      <c r="E756">
        <v>7550</v>
      </c>
      <c r="F756">
        <v>20.7</v>
      </c>
      <c r="G756">
        <v>1325</v>
      </c>
      <c r="H756">
        <v>18.2</v>
      </c>
      <c r="I756">
        <v>911</v>
      </c>
      <c r="J756">
        <v>70.3</v>
      </c>
      <c r="K756">
        <v>556</v>
      </c>
      <c r="L756">
        <v>32.1</v>
      </c>
      <c r="M756">
        <v>1141</v>
      </c>
      <c r="N756">
        <v>72.599999999999994</v>
      </c>
      <c r="O756">
        <v>369</v>
      </c>
      <c r="P756" t="s">
        <v>386</v>
      </c>
      <c r="Q756" s="1">
        <v>15125</v>
      </c>
      <c r="R756">
        <v>22.6</v>
      </c>
      <c r="S756" s="2">
        <v>0.2</v>
      </c>
      <c r="T756" s="3">
        <v>2.1590277777777778</v>
      </c>
      <c r="U756" s="2">
        <v>0.24</v>
      </c>
      <c r="V756" t="s">
        <v>1696</v>
      </c>
      <c r="W756" t="s">
        <v>1697</v>
      </c>
      <c r="X756" t="b">
        <v>0</v>
      </c>
      <c r="Y756" t="b">
        <v>0</v>
      </c>
    </row>
    <row r="757" spans="1:25">
      <c r="A757">
        <v>7560</v>
      </c>
      <c r="B757" t="s">
        <v>1382</v>
      </c>
      <c r="C757" t="s">
        <v>1698</v>
      </c>
      <c r="D757" t="s">
        <v>1384</v>
      </c>
      <c r="E757">
        <v>7560</v>
      </c>
      <c r="F757">
        <v>15.6</v>
      </c>
      <c r="G757">
        <v>1727</v>
      </c>
      <c r="H757">
        <v>24</v>
      </c>
      <c r="I757">
        <v>653</v>
      </c>
      <c r="J757">
        <v>76.099999999999994</v>
      </c>
      <c r="K757">
        <v>416</v>
      </c>
      <c r="L757">
        <v>28.7</v>
      </c>
      <c r="M757">
        <v>1215</v>
      </c>
      <c r="N757">
        <v>64.400000000000006</v>
      </c>
      <c r="O757">
        <v>499</v>
      </c>
      <c r="P757" t="s">
        <v>1252</v>
      </c>
      <c r="Q757" s="1">
        <v>2940</v>
      </c>
      <c r="R757">
        <v>24.2</v>
      </c>
      <c r="S757" s="2">
        <v>0.1</v>
      </c>
      <c r="T757" s="3">
        <v>1.9951388888888888</v>
      </c>
      <c r="U757" s="2">
        <v>0.33</v>
      </c>
      <c r="V757" t="s">
        <v>1698</v>
      </c>
      <c r="W757" t="s">
        <v>1699</v>
      </c>
      <c r="X757" t="b">
        <v>0</v>
      </c>
      <c r="Y757" t="b">
        <v>0</v>
      </c>
    </row>
    <row r="758" spans="1:25">
      <c r="A758">
        <v>7570</v>
      </c>
      <c r="B758" t="s">
        <v>1382</v>
      </c>
      <c r="C758" t="s">
        <v>1700</v>
      </c>
      <c r="D758" t="s">
        <v>1384</v>
      </c>
      <c r="E758">
        <v>7570</v>
      </c>
      <c r="F758">
        <v>26.3</v>
      </c>
      <c r="G758">
        <v>926</v>
      </c>
      <c r="H758">
        <v>20.5</v>
      </c>
      <c r="I758">
        <v>790</v>
      </c>
      <c r="J758">
        <v>57.4</v>
      </c>
      <c r="K758">
        <v>835</v>
      </c>
      <c r="L758">
        <v>50</v>
      </c>
      <c r="M758">
        <v>809</v>
      </c>
      <c r="N758">
        <v>53.7</v>
      </c>
      <c r="O758">
        <v>700</v>
      </c>
      <c r="P758" t="s">
        <v>29</v>
      </c>
      <c r="Q758" s="1">
        <v>15886</v>
      </c>
      <c r="R758">
        <v>14.5</v>
      </c>
      <c r="S758" s="2">
        <v>0.03</v>
      </c>
      <c r="T758" s="3">
        <v>2.4048611111111109</v>
      </c>
      <c r="U758" s="2">
        <v>0.28000000000000003</v>
      </c>
      <c r="V758" t="s">
        <v>1700</v>
      </c>
      <c r="W758" t="s">
        <v>1701</v>
      </c>
      <c r="X758" t="b">
        <v>0</v>
      </c>
      <c r="Y758" t="b">
        <v>0</v>
      </c>
    </row>
    <row r="759" spans="1:25">
      <c r="A759">
        <v>7580</v>
      </c>
      <c r="B759" t="s">
        <v>1382</v>
      </c>
      <c r="C759" t="s">
        <v>1702</v>
      </c>
      <c r="D759" t="s">
        <v>1384</v>
      </c>
      <c r="E759">
        <v>7580</v>
      </c>
      <c r="F759">
        <v>23.1</v>
      </c>
      <c r="G759">
        <v>1148</v>
      </c>
      <c r="H759">
        <v>25.3</v>
      </c>
      <c r="I759">
        <v>599</v>
      </c>
      <c r="J759">
        <v>58.3</v>
      </c>
      <c r="K759">
        <v>818</v>
      </c>
      <c r="L759">
        <v>49.5</v>
      </c>
      <c r="M759">
        <v>819</v>
      </c>
      <c r="N759">
        <v>45.4</v>
      </c>
      <c r="O759">
        <v>952</v>
      </c>
      <c r="P759" t="s">
        <v>397</v>
      </c>
      <c r="Q759" s="1">
        <v>33611</v>
      </c>
      <c r="R759">
        <v>46.5</v>
      </c>
      <c r="S759" s="2">
        <v>0.05</v>
      </c>
      <c r="T759" s="3">
        <v>2.5277777777777777</v>
      </c>
      <c r="U759" s="2">
        <v>0.42</v>
      </c>
      <c r="V759" t="s">
        <v>1702</v>
      </c>
      <c r="W759" t="s">
        <v>1703</v>
      </c>
      <c r="X759" t="b">
        <v>0</v>
      </c>
      <c r="Y759" t="b">
        <v>0</v>
      </c>
    </row>
    <row r="760" spans="1:25">
      <c r="A760">
        <v>7590</v>
      </c>
      <c r="B760" t="s">
        <v>1382</v>
      </c>
      <c r="C760" t="s">
        <v>1704</v>
      </c>
      <c r="D760" t="s">
        <v>1384</v>
      </c>
      <c r="E760">
        <v>7590</v>
      </c>
      <c r="F760">
        <v>21.9</v>
      </c>
      <c r="G760">
        <v>1242</v>
      </c>
      <c r="H760">
        <v>33.4</v>
      </c>
      <c r="I760">
        <v>396</v>
      </c>
      <c r="J760">
        <v>55.5</v>
      </c>
      <c r="K760">
        <v>880</v>
      </c>
      <c r="L760">
        <v>76.099999999999994</v>
      </c>
      <c r="M760">
        <v>317</v>
      </c>
      <c r="N760">
        <v>54.6</v>
      </c>
      <c r="O760">
        <v>684</v>
      </c>
      <c r="P760" t="s">
        <v>272</v>
      </c>
      <c r="Q760" s="1">
        <v>6050</v>
      </c>
      <c r="R760">
        <v>15.8</v>
      </c>
      <c r="S760" s="2">
        <v>0.15</v>
      </c>
      <c r="T760" s="3">
        <v>2.7326388888888888</v>
      </c>
      <c r="U760" s="2">
        <v>0.22</v>
      </c>
      <c r="V760" t="s">
        <v>1704</v>
      </c>
      <c r="W760" t="s">
        <v>1705</v>
      </c>
      <c r="X760" t="b">
        <v>0</v>
      </c>
      <c r="Y760" t="b">
        <v>0</v>
      </c>
    </row>
    <row r="761" spans="1:25">
      <c r="A761">
        <v>7600</v>
      </c>
      <c r="B761" t="s">
        <v>1382</v>
      </c>
      <c r="C761" t="s">
        <v>1706</v>
      </c>
      <c r="D761" t="s">
        <v>1384</v>
      </c>
      <c r="E761">
        <v>7600</v>
      </c>
      <c r="F761">
        <v>39.1</v>
      </c>
      <c r="G761">
        <v>335</v>
      </c>
      <c r="H761">
        <v>23</v>
      </c>
      <c r="I761">
        <v>688</v>
      </c>
      <c r="J761">
        <v>46.1</v>
      </c>
      <c r="K761">
        <v>1095</v>
      </c>
      <c r="L761">
        <v>21</v>
      </c>
      <c r="M761">
        <v>1482</v>
      </c>
      <c r="N761">
        <v>70.400000000000006</v>
      </c>
      <c r="O761">
        <v>402</v>
      </c>
      <c r="P761" t="s">
        <v>255</v>
      </c>
      <c r="Q761" s="1">
        <v>22866</v>
      </c>
      <c r="R761">
        <v>15.6</v>
      </c>
      <c r="S761" s="2">
        <v>0.32</v>
      </c>
      <c r="T761" s="3">
        <v>2.4868055555555557</v>
      </c>
      <c r="U761" s="2">
        <v>0.28000000000000003</v>
      </c>
      <c r="V761" t="s">
        <v>1706</v>
      </c>
      <c r="W761" t="s">
        <v>1707</v>
      </c>
      <c r="X761" t="b">
        <v>0</v>
      </c>
      <c r="Y761" t="b">
        <v>0</v>
      </c>
    </row>
    <row r="762" spans="1:25">
      <c r="A762">
        <v>7610</v>
      </c>
      <c r="B762" t="s">
        <v>1382</v>
      </c>
      <c r="C762" t="s">
        <v>1708</v>
      </c>
      <c r="D762" t="s">
        <v>1384</v>
      </c>
      <c r="E762">
        <v>7610</v>
      </c>
      <c r="F762">
        <v>29.7</v>
      </c>
      <c r="G762">
        <v>710</v>
      </c>
      <c r="H762">
        <v>16.899999999999999</v>
      </c>
      <c r="I762">
        <v>980</v>
      </c>
      <c r="J762">
        <v>69.3</v>
      </c>
      <c r="K762">
        <v>573</v>
      </c>
      <c r="L762">
        <v>50.4</v>
      </c>
      <c r="M762">
        <v>802</v>
      </c>
      <c r="N762">
        <v>43.1</v>
      </c>
      <c r="O762">
        <v>1019</v>
      </c>
      <c r="P762" t="s">
        <v>255</v>
      </c>
      <c r="Q762" s="1">
        <v>8345</v>
      </c>
      <c r="R762">
        <v>13.4</v>
      </c>
      <c r="S762" s="2">
        <v>0.12</v>
      </c>
      <c r="T762" s="3">
        <v>1.7493055555555554</v>
      </c>
      <c r="U762" s="2">
        <v>0.56999999999999995</v>
      </c>
      <c r="V762" t="s">
        <v>1708</v>
      </c>
      <c r="W762" t="s">
        <v>1709</v>
      </c>
      <c r="X762" t="b">
        <v>0</v>
      </c>
      <c r="Y762" t="b">
        <v>0</v>
      </c>
    </row>
    <row r="763" spans="1:25">
      <c r="A763">
        <v>7620</v>
      </c>
      <c r="B763" t="s">
        <v>1382</v>
      </c>
      <c r="C763" t="s">
        <v>1710</v>
      </c>
      <c r="D763" t="s">
        <v>1384</v>
      </c>
      <c r="E763">
        <v>7620</v>
      </c>
      <c r="F763">
        <v>30.1</v>
      </c>
      <c r="G763">
        <v>682</v>
      </c>
      <c r="H763">
        <v>21.8</v>
      </c>
      <c r="I763">
        <v>742</v>
      </c>
      <c r="J763">
        <v>64.5</v>
      </c>
      <c r="K763">
        <v>683</v>
      </c>
      <c r="L763">
        <v>52.2</v>
      </c>
      <c r="M763">
        <v>768</v>
      </c>
      <c r="N763">
        <v>34.5</v>
      </c>
      <c r="O763">
        <v>1341</v>
      </c>
      <c r="P763" t="s">
        <v>397</v>
      </c>
      <c r="Q763" s="1">
        <v>14304</v>
      </c>
      <c r="R763">
        <v>24.7</v>
      </c>
      <c r="S763" s="2">
        <v>0.02</v>
      </c>
      <c r="T763" s="3">
        <v>2.6097222222222221</v>
      </c>
      <c r="U763" s="2">
        <v>0.38</v>
      </c>
      <c r="V763" t="s">
        <v>1710</v>
      </c>
      <c r="W763" t="s">
        <v>1711</v>
      </c>
      <c r="X763" t="b">
        <v>0</v>
      </c>
      <c r="Y763" t="b">
        <v>0</v>
      </c>
    </row>
    <row r="764" spans="1:25">
      <c r="A764">
        <v>7630</v>
      </c>
      <c r="B764" t="s">
        <v>1382</v>
      </c>
      <c r="C764" t="s">
        <v>1712</v>
      </c>
      <c r="D764" t="s">
        <v>1384</v>
      </c>
      <c r="E764">
        <v>7630</v>
      </c>
      <c r="F764">
        <v>23.6</v>
      </c>
      <c r="G764">
        <v>1107</v>
      </c>
      <c r="H764">
        <v>20.5</v>
      </c>
      <c r="I764">
        <v>791</v>
      </c>
      <c r="J764">
        <v>63.6</v>
      </c>
      <c r="K764">
        <v>701</v>
      </c>
      <c r="L764">
        <v>71.099999999999994</v>
      </c>
      <c r="M764">
        <v>405</v>
      </c>
      <c r="N764">
        <v>29.3</v>
      </c>
      <c r="O764">
        <v>1529</v>
      </c>
      <c r="P764" t="s">
        <v>397</v>
      </c>
      <c r="Q764" s="1">
        <v>2751</v>
      </c>
      <c r="R764">
        <v>13.4</v>
      </c>
      <c r="S764" s="2">
        <v>0.01</v>
      </c>
      <c r="T764" s="3">
        <v>2.0770833333333334</v>
      </c>
      <c r="U764" s="2">
        <v>0.43</v>
      </c>
      <c r="V764" t="s">
        <v>1712</v>
      </c>
      <c r="W764" t="s">
        <v>1713</v>
      </c>
      <c r="X764" t="b">
        <v>0</v>
      </c>
      <c r="Y764" t="b">
        <v>0</v>
      </c>
    </row>
    <row r="765" spans="1:25">
      <c r="A765">
        <v>7640</v>
      </c>
      <c r="B765" t="s">
        <v>1382</v>
      </c>
      <c r="C765" t="s">
        <v>1714</v>
      </c>
      <c r="D765" t="s">
        <v>1384</v>
      </c>
      <c r="E765">
        <v>7640</v>
      </c>
      <c r="F765">
        <v>29.7</v>
      </c>
      <c r="G765">
        <v>711</v>
      </c>
      <c r="H765">
        <v>21.1</v>
      </c>
      <c r="I765">
        <v>767</v>
      </c>
      <c r="J765">
        <v>58.7</v>
      </c>
      <c r="K765">
        <v>808</v>
      </c>
      <c r="L765">
        <v>69.599999999999994</v>
      </c>
      <c r="M765">
        <v>441</v>
      </c>
      <c r="N765">
        <v>46.6</v>
      </c>
      <c r="O765">
        <v>914</v>
      </c>
      <c r="P765" t="s">
        <v>386</v>
      </c>
      <c r="Q765" s="1">
        <v>24872</v>
      </c>
      <c r="R765">
        <v>14.6</v>
      </c>
      <c r="S765" s="2">
        <v>0.06</v>
      </c>
      <c r="T765" s="3">
        <v>2.7326388888888888</v>
      </c>
      <c r="U765" s="2">
        <v>0.26</v>
      </c>
      <c r="V765" t="s">
        <v>1714</v>
      </c>
      <c r="W765" t="s">
        <v>1715</v>
      </c>
      <c r="X765" t="b">
        <v>0</v>
      </c>
      <c r="Y765" t="b">
        <v>0</v>
      </c>
    </row>
    <row r="766" spans="1:25">
      <c r="A766">
        <v>7650</v>
      </c>
      <c r="B766" t="s">
        <v>1382</v>
      </c>
      <c r="C766" t="s">
        <v>1716</v>
      </c>
      <c r="D766" t="s">
        <v>1384</v>
      </c>
      <c r="E766">
        <v>7650</v>
      </c>
      <c r="F766">
        <v>31.1</v>
      </c>
      <c r="G766">
        <v>640</v>
      </c>
      <c r="H766">
        <v>24.7</v>
      </c>
      <c r="I766">
        <v>621</v>
      </c>
      <c r="J766">
        <v>66.3</v>
      </c>
      <c r="K766">
        <v>644</v>
      </c>
      <c r="L766">
        <v>45.7</v>
      </c>
      <c r="M766">
        <v>884</v>
      </c>
      <c r="N766">
        <v>41.9</v>
      </c>
      <c r="O766">
        <v>1060</v>
      </c>
      <c r="P766" t="s">
        <v>397</v>
      </c>
      <c r="Q766" s="1">
        <v>15207</v>
      </c>
      <c r="R766">
        <v>38.1</v>
      </c>
      <c r="S766" s="2">
        <v>0.02</v>
      </c>
      <c r="T766" s="3">
        <v>2.6506944444444445</v>
      </c>
      <c r="U766" s="2">
        <v>0.17</v>
      </c>
      <c r="V766" t="s">
        <v>1716</v>
      </c>
      <c r="W766" t="s">
        <v>1717</v>
      </c>
      <c r="X766" t="b">
        <v>0</v>
      </c>
      <c r="Y766" t="b">
        <v>0</v>
      </c>
    </row>
    <row r="767" spans="1:25">
      <c r="A767">
        <v>7660</v>
      </c>
      <c r="B767" t="s">
        <v>1382</v>
      </c>
      <c r="C767" t="s">
        <v>1718</v>
      </c>
      <c r="D767" t="s">
        <v>1384</v>
      </c>
      <c r="E767">
        <v>7660</v>
      </c>
      <c r="F767">
        <v>31.7</v>
      </c>
      <c r="G767">
        <v>605</v>
      </c>
      <c r="H767">
        <v>10.199999999999999</v>
      </c>
      <c r="I767">
        <v>1628</v>
      </c>
      <c r="J767">
        <v>77.8</v>
      </c>
      <c r="K767">
        <v>375</v>
      </c>
      <c r="L767">
        <v>17.3</v>
      </c>
      <c r="M767">
        <v>1729</v>
      </c>
      <c r="N767">
        <v>58.9</v>
      </c>
      <c r="O767">
        <v>608</v>
      </c>
      <c r="P767" t="s">
        <v>528</v>
      </c>
      <c r="Q767" s="1">
        <v>11919</v>
      </c>
      <c r="R767">
        <v>7.1</v>
      </c>
      <c r="S767" s="2">
        <v>0.01</v>
      </c>
      <c r="T767" s="3">
        <v>1.9541666666666666</v>
      </c>
      <c r="U767" s="2">
        <v>0.28000000000000003</v>
      </c>
      <c r="V767" t="s">
        <v>1718</v>
      </c>
      <c r="W767" t="s">
        <v>1719</v>
      </c>
      <c r="X767" t="b">
        <v>0</v>
      </c>
      <c r="Y767" t="b">
        <v>0</v>
      </c>
    </row>
    <row r="768" spans="1:25">
      <c r="A768">
        <v>7670</v>
      </c>
      <c r="B768" t="s">
        <v>1382</v>
      </c>
      <c r="C768" t="s">
        <v>1720</v>
      </c>
      <c r="D768" t="s">
        <v>1384</v>
      </c>
      <c r="E768">
        <v>7670</v>
      </c>
      <c r="F768">
        <v>45.1</v>
      </c>
      <c r="G768">
        <v>203</v>
      </c>
      <c r="H768">
        <v>22.9</v>
      </c>
      <c r="I768">
        <v>692</v>
      </c>
      <c r="J768">
        <v>49.9</v>
      </c>
      <c r="K768">
        <v>1023</v>
      </c>
      <c r="L768">
        <v>63.5</v>
      </c>
      <c r="M768">
        <v>579</v>
      </c>
      <c r="N768">
        <v>27.1</v>
      </c>
      <c r="O768">
        <v>1613</v>
      </c>
      <c r="P768" t="s">
        <v>795</v>
      </c>
      <c r="Q768" s="1">
        <v>12057</v>
      </c>
      <c r="R768">
        <v>8</v>
      </c>
      <c r="S768" s="2">
        <v>0.04</v>
      </c>
      <c r="T768" s="3">
        <v>2.3229166666666665</v>
      </c>
      <c r="U768" s="2">
        <v>0.08</v>
      </c>
      <c r="V768" t="s">
        <v>1720</v>
      </c>
      <c r="W768" t="s">
        <v>1721</v>
      </c>
      <c r="X768" t="b">
        <v>0</v>
      </c>
      <c r="Y768" t="b">
        <v>0</v>
      </c>
    </row>
    <row r="769" spans="1:25">
      <c r="A769">
        <v>7680</v>
      </c>
      <c r="B769" t="s">
        <v>1382</v>
      </c>
      <c r="C769" t="s">
        <v>1722</v>
      </c>
      <c r="D769" t="s">
        <v>1384</v>
      </c>
      <c r="E769">
        <v>7680</v>
      </c>
      <c r="F769">
        <v>27.4</v>
      </c>
      <c r="G769">
        <v>857</v>
      </c>
      <c r="H769">
        <v>26.9</v>
      </c>
      <c r="I769">
        <v>545</v>
      </c>
      <c r="J769">
        <v>60.7</v>
      </c>
      <c r="K769">
        <v>766</v>
      </c>
      <c r="L769">
        <v>46.2</v>
      </c>
      <c r="M769">
        <v>877</v>
      </c>
      <c r="N769">
        <v>62.7</v>
      </c>
      <c r="O769">
        <v>531</v>
      </c>
      <c r="P769" t="s">
        <v>99</v>
      </c>
      <c r="Q769" s="1">
        <v>13856</v>
      </c>
      <c r="R769">
        <v>29.9</v>
      </c>
      <c r="S769" s="2">
        <v>0.13</v>
      </c>
      <c r="T769" s="3">
        <v>2.3638888888888889</v>
      </c>
      <c r="U769" s="2">
        <v>0.43</v>
      </c>
      <c r="V769" t="s">
        <v>1722</v>
      </c>
      <c r="W769" t="s">
        <v>1723</v>
      </c>
      <c r="X769" t="b">
        <v>0</v>
      </c>
      <c r="Y769" t="b">
        <v>0</v>
      </c>
    </row>
    <row r="770" spans="1:25">
      <c r="A770">
        <v>7690</v>
      </c>
      <c r="B770" t="s">
        <v>1382</v>
      </c>
      <c r="C770" t="s">
        <v>1724</v>
      </c>
      <c r="D770" t="s">
        <v>1384</v>
      </c>
      <c r="E770">
        <v>7690</v>
      </c>
      <c r="F770">
        <v>22.9</v>
      </c>
      <c r="G770">
        <v>1162</v>
      </c>
      <c r="H770">
        <v>21.7</v>
      </c>
      <c r="I770">
        <v>745</v>
      </c>
      <c r="J770">
        <v>63.9</v>
      </c>
      <c r="K770">
        <v>695</v>
      </c>
      <c r="L770">
        <v>51.4</v>
      </c>
      <c r="M770">
        <v>788</v>
      </c>
      <c r="N770">
        <v>37.4</v>
      </c>
      <c r="O770">
        <v>1226</v>
      </c>
      <c r="P770" t="s">
        <v>54</v>
      </c>
      <c r="Q770" s="1">
        <v>33133</v>
      </c>
      <c r="R770">
        <v>18.899999999999999</v>
      </c>
      <c r="S770" s="2">
        <v>0.03</v>
      </c>
      <c r="U770" s="2">
        <v>0.36</v>
      </c>
      <c r="V770" t="s">
        <v>1724</v>
      </c>
      <c r="W770" t="s">
        <v>1725</v>
      </c>
      <c r="X770" t="b">
        <v>0</v>
      </c>
      <c r="Y770" t="b">
        <v>0</v>
      </c>
    </row>
    <row r="771" spans="1:25">
      <c r="A771">
        <v>7700</v>
      </c>
      <c r="B771" t="s">
        <v>1382</v>
      </c>
      <c r="C771" t="s">
        <v>1726</v>
      </c>
      <c r="D771" t="s">
        <v>1384</v>
      </c>
      <c r="E771">
        <v>7700</v>
      </c>
      <c r="F771">
        <v>23.2</v>
      </c>
      <c r="G771">
        <v>1142</v>
      </c>
      <c r="H771">
        <v>13.5</v>
      </c>
      <c r="I771">
        <v>1258</v>
      </c>
      <c r="J771">
        <v>74.7</v>
      </c>
      <c r="K771">
        <v>450</v>
      </c>
      <c r="L771">
        <v>24.7</v>
      </c>
      <c r="M771">
        <v>1346</v>
      </c>
      <c r="N771">
        <v>54.5</v>
      </c>
      <c r="O771">
        <v>685</v>
      </c>
      <c r="P771" t="s">
        <v>255</v>
      </c>
      <c r="Q771" s="1">
        <v>15354</v>
      </c>
      <c r="R771">
        <v>11</v>
      </c>
      <c r="S771" s="2">
        <v>0.11</v>
      </c>
      <c r="T771" t="s">
        <v>40</v>
      </c>
      <c r="U771" s="2">
        <v>0.43</v>
      </c>
      <c r="V771" t="s">
        <v>1726</v>
      </c>
      <c r="W771" t="s">
        <v>1727</v>
      </c>
      <c r="X771" t="b">
        <v>0</v>
      </c>
      <c r="Y771" t="b">
        <v>0</v>
      </c>
    </row>
    <row r="772" spans="1:25">
      <c r="A772">
        <v>7710</v>
      </c>
      <c r="B772" t="s">
        <v>1382</v>
      </c>
      <c r="C772" t="s">
        <v>1728</v>
      </c>
      <c r="D772" t="s">
        <v>1384</v>
      </c>
      <c r="E772">
        <v>7710</v>
      </c>
      <c r="F772">
        <v>25.3</v>
      </c>
      <c r="G772">
        <v>983</v>
      </c>
      <c r="H772">
        <v>12.8</v>
      </c>
      <c r="I772">
        <v>1332</v>
      </c>
      <c r="J772">
        <v>79.3</v>
      </c>
      <c r="K772">
        <v>337</v>
      </c>
      <c r="L772">
        <v>26.9</v>
      </c>
      <c r="M772">
        <v>1265</v>
      </c>
      <c r="N772">
        <v>64.8</v>
      </c>
      <c r="O772">
        <v>489</v>
      </c>
      <c r="P772" t="s">
        <v>26</v>
      </c>
      <c r="Q772" s="1">
        <v>1465</v>
      </c>
      <c r="R772">
        <v>5.5</v>
      </c>
      <c r="S772" s="2">
        <v>0.08</v>
      </c>
      <c r="T772" s="3">
        <v>2.6916666666666669</v>
      </c>
      <c r="U772" s="2">
        <v>0.25</v>
      </c>
      <c r="V772" t="s">
        <v>1728</v>
      </c>
      <c r="W772" t="s">
        <v>1729</v>
      </c>
      <c r="X772" t="b">
        <v>0</v>
      </c>
      <c r="Y772" t="b">
        <v>0</v>
      </c>
    </row>
    <row r="773" spans="1:25">
      <c r="A773">
        <v>7720</v>
      </c>
      <c r="B773" t="s">
        <v>1382</v>
      </c>
      <c r="C773" t="s">
        <v>1730</v>
      </c>
      <c r="D773" t="s">
        <v>1384</v>
      </c>
      <c r="E773">
        <v>7720</v>
      </c>
      <c r="F773">
        <v>24.7</v>
      </c>
      <c r="G773">
        <v>1033</v>
      </c>
      <c r="H773">
        <v>15.6</v>
      </c>
      <c r="I773">
        <v>1081</v>
      </c>
      <c r="J773">
        <v>66.599999999999994</v>
      </c>
      <c r="K773">
        <v>635</v>
      </c>
      <c r="L773">
        <v>30.2</v>
      </c>
      <c r="M773">
        <v>1178</v>
      </c>
      <c r="N773">
        <v>74.400000000000006</v>
      </c>
      <c r="O773">
        <v>341</v>
      </c>
      <c r="P773" t="s">
        <v>327</v>
      </c>
      <c r="Q773" s="1">
        <v>11428</v>
      </c>
      <c r="R773">
        <v>10.5</v>
      </c>
      <c r="S773" s="2">
        <v>0.13</v>
      </c>
      <c r="T773" s="3">
        <v>2.4458333333333333</v>
      </c>
      <c r="U773" s="2">
        <v>0.39</v>
      </c>
      <c r="V773" t="s">
        <v>1730</v>
      </c>
      <c r="W773" t="s">
        <v>1731</v>
      </c>
      <c r="X773" t="b">
        <v>0</v>
      </c>
      <c r="Y773" t="b">
        <v>0</v>
      </c>
    </row>
    <row r="774" spans="1:25">
      <c r="A774">
        <v>7730</v>
      </c>
      <c r="B774" t="s">
        <v>1382</v>
      </c>
      <c r="C774" t="s">
        <v>1732</v>
      </c>
      <c r="D774" t="s">
        <v>1384</v>
      </c>
      <c r="E774">
        <v>7730</v>
      </c>
      <c r="F774">
        <v>28.1</v>
      </c>
      <c r="G774">
        <v>806</v>
      </c>
      <c r="H774">
        <v>22.2</v>
      </c>
      <c r="I774">
        <v>722</v>
      </c>
      <c r="J774">
        <v>62.3</v>
      </c>
      <c r="K774">
        <v>727</v>
      </c>
      <c r="L774">
        <v>35.700000000000003</v>
      </c>
      <c r="M774">
        <v>1083</v>
      </c>
      <c r="N774">
        <v>74</v>
      </c>
      <c r="O774">
        <v>351</v>
      </c>
      <c r="P774" t="s">
        <v>1733</v>
      </c>
      <c r="Q774" s="1">
        <v>7512</v>
      </c>
      <c r="R774">
        <v>9.1999999999999993</v>
      </c>
      <c r="S774" s="2">
        <v>0.04</v>
      </c>
      <c r="T774" s="3">
        <v>2.1180555555555554</v>
      </c>
      <c r="U774" s="2">
        <v>0.32</v>
      </c>
      <c r="V774" t="s">
        <v>1732</v>
      </c>
      <c r="W774" t="s">
        <v>1734</v>
      </c>
      <c r="X774" t="b">
        <v>0</v>
      </c>
      <c r="Y774" t="b">
        <v>0</v>
      </c>
    </row>
    <row r="775" spans="1:25">
      <c r="A775">
        <v>7740</v>
      </c>
      <c r="B775" t="s">
        <v>1382</v>
      </c>
      <c r="C775" t="s">
        <v>1735</v>
      </c>
      <c r="D775" t="s">
        <v>1384</v>
      </c>
      <c r="E775">
        <v>7740</v>
      </c>
      <c r="F775">
        <v>24.7</v>
      </c>
      <c r="G775">
        <v>1034</v>
      </c>
      <c r="H775">
        <v>14.6</v>
      </c>
      <c r="I775">
        <v>1158</v>
      </c>
      <c r="J775">
        <v>71.7</v>
      </c>
      <c r="K775">
        <v>521</v>
      </c>
      <c r="L775">
        <v>17.2</v>
      </c>
      <c r="M775">
        <v>1742</v>
      </c>
      <c r="N775">
        <v>78.3</v>
      </c>
      <c r="O775">
        <v>280</v>
      </c>
      <c r="P775" t="s">
        <v>664</v>
      </c>
      <c r="Q775" s="1">
        <v>4350</v>
      </c>
      <c r="R775">
        <v>8.1</v>
      </c>
      <c r="S775" s="2">
        <v>0.14000000000000001</v>
      </c>
      <c r="T775" s="3">
        <v>2.2000000000000002</v>
      </c>
      <c r="U775" s="2">
        <v>0.33</v>
      </c>
      <c r="V775" t="s">
        <v>1735</v>
      </c>
      <c r="W775" t="s">
        <v>1736</v>
      </c>
      <c r="X775" t="b">
        <v>0</v>
      </c>
      <c r="Y775" t="b">
        <v>0</v>
      </c>
    </row>
    <row r="776" spans="1:25">
      <c r="A776">
        <v>7750</v>
      </c>
      <c r="B776" t="s">
        <v>1382</v>
      </c>
      <c r="C776" t="s">
        <v>1737</v>
      </c>
      <c r="D776" t="s">
        <v>1384</v>
      </c>
      <c r="E776">
        <v>7750</v>
      </c>
      <c r="F776">
        <v>30.7</v>
      </c>
      <c r="G776">
        <v>656</v>
      </c>
      <c r="H776">
        <v>22</v>
      </c>
      <c r="I776">
        <v>732</v>
      </c>
      <c r="J776">
        <v>61.1</v>
      </c>
      <c r="K776">
        <v>754</v>
      </c>
      <c r="L776">
        <v>62.8</v>
      </c>
      <c r="M776">
        <v>599</v>
      </c>
      <c r="N776">
        <v>42.7</v>
      </c>
      <c r="O776">
        <v>1030</v>
      </c>
      <c r="P776" t="s">
        <v>29</v>
      </c>
      <c r="Q776" s="1">
        <v>18976</v>
      </c>
      <c r="R776">
        <v>22.1</v>
      </c>
      <c r="S776" s="2">
        <v>0.08</v>
      </c>
      <c r="T776" s="3">
        <v>2.2000000000000002</v>
      </c>
      <c r="U776" s="2">
        <v>0.3</v>
      </c>
      <c r="V776" t="s">
        <v>1737</v>
      </c>
      <c r="W776" t="s">
        <v>1738</v>
      </c>
      <c r="X776" t="b">
        <v>0</v>
      </c>
      <c r="Y776" t="b">
        <v>0</v>
      </c>
    </row>
    <row r="777" spans="1:25">
      <c r="A777">
        <v>7760</v>
      </c>
      <c r="B777" t="s">
        <v>1382</v>
      </c>
      <c r="C777" t="s">
        <v>1739</v>
      </c>
      <c r="D777" t="s">
        <v>1384</v>
      </c>
      <c r="E777">
        <v>7760</v>
      </c>
      <c r="F777">
        <v>25.7</v>
      </c>
      <c r="G777">
        <v>963</v>
      </c>
      <c r="H777">
        <v>20.6</v>
      </c>
      <c r="I777">
        <v>786</v>
      </c>
      <c r="J777">
        <v>65.7</v>
      </c>
      <c r="K777">
        <v>659</v>
      </c>
      <c r="L777">
        <v>48.1</v>
      </c>
      <c r="M777">
        <v>842</v>
      </c>
      <c r="N777">
        <v>69.099999999999994</v>
      </c>
      <c r="O777">
        <v>421</v>
      </c>
      <c r="P777" t="s">
        <v>813</v>
      </c>
      <c r="Q777" s="1">
        <v>8521</v>
      </c>
      <c r="R777">
        <v>11.4</v>
      </c>
      <c r="S777" s="2">
        <v>0.14000000000000001</v>
      </c>
      <c r="T777" t="s">
        <v>658</v>
      </c>
      <c r="U777" s="2">
        <v>0.41</v>
      </c>
      <c r="V777" t="s">
        <v>1739</v>
      </c>
      <c r="W777" t="s">
        <v>1740</v>
      </c>
      <c r="X777" t="b">
        <v>0</v>
      </c>
      <c r="Y777" t="b">
        <v>0</v>
      </c>
    </row>
    <row r="778" spans="1:25">
      <c r="A778">
        <v>7770</v>
      </c>
      <c r="B778" t="s">
        <v>1382</v>
      </c>
      <c r="C778" t="s">
        <v>1741</v>
      </c>
      <c r="D778" t="s">
        <v>1384</v>
      </c>
      <c r="E778">
        <v>7770</v>
      </c>
      <c r="F778">
        <v>50</v>
      </c>
      <c r="G778">
        <v>135</v>
      </c>
      <c r="H778">
        <v>18.5</v>
      </c>
      <c r="I778">
        <v>893</v>
      </c>
      <c r="J778">
        <v>54.3</v>
      </c>
      <c r="K778">
        <v>910</v>
      </c>
      <c r="L778">
        <v>45.1</v>
      </c>
      <c r="M778">
        <v>892</v>
      </c>
      <c r="N778">
        <v>37.5</v>
      </c>
      <c r="O778">
        <v>1222</v>
      </c>
      <c r="P778" t="s">
        <v>795</v>
      </c>
      <c r="Q778" s="1">
        <v>11742</v>
      </c>
      <c r="R778">
        <v>6.2</v>
      </c>
      <c r="S778" s="2">
        <v>0.12</v>
      </c>
      <c r="T778" s="3">
        <v>2.3638888888888889</v>
      </c>
      <c r="U778" s="2">
        <v>0.09</v>
      </c>
      <c r="V778" t="s">
        <v>1741</v>
      </c>
      <c r="W778" t="s">
        <v>1742</v>
      </c>
      <c r="X778" t="b">
        <v>0</v>
      </c>
      <c r="Y778" t="b">
        <v>0</v>
      </c>
    </row>
    <row r="779" spans="1:25">
      <c r="A779">
        <v>7780</v>
      </c>
      <c r="B779" t="s">
        <v>1382</v>
      </c>
      <c r="C779" t="s">
        <v>1743</v>
      </c>
      <c r="D779" t="s">
        <v>1384</v>
      </c>
      <c r="E779">
        <v>7780</v>
      </c>
      <c r="F779">
        <v>25.1</v>
      </c>
      <c r="G779">
        <v>1000</v>
      </c>
      <c r="H779">
        <v>16.8</v>
      </c>
      <c r="I779">
        <v>987</v>
      </c>
      <c r="J779">
        <v>58</v>
      </c>
      <c r="K779">
        <v>825</v>
      </c>
      <c r="L779">
        <v>70.8</v>
      </c>
      <c r="M779">
        <v>413</v>
      </c>
      <c r="N779">
        <v>60.8</v>
      </c>
      <c r="O779">
        <v>570</v>
      </c>
      <c r="P779" t="s">
        <v>664</v>
      </c>
      <c r="Q779" s="1">
        <v>4300</v>
      </c>
      <c r="R779">
        <v>9</v>
      </c>
      <c r="S779" s="2">
        <v>0.19</v>
      </c>
      <c r="T779" t="s">
        <v>324</v>
      </c>
      <c r="U779" s="2">
        <v>0.45</v>
      </c>
      <c r="V779" t="s">
        <v>1743</v>
      </c>
      <c r="W779" t="s">
        <v>1744</v>
      </c>
      <c r="X779" t="b">
        <v>0</v>
      </c>
      <c r="Y779" t="b">
        <v>0</v>
      </c>
    </row>
    <row r="780" spans="1:25">
      <c r="A780">
        <v>7790</v>
      </c>
      <c r="B780" t="s">
        <v>1382</v>
      </c>
      <c r="C780" t="s">
        <v>1745</v>
      </c>
      <c r="D780" t="s">
        <v>1384</v>
      </c>
      <c r="E780">
        <v>7790</v>
      </c>
      <c r="F780">
        <v>25.2</v>
      </c>
      <c r="G780">
        <v>990</v>
      </c>
      <c r="H780">
        <v>20.5</v>
      </c>
      <c r="I780">
        <v>792</v>
      </c>
      <c r="J780">
        <v>65.5</v>
      </c>
      <c r="K780">
        <v>667</v>
      </c>
      <c r="L780">
        <v>62.9</v>
      </c>
      <c r="M780">
        <v>595</v>
      </c>
      <c r="N780">
        <v>55</v>
      </c>
      <c r="O780">
        <v>676</v>
      </c>
      <c r="P780" t="s">
        <v>29</v>
      </c>
      <c r="Q780" s="1">
        <v>40412</v>
      </c>
      <c r="R780">
        <v>31.9</v>
      </c>
      <c r="S780" s="2">
        <v>0.11</v>
      </c>
      <c r="T780" s="3">
        <v>2.6506944444444445</v>
      </c>
      <c r="U780" s="2">
        <v>0.38</v>
      </c>
      <c r="V780" t="s">
        <v>1745</v>
      </c>
      <c r="W780" t="s">
        <v>1746</v>
      </c>
      <c r="X780" t="b">
        <v>0</v>
      </c>
      <c r="Y780" t="b">
        <v>0</v>
      </c>
    </row>
    <row r="781" spans="1:25">
      <c r="A781">
        <v>7800</v>
      </c>
      <c r="B781" t="s">
        <v>1382</v>
      </c>
      <c r="C781" t="s">
        <v>1747</v>
      </c>
      <c r="D781" t="s">
        <v>1384</v>
      </c>
      <c r="E781">
        <v>7800</v>
      </c>
      <c r="F781">
        <v>30.7</v>
      </c>
      <c r="G781">
        <v>657</v>
      </c>
      <c r="H781">
        <v>20.9</v>
      </c>
      <c r="I781">
        <v>779</v>
      </c>
      <c r="J781">
        <v>56.9</v>
      </c>
      <c r="K781">
        <v>851</v>
      </c>
      <c r="L781">
        <v>58</v>
      </c>
      <c r="M781">
        <v>682</v>
      </c>
      <c r="N781">
        <v>58.9</v>
      </c>
      <c r="O781">
        <v>610</v>
      </c>
      <c r="P781" t="s">
        <v>29</v>
      </c>
      <c r="Q781" s="1">
        <v>37331</v>
      </c>
      <c r="R781">
        <v>21.1</v>
      </c>
      <c r="S781" s="2">
        <v>0.06</v>
      </c>
      <c r="T781" s="3">
        <v>2.1180555555555554</v>
      </c>
      <c r="U781" s="2">
        <v>0.32</v>
      </c>
      <c r="V781" t="s">
        <v>1747</v>
      </c>
      <c r="W781" t="s">
        <v>1748</v>
      </c>
      <c r="X781" t="b">
        <v>0</v>
      </c>
      <c r="Y781" t="b">
        <v>0</v>
      </c>
    </row>
    <row r="782" spans="1:25">
      <c r="A782">
        <v>7810</v>
      </c>
      <c r="B782" t="s">
        <v>1382</v>
      </c>
      <c r="C782" t="s">
        <v>1749</v>
      </c>
      <c r="D782" t="s">
        <v>1384</v>
      </c>
      <c r="E782">
        <v>7810</v>
      </c>
      <c r="F782">
        <v>24.3</v>
      </c>
      <c r="G782">
        <v>1061</v>
      </c>
      <c r="H782">
        <v>11.9</v>
      </c>
      <c r="I782">
        <v>1421</v>
      </c>
      <c r="J782">
        <v>84.8</v>
      </c>
      <c r="K782">
        <v>217</v>
      </c>
      <c r="L782">
        <v>23</v>
      </c>
      <c r="M782">
        <v>1403</v>
      </c>
      <c r="N782">
        <v>28.7</v>
      </c>
      <c r="O782">
        <v>1557</v>
      </c>
      <c r="P782" t="s">
        <v>528</v>
      </c>
      <c r="Q782" s="1">
        <v>10647</v>
      </c>
      <c r="R782">
        <v>15.1</v>
      </c>
      <c r="S782" s="2">
        <v>0.01</v>
      </c>
      <c r="T782" t="s">
        <v>113</v>
      </c>
      <c r="U782" s="2">
        <v>0.45</v>
      </c>
      <c r="V782" t="s">
        <v>1749</v>
      </c>
      <c r="W782" t="s">
        <v>1750</v>
      </c>
      <c r="X782" t="b">
        <v>0</v>
      </c>
      <c r="Y782" t="b">
        <v>0</v>
      </c>
    </row>
    <row r="783" spans="1:25">
      <c r="A783">
        <v>7820</v>
      </c>
      <c r="B783" t="s">
        <v>1382</v>
      </c>
      <c r="C783" t="s">
        <v>1751</v>
      </c>
      <c r="D783" t="s">
        <v>1384</v>
      </c>
      <c r="E783">
        <v>7820</v>
      </c>
      <c r="F783">
        <v>35.700000000000003</v>
      </c>
      <c r="G783">
        <v>438</v>
      </c>
      <c r="H783">
        <v>16.7</v>
      </c>
      <c r="I783">
        <v>997</v>
      </c>
      <c r="J783">
        <v>54.5</v>
      </c>
      <c r="K783">
        <v>900</v>
      </c>
      <c r="L783">
        <v>68.8</v>
      </c>
      <c r="M783">
        <v>460</v>
      </c>
      <c r="N783">
        <v>56.7</v>
      </c>
      <c r="O783">
        <v>650</v>
      </c>
      <c r="P783" t="s">
        <v>29</v>
      </c>
      <c r="Q783" s="1">
        <v>16199</v>
      </c>
      <c r="R783">
        <v>17</v>
      </c>
      <c r="S783" s="2">
        <v>0.09</v>
      </c>
      <c r="T783" s="3">
        <v>2.2409722222222221</v>
      </c>
      <c r="U783" s="2">
        <v>0.18</v>
      </c>
      <c r="V783" t="s">
        <v>1751</v>
      </c>
      <c r="W783" t="s">
        <v>1752</v>
      </c>
      <c r="X783" t="b">
        <v>0</v>
      </c>
      <c r="Y783" t="b">
        <v>0</v>
      </c>
    </row>
    <row r="784" spans="1:25">
      <c r="A784">
        <v>7830</v>
      </c>
      <c r="B784" t="s">
        <v>1382</v>
      </c>
      <c r="C784" t="s">
        <v>1753</v>
      </c>
      <c r="D784" t="s">
        <v>1384</v>
      </c>
      <c r="E784">
        <v>7830</v>
      </c>
      <c r="F784">
        <v>12.9</v>
      </c>
      <c r="G784">
        <v>1853</v>
      </c>
      <c r="H784">
        <v>16</v>
      </c>
      <c r="I784">
        <v>1052</v>
      </c>
      <c r="J784">
        <v>90.6</v>
      </c>
      <c r="K784">
        <v>117</v>
      </c>
      <c r="L784">
        <v>20.9</v>
      </c>
      <c r="M784">
        <v>1490</v>
      </c>
      <c r="N784">
        <v>63.1</v>
      </c>
      <c r="O784">
        <v>517</v>
      </c>
      <c r="P784" t="s">
        <v>1468</v>
      </c>
      <c r="Q784" s="1">
        <v>28400</v>
      </c>
      <c r="R784">
        <v>21.9</v>
      </c>
      <c r="S784" s="2">
        <v>0.01</v>
      </c>
      <c r="T784" s="3">
        <v>2.4048611111111109</v>
      </c>
      <c r="U784" s="2">
        <v>0.42</v>
      </c>
      <c r="V784" t="s">
        <v>1754</v>
      </c>
      <c r="W784" t="s">
        <v>1755</v>
      </c>
      <c r="X784" t="b">
        <v>0</v>
      </c>
      <c r="Y784" t="b">
        <v>0</v>
      </c>
    </row>
    <row r="785" spans="1:25">
      <c r="A785">
        <v>7840</v>
      </c>
      <c r="B785" t="s">
        <v>1382</v>
      </c>
      <c r="C785" t="s">
        <v>1756</v>
      </c>
      <c r="D785" t="s">
        <v>1384</v>
      </c>
      <c r="E785">
        <v>7840</v>
      </c>
      <c r="F785">
        <v>19.5</v>
      </c>
      <c r="G785">
        <v>1426</v>
      </c>
      <c r="H785">
        <v>32.299999999999997</v>
      </c>
      <c r="I785">
        <v>413</v>
      </c>
      <c r="J785">
        <v>57.3</v>
      </c>
      <c r="K785">
        <v>843</v>
      </c>
      <c r="L785">
        <v>70.3</v>
      </c>
      <c r="M785">
        <v>426</v>
      </c>
      <c r="N785">
        <v>62.1</v>
      </c>
      <c r="O785">
        <v>542</v>
      </c>
      <c r="P785" t="s">
        <v>76</v>
      </c>
      <c r="Q785" s="1">
        <v>39142</v>
      </c>
      <c r="R785">
        <v>42.8</v>
      </c>
      <c r="S785" s="2">
        <v>0.09</v>
      </c>
      <c r="T785" s="3">
        <v>2.3229166666666665</v>
      </c>
      <c r="U785" s="2">
        <v>0.34</v>
      </c>
      <c r="V785" t="s">
        <v>1756</v>
      </c>
      <c r="W785" t="s">
        <v>1757</v>
      </c>
      <c r="X785" t="b">
        <v>0</v>
      </c>
      <c r="Y785" t="b">
        <v>0</v>
      </c>
    </row>
    <row r="786" spans="1:25">
      <c r="A786">
        <v>7850</v>
      </c>
      <c r="B786" t="s">
        <v>1382</v>
      </c>
      <c r="C786" t="s">
        <v>1758</v>
      </c>
      <c r="D786" t="s">
        <v>1384</v>
      </c>
      <c r="E786">
        <v>7850</v>
      </c>
      <c r="F786">
        <v>21.4</v>
      </c>
      <c r="G786">
        <v>1279</v>
      </c>
      <c r="H786">
        <v>22.6</v>
      </c>
      <c r="I786">
        <v>706</v>
      </c>
      <c r="J786">
        <v>77.3</v>
      </c>
      <c r="K786">
        <v>390</v>
      </c>
      <c r="L786">
        <v>54.9</v>
      </c>
      <c r="M786">
        <v>728</v>
      </c>
      <c r="N786">
        <v>43.2</v>
      </c>
      <c r="O786">
        <v>1018</v>
      </c>
      <c r="P786" t="s">
        <v>397</v>
      </c>
      <c r="Q786" s="1">
        <v>6223</v>
      </c>
      <c r="R786">
        <v>20</v>
      </c>
      <c r="S786" s="2">
        <v>0.04</v>
      </c>
      <c r="T786" s="3">
        <v>2.2000000000000002</v>
      </c>
      <c r="U786" s="2">
        <v>0.3</v>
      </c>
      <c r="V786" t="s">
        <v>1758</v>
      </c>
      <c r="W786" t="s">
        <v>1759</v>
      </c>
      <c r="X786" t="b">
        <v>0</v>
      </c>
      <c r="Y786" t="b">
        <v>0</v>
      </c>
    </row>
    <row r="787" spans="1:25">
      <c r="A787">
        <v>7860</v>
      </c>
      <c r="B787" t="s">
        <v>1382</v>
      </c>
      <c r="C787" t="s">
        <v>1760</v>
      </c>
      <c r="D787" t="s">
        <v>1384</v>
      </c>
      <c r="E787">
        <v>7860</v>
      </c>
      <c r="F787">
        <v>28.5</v>
      </c>
      <c r="G787">
        <v>778</v>
      </c>
      <c r="H787">
        <v>20.2</v>
      </c>
      <c r="I787">
        <v>803</v>
      </c>
      <c r="J787">
        <v>73.099999999999994</v>
      </c>
      <c r="K787">
        <v>482</v>
      </c>
      <c r="L787">
        <v>61.1</v>
      </c>
      <c r="M787">
        <v>627</v>
      </c>
      <c r="N787">
        <v>41.8</v>
      </c>
      <c r="O787">
        <v>1062</v>
      </c>
      <c r="P787" t="s">
        <v>397</v>
      </c>
      <c r="Q787" s="1">
        <v>13023</v>
      </c>
      <c r="R787">
        <v>19.3</v>
      </c>
      <c r="S787" s="2">
        <v>0.05</v>
      </c>
      <c r="T787" s="3">
        <v>2.3229166666666665</v>
      </c>
      <c r="U787" s="2">
        <v>0.23</v>
      </c>
      <c r="V787" t="s">
        <v>1760</v>
      </c>
      <c r="W787" t="s">
        <v>1761</v>
      </c>
      <c r="X787" t="b">
        <v>0</v>
      </c>
      <c r="Y787" t="b">
        <v>0</v>
      </c>
    </row>
    <row r="788" spans="1:25">
      <c r="A788">
        <v>7870</v>
      </c>
      <c r="B788" t="s">
        <v>1382</v>
      </c>
      <c r="C788" t="s">
        <v>1762</v>
      </c>
      <c r="D788" t="s">
        <v>1384</v>
      </c>
      <c r="E788">
        <v>7870</v>
      </c>
      <c r="F788">
        <v>21.3</v>
      </c>
      <c r="G788">
        <v>1284</v>
      </c>
      <c r="H788">
        <v>22.4</v>
      </c>
      <c r="I788">
        <v>718</v>
      </c>
      <c r="J788">
        <v>62</v>
      </c>
      <c r="K788">
        <v>738</v>
      </c>
      <c r="L788">
        <v>50.1</v>
      </c>
      <c r="M788">
        <v>807</v>
      </c>
      <c r="N788">
        <v>82.4</v>
      </c>
      <c r="O788">
        <v>216</v>
      </c>
      <c r="P788" t="s">
        <v>26</v>
      </c>
      <c r="Q788" s="1">
        <v>19825</v>
      </c>
      <c r="R788">
        <v>20.100000000000001</v>
      </c>
      <c r="S788" s="2">
        <v>0.1</v>
      </c>
      <c r="T788" s="3">
        <v>2.3638888888888889</v>
      </c>
      <c r="U788" s="2">
        <v>0.23</v>
      </c>
      <c r="V788" t="s">
        <v>1762</v>
      </c>
      <c r="W788" t="s">
        <v>1763</v>
      </c>
      <c r="X788" t="b">
        <v>0</v>
      </c>
      <c r="Y788" t="b">
        <v>0</v>
      </c>
    </row>
    <row r="789" spans="1:25">
      <c r="A789">
        <v>7880</v>
      </c>
      <c r="B789" t="s">
        <v>1382</v>
      </c>
      <c r="C789" t="s">
        <v>1764</v>
      </c>
      <c r="D789" t="s">
        <v>1384</v>
      </c>
      <c r="E789">
        <v>7880</v>
      </c>
      <c r="F789">
        <v>33.299999999999997</v>
      </c>
      <c r="G789">
        <v>532</v>
      </c>
      <c r="H789">
        <v>14.4</v>
      </c>
      <c r="I789">
        <v>1173</v>
      </c>
      <c r="J789">
        <v>62.2</v>
      </c>
      <c r="K789">
        <v>729</v>
      </c>
      <c r="L789">
        <v>53.2</v>
      </c>
      <c r="M789">
        <v>749</v>
      </c>
      <c r="N789">
        <v>73.099999999999994</v>
      </c>
      <c r="O789">
        <v>364</v>
      </c>
      <c r="P789" t="s">
        <v>534</v>
      </c>
      <c r="Q789" s="1">
        <v>35180</v>
      </c>
      <c r="R789">
        <v>9.6</v>
      </c>
      <c r="S789" s="2">
        <v>7.0000000000000007E-2</v>
      </c>
      <c r="T789" s="3">
        <v>2.2409722222222221</v>
      </c>
      <c r="U789" s="2">
        <v>0.28999999999999998</v>
      </c>
      <c r="V789" t="s">
        <v>1764</v>
      </c>
      <c r="W789" t="s">
        <v>1765</v>
      </c>
      <c r="X789" t="b">
        <v>0</v>
      </c>
      <c r="Y789" t="b">
        <v>0</v>
      </c>
    </row>
    <row r="790" spans="1:25">
      <c r="A790">
        <v>7890</v>
      </c>
      <c r="B790" t="s">
        <v>1382</v>
      </c>
      <c r="C790" t="s">
        <v>1766</v>
      </c>
      <c r="D790" t="s">
        <v>1384</v>
      </c>
      <c r="E790">
        <v>7890</v>
      </c>
      <c r="F790">
        <v>31.6</v>
      </c>
      <c r="G790">
        <v>612</v>
      </c>
      <c r="H790">
        <v>23.4</v>
      </c>
      <c r="I790">
        <v>675</v>
      </c>
      <c r="J790">
        <v>55</v>
      </c>
      <c r="K790">
        <v>891</v>
      </c>
      <c r="L790">
        <v>45.8</v>
      </c>
      <c r="M790">
        <v>882</v>
      </c>
      <c r="N790">
        <v>93.4</v>
      </c>
      <c r="O790">
        <v>77</v>
      </c>
      <c r="P790" t="s">
        <v>310</v>
      </c>
      <c r="Q790" s="1">
        <v>6307</v>
      </c>
      <c r="R790">
        <v>10</v>
      </c>
      <c r="S790" s="2">
        <v>0.35</v>
      </c>
      <c r="T790" s="3">
        <v>2.8145833333333332</v>
      </c>
      <c r="U790" s="2">
        <v>0.28999999999999998</v>
      </c>
      <c r="V790" t="s">
        <v>1766</v>
      </c>
      <c r="W790" t="s">
        <v>1767</v>
      </c>
      <c r="X790" t="b">
        <v>0</v>
      </c>
      <c r="Y790" t="b">
        <v>0</v>
      </c>
    </row>
    <row r="791" spans="1:25">
      <c r="A791">
        <v>7900</v>
      </c>
      <c r="B791" t="s">
        <v>1382</v>
      </c>
      <c r="C791" t="s">
        <v>1768</v>
      </c>
      <c r="D791" t="s">
        <v>1384</v>
      </c>
      <c r="E791">
        <v>7900</v>
      </c>
      <c r="F791">
        <v>35.299999999999997</v>
      </c>
      <c r="G791">
        <v>453</v>
      </c>
      <c r="H791">
        <v>11.7</v>
      </c>
      <c r="I791">
        <v>1448</v>
      </c>
      <c r="J791">
        <v>69.3</v>
      </c>
      <c r="K791">
        <v>575</v>
      </c>
      <c r="L791">
        <v>17.8</v>
      </c>
      <c r="M791">
        <v>1685</v>
      </c>
      <c r="N791">
        <v>25.2</v>
      </c>
      <c r="O791">
        <v>1701</v>
      </c>
      <c r="P791" t="s">
        <v>795</v>
      </c>
      <c r="Q791" s="1">
        <v>4556</v>
      </c>
      <c r="R791">
        <v>12.4</v>
      </c>
      <c r="S791" s="2">
        <v>0.05</v>
      </c>
      <c r="T791" s="3">
        <v>2.2000000000000002</v>
      </c>
      <c r="U791" t="s">
        <v>1292</v>
      </c>
      <c r="V791" t="s">
        <v>1768</v>
      </c>
      <c r="W791" t="s">
        <v>1769</v>
      </c>
      <c r="X791" t="b">
        <v>0</v>
      </c>
      <c r="Y791" t="b">
        <v>0</v>
      </c>
    </row>
    <row r="792" spans="1:25">
      <c r="A792">
        <v>7910</v>
      </c>
      <c r="B792" t="s">
        <v>1382</v>
      </c>
      <c r="C792" t="s">
        <v>1770</v>
      </c>
      <c r="D792" t="s">
        <v>1384</v>
      </c>
      <c r="E792">
        <v>7910</v>
      </c>
      <c r="F792">
        <v>27.9</v>
      </c>
      <c r="G792">
        <v>812</v>
      </c>
      <c r="H792">
        <v>15.6</v>
      </c>
      <c r="I792">
        <v>1082</v>
      </c>
      <c r="J792">
        <v>68.3</v>
      </c>
      <c r="K792">
        <v>598</v>
      </c>
      <c r="L792">
        <v>28.9</v>
      </c>
      <c r="M792">
        <v>1207</v>
      </c>
      <c r="N792">
        <v>46.2</v>
      </c>
      <c r="O792">
        <v>926</v>
      </c>
      <c r="P792" t="s">
        <v>528</v>
      </c>
      <c r="Q792" s="1">
        <v>37686</v>
      </c>
      <c r="R792">
        <v>18.8</v>
      </c>
      <c r="S792" s="2">
        <v>0.05</v>
      </c>
      <c r="T792" t="s">
        <v>105</v>
      </c>
      <c r="U792" s="2">
        <v>0.42</v>
      </c>
      <c r="V792" t="s">
        <v>1770</v>
      </c>
      <c r="W792" t="s">
        <v>1771</v>
      </c>
      <c r="X792" t="b">
        <v>0</v>
      </c>
      <c r="Y792" t="b">
        <v>0</v>
      </c>
    </row>
    <row r="793" spans="1:25">
      <c r="A793">
        <v>7920</v>
      </c>
      <c r="B793" t="s">
        <v>1382</v>
      </c>
      <c r="C793" t="s">
        <v>1772</v>
      </c>
      <c r="D793" t="s">
        <v>1384</v>
      </c>
      <c r="E793">
        <v>7920</v>
      </c>
      <c r="F793">
        <v>33.1</v>
      </c>
      <c r="G793">
        <v>543</v>
      </c>
      <c r="H793">
        <v>29.9</v>
      </c>
      <c r="I793">
        <v>477</v>
      </c>
      <c r="J793">
        <v>55.6</v>
      </c>
      <c r="K793">
        <v>877</v>
      </c>
      <c r="L793">
        <v>37.1</v>
      </c>
      <c r="M793">
        <v>1046</v>
      </c>
      <c r="N793">
        <v>45.6</v>
      </c>
      <c r="O793">
        <v>945</v>
      </c>
      <c r="P793" t="s">
        <v>1543</v>
      </c>
      <c r="Q793" s="1">
        <v>34342</v>
      </c>
      <c r="R793">
        <v>10.9</v>
      </c>
      <c r="S793" s="2">
        <v>0.09</v>
      </c>
      <c r="T793" s="3">
        <v>2.6097222222222221</v>
      </c>
      <c r="U793" s="2">
        <v>0.33</v>
      </c>
      <c r="V793" t="s">
        <v>1772</v>
      </c>
      <c r="W793" t="s">
        <v>1773</v>
      </c>
      <c r="X793" t="b">
        <v>0</v>
      </c>
      <c r="Y793" t="b">
        <v>0</v>
      </c>
    </row>
    <row r="794" spans="1:25">
      <c r="A794">
        <v>7930</v>
      </c>
      <c r="B794" t="s">
        <v>1382</v>
      </c>
      <c r="C794" t="s">
        <v>1774</v>
      </c>
      <c r="D794" t="s">
        <v>1384</v>
      </c>
      <c r="E794">
        <v>7930</v>
      </c>
      <c r="F794">
        <v>22</v>
      </c>
      <c r="G794">
        <v>1234</v>
      </c>
      <c r="H794">
        <v>23.8</v>
      </c>
      <c r="I794">
        <v>666</v>
      </c>
      <c r="J794">
        <v>59.3</v>
      </c>
      <c r="K794">
        <v>801</v>
      </c>
      <c r="L794">
        <v>22.6</v>
      </c>
      <c r="M794">
        <v>1416</v>
      </c>
      <c r="N794">
        <v>65.7</v>
      </c>
      <c r="O794">
        <v>473</v>
      </c>
      <c r="P794" t="s">
        <v>421</v>
      </c>
      <c r="Q794" s="1">
        <v>24605</v>
      </c>
      <c r="R794">
        <v>36.700000000000003</v>
      </c>
      <c r="S794" s="2">
        <v>0.06</v>
      </c>
      <c r="T794" s="3">
        <v>2.5687500000000001</v>
      </c>
      <c r="U794" s="2">
        <v>0.22</v>
      </c>
      <c r="V794" t="s">
        <v>1774</v>
      </c>
      <c r="W794" t="s">
        <v>1775</v>
      </c>
      <c r="X794" t="b">
        <v>0</v>
      </c>
      <c r="Y794" t="b">
        <v>0</v>
      </c>
    </row>
    <row r="795" spans="1:25">
      <c r="A795">
        <v>7940</v>
      </c>
      <c r="B795" t="s">
        <v>1382</v>
      </c>
      <c r="C795" t="s">
        <v>1776</v>
      </c>
      <c r="D795" t="s">
        <v>1384</v>
      </c>
      <c r="E795">
        <v>7940</v>
      </c>
      <c r="F795">
        <v>24.4</v>
      </c>
      <c r="G795">
        <v>1054</v>
      </c>
      <c r="H795">
        <v>16</v>
      </c>
      <c r="I795">
        <v>1053</v>
      </c>
      <c r="J795">
        <v>66.5</v>
      </c>
      <c r="K795">
        <v>639</v>
      </c>
      <c r="L795">
        <v>24.2</v>
      </c>
      <c r="M795">
        <v>1361</v>
      </c>
      <c r="N795">
        <v>86.9</v>
      </c>
      <c r="O795">
        <v>171</v>
      </c>
      <c r="P795" t="s">
        <v>26</v>
      </c>
      <c r="Q795" s="1">
        <v>14005</v>
      </c>
      <c r="R795">
        <v>24.6</v>
      </c>
      <c r="S795" s="2">
        <v>0.25</v>
      </c>
      <c r="T795" s="3">
        <v>2.6097222222222221</v>
      </c>
      <c r="U795" s="2">
        <v>0.32</v>
      </c>
      <c r="V795" t="s">
        <v>1776</v>
      </c>
      <c r="W795" t="s">
        <v>1777</v>
      </c>
      <c r="X795" t="b">
        <v>0</v>
      </c>
      <c r="Y795" t="b">
        <v>0</v>
      </c>
    </row>
    <row r="796" spans="1:25">
      <c r="A796">
        <v>7950</v>
      </c>
      <c r="B796" t="s">
        <v>1382</v>
      </c>
      <c r="C796" t="s">
        <v>1778</v>
      </c>
      <c r="D796" t="s">
        <v>1384</v>
      </c>
      <c r="E796">
        <v>7950</v>
      </c>
      <c r="F796">
        <v>38.4</v>
      </c>
      <c r="G796">
        <v>353</v>
      </c>
      <c r="H796">
        <v>21.7</v>
      </c>
      <c r="I796">
        <v>746</v>
      </c>
      <c r="J796">
        <v>62.2</v>
      </c>
      <c r="K796">
        <v>730</v>
      </c>
      <c r="L796">
        <v>37.1</v>
      </c>
      <c r="M796">
        <v>1047</v>
      </c>
      <c r="N796">
        <v>39.1</v>
      </c>
      <c r="O796">
        <v>1149</v>
      </c>
      <c r="P796" t="s">
        <v>29</v>
      </c>
      <c r="Q796" s="1">
        <v>8253</v>
      </c>
      <c r="R796">
        <v>11.3</v>
      </c>
      <c r="S796" s="2">
        <v>7.0000000000000007E-2</v>
      </c>
      <c r="T796" s="3">
        <v>2.4048611111111109</v>
      </c>
      <c r="U796" s="2">
        <v>0.33</v>
      </c>
      <c r="V796" t="s">
        <v>1778</v>
      </c>
      <c r="W796" t="s">
        <v>1779</v>
      </c>
      <c r="X796" t="b">
        <v>0</v>
      </c>
      <c r="Y796" t="b">
        <v>0</v>
      </c>
    </row>
    <row r="797" spans="1:25">
      <c r="A797">
        <v>7960</v>
      </c>
      <c r="B797" t="s">
        <v>1382</v>
      </c>
      <c r="C797" t="s">
        <v>1780</v>
      </c>
      <c r="D797" t="s">
        <v>1384</v>
      </c>
      <c r="E797">
        <v>7960</v>
      </c>
      <c r="F797">
        <v>19.100000000000001</v>
      </c>
      <c r="G797">
        <v>1465</v>
      </c>
      <c r="H797">
        <v>14.7</v>
      </c>
      <c r="I797">
        <v>1152</v>
      </c>
      <c r="J797">
        <v>64.7</v>
      </c>
      <c r="K797">
        <v>681</v>
      </c>
      <c r="L797">
        <v>40.700000000000003</v>
      </c>
      <c r="M797">
        <v>965</v>
      </c>
      <c r="N797">
        <v>81.099999999999994</v>
      </c>
      <c r="O797">
        <v>239</v>
      </c>
      <c r="P797" t="s">
        <v>26</v>
      </c>
      <c r="Q797" s="1">
        <v>15115</v>
      </c>
      <c r="R797">
        <v>16.7</v>
      </c>
      <c r="S797" s="2">
        <v>0.28000000000000003</v>
      </c>
      <c r="T797" s="3">
        <v>2.6097222222222221</v>
      </c>
      <c r="U797" s="2">
        <v>0.22</v>
      </c>
      <c r="V797" t="s">
        <v>1780</v>
      </c>
      <c r="W797" t="s">
        <v>1781</v>
      </c>
      <c r="X797" t="b">
        <v>0</v>
      </c>
      <c r="Y797" t="b">
        <v>0</v>
      </c>
    </row>
    <row r="798" spans="1:25">
      <c r="A798">
        <v>7970</v>
      </c>
      <c r="B798" t="s">
        <v>1382</v>
      </c>
      <c r="C798" t="s">
        <v>1782</v>
      </c>
      <c r="D798" t="s">
        <v>1384</v>
      </c>
      <c r="E798">
        <v>7970</v>
      </c>
      <c r="F798">
        <v>30</v>
      </c>
      <c r="G798">
        <v>691</v>
      </c>
      <c r="H798">
        <v>22.1</v>
      </c>
      <c r="I798">
        <v>728</v>
      </c>
      <c r="J798">
        <v>61.2</v>
      </c>
      <c r="K798">
        <v>750</v>
      </c>
      <c r="L798">
        <v>61.8</v>
      </c>
      <c r="M798">
        <v>620</v>
      </c>
      <c r="N798">
        <v>57.2</v>
      </c>
      <c r="O798">
        <v>639</v>
      </c>
      <c r="P798" t="s">
        <v>29</v>
      </c>
      <c r="Q798" s="1">
        <v>5834</v>
      </c>
      <c r="R798">
        <v>13</v>
      </c>
      <c r="S798" s="2">
        <v>0.14000000000000001</v>
      </c>
      <c r="T798" t="s">
        <v>696</v>
      </c>
      <c r="U798" s="2">
        <v>0.41</v>
      </c>
      <c r="V798" t="s">
        <v>1782</v>
      </c>
      <c r="W798" t="s">
        <v>1783</v>
      </c>
      <c r="X798" t="b">
        <v>0</v>
      </c>
      <c r="Y798" t="b">
        <v>0</v>
      </c>
    </row>
    <row r="799" spans="1:25">
      <c r="A799">
        <v>7980</v>
      </c>
      <c r="B799" t="s">
        <v>1382</v>
      </c>
      <c r="C799" t="s">
        <v>1784</v>
      </c>
      <c r="D799" t="s">
        <v>1384</v>
      </c>
      <c r="E799">
        <v>7980</v>
      </c>
      <c r="F799">
        <v>40.700000000000003</v>
      </c>
      <c r="G799">
        <v>290</v>
      </c>
      <c r="H799">
        <v>13.3</v>
      </c>
      <c r="I799">
        <v>1283</v>
      </c>
      <c r="J799">
        <v>66.900000000000006</v>
      </c>
      <c r="K799">
        <v>627</v>
      </c>
      <c r="L799">
        <v>36.5</v>
      </c>
      <c r="M799">
        <v>1064</v>
      </c>
      <c r="N799">
        <v>37.700000000000003</v>
      </c>
      <c r="O799">
        <v>1213</v>
      </c>
      <c r="P799" t="s">
        <v>1543</v>
      </c>
      <c r="Q799" s="1">
        <v>8014</v>
      </c>
      <c r="R799">
        <v>10.9</v>
      </c>
      <c r="S799" s="2">
        <v>0.14000000000000001</v>
      </c>
      <c r="T799" s="3">
        <v>3.0194444444444444</v>
      </c>
      <c r="U799" s="2">
        <v>0.05</v>
      </c>
      <c r="V799" t="s">
        <v>1784</v>
      </c>
      <c r="W799" t="s">
        <v>1785</v>
      </c>
      <c r="X799" t="b">
        <v>0</v>
      </c>
      <c r="Y799" t="b">
        <v>0</v>
      </c>
    </row>
    <row r="800" spans="1:25">
      <c r="A800">
        <v>7990</v>
      </c>
      <c r="B800" t="s">
        <v>1382</v>
      </c>
      <c r="C800" t="s">
        <v>1786</v>
      </c>
      <c r="D800" t="s">
        <v>1384</v>
      </c>
      <c r="E800">
        <v>7990</v>
      </c>
      <c r="F800">
        <v>35.9</v>
      </c>
      <c r="G800">
        <v>434</v>
      </c>
      <c r="H800">
        <v>20.3</v>
      </c>
      <c r="I800">
        <v>800</v>
      </c>
      <c r="J800">
        <v>62.1</v>
      </c>
      <c r="K800">
        <v>733</v>
      </c>
      <c r="L800">
        <v>58.6</v>
      </c>
      <c r="M800">
        <v>669</v>
      </c>
      <c r="N800">
        <v>37.700000000000003</v>
      </c>
      <c r="O800">
        <v>1214</v>
      </c>
      <c r="P800" t="s">
        <v>29</v>
      </c>
      <c r="Q800" s="1">
        <v>10174</v>
      </c>
      <c r="R800">
        <v>14.1</v>
      </c>
      <c r="S800" s="2">
        <v>0.04</v>
      </c>
      <c r="T800" s="3">
        <v>2.2000000000000002</v>
      </c>
      <c r="U800" s="2">
        <v>0.36</v>
      </c>
      <c r="V800" t="s">
        <v>1786</v>
      </c>
      <c r="W800" t="s">
        <v>1787</v>
      </c>
      <c r="X800" t="b">
        <v>0</v>
      </c>
      <c r="Y800" t="b">
        <v>0</v>
      </c>
    </row>
    <row r="801" spans="1:25">
      <c r="A801">
        <v>8000</v>
      </c>
      <c r="B801" t="s">
        <v>1382</v>
      </c>
      <c r="C801" t="s">
        <v>1788</v>
      </c>
      <c r="D801" t="s">
        <v>1384</v>
      </c>
      <c r="E801">
        <v>8000</v>
      </c>
      <c r="F801">
        <v>18.600000000000001</v>
      </c>
      <c r="G801">
        <v>1499</v>
      </c>
      <c r="H801">
        <v>15.1</v>
      </c>
      <c r="I801">
        <v>1119</v>
      </c>
      <c r="J801">
        <v>70.8</v>
      </c>
      <c r="K801">
        <v>547</v>
      </c>
      <c r="L801">
        <v>20.9</v>
      </c>
      <c r="M801">
        <v>1492</v>
      </c>
      <c r="N801">
        <v>77.3</v>
      </c>
      <c r="O801">
        <v>292</v>
      </c>
      <c r="P801" t="s">
        <v>54</v>
      </c>
      <c r="Q801" s="1">
        <v>19535</v>
      </c>
      <c r="R801">
        <v>19.899999999999999</v>
      </c>
      <c r="S801" s="2">
        <v>0.04</v>
      </c>
      <c r="T801" s="3">
        <v>2.1590277777777778</v>
      </c>
      <c r="U801" s="2">
        <v>0.36</v>
      </c>
      <c r="V801" t="s">
        <v>1789</v>
      </c>
      <c r="W801" t="s">
        <v>1790</v>
      </c>
      <c r="X801" t="b">
        <v>0</v>
      </c>
      <c r="Y801" t="b">
        <v>0</v>
      </c>
    </row>
    <row r="802" spans="1:25">
      <c r="A802">
        <v>8010</v>
      </c>
      <c r="B802" t="s">
        <v>1382</v>
      </c>
      <c r="C802" t="s">
        <v>1791</v>
      </c>
      <c r="D802" t="s">
        <v>1384</v>
      </c>
      <c r="E802">
        <v>8010</v>
      </c>
      <c r="F802">
        <v>24.3</v>
      </c>
      <c r="G802">
        <v>1064</v>
      </c>
      <c r="H802">
        <v>25</v>
      </c>
      <c r="I802">
        <v>617</v>
      </c>
      <c r="J802">
        <v>61</v>
      </c>
      <c r="K802">
        <v>757</v>
      </c>
      <c r="L802">
        <v>77.5</v>
      </c>
      <c r="M802">
        <v>298</v>
      </c>
      <c r="N802">
        <v>25.9</v>
      </c>
      <c r="O802">
        <v>1670</v>
      </c>
      <c r="P802" t="s">
        <v>54</v>
      </c>
      <c r="Q802" s="1">
        <v>37660</v>
      </c>
      <c r="R802">
        <v>15.3</v>
      </c>
      <c r="S802" s="2">
        <v>0.01</v>
      </c>
      <c r="T802" t="s">
        <v>796</v>
      </c>
      <c r="U802" s="2">
        <v>0.47</v>
      </c>
      <c r="V802" t="s">
        <v>1791</v>
      </c>
      <c r="W802" t="s">
        <v>1792</v>
      </c>
      <c r="X802" t="b">
        <v>0</v>
      </c>
      <c r="Y802" t="b">
        <v>0</v>
      </c>
    </row>
    <row r="803" spans="1:25">
      <c r="A803">
        <v>8020</v>
      </c>
      <c r="B803" t="s">
        <v>1382</v>
      </c>
      <c r="C803" t="s">
        <v>1793</v>
      </c>
      <c r="D803" t="s">
        <v>1384</v>
      </c>
      <c r="E803">
        <v>8020</v>
      </c>
      <c r="F803">
        <v>24.1</v>
      </c>
      <c r="G803">
        <v>1077</v>
      </c>
      <c r="H803">
        <v>18</v>
      </c>
      <c r="I803">
        <v>922</v>
      </c>
      <c r="J803">
        <v>66.8</v>
      </c>
      <c r="K803">
        <v>630</v>
      </c>
      <c r="L803">
        <v>47</v>
      </c>
      <c r="M803">
        <v>865</v>
      </c>
      <c r="N803">
        <v>54.9</v>
      </c>
      <c r="O803">
        <v>679</v>
      </c>
      <c r="P803" t="s">
        <v>181</v>
      </c>
      <c r="Q803" s="1">
        <v>19063</v>
      </c>
      <c r="R803">
        <v>14.7</v>
      </c>
      <c r="S803" s="2">
        <v>0.05</v>
      </c>
      <c r="T803" s="3">
        <v>2.1180555555555554</v>
      </c>
      <c r="U803" s="2">
        <v>0.28999999999999998</v>
      </c>
      <c r="V803" t="s">
        <v>1793</v>
      </c>
      <c r="W803" t="s">
        <v>1794</v>
      </c>
      <c r="X803" t="b">
        <v>0</v>
      </c>
      <c r="Y803" t="b">
        <v>0</v>
      </c>
    </row>
    <row r="804" spans="1:25">
      <c r="A804">
        <v>8030</v>
      </c>
      <c r="B804" t="s">
        <v>1382</v>
      </c>
      <c r="C804" t="s">
        <v>1795</v>
      </c>
      <c r="D804" t="s">
        <v>1384</v>
      </c>
      <c r="E804">
        <v>8030</v>
      </c>
      <c r="F804">
        <v>20.3</v>
      </c>
      <c r="G804">
        <v>1354</v>
      </c>
      <c r="H804">
        <v>19</v>
      </c>
      <c r="I804">
        <v>866</v>
      </c>
      <c r="J804">
        <v>75.400000000000006</v>
      </c>
      <c r="K804">
        <v>434</v>
      </c>
      <c r="L804">
        <v>54.1</v>
      </c>
      <c r="M804">
        <v>737</v>
      </c>
      <c r="N804">
        <v>35.6</v>
      </c>
      <c r="O804">
        <v>1294</v>
      </c>
      <c r="P804" t="s">
        <v>54</v>
      </c>
      <c r="Q804" s="1">
        <v>28884</v>
      </c>
      <c r="R804">
        <v>12.2</v>
      </c>
      <c r="S804" s="2">
        <v>0.05</v>
      </c>
      <c r="U804" s="2">
        <v>0.41</v>
      </c>
      <c r="V804" t="s">
        <v>1795</v>
      </c>
      <c r="W804" t="s">
        <v>1796</v>
      </c>
      <c r="X804" t="b">
        <v>0</v>
      </c>
      <c r="Y804" t="b">
        <v>0</v>
      </c>
    </row>
    <row r="805" spans="1:25">
      <c r="A805">
        <v>8040</v>
      </c>
      <c r="B805" t="s">
        <v>1382</v>
      </c>
      <c r="C805" t="s">
        <v>1797</v>
      </c>
      <c r="D805" t="s">
        <v>1384</v>
      </c>
      <c r="E805">
        <v>8040</v>
      </c>
      <c r="F805">
        <v>18.7</v>
      </c>
      <c r="G805">
        <v>1489</v>
      </c>
      <c r="H805">
        <v>19.8</v>
      </c>
      <c r="I805">
        <v>828</v>
      </c>
      <c r="J805">
        <v>82.5</v>
      </c>
      <c r="K805">
        <v>274</v>
      </c>
      <c r="L805">
        <v>35.799999999999997</v>
      </c>
      <c r="M805">
        <v>1082</v>
      </c>
      <c r="N805">
        <v>25.2</v>
      </c>
      <c r="O805">
        <v>1702</v>
      </c>
      <c r="P805" t="s">
        <v>54</v>
      </c>
      <c r="Q805" s="1">
        <v>74052</v>
      </c>
      <c r="R805">
        <v>15.6</v>
      </c>
      <c r="S805" s="2">
        <v>0.04</v>
      </c>
      <c r="T805" s="3">
        <v>2.036111111111111</v>
      </c>
      <c r="U805" s="2">
        <v>0.28999999999999998</v>
      </c>
      <c r="V805" t="s">
        <v>1797</v>
      </c>
      <c r="W805" t="s">
        <v>1798</v>
      </c>
      <c r="X805" t="b">
        <v>0</v>
      </c>
      <c r="Y805" t="b">
        <v>0</v>
      </c>
    </row>
    <row r="806" spans="1:25">
      <c r="A806">
        <v>8050</v>
      </c>
      <c r="B806" t="s">
        <v>1799</v>
      </c>
      <c r="C806" t="s">
        <v>1800</v>
      </c>
      <c r="D806" t="s">
        <v>1801</v>
      </c>
      <c r="E806">
        <v>8050</v>
      </c>
      <c r="F806">
        <v>18.3</v>
      </c>
      <c r="G806">
        <v>1523</v>
      </c>
      <c r="H806">
        <v>21.9</v>
      </c>
      <c r="I806">
        <v>734</v>
      </c>
      <c r="J806">
        <v>54.4</v>
      </c>
      <c r="K806">
        <v>902</v>
      </c>
      <c r="L806">
        <v>80</v>
      </c>
      <c r="M806">
        <v>263</v>
      </c>
      <c r="N806">
        <v>33.9</v>
      </c>
      <c r="O806">
        <v>1359</v>
      </c>
      <c r="P806" t="s">
        <v>1220</v>
      </c>
      <c r="Q806" s="1">
        <v>20139</v>
      </c>
      <c r="R806">
        <v>63.5</v>
      </c>
      <c r="S806" s="2">
        <v>0.01</v>
      </c>
      <c r="T806" s="3">
        <v>2.3229166666666665</v>
      </c>
      <c r="U806" s="2">
        <v>0.36</v>
      </c>
      <c r="V806" t="s">
        <v>1800</v>
      </c>
      <c r="W806" t="s">
        <v>1802</v>
      </c>
      <c r="X806" t="b">
        <v>0</v>
      </c>
      <c r="Y806" t="b">
        <v>0</v>
      </c>
    </row>
    <row r="807" spans="1:25">
      <c r="A807">
        <v>8060</v>
      </c>
      <c r="B807" t="s">
        <v>1799</v>
      </c>
      <c r="C807" t="s">
        <v>1803</v>
      </c>
      <c r="D807" t="s">
        <v>1801</v>
      </c>
      <c r="E807">
        <v>8060</v>
      </c>
      <c r="F807">
        <v>38.1</v>
      </c>
      <c r="G807">
        <v>360</v>
      </c>
      <c r="H807">
        <v>10.7</v>
      </c>
      <c r="I807">
        <v>1556</v>
      </c>
      <c r="J807">
        <v>58.1</v>
      </c>
      <c r="K807">
        <v>822</v>
      </c>
      <c r="L807">
        <v>20.100000000000001</v>
      </c>
      <c r="M807">
        <v>1523</v>
      </c>
      <c r="N807">
        <v>21.8</v>
      </c>
      <c r="O807">
        <v>1815</v>
      </c>
      <c r="P807" t="s">
        <v>795</v>
      </c>
      <c r="Q807" s="1">
        <v>8987</v>
      </c>
      <c r="R807">
        <v>11.7</v>
      </c>
      <c r="S807" s="2">
        <v>0.03</v>
      </c>
      <c r="T807" s="3">
        <v>2.8145833333333332</v>
      </c>
      <c r="U807" s="2">
        <v>0.1</v>
      </c>
      <c r="V807" t="s">
        <v>1803</v>
      </c>
      <c r="W807" t="s">
        <v>1199</v>
      </c>
      <c r="X807" t="b">
        <v>0</v>
      </c>
      <c r="Y807" t="b">
        <v>0</v>
      </c>
    </row>
    <row r="808" spans="1:25">
      <c r="A808">
        <v>8070</v>
      </c>
      <c r="B808" t="s">
        <v>1799</v>
      </c>
      <c r="C808" t="s">
        <v>1804</v>
      </c>
      <c r="D808" t="s">
        <v>1801</v>
      </c>
      <c r="E808">
        <v>8070</v>
      </c>
      <c r="F808">
        <v>19.2</v>
      </c>
      <c r="G808">
        <v>1449</v>
      </c>
      <c r="H808">
        <v>10.9</v>
      </c>
      <c r="I808">
        <v>1534</v>
      </c>
      <c r="J808">
        <v>69.2</v>
      </c>
      <c r="K808">
        <v>576</v>
      </c>
      <c r="L808">
        <v>20.399999999999999</v>
      </c>
      <c r="M808">
        <v>1516</v>
      </c>
      <c r="N808">
        <v>57.4</v>
      </c>
      <c r="O808">
        <v>634</v>
      </c>
      <c r="P808" t="s">
        <v>1483</v>
      </c>
      <c r="Q808" s="1">
        <v>269733</v>
      </c>
      <c r="R808">
        <v>22</v>
      </c>
      <c r="S808" s="2">
        <v>0.09</v>
      </c>
      <c r="T808" s="3">
        <v>1.7902777777777779</v>
      </c>
      <c r="U808" s="2">
        <v>0.24</v>
      </c>
      <c r="V808" t="s">
        <v>1804</v>
      </c>
      <c r="W808" t="s">
        <v>1805</v>
      </c>
      <c r="X808" t="b">
        <v>0</v>
      </c>
      <c r="Y808" t="b">
        <v>0</v>
      </c>
    </row>
    <row r="809" spans="1:25">
      <c r="A809">
        <v>8080</v>
      </c>
      <c r="B809" t="s">
        <v>1799</v>
      </c>
      <c r="C809" t="s">
        <v>1806</v>
      </c>
      <c r="D809" t="s">
        <v>1801</v>
      </c>
      <c r="E809">
        <v>8080</v>
      </c>
      <c r="F809">
        <v>27.8</v>
      </c>
      <c r="G809">
        <v>813</v>
      </c>
      <c r="H809">
        <v>15.1</v>
      </c>
      <c r="I809">
        <v>1110</v>
      </c>
      <c r="J809">
        <v>55</v>
      </c>
      <c r="K809">
        <v>887</v>
      </c>
      <c r="L809">
        <v>41.9</v>
      </c>
      <c r="M809">
        <v>940</v>
      </c>
      <c r="N809">
        <v>64.400000000000006</v>
      </c>
      <c r="O809">
        <v>496</v>
      </c>
      <c r="P809" t="s">
        <v>386</v>
      </c>
      <c r="Q809" s="1">
        <v>16260</v>
      </c>
      <c r="R809">
        <v>10.4</v>
      </c>
      <c r="S809" s="2">
        <v>0.24</v>
      </c>
      <c r="T809" s="3">
        <v>2.4868055555555557</v>
      </c>
      <c r="U809" s="2">
        <v>0.27</v>
      </c>
      <c r="V809" t="s">
        <v>1807</v>
      </c>
      <c r="W809" t="s">
        <v>1808</v>
      </c>
      <c r="X809" t="b">
        <v>0</v>
      </c>
      <c r="Y809" t="b">
        <v>0</v>
      </c>
    </row>
    <row r="810" spans="1:25">
      <c r="A810">
        <v>8090</v>
      </c>
      <c r="B810" t="s">
        <v>1799</v>
      </c>
      <c r="C810" t="s">
        <v>1809</v>
      </c>
      <c r="D810" t="s">
        <v>1801</v>
      </c>
      <c r="E810">
        <v>8090</v>
      </c>
      <c r="F810">
        <v>17.899999999999999</v>
      </c>
      <c r="G810">
        <v>1554</v>
      </c>
      <c r="H810">
        <v>17.7</v>
      </c>
      <c r="I810">
        <v>934</v>
      </c>
      <c r="J810">
        <v>58.2</v>
      </c>
      <c r="K810">
        <v>819</v>
      </c>
      <c r="L810">
        <v>27.2</v>
      </c>
      <c r="M810">
        <v>1254</v>
      </c>
      <c r="N810">
        <v>51.4</v>
      </c>
      <c r="O810">
        <v>757</v>
      </c>
      <c r="P810" t="s">
        <v>1483</v>
      </c>
      <c r="Q810" s="1">
        <v>205777</v>
      </c>
      <c r="R810">
        <v>28.7</v>
      </c>
      <c r="S810" s="2">
        <v>0.04</v>
      </c>
      <c r="T810" s="3">
        <v>2.2000000000000002</v>
      </c>
      <c r="U810" s="2">
        <v>0.23</v>
      </c>
      <c r="V810" t="s">
        <v>1809</v>
      </c>
      <c r="W810" t="s">
        <v>1810</v>
      </c>
      <c r="X810" t="b">
        <v>0</v>
      </c>
      <c r="Y810" t="b">
        <v>0</v>
      </c>
    </row>
    <row r="811" spans="1:25">
      <c r="A811">
        <v>8100</v>
      </c>
      <c r="B811" t="s">
        <v>1799</v>
      </c>
      <c r="C811" t="s">
        <v>1811</v>
      </c>
      <c r="D811" t="s">
        <v>1801</v>
      </c>
      <c r="E811">
        <v>8100</v>
      </c>
      <c r="F811">
        <v>18.5</v>
      </c>
      <c r="G811">
        <v>1500</v>
      </c>
      <c r="H811">
        <v>19.5</v>
      </c>
      <c r="I811">
        <v>837</v>
      </c>
      <c r="J811">
        <v>52.3</v>
      </c>
      <c r="K811">
        <v>957</v>
      </c>
      <c r="L811">
        <v>25.3</v>
      </c>
      <c r="M811">
        <v>1326</v>
      </c>
      <c r="N811">
        <v>66.400000000000006</v>
      </c>
      <c r="O811">
        <v>458</v>
      </c>
      <c r="P811" t="s">
        <v>992</v>
      </c>
      <c r="Q811" s="1">
        <v>8878</v>
      </c>
      <c r="R811">
        <v>15</v>
      </c>
      <c r="S811" s="2">
        <v>0.19</v>
      </c>
      <c r="T811" s="3">
        <v>2.3638888888888889</v>
      </c>
      <c r="U811" s="2">
        <v>0.24</v>
      </c>
      <c r="V811" t="s">
        <v>1811</v>
      </c>
      <c r="W811" t="s">
        <v>1812</v>
      </c>
      <c r="X811" t="b">
        <v>0</v>
      </c>
      <c r="Y811" t="b">
        <v>0</v>
      </c>
    </row>
    <row r="812" spans="1:25">
      <c r="A812">
        <v>8110</v>
      </c>
      <c r="B812" t="s">
        <v>1799</v>
      </c>
      <c r="C812" t="s">
        <v>1813</v>
      </c>
      <c r="D812" t="s">
        <v>1801</v>
      </c>
      <c r="E812">
        <v>8110</v>
      </c>
      <c r="F812">
        <v>26.7</v>
      </c>
      <c r="G812">
        <v>889</v>
      </c>
      <c r="H812">
        <v>24</v>
      </c>
      <c r="I812">
        <v>651</v>
      </c>
      <c r="J812">
        <v>51.1</v>
      </c>
      <c r="K812">
        <v>995</v>
      </c>
      <c r="L812">
        <v>23</v>
      </c>
      <c r="M812">
        <v>1401</v>
      </c>
      <c r="N812">
        <v>70.3</v>
      </c>
      <c r="O812">
        <v>403</v>
      </c>
      <c r="P812" t="s">
        <v>1483</v>
      </c>
      <c r="Q812" s="1">
        <v>6034</v>
      </c>
      <c r="R812">
        <v>14.2</v>
      </c>
      <c r="S812" s="2">
        <v>0.04</v>
      </c>
      <c r="T812" s="3">
        <v>2.4458333333333333</v>
      </c>
      <c r="U812" s="2">
        <v>0.34</v>
      </c>
      <c r="V812" t="s">
        <v>1813</v>
      </c>
      <c r="W812" t="s">
        <v>1814</v>
      </c>
      <c r="X812" t="b">
        <v>0</v>
      </c>
      <c r="Y812" t="b">
        <v>0</v>
      </c>
    </row>
    <row r="813" spans="1:25">
      <c r="A813">
        <v>8120</v>
      </c>
      <c r="B813" t="s">
        <v>1799</v>
      </c>
      <c r="C813" t="s">
        <v>1815</v>
      </c>
      <c r="D813" t="s">
        <v>1801</v>
      </c>
      <c r="E813">
        <v>8120</v>
      </c>
      <c r="F813">
        <v>23.6</v>
      </c>
      <c r="G813">
        <v>1103</v>
      </c>
      <c r="H813">
        <v>14</v>
      </c>
      <c r="I813">
        <v>1204</v>
      </c>
      <c r="J813">
        <v>62.3</v>
      </c>
      <c r="K813">
        <v>725</v>
      </c>
      <c r="L813">
        <v>20</v>
      </c>
      <c r="M813">
        <v>1528</v>
      </c>
      <c r="N813">
        <v>31.1</v>
      </c>
      <c r="O813">
        <v>1459</v>
      </c>
      <c r="P813" t="s">
        <v>528</v>
      </c>
      <c r="Q813" s="1">
        <v>30989</v>
      </c>
      <c r="R813">
        <v>17.100000000000001</v>
      </c>
      <c r="S813" s="2">
        <v>7.0000000000000007E-2</v>
      </c>
      <c r="T813" s="3">
        <v>2.2000000000000002</v>
      </c>
      <c r="U813" s="2">
        <v>0.34</v>
      </c>
      <c r="V813" t="s">
        <v>1815</v>
      </c>
      <c r="W813" t="s">
        <v>1816</v>
      </c>
      <c r="X813" t="b">
        <v>0</v>
      </c>
      <c r="Y813" t="b">
        <v>0</v>
      </c>
    </row>
    <row r="814" spans="1:25">
      <c r="A814">
        <v>8130</v>
      </c>
      <c r="B814" t="s">
        <v>1799</v>
      </c>
      <c r="C814" t="s">
        <v>1817</v>
      </c>
      <c r="D814" t="s">
        <v>1801</v>
      </c>
      <c r="E814">
        <v>8130</v>
      </c>
      <c r="F814">
        <v>28.4</v>
      </c>
      <c r="G814">
        <v>780</v>
      </c>
      <c r="H814">
        <v>20.5</v>
      </c>
      <c r="I814">
        <v>787</v>
      </c>
      <c r="J814">
        <v>60.8</v>
      </c>
      <c r="K814">
        <v>763</v>
      </c>
      <c r="L814">
        <v>41.1</v>
      </c>
      <c r="M814">
        <v>953</v>
      </c>
      <c r="N814">
        <v>36.9</v>
      </c>
      <c r="O814">
        <v>1246</v>
      </c>
      <c r="P814" t="s">
        <v>528</v>
      </c>
      <c r="Q814" s="1">
        <v>22085</v>
      </c>
      <c r="R814">
        <v>11.8</v>
      </c>
      <c r="S814" s="2">
        <v>0.05</v>
      </c>
      <c r="U814" s="2">
        <v>0.42</v>
      </c>
      <c r="V814" t="s">
        <v>1817</v>
      </c>
      <c r="W814" t="s">
        <v>1818</v>
      </c>
      <c r="X814" t="b">
        <v>0</v>
      </c>
      <c r="Y814" t="b">
        <v>0</v>
      </c>
    </row>
    <row r="815" spans="1:25">
      <c r="A815">
        <v>8140</v>
      </c>
      <c r="B815" t="s">
        <v>1799</v>
      </c>
      <c r="C815" t="s">
        <v>1819</v>
      </c>
      <c r="D815" t="s">
        <v>1801</v>
      </c>
      <c r="E815">
        <v>8140</v>
      </c>
      <c r="F815">
        <v>24.4</v>
      </c>
      <c r="G815">
        <v>1048</v>
      </c>
      <c r="H815">
        <v>19.600000000000001</v>
      </c>
      <c r="I815">
        <v>831</v>
      </c>
      <c r="J815">
        <v>48.4</v>
      </c>
      <c r="K815">
        <v>1047</v>
      </c>
      <c r="L815">
        <v>28.5</v>
      </c>
      <c r="M815">
        <v>1218</v>
      </c>
      <c r="N815">
        <v>60.8</v>
      </c>
      <c r="O815">
        <v>567</v>
      </c>
      <c r="P815" t="s">
        <v>1820</v>
      </c>
      <c r="Q815" s="1">
        <v>15951</v>
      </c>
      <c r="R815">
        <v>13.5</v>
      </c>
      <c r="S815" s="2">
        <v>0.02</v>
      </c>
      <c r="T815" s="3">
        <v>1.9131944444444444</v>
      </c>
      <c r="U815" s="2">
        <v>0.36</v>
      </c>
      <c r="V815" t="s">
        <v>1819</v>
      </c>
      <c r="W815" t="s">
        <v>1821</v>
      </c>
      <c r="X815" t="b">
        <v>0</v>
      </c>
      <c r="Y815" t="b">
        <v>0</v>
      </c>
    </row>
    <row r="816" spans="1:25">
      <c r="A816">
        <v>8150</v>
      </c>
      <c r="B816" t="s">
        <v>1799</v>
      </c>
      <c r="C816" t="s">
        <v>1822</v>
      </c>
      <c r="D816" t="s">
        <v>1801</v>
      </c>
      <c r="E816">
        <v>8150</v>
      </c>
      <c r="F816">
        <v>31.7</v>
      </c>
      <c r="G816">
        <v>602</v>
      </c>
      <c r="H816">
        <v>10.199999999999999</v>
      </c>
      <c r="I816">
        <v>1623</v>
      </c>
      <c r="J816">
        <v>66.400000000000006</v>
      </c>
      <c r="K816">
        <v>640</v>
      </c>
      <c r="L816">
        <v>18.899999999999999</v>
      </c>
      <c r="M816">
        <v>1596</v>
      </c>
      <c r="N816">
        <v>21.2</v>
      </c>
      <c r="O816">
        <v>1836</v>
      </c>
      <c r="P816" t="s">
        <v>795</v>
      </c>
      <c r="Q816" s="1">
        <v>3545</v>
      </c>
      <c r="R816">
        <v>7.4</v>
      </c>
      <c r="S816" s="2">
        <v>0.02</v>
      </c>
      <c r="T816" s="3">
        <v>2.3229166666666665</v>
      </c>
      <c r="U816" s="2">
        <v>7.0000000000000007E-2</v>
      </c>
      <c r="V816" t="s">
        <v>1822</v>
      </c>
      <c r="W816" t="s">
        <v>1823</v>
      </c>
      <c r="X816" t="b">
        <v>0</v>
      </c>
      <c r="Y816" t="b">
        <v>0</v>
      </c>
    </row>
    <row r="817" spans="1:25">
      <c r="A817">
        <v>8160</v>
      </c>
      <c r="B817" t="s">
        <v>1799</v>
      </c>
      <c r="C817" t="s">
        <v>1824</v>
      </c>
      <c r="D817" t="s">
        <v>1801</v>
      </c>
      <c r="E817">
        <v>8160</v>
      </c>
      <c r="F817">
        <v>22.3</v>
      </c>
      <c r="G817">
        <v>1201</v>
      </c>
      <c r="H817">
        <v>16.8</v>
      </c>
      <c r="I817">
        <v>981</v>
      </c>
      <c r="J817">
        <v>66.3</v>
      </c>
      <c r="K817">
        <v>642</v>
      </c>
      <c r="L817">
        <v>52.7</v>
      </c>
      <c r="M817">
        <v>759</v>
      </c>
      <c r="N817">
        <v>38.1</v>
      </c>
      <c r="O817">
        <v>1187</v>
      </c>
      <c r="P817" t="s">
        <v>1220</v>
      </c>
      <c r="Q817" s="1">
        <v>49654</v>
      </c>
      <c r="R817">
        <v>18.2</v>
      </c>
      <c r="S817" s="2">
        <v>0.05</v>
      </c>
      <c r="T817" s="3">
        <v>2.4458333333333333</v>
      </c>
      <c r="U817" s="2">
        <v>0.28000000000000003</v>
      </c>
      <c r="V817" t="s">
        <v>1824</v>
      </c>
      <c r="W817" t="s">
        <v>1825</v>
      </c>
      <c r="X817" t="b">
        <v>0</v>
      </c>
      <c r="Y817" t="b">
        <v>0</v>
      </c>
    </row>
    <row r="818" spans="1:25">
      <c r="A818">
        <v>8170</v>
      </c>
      <c r="B818" t="s">
        <v>1799</v>
      </c>
      <c r="C818" t="s">
        <v>1826</v>
      </c>
      <c r="D818" t="s">
        <v>1801</v>
      </c>
      <c r="E818">
        <v>8170</v>
      </c>
      <c r="F818">
        <v>31.1</v>
      </c>
      <c r="G818">
        <v>636</v>
      </c>
      <c r="H818">
        <v>19.5</v>
      </c>
      <c r="I818">
        <v>838</v>
      </c>
      <c r="J818">
        <v>35.200000000000003</v>
      </c>
      <c r="K818">
        <v>1320</v>
      </c>
      <c r="L818">
        <v>67.7</v>
      </c>
      <c r="M818">
        <v>486</v>
      </c>
      <c r="N818">
        <v>67</v>
      </c>
      <c r="O818">
        <v>446</v>
      </c>
      <c r="P818" t="s">
        <v>125</v>
      </c>
      <c r="Q818" s="1">
        <v>5970</v>
      </c>
      <c r="R818">
        <v>16.3</v>
      </c>
      <c r="S818" s="2">
        <v>0.12</v>
      </c>
      <c r="T818">
        <v>0.80694444444444446</v>
      </c>
      <c r="U818" s="2">
        <v>0.41</v>
      </c>
      <c r="V818" t="s">
        <v>1826</v>
      </c>
      <c r="W818" t="s">
        <v>1827</v>
      </c>
      <c r="X818" t="b">
        <v>0</v>
      </c>
      <c r="Y818" t="b">
        <v>0</v>
      </c>
    </row>
    <row r="819" spans="1:25">
      <c r="A819">
        <v>8180</v>
      </c>
      <c r="B819" t="s">
        <v>1799</v>
      </c>
      <c r="C819" t="s">
        <v>1828</v>
      </c>
      <c r="D819" t="s">
        <v>1801</v>
      </c>
      <c r="E819">
        <v>8180</v>
      </c>
      <c r="F819">
        <v>16.7</v>
      </c>
      <c r="G819">
        <v>1650</v>
      </c>
      <c r="H819">
        <v>12.1</v>
      </c>
      <c r="I819">
        <v>1397</v>
      </c>
      <c r="J819">
        <v>75.599999999999994</v>
      </c>
      <c r="K819">
        <v>428</v>
      </c>
      <c r="L819">
        <v>18.399999999999999</v>
      </c>
      <c r="M819">
        <v>1633</v>
      </c>
      <c r="N819">
        <v>50.4</v>
      </c>
      <c r="O819">
        <v>793</v>
      </c>
      <c r="P819" t="s">
        <v>1483</v>
      </c>
      <c r="Q819" s="1">
        <v>35992</v>
      </c>
      <c r="R819">
        <v>45.4</v>
      </c>
      <c r="S819" s="2">
        <v>0.01</v>
      </c>
      <c r="T819" s="3">
        <v>2.1590277777777778</v>
      </c>
      <c r="U819" s="2">
        <v>0.31</v>
      </c>
      <c r="V819" t="s">
        <v>1828</v>
      </c>
      <c r="W819" t="s">
        <v>1829</v>
      </c>
      <c r="X819" t="b">
        <v>0</v>
      </c>
      <c r="Y819" t="b">
        <v>0</v>
      </c>
    </row>
    <row r="820" spans="1:25">
      <c r="A820">
        <v>8190</v>
      </c>
      <c r="B820" t="s">
        <v>1799</v>
      </c>
      <c r="C820" t="s">
        <v>1830</v>
      </c>
      <c r="D820" t="s">
        <v>1801</v>
      </c>
      <c r="E820">
        <v>8190</v>
      </c>
      <c r="F820">
        <v>18.100000000000001</v>
      </c>
      <c r="G820">
        <v>1539</v>
      </c>
      <c r="H820">
        <v>23.6</v>
      </c>
      <c r="I820">
        <v>668</v>
      </c>
      <c r="J820">
        <v>53.3</v>
      </c>
      <c r="K820">
        <v>939</v>
      </c>
      <c r="L820">
        <v>57.8</v>
      </c>
      <c r="M820">
        <v>685</v>
      </c>
      <c r="N820">
        <v>44.5</v>
      </c>
      <c r="O820">
        <v>975</v>
      </c>
      <c r="P820" t="s">
        <v>1220</v>
      </c>
      <c r="Q820" s="1">
        <v>10477</v>
      </c>
      <c r="R820">
        <v>53.7</v>
      </c>
      <c r="S820" s="2">
        <v>0.05</v>
      </c>
      <c r="T820" s="3">
        <v>1.9131944444444444</v>
      </c>
      <c r="U820" s="2">
        <v>0.32</v>
      </c>
      <c r="V820" t="s">
        <v>1830</v>
      </c>
      <c r="W820" t="s">
        <v>1831</v>
      </c>
      <c r="X820" t="b">
        <v>0</v>
      </c>
      <c r="Y820" t="b">
        <v>0</v>
      </c>
    </row>
    <row r="821" spans="1:25">
      <c r="A821">
        <v>8200</v>
      </c>
      <c r="B821" t="s">
        <v>1799</v>
      </c>
      <c r="C821" t="s">
        <v>1832</v>
      </c>
      <c r="D821" t="s">
        <v>1801</v>
      </c>
      <c r="E821">
        <v>8200</v>
      </c>
      <c r="F821">
        <v>19.5</v>
      </c>
      <c r="G821">
        <v>1418</v>
      </c>
      <c r="H821">
        <v>24.4</v>
      </c>
      <c r="I821">
        <v>632</v>
      </c>
      <c r="J821">
        <v>59.4</v>
      </c>
      <c r="K821">
        <v>794</v>
      </c>
      <c r="L821">
        <v>39.6</v>
      </c>
      <c r="M821">
        <v>988</v>
      </c>
      <c r="N821">
        <v>61.2</v>
      </c>
      <c r="O821">
        <v>557</v>
      </c>
      <c r="P821" t="s">
        <v>895</v>
      </c>
      <c r="Q821" s="1">
        <v>18795</v>
      </c>
      <c r="R821">
        <v>47.9</v>
      </c>
      <c r="S821" s="2">
        <v>0.22</v>
      </c>
      <c r="T821" s="3">
        <v>2.1180555555555554</v>
      </c>
      <c r="U821" s="2">
        <v>0.27</v>
      </c>
      <c r="V821" t="s">
        <v>1832</v>
      </c>
      <c r="W821" t="s">
        <v>1833</v>
      </c>
      <c r="X821" t="b">
        <v>0</v>
      </c>
      <c r="Y821" t="b">
        <v>0</v>
      </c>
    </row>
    <row r="822" spans="1:25">
      <c r="A822">
        <v>8210</v>
      </c>
      <c r="B822" t="s">
        <v>1799</v>
      </c>
      <c r="C822" t="s">
        <v>1834</v>
      </c>
      <c r="D822" t="s">
        <v>1801</v>
      </c>
      <c r="E822">
        <v>8210</v>
      </c>
      <c r="F822">
        <v>14.2</v>
      </c>
      <c r="G822">
        <v>1792</v>
      </c>
      <c r="H822">
        <v>9.6999999999999993</v>
      </c>
      <c r="I822">
        <v>1683</v>
      </c>
      <c r="J822">
        <v>77.3</v>
      </c>
      <c r="K822">
        <v>387</v>
      </c>
      <c r="L822">
        <v>16.2</v>
      </c>
      <c r="M822">
        <v>1835</v>
      </c>
      <c r="N822">
        <v>48.7</v>
      </c>
      <c r="O822">
        <v>842</v>
      </c>
      <c r="P822" t="s">
        <v>1102</v>
      </c>
      <c r="Q822" s="1">
        <v>20224</v>
      </c>
      <c r="R822">
        <v>20.3</v>
      </c>
      <c r="S822" s="2">
        <v>0.01</v>
      </c>
      <c r="T822" s="3">
        <v>1.9131944444444444</v>
      </c>
      <c r="U822" s="2">
        <v>0.36</v>
      </c>
      <c r="V822" t="s">
        <v>1834</v>
      </c>
      <c r="W822" t="s">
        <v>1835</v>
      </c>
      <c r="X822" t="b">
        <v>0</v>
      </c>
      <c r="Y822" t="b">
        <v>0</v>
      </c>
    </row>
    <row r="823" spans="1:25">
      <c r="A823">
        <v>8220</v>
      </c>
      <c r="B823" t="s">
        <v>1799</v>
      </c>
      <c r="C823" t="s">
        <v>1836</v>
      </c>
      <c r="D823" t="s">
        <v>1801</v>
      </c>
      <c r="E823">
        <v>8220</v>
      </c>
      <c r="F823">
        <v>26.8</v>
      </c>
      <c r="G823">
        <v>883</v>
      </c>
      <c r="H823">
        <v>15.1</v>
      </c>
      <c r="I823">
        <v>1111</v>
      </c>
      <c r="J823">
        <v>56.4</v>
      </c>
      <c r="K823">
        <v>860</v>
      </c>
      <c r="L823">
        <v>32</v>
      </c>
      <c r="M823">
        <v>1143</v>
      </c>
      <c r="N823">
        <v>58.1</v>
      </c>
      <c r="O823">
        <v>622</v>
      </c>
      <c r="P823" t="s">
        <v>386</v>
      </c>
      <c r="Q823" s="1">
        <v>12276</v>
      </c>
      <c r="R823">
        <v>9.4</v>
      </c>
      <c r="S823" s="2">
        <v>0.08</v>
      </c>
      <c r="T823" s="3">
        <v>2.5277777777777777</v>
      </c>
      <c r="U823" s="2">
        <v>0.32</v>
      </c>
      <c r="V823" t="s">
        <v>1836</v>
      </c>
      <c r="W823" t="s">
        <v>1837</v>
      </c>
      <c r="X823" t="b">
        <v>0</v>
      </c>
      <c r="Y823" t="b">
        <v>0</v>
      </c>
    </row>
    <row r="824" spans="1:25">
      <c r="A824">
        <v>8230</v>
      </c>
      <c r="B824" t="s">
        <v>1799</v>
      </c>
      <c r="C824" t="s">
        <v>1838</v>
      </c>
      <c r="D824" t="s">
        <v>1801</v>
      </c>
      <c r="E824">
        <v>8230</v>
      </c>
      <c r="F824">
        <v>21.3</v>
      </c>
      <c r="G824">
        <v>1280</v>
      </c>
      <c r="H824">
        <v>27</v>
      </c>
      <c r="I824">
        <v>541</v>
      </c>
      <c r="J824">
        <v>49.4</v>
      </c>
      <c r="K824">
        <v>1032</v>
      </c>
      <c r="L824">
        <v>34</v>
      </c>
      <c r="M824">
        <v>1110</v>
      </c>
      <c r="N824">
        <v>42.3</v>
      </c>
      <c r="O824">
        <v>1040</v>
      </c>
      <c r="P824" t="s">
        <v>1839</v>
      </c>
      <c r="Q824" s="1">
        <v>91494</v>
      </c>
      <c r="R824">
        <v>18.2</v>
      </c>
      <c r="S824" s="2">
        <v>0.05</v>
      </c>
      <c r="T824" s="3">
        <v>2.6097222222222221</v>
      </c>
      <c r="U824" s="2">
        <v>0.28999999999999998</v>
      </c>
      <c r="V824" t="s">
        <v>1838</v>
      </c>
      <c r="W824" t="s">
        <v>1840</v>
      </c>
      <c r="X824" t="b">
        <v>0</v>
      </c>
      <c r="Y824" t="b">
        <v>0</v>
      </c>
    </row>
    <row r="825" spans="1:25">
      <c r="A825">
        <v>8240</v>
      </c>
      <c r="B825" t="s">
        <v>1799</v>
      </c>
      <c r="C825" t="s">
        <v>1841</v>
      </c>
      <c r="D825" t="s">
        <v>1801</v>
      </c>
      <c r="E825">
        <v>8240</v>
      </c>
      <c r="F825">
        <v>19.399999999999999</v>
      </c>
      <c r="G825">
        <v>1429</v>
      </c>
      <c r="H825">
        <v>21.2</v>
      </c>
      <c r="I825">
        <v>759</v>
      </c>
      <c r="J825">
        <v>59.6</v>
      </c>
      <c r="K825">
        <v>792</v>
      </c>
      <c r="L825">
        <v>33.299999999999997</v>
      </c>
      <c r="M825">
        <v>1126</v>
      </c>
      <c r="N825">
        <v>37.5</v>
      </c>
      <c r="O825">
        <v>1219</v>
      </c>
      <c r="P825" t="s">
        <v>397</v>
      </c>
      <c r="Q825" s="1">
        <v>21846</v>
      </c>
      <c r="R825">
        <v>54.8</v>
      </c>
      <c r="S825" s="2">
        <v>7.0000000000000007E-2</v>
      </c>
      <c r="T825" s="3">
        <v>2.6506944444444445</v>
      </c>
      <c r="U825" s="2">
        <v>0.36</v>
      </c>
      <c r="V825" t="s">
        <v>1841</v>
      </c>
      <c r="W825" t="s">
        <v>1842</v>
      </c>
      <c r="X825" t="b">
        <v>0</v>
      </c>
      <c r="Y825" t="b">
        <v>0</v>
      </c>
    </row>
    <row r="826" spans="1:25">
      <c r="A826">
        <v>8250</v>
      </c>
      <c r="B826" t="s">
        <v>1799</v>
      </c>
      <c r="C826" t="s">
        <v>1843</v>
      </c>
      <c r="D826" t="s">
        <v>1801</v>
      </c>
      <c r="E826">
        <v>8250</v>
      </c>
      <c r="F826">
        <v>23.7</v>
      </c>
      <c r="G826">
        <v>1099</v>
      </c>
      <c r="H826">
        <v>17</v>
      </c>
      <c r="I826">
        <v>972</v>
      </c>
      <c r="J826">
        <v>67.400000000000006</v>
      </c>
      <c r="K826">
        <v>613</v>
      </c>
      <c r="L826">
        <v>31.7</v>
      </c>
      <c r="M826">
        <v>1147</v>
      </c>
      <c r="N826">
        <v>25.1</v>
      </c>
      <c r="O826">
        <v>1703</v>
      </c>
      <c r="P826" t="s">
        <v>528</v>
      </c>
      <c r="Q826" s="1">
        <v>16339</v>
      </c>
      <c r="R826">
        <v>16.2</v>
      </c>
      <c r="S826" s="2">
        <v>0.02</v>
      </c>
      <c r="T826">
        <v>0.88888888888888884</v>
      </c>
      <c r="U826" s="2">
        <v>0.43</v>
      </c>
      <c r="V826" t="s">
        <v>1843</v>
      </c>
      <c r="W826" t="s">
        <v>1844</v>
      </c>
      <c r="X826" t="b">
        <v>0</v>
      </c>
      <c r="Y826" t="b">
        <v>0</v>
      </c>
    </row>
    <row r="827" spans="1:25">
      <c r="A827">
        <v>8260</v>
      </c>
      <c r="B827" t="s">
        <v>1799</v>
      </c>
      <c r="C827" t="s">
        <v>1845</v>
      </c>
      <c r="D827" t="s">
        <v>1801</v>
      </c>
      <c r="E827">
        <v>8260</v>
      </c>
      <c r="F827">
        <v>14.8</v>
      </c>
      <c r="G827">
        <v>1766</v>
      </c>
      <c r="H827">
        <v>12.3</v>
      </c>
      <c r="I827">
        <v>1375</v>
      </c>
      <c r="J827">
        <v>71.099999999999994</v>
      </c>
      <c r="K827">
        <v>534</v>
      </c>
      <c r="L827">
        <v>15.7</v>
      </c>
      <c r="M827">
        <v>1896</v>
      </c>
      <c r="N827">
        <v>42.2</v>
      </c>
      <c r="O827">
        <v>1046</v>
      </c>
      <c r="P827" t="s">
        <v>1846</v>
      </c>
      <c r="Q827" s="1">
        <v>13027</v>
      </c>
      <c r="R827">
        <v>16.899999999999999</v>
      </c>
      <c r="S827" s="2">
        <v>0.01</v>
      </c>
      <c r="T827" s="3">
        <v>1.83125</v>
      </c>
      <c r="U827" s="2">
        <v>0.27</v>
      </c>
      <c r="V827" t="s">
        <v>1845</v>
      </c>
      <c r="W827" t="s">
        <v>1847</v>
      </c>
      <c r="X827" t="b">
        <v>0</v>
      </c>
      <c r="Y827" t="b">
        <v>0</v>
      </c>
    </row>
    <row r="828" spans="1:25">
      <c r="A828">
        <v>8270</v>
      </c>
      <c r="B828" t="s">
        <v>1799</v>
      </c>
      <c r="C828" t="s">
        <v>1848</v>
      </c>
      <c r="D828" t="s">
        <v>1801</v>
      </c>
      <c r="E828">
        <v>8270</v>
      </c>
      <c r="F828">
        <v>20.3</v>
      </c>
      <c r="G828">
        <v>1347</v>
      </c>
      <c r="H828">
        <v>19.600000000000001</v>
      </c>
      <c r="I828">
        <v>832</v>
      </c>
      <c r="J828">
        <v>52</v>
      </c>
      <c r="K828">
        <v>961</v>
      </c>
      <c r="L828">
        <v>47.8</v>
      </c>
      <c r="M828">
        <v>848</v>
      </c>
      <c r="N828">
        <v>60.5</v>
      </c>
      <c r="O828">
        <v>575</v>
      </c>
      <c r="P828" t="s">
        <v>125</v>
      </c>
      <c r="Q828" s="1">
        <v>23163</v>
      </c>
      <c r="R828">
        <v>33.1</v>
      </c>
      <c r="S828" s="2">
        <v>0.11</v>
      </c>
      <c r="T828" s="3">
        <v>2.4868055555555557</v>
      </c>
      <c r="U828" s="2">
        <v>0.33</v>
      </c>
      <c r="V828" t="s">
        <v>1848</v>
      </c>
      <c r="W828" t="s">
        <v>1849</v>
      </c>
      <c r="X828" t="b">
        <v>0</v>
      </c>
      <c r="Y828" t="b">
        <v>0</v>
      </c>
    </row>
    <row r="829" spans="1:25">
      <c r="A829">
        <v>8280</v>
      </c>
      <c r="B829" t="s">
        <v>1799</v>
      </c>
      <c r="C829" t="s">
        <v>1850</v>
      </c>
      <c r="D829" t="s">
        <v>1801</v>
      </c>
      <c r="E829">
        <v>8280</v>
      </c>
      <c r="F829">
        <v>19.8</v>
      </c>
      <c r="G829">
        <v>1388</v>
      </c>
      <c r="H829">
        <v>16.5</v>
      </c>
      <c r="I829">
        <v>1005</v>
      </c>
      <c r="J829">
        <v>53.9</v>
      </c>
      <c r="K829">
        <v>918</v>
      </c>
      <c r="L829">
        <v>60.9</v>
      </c>
      <c r="M829">
        <v>628</v>
      </c>
      <c r="N829">
        <v>84.4</v>
      </c>
      <c r="O829">
        <v>197</v>
      </c>
      <c r="P829" t="s">
        <v>26</v>
      </c>
      <c r="Q829" s="1">
        <v>14525</v>
      </c>
      <c r="R829">
        <v>18</v>
      </c>
      <c r="S829" s="2">
        <v>0.22</v>
      </c>
      <c r="T829" s="3">
        <v>2.5277777777777777</v>
      </c>
      <c r="U829" s="2">
        <v>0.16</v>
      </c>
      <c r="V829" t="s">
        <v>1850</v>
      </c>
      <c r="W829" t="s">
        <v>1851</v>
      </c>
      <c r="X829" t="b">
        <v>0</v>
      </c>
      <c r="Y829" t="b">
        <v>0</v>
      </c>
    </row>
    <row r="830" spans="1:25">
      <c r="A830">
        <v>8290</v>
      </c>
      <c r="B830" t="s">
        <v>1799</v>
      </c>
      <c r="C830" t="s">
        <v>1852</v>
      </c>
      <c r="D830" t="s">
        <v>1801</v>
      </c>
      <c r="E830">
        <v>8290</v>
      </c>
      <c r="F830">
        <v>19.7</v>
      </c>
      <c r="G830">
        <v>1398</v>
      </c>
      <c r="H830">
        <v>11.6</v>
      </c>
      <c r="I830">
        <v>1452</v>
      </c>
      <c r="J830">
        <v>75.900000000000006</v>
      </c>
      <c r="K830">
        <v>419</v>
      </c>
      <c r="L830">
        <v>20.8</v>
      </c>
      <c r="M830">
        <v>1494</v>
      </c>
      <c r="N830">
        <v>27.8</v>
      </c>
      <c r="O830">
        <v>1587</v>
      </c>
      <c r="P830" t="s">
        <v>1853</v>
      </c>
      <c r="Q830" s="1">
        <v>23419</v>
      </c>
      <c r="R830">
        <v>16.3</v>
      </c>
      <c r="S830" s="2">
        <v>0.04</v>
      </c>
      <c r="T830" s="3">
        <v>2.6097222222222221</v>
      </c>
      <c r="U830" s="2">
        <v>0.2</v>
      </c>
      <c r="V830" t="s">
        <v>1852</v>
      </c>
      <c r="W830" t="s">
        <v>1854</v>
      </c>
      <c r="X830" t="b">
        <v>0</v>
      </c>
      <c r="Y830" t="b">
        <v>0</v>
      </c>
    </row>
    <row r="831" spans="1:25">
      <c r="A831">
        <v>8300</v>
      </c>
      <c r="B831" t="s">
        <v>1799</v>
      </c>
      <c r="C831" t="s">
        <v>1855</v>
      </c>
      <c r="D831" t="s">
        <v>1801</v>
      </c>
      <c r="E831">
        <v>8300</v>
      </c>
      <c r="F831">
        <v>25</v>
      </c>
      <c r="G831">
        <v>1004</v>
      </c>
      <c r="H831">
        <v>18.5</v>
      </c>
      <c r="I831">
        <v>888</v>
      </c>
      <c r="J831">
        <v>59.9</v>
      </c>
      <c r="K831">
        <v>786</v>
      </c>
      <c r="L831">
        <v>39.200000000000003</v>
      </c>
      <c r="M831">
        <v>1000</v>
      </c>
      <c r="N831">
        <v>45.4</v>
      </c>
      <c r="O831">
        <v>947</v>
      </c>
      <c r="P831" t="s">
        <v>1483</v>
      </c>
      <c r="Q831" s="1">
        <v>202915</v>
      </c>
      <c r="R831">
        <v>30.9</v>
      </c>
      <c r="S831" s="2">
        <v>0.05</v>
      </c>
      <c r="T831" s="3">
        <v>2.5277777777777777</v>
      </c>
      <c r="U831" s="2">
        <v>0.22</v>
      </c>
      <c r="V831" t="s">
        <v>1855</v>
      </c>
      <c r="W831" t="s">
        <v>1856</v>
      </c>
      <c r="X831" t="b">
        <v>0</v>
      </c>
      <c r="Y831" t="b">
        <v>0</v>
      </c>
    </row>
    <row r="832" spans="1:25">
      <c r="A832">
        <v>8310</v>
      </c>
      <c r="B832" t="s">
        <v>1799</v>
      </c>
      <c r="C832" t="s">
        <v>1857</v>
      </c>
      <c r="D832" t="s">
        <v>1801</v>
      </c>
      <c r="E832">
        <v>8310</v>
      </c>
      <c r="F832">
        <v>18</v>
      </c>
      <c r="G832">
        <v>1548</v>
      </c>
      <c r="H832">
        <v>17.600000000000001</v>
      </c>
      <c r="I832">
        <v>936</v>
      </c>
      <c r="J832">
        <v>58.6</v>
      </c>
      <c r="K832">
        <v>810</v>
      </c>
      <c r="L832">
        <v>60</v>
      </c>
      <c r="M832">
        <v>647</v>
      </c>
      <c r="N832">
        <v>53</v>
      </c>
      <c r="O832">
        <v>711</v>
      </c>
      <c r="P832" t="s">
        <v>397</v>
      </c>
      <c r="Q832" s="1">
        <v>8586</v>
      </c>
      <c r="R832">
        <v>30.1</v>
      </c>
      <c r="S832" s="2">
        <v>0.09</v>
      </c>
      <c r="T832" s="3">
        <v>2.2000000000000002</v>
      </c>
      <c r="U832" s="2">
        <v>0.28999999999999998</v>
      </c>
      <c r="V832" t="s">
        <v>1857</v>
      </c>
      <c r="W832" t="s">
        <v>1858</v>
      </c>
      <c r="X832" t="b">
        <v>0</v>
      </c>
      <c r="Y832" t="b">
        <v>0</v>
      </c>
    </row>
    <row r="833" spans="1:25">
      <c r="A833">
        <v>8320</v>
      </c>
      <c r="B833" t="s">
        <v>1799</v>
      </c>
      <c r="C833" t="s">
        <v>1859</v>
      </c>
      <c r="D833" t="s">
        <v>1801</v>
      </c>
      <c r="E833">
        <v>8320</v>
      </c>
      <c r="F833">
        <v>29.5</v>
      </c>
      <c r="G833">
        <v>721</v>
      </c>
      <c r="H833">
        <v>20.8</v>
      </c>
      <c r="I833">
        <v>780</v>
      </c>
      <c r="J833">
        <v>42.9</v>
      </c>
      <c r="K833">
        <v>1169</v>
      </c>
      <c r="L833">
        <v>66.900000000000006</v>
      </c>
      <c r="M833">
        <v>501</v>
      </c>
      <c r="N833">
        <v>60</v>
      </c>
      <c r="O833">
        <v>583</v>
      </c>
      <c r="P833" t="s">
        <v>386</v>
      </c>
      <c r="Q833" s="1">
        <v>18722</v>
      </c>
      <c r="R833">
        <v>11.2</v>
      </c>
      <c r="S833" s="2">
        <v>0.12</v>
      </c>
      <c r="T833" s="3">
        <v>1.9951388888888888</v>
      </c>
      <c r="U833" s="2">
        <v>0.41</v>
      </c>
      <c r="V833" t="s">
        <v>1859</v>
      </c>
      <c r="W833" t="s">
        <v>1860</v>
      </c>
      <c r="X833" t="b">
        <v>0</v>
      </c>
      <c r="Y833" t="b">
        <v>0</v>
      </c>
    </row>
    <row r="834" spans="1:25">
      <c r="A834">
        <v>8330</v>
      </c>
      <c r="B834" t="s">
        <v>1799</v>
      </c>
      <c r="C834" t="s">
        <v>1861</v>
      </c>
      <c r="D834" t="s">
        <v>1801</v>
      </c>
      <c r="E834">
        <v>8330</v>
      </c>
      <c r="F834">
        <v>24.2</v>
      </c>
      <c r="G834">
        <v>1067</v>
      </c>
      <c r="H834">
        <v>17.2</v>
      </c>
      <c r="I834">
        <v>955</v>
      </c>
      <c r="J834">
        <v>53.7</v>
      </c>
      <c r="K834">
        <v>927</v>
      </c>
      <c r="L834">
        <v>46.3</v>
      </c>
      <c r="M834">
        <v>876</v>
      </c>
      <c r="N834">
        <v>42</v>
      </c>
      <c r="O834">
        <v>1051</v>
      </c>
      <c r="P834" t="s">
        <v>386</v>
      </c>
      <c r="Q834" s="1">
        <v>23045</v>
      </c>
      <c r="R834">
        <v>12.8</v>
      </c>
      <c r="S834" s="2">
        <v>7.0000000000000007E-2</v>
      </c>
      <c r="T834" s="3">
        <v>2.4048611111111109</v>
      </c>
      <c r="U834" s="2">
        <v>0.3</v>
      </c>
      <c r="V834" t="s">
        <v>1861</v>
      </c>
      <c r="W834" t="s">
        <v>1862</v>
      </c>
      <c r="X834" t="b">
        <v>0</v>
      </c>
      <c r="Y834" t="b">
        <v>0</v>
      </c>
    </row>
    <row r="835" spans="1:25">
      <c r="A835">
        <v>8340</v>
      </c>
      <c r="B835" t="s">
        <v>1799</v>
      </c>
      <c r="C835" t="s">
        <v>1863</v>
      </c>
      <c r="D835" t="s">
        <v>1801</v>
      </c>
      <c r="E835">
        <v>8340</v>
      </c>
      <c r="F835">
        <v>19.600000000000001</v>
      </c>
      <c r="G835">
        <v>1411</v>
      </c>
      <c r="H835">
        <v>18.7</v>
      </c>
      <c r="I835">
        <v>881</v>
      </c>
      <c r="J835">
        <v>64.400000000000006</v>
      </c>
      <c r="K835">
        <v>685</v>
      </c>
      <c r="L835">
        <v>25.6</v>
      </c>
      <c r="M835">
        <v>1311</v>
      </c>
      <c r="N835">
        <v>55.7</v>
      </c>
      <c r="O835">
        <v>666</v>
      </c>
      <c r="P835" t="s">
        <v>992</v>
      </c>
      <c r="Q835" s="1">
        <v>11543</v>
      </c>
      <c r="R835">
        <v>22.2</v>
      </c>
      <c r="S835" s="2">
        <v>0.17</v>
      </c>
      <c r="T835" s="3">
        <v>2.6097222222222221</v>
      </c>
      <c r="U835" s="2">
        <v>0.18</v>
      </c>
      <c r="V835" t="s">
        <v>1863</v>
      </c>
      <c r="W835" t="s">
        <v>1864</v>
      </c>
      <c r="X835" t="b">
        <v>0</v>
      </c>
      <c r="Y835" t="b">
        <v>0</v>
      </c>
    </row>
    <row r="836" spans="1:25">
      <c r="A836">
        <v>8350</v>
      </c>
      <c r="B836" t="s">
        <v>1799</v>
      </c>
      <c r="C836" t="s">
        <v>1865</v>
      </c>
      <c r="D836" t="s">
        <v>1801</v>
      </c>
      <c r="E836">
        <v>8350</v>
      </c>
      <c r="F836">
        <v>16.8</v>
      </c>
      <c r="G836">
        <v>1640</v>
      </c>
      <c r="H836">
        <v>13.5</v>
      </c>
      <c r="I836">
        <v>1249</v>
      </c>
      <c r="J836">
        <v>76.5</v>
      </c>
      <c r="K836">
        <v>403</v>
      </c>
      <c r="L836">
        <v>41.6</v>
      </c>
      <c r="M836">
        <v>946</v>
      </c>
      <c r="N836">
        <v>27.9</v>
      </c>
      <c r="O836">
        <v>1580</v>
      </c>
      <c r="P836" t="s">
        <v>54</v>
      </c>
      <c r="Q836" s="1">
        <v>35014</v>
      </c>
      <c r="R836">
        <v>16</v>
      </c>
      <c r="S836" s="2">
        <v>0.01</v>
      </c>
      <c r="T836" t="s">
        <v>801</v>
      </c>
      <c r="U836" s="2">
        <v>0.48</v>
      </c>
      <c r="V836" t="s">
        <v>1865</v>
      </c>
      <c r="W836" t="s">
        <v>1866</v>
      </c>
      <c r="X836" t="b">
        <v>0</v>
      </c>
      <c r="Y836" t="b">
        <v>0</v>
      </c>
    </row>
    <row r="837" spans="1:25">
      <c r="A837">
        <v>8360</v>
      </c>
      <c r="B837" t="s">
        <v>1799</v>
      </c>
      <c r="C837" t="s">
        <v>1867</v>
      </c>
      <c r="D837" t="s">
        <v>1801</v>
      </c>
      <c r="E837">
        <v>8360</v>
      </c>
      <c r="F837">
        <v>36.9</v>
      </c>
      <c r="G837">
        <v>390</v>
      </c>
      <c r="H837">
        <v>14.7</v>
      </c>
      <c r="I837">
        <v>1145</v>
      </c>
      <c r="J837">
        <v>48.1</v>
      </c>
      <c r="K837">
        <v>1055</v>
      </c>
      <c r="L837">
        <v>59.2</v>
      </c>
      <c r="M837">
        <v>659</v>
      </c>
      <c r="N837">
        <v>46.8</v>
      </c>
      <c r="O837">
        <v>897</v>
      </c>
      <c r="P837" t="s">
        <v>29</v>
      </c>
      <c r="Q837" s="1">
        <v>9231</v>
      </c>
      <c r="R837">
        <v>12</v>
      </c>
      <c r="S837" s="2">
        <v>7.0000000000000007E-2</v>
      </c>
      <c r="T837" s="3">
        <v>2.5687500000000001</v>
      </c>
      <c r="U837" s="2">
        <v>0.22</v>
      </c>
      <c r="V837" t="s">
        <v>1867</v>
      </c>
      <c r="W837" t="s">
        <v>1868</v>
      </c>
      <c r="X837" t="b">
        <v>0</v>
      </c>
      <c r="Y837" t="b">
        <v>0</v>
      </c>
    </row>
    <row r="838" spans="1:25">
      <c r="A838">
        <v>8370</v>
      </c>
      <c r="B838" t="s">
        <v>1799</v>
      </c>
      <c r="C838" t="s">
        <v>1869</v>
      </c>
      <c r="D838" t="s">
        <v>1801</v>
      </c>
      <c r="E838">
        <v>8370</v>
      </c>
      <c r="F838">
        <v>18.5</v>
      </c>
      <c r="G838">
        <v>1502</v>
      </c>
      <c r="H838">
        <v>17.899999999999999</v>
      </c>
      <c r="I838">
        <v>925</v>
      </c>
      <c r="J838">
        <v>55.1</v>
      </c>
      <c r="K838">
        <v>885</v>
      </c>
      <c r="L838">
        <v>58</v>
      </c>
      <c r="M838">
        <v>680</v>
      </c>
      <c r="N838">
        <v>66.3</v>
      </c>
      <c r="O838">
        <v>460</v>
      </c>
      <c r="P838" t="s">
        <v>116</v>
      </c>
      <c r="Q838" s="1">
        <v>21133</v>
      </c>
      <c r="R838">
        <v>24.6</v>
      </c>
      <c r="S838" s="2">
        <v>0.13</v>
      </c>
      <c r="T838" s="3">
        <v>2.6506944444444445</v>
      </c>
      <c r="U838" s="2">
        <v>0.19</v>
      </c>
      <c r="V838" t="s">
        <v>1869</v>
      </c>
      <c r="W838" t="s">
        <v>1870</v>
      </c>
      <c r="X838" t="b">
        <v>0</v>
      </c>
      <c r="Y838" t="b">
        <v>0</v>
      </c>
    </row>
    <row r="839" spans="1:25">
      <c r="A839">
        <v>8380</v>
      </c>
      <c r="B839" t="s">
        <v>1799</v>
      </c>
      <c r="C839" t="s">
        <v>1871</v>
      </c>
      <c r="D839" t="s">
        <v>1801</v>
      </c>
      <c r="E839">
        <v>8380</v>
      </c>
      <c r="F839">
        <v>37.5</v>
      </c>
      <c r="G839">
        <v>377</v>
      </c>
      <c r="H839">
        <v>20.7</v>
      </c>
      <c r="I839">
        <v>783</v>
      </c>
      <c r="J839">
        <v>51</v>
      </c>
      <c r="K839">
        <v>996</v>
      </c>
      <c r="L839">
        <v>57.9</v>
      </c>
      <c r="M839">
        <v>683</v>
      </c>
      <c r="N839">
        <v>17.399999999999999</v>
      </c>
      <c r="O839">
        <v>1904</v>
      </c>
      <c r="P839" t="s">
        <v>528</v>
      </c>
      <c r="Q839" s="1">
        <v>2550</v>
      </c>
      <c r="R839">
        <v>17.2</v>
      </c>
      <c r="S839" s="2">
        <v>0</v>
      </c>
      <c r="T839" t="s">
        <v>105</v>
      </c>
      <c r="U839" s="2">
        <v>0.39</v>
      </c>
      <c r="V839" t="s">
        <v>1871</v>
      </c>
      <c r="W839" t="s">
        <v>1872</v>
      </c>
      <c r="X839" t="b">
        <v>0</v>
      </c>
      <c r="Y839" t="b">
        <v>0</v>
      </c>
    </row>
    <row r="840" spans="1:25">
      <c r="A840">
        <v>8390</v>
      </c>
      <c r="B840" t="s">
        <v>1799</v>
      </c>
      <c r="C840" t="s">
        <v>1873</v>
      </c>
      <c r="D840" t="s">
        <v>1801</v>
      </c>
      <c r="E840">
        <v>8390</v>
      </c>
      <c r="F840">
        <v>18.5</v>
      </c>
      <c r="G840">
        <v>1503</v>
      </c>
      <c r="H840">
        <v>14.5</v>
      </c>
      <c r="I840">
        <v>1160</v>
      </c>
      <c r="J840">
        <v>74.099999999999994</v>
      </c>
      <c r="K840">
        <v>464</v>
      </c>
      <c r="L840">
        <v>28.5</v>
      </c>
      <c r="M840">
        <v>1220</v>
      </c>
      <c r="N840">
        <v>28.2</v>
      </c>
      <c r="O840">
        <v>1570</v>
      </c>
      <c r="P840" t="s">
        <v>54</v>
      </c>
      <c r="Q840" s="1">
        <v>24154</v>
      </c>
      <c r="R840">
        <v>16.3</v>
      </c>
      <c r="S840" s="2">
        <v>0.02</v>
      </c>
      <c r="T840" s="3">
        <v>2.3229166666666665</v>
      </c>
      <c r="U840" s="2">
        <v>0.32</v>
      </c>
      <c r="V840" t="s">
        <v>1873</v>
      </c>
      <c r="W840" t="s">
        <v>1874</v>
      </c>
      <c r="X840" t="b">
        <v>0</v>
      </c>
      <c r="Y840" t="b">
        <v>0</v>
      </c>
    </row>
    <row r="841" spans="1:25">
      <c r="A841">
        <v>8400</v>
      </c>
      <c r="B841" t="s">
        <v>1799</v>
      </c>
      <c r="C841" t="s">
        <v>1875</v>
      </c>
      <c r="D841" t="s">
        <v>1801</v>
      </c>
      <c r="E841">
        <v>8400</v>
      </c>
      <c r="F841">
        <v>28.5</v>
      </c>
      <c r="G841">
        <v>773</v>
      </c>
      <c r="H841">
        <v>19.100000000000001</v>
      </c>
      <c r="I841">
        <v>859</v>
      </c>
      <c r="J841">
        <v>46.3</v>
      </c>
      <c r="K841">
        <v>1088</v>
      </c>
      <c r="L841">
        <v>58.1</v>
      </c>
      <c r="M841">
        <v>679</v>
      </c>
      <c r="N841">
        <v>39.5</v>
      </c>
      <c r="O841">
        <v>1133</v>
      </c>
      <c r="P841" t="s">
        <v>1448</v>
      </c>
      <c r="Q841" s="1">
        <v>33649</v>
      </c>
      <c r="R841">
        <v>13.6</v>
      </c>
      <c r="S841" s="2">
        <v>0.04</v>
      </c>
      <c r="T841" s="3">
        <v>2.5687500000000001</v>
      </c>
      <c r="U841" s="2">
        <v>0.22</v>
      </c>
      <c r="V841" t="s">
        <v>1875</v>
      </c>
      <c r="W841" t="s">
        <v>1876</v>
      </c>
      <c r="X841" t="b">
        <v>0</v>
      </c>
      <c r="Y841" t="b">
        <v>0</v>
      </c>
    </row>
    <row r="842" spans="1:25">
      <c r="A842">
        <v>8410</v>
      </c>
      <c r="B842" t="s">
        <v>1799</v>
      </c>
      <c r="C842" t="s">
        <v>1877</v>
      </c>
      <c r="D842" t="s">
        <v>1801</v>
      </c>
      <c r="E842">
        <v>8410</v>
      </c>
      <c r="F842">
        <v>33.200000000000003</v>
      </c>
      <c r="G842">
        <v>533</v>
      </c>
      <c r="H842">
        <v>20.9</v>
      </c>
      <c r="I842">
        <v>775</v>
      </c>
      <c r="J842">
        <v>42</v>
      </c>
      <c r="K842">
        <v>1183</v>
      </c>
      <c r="L842">
        <v>68.900000000000006</v>
      </c>
      <c r="M842">
        <v>456</v>
      </c>
      <c r="N842">
        <v>33.9</v>
      </c>
      <c r="O842">
        <v>1360</v>
      </c>
      <c r="P842" t="s">
        <v>94</v>
      </c>
      <c r="Q842" s="1">
        <v>13832</v>
      </c>
      <c r="R842">
        <v>8.9</v>
      </c>
      <c r="S842" s="2">
        <v>0.06</v>
      </c>
      <c r="T842" t="s">
        <v>696</v>
      </c>
      <c r="U842" s="2">
        <v>0.23</v>
      </c>
      <c r="V842" t="s">
        <v>1877</v>
      </c>
      <c r="W842" t="s">
        <v>1878</v>
      </c>
      <c r="X842" t="b">
        <v>0</v>
      </c>
      <c r="Y842" t="b">
        <v>0</v>
      </c>
    </row>
    <row r="843" spans="1:25">
      <c r="A843">
        <v>8420</v>
      </c>
      <c r="B843" t="s">
        <v>1799</v>
      </c>
      <c r="C843" t="s">
        <v>1879</v>
      </c>
      <c r="D843" t="s">
        <v>1801</v>
      </c>
      <c r="E843">
        <v>8420</v>
      </c>
      <c r="F843">
        <v>25.9</v>
      </c>
      <c r="G843">
        <v>943</v>
      </c>
      <c r="H843">
        <v>19.8</v>
      </c>
      <c r="I843">
        <v>824</v>
      </c>
      <c r="J843">
        <v>50.5</v>
      </c>
      <c r="K843">
        <v>1009</v>
      </c>
      <c r="L843">
        <v>57.4</v>
      </c>
      <c r="M843">
        <v>695</v>
      </c>
      <c r="N843">
        <v>52.9</v>
      </c>
      <c r="O843">
        <v>718</v>
      </c>
      <c r="P843" t="s">
        <v>1093</v>
      </c>
      <c r="Q843" s="1">
        <v>39510</v>
      </c>
      <c r="R843">
        <v>16.399999999999999</v>
      </c>
      <c r="S843" s="2">
        <v>0.05</v>
      </c>
      <c r="T843" s="3">
        <v>2.1590277777777778</v>
      </c>
      <c r="U843" s="2">
        <v>0.26</v>
      </c>
      <c r="V843" t="s">
        <v>1879</v>
      </c>
      <c r="W843" t="s">
        <v>1880</v>
      </c>
      <c r="X843" t="b">
        <v>0</v>
      </c>
      <c r="Y843" t="b">
        <v>0</v>
      </c>
    </row>
    <row r="844" spans="1:25">
      <c r="A844">
        <v>8430</v>
      </c>
      <c r="B844" t="s">
        <v>1799</v>
      </c>
      <c r="C844" t="s">
        <v>1881</v>
      </c>
      <c r="D844" t="s">
        <v>1801</v>
      </c>
      <c r="E844">
        <v>8430</v>
      </c>
      <c r="F844">
        <v>22.2</v>
      </c>
      <c r="G844">
        <v>1210</v>
      </c>
      <c r="H844">
        <v>23</v>
      </c>
      <c r="I844">
        <v>686</v>
      </c>
      <c r="J844">
        <v>54.3</v>
      </c>
      <c r="K844">
        <v>904</v>
      </c>
      <c r="L844">
        <v>68.2</v>
      </c>
      <c r="M844">
        <v>474</v>
      </c>
      <c r="N844">
        <v>23.8</v>
      </c>
      <c r="O844">
        <v>1749</v>
      </c>
      <c r="P844" t="s">
        <v>54</v>
      </c>
      <c r="Q844" s="1">
        <v>29292</v>
      </c>
      <c r="R844">
        <v>17</v>
      </c>
      <c r="S844" s="2">
        <v>0.02</v>
      </c>
      <c r="T844" t="s">
        <v>51</v>
      </c>
      <c r="U844" s="2">
        <v>0.55000000000000004</v>
      </c>
      <c r="V844" t="s">
        <v>1881</v>
      </c>
      <c r="W844" t="s">
        <v>1882</v>
      </c>
      <c r="X844" t="b">
        <v>0</v>
      </c>
      <c r="Y844" t="b">
        <v>0</v>
      </c>
    </row>
    <row r="845" spans="1:25">
      <c r="A845">
        <v>8440</v>
      </c>
      <c r="B845" t="s">
        <v>1799</v>
      </c>
      <c r="C845" t="s">
        <v>1883</v>
      </c>
      <c r="D845" t="s">
        <v>1801</v>
      </c>
      <c r="E845">
        <v>8440</v>
      </c>
      <c r="F845">
        <v>28.5</v>
      </c>
      <c r="G845">
        <v>774</v>
      </c>
      <c r="H845">
        <v>28.3</v>
      </c>
      <c r="I845">
        <v>509</v>
      </c>
      <c r="J845">
        <v>43.6</v>
      </c>
      <c r="K845">
        <v>1150</v>
      </c>
      <c r="L845">
        <v>57.5</v>
      </c>
      <c r="M845">
        <v>693</v>
      </c>
      <c r="N845">
        <v>32.799999999999997</v>
      </c>
      <c r="O845">
        <v>1394</v>
      </c>
      <c r="P845" t="s">
        <v>181</v>
      </c>
      <c r="Q845" s="1">
        <v>22051</v>
      </c>
      <c r="R845">
        <v>17.7</v>
      </c>
      <c r="S845" s="2">
        <v>7.0000000000000007E-2</v>
      </c>
      <c r="T845" s="3">
        <v>2.0770833333333334</v>
      </c>
      <c r="U845" s="2">
        <v>0.24</v>
      </c>
      <c r="V845" t="s">
        <v>1883</v>
      </c>
      <c r="W845" t="s">
        <v>1884</v>
      </c>
      <c r="X845" t="b">
        <v>0</v>
      </c>
      <c r="Y845" t="b">
        <v>0</v>
      </c>
    </row>
    <row r="846" spans="1:25">
      <c r="A846">
        <v>8450</v>
      </c>
      <c r="B846" t="s">
        <v>1799</v>
      </c>
      <c r="C846" t="s">
        <v>1885</v>
      </c>
      <c r="D846" t="s">
        <v>1801</v>
      </c>
      <c r="E846">
        <v>8450</v>
      </c>
      <c r="F846">
        <v>29.9</v>
      </c>
      <c r="G846">
        <v>692</v>
      </c>
      <c r="H846">
        <v>29.7</v>
      </c>
      <c r="I846">
        <v>481</v>
      </c>
      <c r="J846">
        <v>34.9</v>
      </c>
      <c r="K846">
        <v>1331</v>
      </c>
      <c r="L846">
        <v>71.7</v>
      </c>
      <c r="M846">
        <v>390</v>
      </c>
      <c r="N846">
        <v>26</v>
      </c>
      <c r="O846">
        <v>1663</v>
      </c>
      <c r="P846" t="s">
        <v>181</v>
      </c>
      <c r="Q846" s="1">
        <v>20334</v>
      </c>
      <c r="R846">
        <v>19.8</v>
      </c>
      <c r="S846" s="2">
        <v>0.04</v>
      </c>
      <c r="T846" s="3">
        <v>1.9951388888888888</v>
      </c>
      <c r="U846" s="2">
        <v>0.25</v>
      </c>
      <c r="V846" t="s">
        <v>1886</v>
      </c>
      <c r="W846" t="s">
        <v>1887</v>
      </c>
      <c r="X846" t="b">
        <v>0</v>
      </c>
      <c r="Y846" t="b">
        <v>0</v>
      </c>
    </row>
    <row r="847" spans="1:25">
      <c r="A847">
        <v>8460</v>
      </c>
      <c r="B847" t="s">
        <v>1799</v>
      </c>
      <c r="C847" t="s">
        <v>1888</v>
      </c>
      <c r="D847" t="s">
        <v>1801</v>
      </c>
      <c r="E847">
        <v>8460</v>
      </c>
      <c r="F847">
        <v>29.9</v>
      </c>
      <c r="G847">
        <v>693</v>
      </c>
      <c r="H847">
        <v>18</v>
      </c>
      <c r="I847">
        <v>916</v>
      </c>
      <c r="J847">
        <v>41.2</v>
      </c>
      <c r="K847">
        <v>1198</v>
      </c>
      <c r="L847">
        <v>67.400000000000006</v>
      </c>
      <c r="M847">
        <v>489</v>
      </c>
      <c r="N847">
        <v>63.3</v>
      </c>
      <c r="O847">
        <v>512</v>
      </c>
      <c r="P847" t="s">
        <v>29</v>
      </c>
      <c r="Q847" s="1">
        <v>3871</v>
      </c>
      <c r="R847">
        <v>15.5</v>
      </c>
      <c r="S847" s="2">
        <v>0.08</v>
      </c>
      <c r="T847" t="s">
        <v>113</v>
      </c>
      <c r="U847" s="2">
        <v>0.42</v>
      </c>
      <c r="V847" t="s">
        <v>1888</v>
      </c>
      <c r="W847" t="s">
        <v>1889</v>
      </c>
      <c r="X847" t="b">
        <v>0</v>
      </c>
      <c r="Y847" t="b">
        <v>0</v>
      </c>
    </row>
    <row r="848" spans="1:25">
      <c r="A848">
        <v>8470</v>
      </c>
      <c r="B848" t="s">
        <v>1799</v>
      </c>
      <c r="C848" t="s">
        <v>1890</v>
      </c>
      <c r="D848" t="s">
        <v>1801</v>
      </c>
      <c r="E848">
        <v>8470</v>
      </c>
      <c r="F848">
        <v>21.8</v>
      </c>
      <c r="G848">
        <v>1245</v>
      </c>
      <c r="H848">
        <v>18.100000000000001</v>
      </c>
      <c r="I848">
        <v>913</v>
      </c>
      <c r="J848">
        <v>54.2</v>
      </c>
      <c r="K848">
        <v>911</v>
      </c>
      <c r="L848">
        <v>61.6</v>
      </c>
      <c r="M848">
        <v>621</v>
      </c>
      <c r="N848">
        <v>68.3</v>
      </c>
      <c r="O848">
        <v>429</v>
      </c>
      <c r="P848" t="s">
        <v>125</v>
      </c>
      <c r="Q848" s="1">
        <v>37049</v>
      </c>
      <c r="R848">
        <v>21.2</v>
      </c>
      <c r="S848" s="2">
        <v>0.15</v>
      </c>
      <c r="T848" s="3">
        <v>2.4048611111111109</v>
      </c>
      <c r="U848" s="2">
        <v>0.31</v>
      </c>
      <c r="V848" t="s">
        <v>1890</v>
      </c>
      <c r="W848" t="s">
        <v>1891</v>
      </c>
      <c r="X848" t="b">
        <v>0</v>
      </c>
      <c r="Y848" t="b">
        <v>0</v>
      </c>
    </row>
    <row r="849" spans="1:25">
      <c r="A849">
        <v>8480</v>
      </c>
      <c r="B849" t="s">
        <v>1799</v>
      </c>
      <c r="C849" t="s">
        <v>1892</v>
      </c>
      <c r="D849" t="s">
        <v>1801</v>
      </c>
      <c r="E849">
        <v>8480</v>
      </c>
      <c r="F849">
        <v>13.2</v>
      </c>
      <c r="G849">
        <v>1835</v>
      </c>
      <c r="H849">
        <v>10.7</v>
      </c>
      <c r="I849">
        <v>1558</v>
      </c>
      <c r="J849">
        <v>74.2</v>
      </c>
      <c r="K849">
        <v>461</v>
      </c>
      <c r="L849">
        <v>16.3</v>
      </c>
      <c r="M849">
        <v>1826</v>
      </c>
      <c r="N849">
        <v>54.9</v>
      </c>
      <c r="O849">
        <v>678</v>
      </c>
      <c r="P849" t="s">
        <v>1820</v>
      </c>
      <c r="Q849" s="1">
        <v>12000</v>
      </c>
      <c r="R849">
        <v>18.100000000000001</v>
      </c>
      <c r="S849" s="2">
        <v>0.01</v>
      </c>
      <c r="T849" s="3">
        <v>1.7902777777777779</v>
      </c>
      <c r="U849" s="2">
        <v>0.44</v>
      </c>
      <c r="V849" t="s">
        <v>1892</v>
      </c>
      <c r="W849" t="s">
        <v>1893</v>
      </c>
      <c r="X849" t="b">
        <v>0</v>
      </c>
      <c r="Y849" t="b">
        <v>0</v>
      </c>
    </row>
    <row r="850" spans="1:25">
      <c r="A850">
        <v>8490</v>
      </c>
      <c r="B850" t="s">
        <v>1799</v>
      </c>
      <c r="C850" t="s">
        <v>1894</v>
      </c>
      <c r="D850" t="s">
        <v>1801</v>
      </c>
      <c r="E850">
        <v>8490</v>
      </c>
      <c r="F850">
        <v>24.7</v>
      </c>
      <c r="G850">
        <v>1025</v>
      </c>
      <c r="H850">
        <v>24.4</v>
      </c>
      <c r="I850">
        <v>634</v>
      </c>
      <c r="J850">
        <v>56.6</v>
      </c>
      <c r="K850">
        <v>858</v>
      </c>
      <c r="L850">
        <v>24.2</v>
      </c>
      <c r="M850">
        <v>1359</v>
      </c>
      <c r="N850">
        <v>54.3</v>
      </c>
      <c r="O850">
        <v>689</v>
      </c>
      <c r="P850" t="s">
        <v>1895</v>
      </c>
      <c r="Q850" s="1">
        <v>8940</v>
      </c>
      <c r="R850">
        <v>17.5</v>
      </c>
      <c r="S850" s="2">
        <v>0</v>
      </c>
      <c r="T850" t="s">
        <v>40</v>
      </c>
      <c r="U850" s="2">
        <v>0.37</v>
      </c>
      <c r="V850" t="s">
        <v>1896</v>
      </c>
      <c r="W850" t="s">
        <v>1897</v>
      </c>
      <c r="X850" t="b">
        <v>0</v>
      </c>
      <c r="Y850" t="b">
        <v>0</v>
      </c>
    </row>
    <row r="851" spans="1:25">
      <c r="A851">
        <v>8500</v>
      </c>
      <c r="B851" t="s">
        <v>1799</v>
      </c>
      <c r="C851" t="s">
        <v>1898</v>
      </c>
      <c r="D851" t="s">
        <v>1801</v>
      </c>
      <c r="E851">
        <v>8500</v>
      </c>
      <c r="F851">
        <v>23.8</v>
      </c>
      <c r="G851">
        <v>1092</v>
      </c>
      <c r="H851">
        <v>25.3</v>
      </c>
      <c r="I851">
        <v>596</v>
      </c>
      <c r="J851">
        <v>44.4</v>
      </c>
      <c r="K851">
        <v>1138</v>
      </c>
      <c r="L851">
        <v>56.6</v>
      </c>
      <c r="M851">
        <v>708</v>
      </c>
      <c r="N851">
        <v>92.7</v>
      </c>
      <c r="O851">
        <v>89</v>
      </c>
      <c r="P851" t="s">
        <v>125</v>
      </c>
      <c r="Q851" s="1">
        <v>16082</v>
      </c>
      <c r="R851">
        <v>19.5</v>
      </c>
      <c r="S851" s="2">
        <v>0.26</v>
      </c>
      <c r="T851" s="3">
        <v>2.2000000000000002</v>
      </c>
      <c r="U851" s="2">
        <v>0.43</v>
      </c>
      <c r="V851" t="s">
        <v>1898</v>
      </c>
      <c r="W851" t="s">
        <v>1899</v>
      </c>
      <c r="X851" t="b">
        <v>0</v>
      </c>
      <c r="Y851" t="b">
        <v>0</v>
      </c>
    </row>
    <row r="852" spans="1:25">
      <c r="A852">
        <v>8510</v>
      </c>
      <c r="B852" t="s">
        <v>1799</v>
      </c>
      <c r="C852" t="s">
        <v>1900</v>
      </c>
      <c r="D852" t="s">
        <v>1801</v>
      </c>
      <c r="E852">
        <v>8510</v>
      </c>
      <c r="F852">
        <v>20.100000000000001</v>
      </c>
      <c r="G852">
        <v>1366</v>
      </c>
      <c r="H852">
        <v>15.4</v>
      </c>
      <c r="I852">
        <v>1087</v>
      </c>
      <c r="J852">
        <v>50.8</v>
      </c>
      <c r="K852">
        <v>1000</v>
      </c>
      <c r="L852">
        <v>50.2</v>
      </c>
      <c r="M852">
        <v>804</v>
      </c>
      <c r="N852">
        <v>76.400000000000006</v>
      </c>
      <c r="O852">
        <v>304</v>
      </c>
      <c r="P852" t="s">
        <v>984</v>
      </c>
      <c r="Q852" s="1">
        <v>19126</v>
      </c>
      <c r="R852">
        <v>18.3</v>
      </c>
      <c r="S852" s="2">
        <v>0.26</v>
      </c>
      <c r="T852" s="3">
        <v>2.1180555555555554</v>
      </c>
      <c r="U852" s="2">
        <v>0.28999999999999998</v>
      </c>
      <c r="V852" t="s">
        <v>1900</v>
      </c>
      <c r="W852" t="s">
        <v>1901</v>
      </c>
      <c r="X852" t="b">
        <v>0</v>
      </c>
      <c r="Y852" t="b">
        <v>0</v>
      </c>
    </row>
    <row r="853" spans="1:25">
      <c r="A853">
        <v>8520</v>
      </c>
      <c r="B853" t="s">
        <v>1799</v>
      </c>
      <c r="C853" t="s">
        <v>1902</v>
      </c>
      <c r="D853" t="s">
        <v>1801</v>
      </c>
      <c r="E853">
        <v>8520</v>
      </c>
      <c r="F853">
        <v>16.399999999999999</v>
      </c>
      <c r="G853">
        <v>1667</v>
      </c>
      <c r="H853">
        <v>9.4</v>
      </c>
      <c r="I853">
        <v>1727</v>
      </c>
      <c r="J853">
        <v>73</v>
      </c>
      <c r="K853">
        <v>484</v>
      </c>
      <c r="L853">
        <v>17.399999999999999</v>
      </c>
      <c r="M853">
        <v>1711</v>
      </c>
      <c r="N853">
        <v>46.1</v>
      </c>
      <c r="O853">
        <v>927</v>
      </c>
      <c r="P853" t="s">
        <v>1483</v>
      </c>
      <c r="Q853" s="1">
        <v>32299</v>
      </c>
      <c r="R853">
        <v>33.9</v>
      </c>
      <c r="S853" s="2">
        <v>0.01</v>
      </c>
      <c r="T853" s="3">
        <v>2.6506944444444445</v>
      </c>
      <c r="U853" s="2">
        <v>0.3</v>
      </c>
      <c r="V853" t="s">
        <v>1902</v>
      </c>
      <c r="W853" t="s">
        <v>1903</v>
      </c>
      <c r="X853" t="b">
        <v>0</v>
      </c>
      <c r="Y853" t="b">
        <v>0</v>
      </c>
    </row>
    <row r="854" spans="1:25">
      <c r="A854">
        <v>8530</v>
      </c>
      <c r="B854" t="s">
        <v>1799</v>
      </c>
      <c r="C854" t="s">
        <v>1904</v>
      </c>
      <c r="D854" t="s">
        <v>1801</v>
      </c>
      <c r="E854">
        <v>8530</v>
      </c>
      <c r="F854">
        <v>40.4</v>
      </c>
      <c r="G854">
        <v>295</v>
      </c>
      <c r="H854">
        <v>24.2</v>
      </c>
      <c r="I854">
        <v>643</v>
      </c>
      <c r="J854">
        <v>39</v>
      </c>
      <c r="K854">
        <v>1242</v>
      </c>
      <c r="L854">
        <v>40.5</v>
      </c>
      <c r="M854">
        <v>970</v>
      </c>
      <c r="N854">
        <v>23.3</v>
      </c>
      <c r="O854">
        <v>1768</v>
      </c>
      <c r="P854" t="s">
        <v>528</v>
      </c>
      <c r="Q854" s="1">
        <v>29532</v>
      </c>
      <c r="R854">
        <v>23.8</v>
      </c>
      <c r="S854" s="2">
        <v>0.01</v>
      </c>
      <c r="T854" s="3">
        <v>2.036111111111111</v>
      </c>
      <c r="U854" s="2">
        <v>0.26</v>
      </c>
      <c r="V854" t="s">
        <v>1904</v>
      </c>
      <c r="W854" t="s">
        <v>1905</v>
      </c>
      <c r="X854" t="b">
        <v>0</v>
      </c>
      <c r="Y854" t="b">
        <v>0</v>
      </c>
    </row>
    <row r="855" spans="1:25">
      <c r="A855">
        <v>8540</v>
      </c>
      <c r="B855" t="s">
        <v>1799</v>
      </c>
      <c r="C855" t="s">
        <v>1906</v>
      </c>
      <c r="D855" t="s">
        <v>1801</v>
      </c>
      <c r="E855">
        <v>8540</v>
      </c>
      <c r="F855">
        <v>16.899999999999999</v>
      </c>
      <c r="G855">
        <v>1631</v>
      </c>
      <c r="H855">
        <v>20.100000000000001</v>
      </c>
      <c r="I855">
        <v>804</v>
      </c>
      <c r="J855">
        <v>76.7</v>
      </c>
      <c r="K855">
        <v>401</v>
      </c>
      <c r="L855">
        <v>28.5</v>
      </c>
      <c r="M855">
        <v>1221</v>
      </c>
      <c r="N855">
        <v>19.7</v>
      </c>
      <c r="O855">
        <v>1878</v>
      </c>
      <c r="P855" t="s">
        <v>528</v>
      </c>
      <c r="Q855" s="1">
        <v>12730</v>
      </c>
      <c r="R855">
        <v>23.4</v>
      </c>
      <c r="S855" s="2">
        <v>0.03</v>
      </c>
      <c r="T855">
        <v>0.97083333333333333</v>
      </c>
      <c r="U855" s="2">
        <v>0.44</v>
      </c>
      <c r="V855" t="s">
        <v>1906</v>
      </c>
      <c r="W855" t="s">
        <v>1907</v>
      </c>
      <c r="X855" t="b">
        <v>0</v>
      </c>
      <c r="Y855" t="b">
        <v>0</v>
      </c>
    </row>
    <row r="856" spans="1:25">
      <c r="A856">
        <v>8550</v>
      </c>
      <c r="B856" t="s">
        <v>1799</v>
      </c>
      <c r="C856" t="s">
        <v>1908</v>
      </c>
      <c r="D856" t="s">
        <v>1801</v>
      </c>
      <c r="E856">
        <v>8550</v>
      </c>
      <c r="F856">
        <v>22.5</v>
      </c>
      <c r="G856">
        <v>1187</v>
      </c>
      <c r="H856">
        <v>23.2</v>
      </c>
      <c r="I856">
        <v>677</v>
      </c>
      <c r="J856">
        <v>54.3</v>
      </c>
      <c r="K856">
        <v>906</v>
      </c>
      <c r="L856">
        <v>36.6</v>
      </c>
      <c r="M856">
        <v>1060</v>
      </c>
      <c r="N856">
        <v>42.3</v>
      </c>
      <c r="O856">
        <v>1042</v>
      </c>
      <c r="P856" t="s">
        <v>386</v>
      </c>
      <c r="Q856" s="1">
        <v>9570</v>
      </c>
      <c r="R856">
        <v>18.8</v>
      </c>
      <c r="S856" s="2">
        <v>0.06</v>
      </c>
      <c r="T856" s="3">
        <v>2.4048611111111109</v>
      </c>
      <c r="U856" s="2">
        <v>0.25</v>
      </c>
      <c r="V856" t="s">
        <v>1908</v>
      </c>
      <c r="W856" t="s">
        <v>1909</v>
      </c>
      <c r="X856" t="b">
        <v>0</v>
      </c>
      <c r="Y856" t="b">
        <v>0</v>
      </c>
    </row>
    <row r="857" spans="1:25">
      <c r="A857">
        <v>8560</v>
      </c>
      <c r="B857" t="s">
        <v>1799</v>
      </c>
      <c r="C857" t="s">
        <v>1910</v>
      </c>
      <c r="D857" t="s">
        <v>1801</v>
      </c>
      <c r="E857">
        <v>8560</v>
      </c>
      <c r="F857">
        <v>17.5</v>
      </c>
      <c r="G857">
        <v>1595</v>
      </c>
      <c r="H857">
        <v>10</v>
      </c>
      <c r="I857">
        <v>1640</v>
      </c>
      <c r="J857">
        <v>68.8</v>
      </c>
      <c r="K857">
        <v>586</v>
      </c>
      <c r="L857">
        <v>18.100000000000001</v>
      </c>
      <c r="M857">
        <v>1659</v>
      </c>
      <c r="N857">
        <v>48.5</v>
      </c>
      <c r="O857">
        <v>852</v>
      </c>
      <c r="P857" t="s">
        <v>1846</v>
      </c>
      <c r="Q857" s="1">
        <v>216258</v>
      </c>
      <c r="R857">
        <v>15.3</v>
      </c>
      <c r="S857" s="2">
        <v>0.03</v>
      </c>
      <c r="T857" s="3">
        <v>2.1180555555555554</v>
      </c>
      <c r="U857" s="2">
        <v>0.26</v>
      </c>
      <c r="V857" t="s">
        <v>1910</v>
      </c>
      <c r="W857" t="s">
        <v>1911</v>
      </c>
      <c r="X857" t="b">
        <v>0</v>
      </c>
      <c r="Y857" t="b">
        <v>0</v>
      </c>
    </row>
    <row r="858" spans="1:25">
      <c r="A858">
        <v>8570</v>
      </c>
      <c r="B858" t="s">
        <v>1799</v>
      </c>
      <c r="C858" t="s">
        <v>1912</v>
      </c>
      <c r="D858" t="s">
        <v>1801</v>
      </c>
      <c r="E858">
        <v>8570</v>
      </c>
      <c r="F858">
        <v>28.6</v>
      </c>
      <c r="G858">
        <v>764</v>
      </c>
      <c r="H858">
        <v>19.2</v>
      </c>
      <c r="I858">
        <v>856</v>
      </c>
      <c r="J858">
        <v>57.3</v>
      </c>
      <c r="K858">
        <v>838</v>
      </c>
      <c r="L858">
        <v>33.4</v>
      </c>
      <c r="M858">
        <v>1125</v>
      </c>
      <c r="N858">
        <v>51.3</v>
      </c>
      <c r="O858">
        <v>762</v>
      </c>
      <c r="P858" t="s">
        <v>691</v>
      </c>
      <c r="Q858" s="1">
        <v>30414</v>
      </c>
      <c r="R858">
        <v>17.8</v>
      </c>
      <c r="S858" s="2">
        <v>0.11</v>
      </c>
      <c r="T858" s="3">
        <v>2.5687500000000001</v>
      </c>
      <c r="U858" s="2">
        <v>0.36</v>
      </c>
      <c r="V858" t="s">
        <v>1912</v>
      </c>
      <c r="W858" t="s">
        <v>1913</v>
      </c>
      <c r="X858" t="b">
        <v>0</v>
      </c>
      <c r="Y858" t="b">
        <v>0</v>
      </c>
    </row>
    <row r="859" spans="1:25">
      <c r="A859">
        <v>8580</v>
      </c>
      <c r="B859" t="s">
        <v>1799</v>
      </c>
      <c r="C859" t="s">
        <v>1914</v>
      </c>
      <c r="D859" t="s">
        <v>1801</v>
      </c>
      <c r="E859">
        <v>8580</v>
      </c>
      <c r="F859">
        <v>40.200000000000003</v>
      </c>
      <c r="G859">
        <v>302</v>
      </c>
      <c r="H859">
        <v>23.3</v>
      </c>
      <c r="I859">
        <v>676</v>
      </c>
      <c r="J859">
        <v>43.3</v>
      </c>
      <c r="K859">
        <v>1159</v>
      </c>
      <c r="L859">
        <v>50.8</v>
      </c>
      <c r="M859">
        <v>795</v>
      </c>
      <c r="N859">
        <v>33.4</v>
      </c>
      <c r="O859">
        <v>1377</v>
      </c>
      <c r="P859" t="s">
        <v>577</v>
      </c>
      <c r="Q859" s="1">
        <v>42080</v>
      </c>
      <c r="R859">
        <v>13.5</v>
      </c>
      <c r="S859" s="2">
        <v>0.01</v>
      </c>
      <c r="T859" s="3">
        <v>2.2409722222222221</v>
      </c>
      <c r="U859" s="2">
        <v>0.22</v>
      </c>
      <c r="V859" t="s">
        <v>1914</v>
      </c>
      <c r="W859" t="s">
        <v>1915</v>
      </c>
      <c r="X859" t="b">
        <v>0</v>
      </c>
      <c r="Y859" t="b">
        <v>0</v>
      </c>
    </row>
    <row r="860" spans="1:25">
      <c r="A860">
        <v>8590</v>
      </c>
      <c r="B860" t="s">
        <v>1799</v>
      </c>
      <c r="C860" t="s">
        <v>1916</v>
      </c>
      <c r="D860" t="s">
        <v>1801</v>
      </c>
      <c r="E860">
        <v>8590</v>
      </c>
      <c r="F860">
        <v>32.5</v>
      </c>
      <c r="G860">
        <v>570</v>
      </c>
      <c r="H860">
        <v>21.6</v>
      </c>
      <c r="I860">
        <v>747</v>
      </c>
      <c r="J860">
        <v>41.6</v>
      </c>
      <c r="K860">
        <v>1193</v>
      </c>
      <c r="L860">
        <v>64.2</v>
      </c>
      <c r="M860">
        <v>562</v>
      </c>
      <c r="N860">
        <v>35.299999999999997</v>
      </c>
      <c r="O860">
        <v>1309</v>
      </c>
      <c r="P860" t="s">
        <v>577</v>
      </c>
      <c r="Q860" s="1">
        <v>42576</v>
      </c>
      <c r="R860">
        <v>17.7</v>
      </c>
      <c r="S860" s="2">
        <v>0.02</v>
      </c>
      <c r="T860" s="3">
        <v>2.0770833333333334</v>
      </c>
      <c r="U860" s="2">
        <v>0.28000000000000003</v>
      </c>
      <c r="V860" t="s">
        <v>1916</v>
      </c>
      <c r="W860" t="s">
        <v>1917</v>
      </c>
      <c r="X860" t="b">
        <v>0</v>
      </c>
      <c r="Y860" t="b">
        <v>0</v>
      </c>
    </row>
    <row r="861" spans="1:25">
      <c r="A861">
        <v>8600</v>
      </c>
      <c r="B861" t="s">
        <v>1799</v>
      </c>
      <c r="C861" t="s">
        <v>1918</v>
      </c>
      <c r="D861" t="s">
        <v>1801</v>
      </c>
      <c r="E861">
        <v>8600</v>
      </c>
      <c r="F861">
        <v>33.200000000000003</v>
      </c>
      <c r="G861">
        <v>534</v>
      </c>
      <c r="H861">
        <v>22.5</v>
      </c>
      <c r="I861">
        <v>709</v>
      </c>
      <c r="J861">
        <v>48.2</v>
      </c>
      <c r="K861">
        <v>1051</v>
      </c>
      <c r="L861">
        <v>47.2</v>
      </c>
      <c r="M861">
        <v>860</v>
      </c>
      <c r="N861">
        <v>35.200000000000003</v>
      </c>
      <c r="O861">
        <v>1311</v>
      </c>
      <c r="P861" t="s">
        <v>577</v>
      </c>
      <c r="Q861" s="1">
        <v>19803</v>
      </c>
      <c r="R861">
        <v>11.3</v>
      </c>
      <c r="S861" s="2">
        <v>0.01</v>
      </c>
      <c r="T861" s="3">
        <v>2.4868055555555557</v>
      </c>
      <c r="U861" s="2">
        <v>0.11</v>
      </c>
      <c r="V861" t="s">
        <v>1918</v>
      </c>
      <c r="W861" t="s">
        <v>1919</v>
      </c>
      <c r="X861" t="b">
        <v>0</v>
      </c>
      <c r="Y861" t="b">
        <v>0</v>
      </c>
    </row>
    <row r="862" spans="1:25">
      <c r="A862">
        <v>8610</v>
      </c>
      <c r="B862" t="s">
        <v>1799</v>
      </c>
      <c r="C862" t="s">
        <v>1920</v>
      </c>
      <c r="D862" t="s">
        <v>1801</v>
      </c>
      <c r="E862">
        <v>8610</v>
      </c>
      <c r="F862">
        <v>28.6</v>
      </c>
      <c r="G862">
        <v>765</v>
      </c>
      <c r="H862">
        <v>26.8</v>
      </c>
      <c r="I862">
        <v>547</v>
      </c>
      <c r="J862">
        <v>48.2</v>
      </c>
      <c r="K862">
        <v>1052</v>
      </c>
      <c r="L862">
        <v>45.4</v>
      </c>
      <c r="M862">
        <v>889</v>
      </c>
      <c r="N862">
        <v>38.6</v>
      </c>
      <c r="O862">
        <v>1169</v>
      </c>
      <c r="P862" t="s">
        <v>795</v>
      </c>
      <c r="Q862" s="1">
        <v>25009</v>
      </c>
      <c r="R862">
        <v>30.5</v>
      </c>
      <c r="S862" s="2">
        <v>0.11</v>
      </c>
      <c r="T862" s="3">
        <v>2.2819444444444446</v>
      </c>
      <c r="U862" s="2">
        <v>0.35</v>
      </c>
      <c r="V862" t="s">
        <v>1920</v>
      </c>
      <c r="W862" t="s">
        <v>1921</v>
      </c>
      <c r="X862" t="b">
        <v>0</v>
      </c>
      <c r="Y862" t="b">
        <v>0</v>
      </c>
    </row>
    <row r="863" spans="1:25">
      <c r="A863">
        <v>8620</v>
      </c>
      <c r="B863" t="s">
        <v>1799</v>
      </c>
      <c r="C863" t="s">
        <v>1922</v>
      </c>
      <c r="D863" t="s">
        <v>1801</v>
      </c>
      <c r="E863">
        <v>8620</v>
      </c>
      <c r="F863">
        <v>22.5</v>
      </c>
      <c r="G863">
        <v>1188</v>
      </c>
      <c r="H863">
        <v>21.9</v>
      </c>
      <c r="I863">
        <v>735</v>
      </c>
      <c r="J863">
        <v>57.3</v>
      </c>
      <c r="K863">
        <v>839</v>
      </c>
      <c r="L863">
        <v>57.6</v>
      </c>
      <c r="M863">
        <v>692</v>
      </c>
      <c r="N863">
        <v>51.8</v>
      </c>
      <c r="O863">
        <v>747</v>
      </c>
      <c r="P863" t="s">
        <v>29</v>
      </c>
      <c r="Q863" s="1">
        <v>25031</v>
      </c>
      <c r="R863">
        <v>19.8</v>
      </c>
      <c r="S863" s="2">
        <v>0.06</v>
      </c>
      <c r="T863" s="3">
        <v>2.6506944444444445</v>
      </c>
      <c r="U863" s="2">
        <v>0.24</v>
      </c>
      <c r="V863" t="s">
        <v>1922</v>
      </c>
      <c r="W863" t="s">
        <v>1923</v>
      </c>
      <c r="X863" t="b">
        <v>0</v>
      </c>
      <c r="Y863" t="b">
        <v>0</v>
      </c>
    </row>
    <row r="864" spans="1:25">
      <c r="A864">
        <v>8630</v>
      </c>
      <c r="B864" t="s">
        <v>1799</v>
      </c>
      <c r="C864" t="s">
        <v>1924</v>
      </c>
      <c r="D864" t="s">
        <v>1801</v>
      </c>
      <c r="E864">
        <v>8630</v>
      </c>
      <c r="F864">
        <v>29</v>
      </c>
      <c r="G864">
        <v>744</v>
      </c>
      <c r="H864">
        <v>16.399999999999999</v>
      </c>
      <c r="I864">
        <v>1016</v>
      </c>
      <c r="J864">
        <v>45.2</v>
      </c>
      <c r="K864">
        <v>1115</v>
      </c>
      <c r="L864">
        <v>54.8</v>
      </c>
      <c r="M864">
        <v>730</v>
      </c>
      <c r="N864">
        <v>80.400000000000006</v>
      </c>
      <c r="O864">
        <v>251</v>
      </c>
      <c r="P864" t="s">
        <v>29</v>
      </c>
      <c r="Q864" s="1">
        <v>5434</v>
      </c>
      <c r="R864">
        <v>15.9</v>
      </c>
      <c r="S864" s="2">
        <v>0.2</v>
      </c>
      <c r="T864" s="3">
        <v>1.7902777777777779</v>
      </c>
      <c r="U864" s="2">
        <v>0.45</v>
      </c>
      <c r="V864" t="s">
        <v>1924</v>
      </c>
      <c r="W864" t="s">
        <v>1925</v>
      </c>
      <c r="X864" t="b">
        <v>0</v>
      </c>
      <c r="Y864" t="b">
        <v>0</v>
      </c>
    </row>
    <row r="865" spans="1:25">
      <c r="A865">
        <v>8640</v>
      </c>
      <c r="B865" t="s">
        <v>1799</v>
      </c>
      <c r="C865" t="s">
        <v>1926</v>
      </c>
      <c r="D865" t="s">
        <v>1801</v>
      </c>
      <c r="E865">
        <v>8640</v>
      </c>
      <c r="F865">
        <v>22.4</v>
      </c>
      <c r="G865">
        <v>1193</v>
      </c>
      <c r="H865">
        <v>18.7</v>
      </c>
      <c r="I865">
        <v>882</v>
      </c>
      <c r="J865">
        <v>56.4</v>
      </c>
      <c r="K865">
        <v>861</v>
      </c>
      <c r="L865">
        <v>26.9</v>
      </c>
      <c r="M865">
        <v>1262</v>
      </c>
      <c r="N865">
        <v>51.7</v>
      </c>
      <c r="O865">
        <v>751</v>
      </c>
      <c r="P865" t="s">
        <v>421</v>
      </c>
      <c r="Q865" s="1">
        <v>33247</v>
      </c>
      <c r="R865">
        <v>35.6</v>
      </c>
      <c r="S865" s="2">
        <v>0.02</v>
      </c>
      <c r="T865" s="3">
        <v>2.6506944444444445</v>
      </c>
      <c r="U865" s="2">
        <v>0.25</v>
      </c>
      <c r="V865" t="s">
        <v>1926</v>
      </c>
      <c r="W865" t="s">
        <v>1927</v>
      </c>
      <c r="X865" t="b">
        <v>0</v>
      </c>
      <c r="Y865" t="b">
        <v>0</v>
      </c>
    </row>
    <row r="866" spans="1:25">
      <c r="A866">
        <v>8650</v>
      </c>
      <c r="B866" t="s">
        <v>1799</v>
      </c>
      <c r="C866" t="s">
        <v>1928</v>
      </c>
      <c r="D866" t="s">
        <v>1801</v>
      </c>
      <c r="E866">
        <v>8650</v>
      </c>
      <c r="F866">
        <v>18.899999999999999</v>
      </c>
      <c r="G866">
        <v>1472</v>
      </c>
      <c r="H866">
        <v>16.5</v>
      </c>
      <c r="I866">
        <v>1008</v>
      </c>
      <c r="J866">
        <v>71.5</v>
      </c>
      <c r="K866">
        <v>522</v>
      </c>
      <c r="L866">
        <v>53.2</v>
      </c>
      <c r="M866">
        <v>748</v>
      </c>
      <c r="N866">
        <v>36.700000000000003</v>
      </c>
      <c r="O866">
        <v>1256</v>
      </c>
      <c r="P866" t="s">
        <v>54</v>
      </c>
      <c r="Q866" s="1">
        <v>42106</v>
      </c>
      <c r="R866">
        <v>17.399999999999999</v>
      </c>
      <c r="S866" s="2">
        <v>0.01</v>
      </c>
      <c r="T866" t="s">
        <v>501</v>
      </c>
      <c r="U866" s="2">
        <v>0.43</v>
      </c>
      <c r="V866" t="s">
        <v>1928</v>
      </c>
      <c r="W866" t="s">
        <v>1929</v>
      </c>
      <c r="X866" t="b">
        <v>0</v>
      </c>
      <c r="Y866" t="b">
        <v>0</v>
      </c>
    </row>
    <row r="867" spans="1:25">
      <c r="A867">
        <v>8660</v>
      </c>
      <c r="B867" t="s">
        <v>1799</v>
      </c>
      <c r="C867" t="s">
        <v>1930</v>
      </c>
      <c r="D867" t="s">
        <v>1801</v>
      </c>
      <c r="E867">
        <v>8660</v>
      </c>
      <c r="F867">
        <v>20.8</v>
      </c>
      <c r="G867">
        <v>1315</v>
      </c>
      <c r="H867">
        <v>22.4</v>
      </c>
      <c r="I867">
        <v>716</v>
      </c>
      <c r="J867">
        <v>56.3</v>
      </c>
      <c r="K867">
        <v>862</v>
      </c>
      <c r="L867">
        <v>55</v>
      </c>
      <c r="M867">
        <v>723</v>
      </c>
      <c r="N867">
        <v>56.8</v>
      </c>
      <c r="O867">
        <v>647</v>
      </c>
      <c r="P867" t="s">
        <v>386</v>
      </c>
      <c r="Q867" s="1">
        <v>14158</v>
      </c>
      <c r="R867">
        <v>21</v>
      </c>
      <c r="S867" s="2">
        <v>0.14000000000000001</v>
      </c>
      <c r="T867" s="3">
        <v>2.4458333333333333</v>
      </c>
      <c r="U867" s="2">
        <v>0.28000000000000003</v>
      </c>
      <c r="V867" t="s">
        <v>1930</v>
      </c>
      <c r="W867" t="s">
        <v>1931</v>
      </c>
      <c r="X867" t="b">
        <v>0</v>
      </c>
      <c r="Y867" t="b">
        <v>0</v>
      </c>
    </row>
    <row r="868" spans="1:25">
      <c r="A868">
        <v>8670</v>
      </c>
      <c r="B868" t="s">
        <v>1799</v>
      </c>
      <c r="C868" t="s">
        <v>1932</v>
      </c>
      <c r="D868" t="s">
        <v>1801</v>
      </c>
      <c r="E868">
        <v>8670</v>
      </c>
      <c r="F868">
        <v>17.399999999999999</v>
      </c>
      <c r="G868">
        <v>1599</v>
      </c>
      <c r="H868">
        <v>14</v>
      </c>
      <c r="I868">
        <v>1205</v>
      </c>
      <c r="J868">
        <v>57.6</v>
      </c>
      <c r="K868">
        <v>829</v>
      </c>
      <c r="L868">
        <v>34.5</v>
      </c>
      <c r="M868">
        <v>1101</v>
      </c>
      <c r="N868">
        <v>65.7</v>
      </c>
      <c r="O868">
        <v>469</v>
      </c>
      <c r="P868" t="s">
        <v>26</v>
      </c>
      <c r="Q868" s="1">
        <v>6880</v>
      </c>
      <c r="R868">
        <v>17</v>
      </c>
      <c r="S868" s="2">
        <v>0.12</v>
      </c>
      <c r="T868" s="3">
        <v>2.4868055555555557</v>
      </c>
      <c r="U868" s="2">
        <v>0.17</v>
      </c>
      <c r="V868" t="s">
        <v>1932</v>
      </c>
      <c r="W868" t="s">
        <v>1933</v>
      </c>
      <c r="X868" t="b">
        <v>0</v>
      </c>
      <c r="Y868" t="b">
        <v>0</v>
      </c>
    </row>
    <row r="869" spans="1:25">
      <c r="A869">
        <v>8680</v>
      </c>
      <c r="B869" t="s">
        <v>1799</v>
      </c>
      <c r="C869" t="s">
        <v>1934</v>
      </c>
      <c r="D869" t="s">
        <v>1801</v>
      </c>
      <c r="E869">
        <v>8680</v>
      </c>
      <c r="F869">
        <v>15.8</v>
      </c>
      <c r="G869">
        <v>1708</v>
      </c>
      <c r="H869">
        <v>11.3</v>
      </c>
      <c r="I869">
        <v>1486</v>
      </c>
      <c r="J869">
        <v>78</v>
      </c>
      <c r="K869">
        <v>368</v>
      </c>
      <c r="L869">
        <v>34.200000000000003</v>
      </c>
      <c r="M869">
        <v>1108</v>
      </c>
      <c r="N869">
        <v>35.700000000000003</v>
      </c>
      <c r="O869">
        <v>1291</v>
      </c>
      <c r="P869" t="s">
        <v>795</v>
      </c>
      <c r="Q869" s="1">
        <v>3980</v>
      </c>
      <c r="R869">
        <v>21.5</v>
      </c>
      <c r="S869" s="2">
        <v>0.01</v>
      </c>
      <c r="T869" s="3">
        <v>2.1180555555555554</v>
      </c>
      <c r="U869" s="2">
        <v>0.33</v>
      </c>
      <c r="V869" t="s">
        <v>1934</v>
      </c>
      <c r="W869" t="s">
        <v>1935</v>
      </c>
      <c r="X869" t="b">
        <v>0</v>
      </c>
      <c r="Y869" t="b">
        <v>0</v>
      </c>
    </row>
    <row r="870" spans="1:25">
      <c r="A870">
        <v>8690</v>
      </c>
      <c r="B870" t="s">
        <v>1799</v>
      </c>
      <c r="C870" t="s">
        <v>1936</v>
      </c>
      <c r="D870" t="s">
        <v>1801</v>
      </c>
      <c r="E870">
        <v>8690</v>
      </c>
      <c r="F870">
        <v>19.399999999999999</v>
      </c>
      <c r="G870">
        <v>1431</v>
      </c>
      <c r="H870">
        <v>12.7</v>
      </c>
      <c r="I870">
        <v>1336</v>
      </c>
      <c r="J870">
        <v>77.099999999999994</v>
      </c>
      <c r="K870">
        <v>394</v>
      </c>
      <c r="L870">
        <v>22.4</v>
      </c>
      <c r="M870">
        <v>1422</v>
      </c>
      <c r="N870">
        <v>35.9</v>
      </c>
      <c r="O870">
        <v>1285</v>
      </c>
      <c r="P870" t="s">
        <v>54</v>
      </c>
      <c r="Q870" s="1">
        <v>37527</v>
      </c>
      <c r="R870">
        <v>17.5</v>
      </c>
      <c r="S870" s="2">
        <v>0</v>
      </c>
      <c r="T870" s="3">
        <v>2.5277777777777777</v>
      </c>
      <c r="U870" s="2">
        <v>0.4</v>
      </c>
      <c r="V870" t="s">
        <v>1936</v>
      </c>
      <c r="W870" t="s">
        <v>1937</v>
      </c>
      <c r="X870" t="b">
        <v>0</v>
      </c>
      <c r="Y870" t="b">
        <v>0</v>
      </c>
    </row>
    <row r="871" spans="1:25">
      <c r="A871">
        <v>8700</v>
      </c>
      <c r="B871" t="s">
        <v>1799</v>
      </c>
      <c r="C871" t="s">
        <v>1938</v>
      </c>
      <c r="D871" t="s">
        <v>1801</v>
      </c>
      <c r="E871">
        <v>8700</v>
      </c>
      <c r="F871">
        <v>24.2</v>
      </c>
      <c r="G871">
        <v>1070</v>
      </c>
      <c r="H871">
        <v>10.199999999999999</v>
      </c>
      <c r="I871">
        <v>1624</v>
      </c>
      <c r="J871">
        <v>72.5</v>
      </c>
      <c r="K871">
        <v>497</v>
      </c>
      <c r="L871">
        <v>26.6</v>
      </c>
      <c r="M871">
        <v>1279</v>
      </c>
      <c r="N871">
        <v>28.5</v>
      </c>
      <c r="O871">
        <v>1561</v>
      </c>
      <c r="P871" t="s">
        <v>54</v>
      </c>
      <c r="Q871" s="1">
        <v>14728</v>
      </c>
      <c r="R871">
        <v>1.7</v>
      </c>
      <c r="S871" s="2">
        <v>0.02</v>
      </c>
      <c r="T871" s="3">
        <v>2.4458333333333333</v>
      </c>
      <c r="U871" s="2">
        <v>0.05</v>
      </c>
      <c r="V871" t="s">
        <v>1938</v>
      </c>
      <c r="W871" t="s">
        <v>1769</v>
      </c>
      <c r="X871" t="b">
        <v>0</v>
      </c>
      <c r="Y871" t="b">
        <v>0</v>
      </c>
    </row>
    <row r="872" spans="1:25">
      <c r="A872">
        <v>8710</v>
      </c>
      <c r="B872" t="s">
        <v>1799</v>
      </c>
      <c r="C872" t="s">
        <v>1939</v>
      </c>
      <c r="D872" t="s">
        <v>1801</v>
      </c>
      <c r="E872">
        <v>8710</v>
      </c>
      <c r="F872">
        <v>38.200000000000003</v>
      </c>
      <c r="G872">
        <v>359</v>
      </c>
      <c r="H872">
        <v>10.4</v>
      </c>
      <c r="I872">
        <v>1601</v>
      </c>
      <c r="J872">
        <v>63.7</v>
      </c>
      <c r="K872">
        <v>697</v>
      </c>
      <c r="L872">
        <v>16.600000000000001</v>
      </c>
      <c r="M872">
        <v>1797</v>
      </c>
      <c r="N872">
        <v>21.9</v>
      </c>
      <c r="O872">
        <v>1813</v>
      </c>
      <c r="P872" t="s">
        <v>795</v>
      </c>
      <c r="Q872" s="1">
        <v>5472</v>
      </c>
      <c r="R872">
        <v>11.5</v>
      </c>
      <c r="S872" s="2">
        <v>0.01</v>
      </c>
      <c r="T872" s="3">
        <v>2.2409722222222221</v>
      </c>
      <c r="U872" s="2">
        <v>0.06</v>
      </c>
      <c r="V872" t="s">
        <v>1939</v>
      </c>
      <c r="W872" t="s">
        <v>1940</v>
      </c>
      <c r="X872" t="b">
        <v>0</v>
      </c>
      <c r="Y872" t="b">
        <v>0</v>
      </c>
    </row>
    <row r="873" spans="1:25">
      <c r="A873">
        <v>8720</v>
      </c>
      <c r="B873" t="s">
        <v>1799</v>
      </c>
      <c r="C873" t="s">
        <v>1941</v>
      </c>
      <c r="D873" t="s">
        <v>1801</v>
      </c>
      <c r="E873">
        <v>8720</v>
      </c>
      <c r="F873">
        <v>28.1</v>
      </c>
      <c r="G873">
        <v>803</v>
      </c>
      <c r="H873">
        <v>30.6</v>
      </c>
      <c r="I873">
        <v>451</v>
      </c>
      <c r="J873">
        <v>43.6</v>
      </c>
      <c r="K873">
        <v>1151</v>
      </c>
      <c r="L873">
        <v>64.900000000000006</v>
      </c>
      <c r="M873">
        <v>548</v>
      </c>
      <c r="N873">
        <v>24.4</v>
      </c>
      <c r="O873">
        <v>1728</v>
      </c>
      <c r="P873" t="s">
        <v>54</v>
      </c>
      <c r="Q873" s="1">
        <v>33528</v>
      </c>
      <c r="R873">
        <v>19.8</v>
      </c>
      <c r="S873" s="2">
        <v>0.02</v>
      </c>
      <c r="T873">
        <v>0.97083333333333333</v>
      </c>
      <c r="U873" s="2">
        <v>0.51</v>
      </c>
      <c r="V873" t="s">
        <v>1941</v>
      </c>
      <c r="W873" t="s">
        <v>1942</v>
      </c>
      <c r="X873" t="b">
        <v>0</v>
      </c>
      <c r="Y873" t="b">
        <v>0</v>
      </c>
    </row>
    <row r="874" spans="1:25">
      <c r="A874">
        <v>8730</v>
      </c>
      <c r="B874" t="s">
        <v>1799</v>
      </c>
      <c r="C874" t="s">
        <v>1943</v>
      </c>
      <c r="D874" t="s">
        <v>1801</v>
      </c>
      <c r="E874">
        <v>8730</v>
      </c>
      <c r="F874">
        <v>27.1</v>
      </c>
      <c r="G874">
        <v>869</v>
      </c>
      <c r="H874">
        <v>10.7</v>
      </c>
      <c r="I874">
        <v>1560</v>
      </c>
      <c r="J874">
        <v>70.900000000000006</v>
      </c>
      <c r="K874">
        <v>541</v>
      </c>
      <c r="L874">
        <v>16.7</v>
      </c>
      <c r="M874">
        <v>1786</v>
      </c>
      <c r="N874">
        <v>49</v>
      </c>
      <c r="O874">
        <v>830</v>
      </c>
      <c r="P874" t="s">
        <v>1102</v>
      </c>
      <c r="Q874" s="1">
        <v>11056</v>
      </c>
      <c r="R874">
        <v>21.3</v>
      </c>
      <c r="S874" s="2">
        <v>0</v>
      </c>
      <c r="T874" s="3">
        <v>2.2819444444444446</v>
      </c>
      <c r="U874" s="2">
        <v>0.27</v>
      </c>
      <c r="V874" t="s">
        <v>1943</v>
      </c>
      <c r="W874" t="s">
        <v>1944</v>
      </c>
      <c r="X874" t="b">
        <v>0</v>
      </c>
      <c r="Y874" t="b">
        <v>0</v>
      </c>
    </row>
    <row r="875" spans="1:25">
      <c r="A875">
        <v>8740</v>
      </c>
      <c r="B875" t="s">
        <v>1799</v>
      </c>
      <c r="C875" t="s">
        <v>1945</v>
      </c>
      <c r="D875" t="s">
        <v>1801</v>
      </c>
      <c r="E875">
        <v>8740</v>
      </c>
      <c r="F875">
        <v>48</v>
      </c>
      <c r="G875">
        <v>159</v>
      </c>
      <c r="H875">
        <v>18.8</v>
      </c>
      <c r="I875">
        <v>875</v>
      </c>
      <c r="J875">
        <v>41.6</v>
      </c>
      <c r="K875">
        <v>1194</v>
      </c>
      <c r="L875">
        <v>39.799999999999997</v>
      </c>
      <c r="M875">
        <v>983</v>
      </c>
      <c r="N875">
        <v>39.299999999999997</v>
      </c>
      <c r="O875">
        <v>1142</v>
      </c>
      <c r="P875" t="s">
        <v>29</v>
      </c>
      <c r="Q875" s="1">
        <v>10199</v>
      </c>
      <c r="R875">
        <v>9.6999999999999993</v>
      </c>
      <c r="S875" s="2">
        <v>0.05</v>
      </c>
      <c r="T875" s="3">
        <v>2.9784722222222224</v>
      </c>
      <c r="U875" s="2">
        <v>0.24</v>
      </c>
      <c r="V875" t="s">
        <v>1945</v>
      </c>
      <c r="W875" t="s">
        <v>1946</v>
      </c>
      <c r="X875" t="b">
        <v>0</v>
      </c>
      <c r="Y875" t="b">
        <v>0</v>
      </c>
    </row>
    <row r="876" spans="1:25">
      <c r="A876">
        <v>8750</v>
      </c>
      <c r="B876" t="s">
        <v>1799</v>
      </c>
      <c r="C876" t="s">
        <v>1947</v>
      </c>
      <c r="D876" t="s">
        <v>1801</v>
      </c>
      <c r="E876">
        <v>8750</v>
      </c>
      <c r="F876">
        <v>27.6</v>
      </c>
      <c r="G876">
        <v>833</v>
      </c>
      <c r="H876">
        <v>14.4</v>
      </c>
      <c r="I876">
        <v>1164</v>
      </c>
      <c r="J876">
        <v>59.3</v>
      </c>
      <c r="K876">
        <v>797</v>
      </c>
      <c r="L876">
        <v>24.4</v>
      </c>
      <c r="M876">
        <v>1355</v>
      </c>
      <c r="N876">
        <v>41</v>
      </c>
      <c r="O876">
        <v>1082</v>
      </c>
      <c r="P876" t="s">
        <v>1895</v>
      </c>
      <c r="Q876" s="1">
        <v>41269</v>
      </c>
      <c r="R876">
        <v>19.7</v>
      </c>
      <c r="S876" s="2">
        <v>0</v>
      </c>
      <c r="T876" s="3">
        <v>2.1180555555555554</v>
      </c>
      <c r="U876" s="2">
        <v>0.19</v>
      </c>
      <c r="V876" t="s">
        <v>1947</v>
      </c>
      <c r="W876" t="s">
        <v>1948</v>
      </c>
      <c r="X876" t="b">
        <v>0</v>
      </c>
      <c r="Y876" t="b">
        <v>0</v>
      </c>
    </row>
    <row r="877" spans="1:25">
      <c r="A877">
        <v>8760</v>
      </c>
      <c r="B877" t="s">
        <v>1799</v>
      </c>
      <c r="C877" t="s">
        <v>1949</v>
      </c>
      <c r="D877" t="s">
        <v>1801</v>
      </c>
      <c r="E877">
        <v>8760</v>
      </c>
      <c r="F877">
        <v>30.8</v>
      </c>
      <c r="G877">
        <v>649</v>
      </c>
      <c r="H877">
        <v>12</v>
      </c>
      <c r="I877">
        <v>1408</v>
      </c>
      <c r="J877">
        <v>65.7</v>
      </c>
      <c r="K877">
        <v>658</v>
      </c>
      <c r="L877">
        <v>17.2</v>
      </c>
      <c r="M877">
        <v>1737</v>
      </c>
      <c r="N877">
        <v>23.4</v>
      </c>
      <c r="O877">
        <v>1767</v>
      </c>
      <c r="P877" t="s">
        <v>795</v>
      </c>
      <c r="Q877" s="1">
        <v>2854</v>
      </c>
      <c r="R877">
        <v>13.2</v>
      </c>
      <c r="S877" s="2">
        <v>0.05</v>
      </c>
      <c r="T877" s="3">
        <v>2.2000000000000002</v>
      </c>
      <c r="U877" s="2">
        <v>7.0000000000000007E-2</v>
      </c>
      <c r="V877" t="s">
        <v>1949</v>
      </c>
      <c r="W877" t="s">
        <v>1199</v>
      </c>
      <c r="X877" t="b">
        <v>0</v>
      </c>
      <c r="Y877" t="b">
        <v>0</v>
      </c>
    </row>
    <row r="878" spans="1:25">
      <c r="A878">
        <v>8770</v>
      </c>
      <c r="B878" t="s">
        <v>1799</v>
      </c>
      <c r="C878" t="s">
        <v>1950</v>
      </c>
      <c r="D878" t="s">
        <v>1801</v>
      </c>
      <c r="E878">
        <v>8770</v>
      </c>
      <c r="F878">
        <v>42.9</v>
      </c>
      <c r="G878">
        <v>241</v>
      </c>
      <c r="H878">
        <v>25.1</v>
      </c>
      <c r="I878">
        <v>606</v>
      </c>
      <c r="J878">
        <v>35.700000000000003</v>
      </c>
      <c r="K878">
        <v>1310</v>
      </c>
      <c r="L878">
        <v>25.4</v>
      </c>
      <c r="M878">
        <v>1322</v>
      </c>
      <c r="N878">
        <v>38.9</v>
      </c>
      <c r="O878">
        <v>1155</v>
      </c>
      <c r="P878" t="s">
        <v>528</v>
      </c>
      <c r="Q878" s="1">
        <v>1654</v>
      </c>
      <c r="R878">
        <v>11.1</v>
      </c>
      <c r="S878" s="2">
        <v>0</v>
      </c>
      <c r="T878" t="s">
        <v>145</v>
      </c>
      <c r="U878" s="2">
        <v>0.44</v>
      </c>
      <c r="V878" t="s">
        <v>1950</v>
      </c>
      <c r="W878" t="s">
        <v>1951</v>
      </c>
      <c r="X878" t="b">
        <v>0</v>
      </c>
      <c r="Y878" t="b">
        <v>0</v>
      </c>
    </row>
    <row r="879" spans="1:25">
      <c r="A879">
        <v>8780</v>
      </c>
      <c r="B879" t="s">
        <v>1799</v>
      </c>
      <c r="C879" t="s">
        <v>1952</v>
      </c>
      <c r="D879" t="s">
        <v>1801</v>
      </c>
      <c r="E879">
        <v>8780</v>
      </c>
      <c r="F879">
        <v>41.1</v>
      </c>
      <c r="G879">
        <v>277</v>
      </c>
      <c r="H879">
        <v>27.2</v>
      </c>
      <c r="I879">
        <v>534</v>
      </c>
      <c r="J879">
        <v>39</v>
      </c>
      <c r="K879">
        <v>1243</v>
      </c>
      <c r="L879">
        <v>26.5</v>
      </c>
      <c r="M879">
        <v>1283</v>
      </c>
      <c r="N879">
        <v>29.6</v>
      </c>
      <c r="O879">
        <v>1514</v>
      </c>
      <c r="P879" t="s">
        <v>528</v>
      </c>
      <c r="Q879" s="1">
        <v>1848</v>
      </c>
      <c r="R879">
        <v>14.9</v>
      </c>
      <c r="S879" s="2">
        <v>0</v>
      </c>
      <c r="T879" t="s">
        <v>336</v>
      </c>
      <c r="U879" s="2">
        <v>0.49</v>
      </c>
      <c r="V879" t="s">
        <v>1952</v>
      </c>
      <c r="W879" t="s">
        <v>1953</v>
      </c>
      <c r="X879" t="b">
        <v>0</v>
      </c>
      <c r="Y879" t="b">
        <v>0</v>
      </c>
    </row>
    <row r="880" spans="1:25">
      <c r="A880">
        <v>8790</v>
      </c>
      <c r="B880" t="s">
        <v>1799</v>
      </c>
      <c r="C880" t="s">
        <v>1954</v>
      </c>
      <c r="D880" t="s">
        <v>1801</v>
      </c>
      <c r="E880">
        <v>8790</v>
      </c>
      <c r="F880">
        <v>45.5</v>
      </c>
      <c r="G880">
        <v>197</v>
      </c>
      <c r="H880">
        <v>23.1</v>
      </c>
      <c r="I880">
        <v>683</v>
      </c>
      <c r="J880">
        <v>29.2</v>
      </c>
      <c r="K880">
        <v>1463</v>
      </c>
      <c r="L880">
        <v>51.9</v>
      </c>
      <c r="M880">
        <v>775</v>
      </c>
      <c r="N880">
        <v>60.3</v>
      </c>
      <c r="O880">
        <v>577</v>
      </c>
      <c r="P880" t="s">
        <v>1955</v>
      </c>
      <c r="Q880" s="1">
        <v>41222</v>
      </c>
      <c r="R880">
        <v>7.9</v>
      </c>
      <c r="S880" s="2">
        <v>0.14000000000000001</v>
      </c>
      <c r="T880" s="3">
        <v>2.9375</v>
      </c>
      <c r="U880" s="2">
        <v>0.24</v>
      </c>
      <c r="V880" t="s">
        <v>1956</v>
      </c>
      <c r="W880" t="s">
        <v>1957</v>
      </c>
      <c r="X880" t="b">
        <v>0</v>
      </c>
      <c r="Y880" t="b">
        <v>0</v>
      </c>
    </row>
    <row r="881" spans="1:25">
      <c r="A881">
        <v>8800</v>
      </c>
      <c r="B881" t="s">
        <v>1799</v>
      </c>
      <c r="C881" t="s">
        <v>1958</v>
      </c>
      <c r="D881" t="s">
        <v>1801</v>
      </c>
      <c r="E881">
        <v>8800</v>
      </c>
      <c r="F881">
        <v>22.8</v>
      </c>
      <c r="G881">
        <v>1165</v>
      </c>
      <c r="H881">
        <v>16</v>
      </c>
      <c r="I881">
        <v>1046</v>
      </c>
      <c r="J881">
        <v>66.2</v>
      </c>
      <c r="K881">
        <v>647</v>
      </c>
      <c r="L881">
        <v>57.8</v>
      </c>
      <c r="M881">
        <v>688</v>
      </c>
      <c r="N881">
        <v>44.6</v>
      </c>
      <c r="O881">
        <v>972</v>
      </c>
      <c r="P881" t="s">
        <v>528</v>
      </c>
      <c r="Q881" s="1">
        <v>2714</v>
      </c>
      <c r="R881">
        <v>23.4</v>
      </c>
      <c r="S881" s="2">
        <v>0.05</v>
      </c>
      <c r="T881">
        <v>0.92986111111111114</v>
      </c>
      <c r="U881" s="2">
        <v>0.41</v>
      </c>
      <c r="V881" t="s">
        <v>1958</v>
      </c>
      <c r="W881" t="s">
        <v>1959</v>
      </c>
      <c r="X881" t="b">
        <v>0</v>
      </c>
      <c r="Y881" t="b">
        <v>0</v>
      </c>
    </row>
    <row r="882" spans="1:25">
      <c r="A882">
        <v>8810</v>
      </c>
      <c r="B882" t="s">
        <v>1799</v>
      </c>
      <c r="C882" t="s">
        <v>1960</v>
      </c>
      <c r="D882" t="s">
        <v>1801</v>
      </c>
      <c r="E882">
        <v>8810</v>
      </c>
      <c r="F882">
        <v>31.2</v>
      </c>
      <c r="G882">
        <v>631</v>
      </c>
      <c r="H882">
        <v>27.2</v>
      </c>
      <c r="I882">
        <v>535</v>
      </c>
      <c r="J882">
        <v>41.7</v>
      </c>
      <c r="K882">
        <v>1191</v>
      </c>
      <c r="L882">
        <v>83.9</v>
      </c>
      <c r="M882">
        <v>220</v>
      </c>
      <c r="N882">
        <v>38.799999999999997</v>
      </c>
      <c r="O882">
        <v>1160</v>
      </c>
      <c r="P882" t="s">
        <v>181</v>
      </c>
      <c r="Q882" s="1">
        <v>16035</v>
      </c>
      <c r="R882">
        <v>19.2</v>
      </c>
      <c r="S882" s="2">
        <v>0.08</v>
      </c>
      <c r="T882" s="3">
        <v>1.7902777777777779</v>
      </c>
      <c r="U882" s="2">
        <v>0.34</v>
      </c>
      <c r="V882" t="s">
        <v>1960</v>
      </c>
      <c r="W882" t="s">
        <v>1961</v>
      </c>
      <c r="X882" t="b">
        <v>0</v>
      </c>
      <c r="Y882" t="b">
        <v>0</v>
      </c>
    </row>
    <row r="883" spans="1:25">
      <c r="A883">
        <v>8820</v>
      </c>
      <c r="B883" t="s">
        <v>1799</v>
      </c>
      <c r="C883" t="s">
        <v>1962</v>
      </c>
      <c r="D883" t="s">
        <v>1801</v>
      </c>
      <c r="E883">
        <v>8820</v>
      </c>
      <c r="F883">
        <v>22.8</v>
      </c>
      <c r="G883">
        <v>1166</v>
      </c>
      <c r="H883">
        <v>17.600000000000001</v>
      </c>
      <c r="I883">
        <v>938</v>
      </c>
      <c r="J883">
        <v>57</v>
      </c>
      <c r="K883">
        <v>848</v>
      </c>
      <c r="L883">
        <v>21.2</v>
      </c>
      <c r="M883">
        <v>1475</v>
      </c>
      <c r="N883">
        <v>65.900000000000006</v>
      </c>
      <c r="O883">
        <v>465</v>
      </c>
      <c r="P883" t="s">
        <v>386</v>
      </c>
      <c r="Q883" s="1">
        <v>5121</v>
      </c>
      <c r="R883">
        <v>12.9</v>
      </c>
      <c r="S883" s="2">
        <v>0.27</v>
      </c>
      <c r="T883" s="3">
        <v>2.6916666666666669</v>
      </c>
      <c r="U883" s="2">
        <v>0.09</v>
      </c>
      <c r="V883" t="s">
        <v>1962</v>
      </c>
      <c r="W883" t="s">
        <v>1963</v>
      </c>
      <c r="X883" t="b">
        <v>0</v>
      </c>
      <c r="Y883" t="b">
        <v>0</v>
      </c>
    </row>
    <row r="884" spans="1:25">
      <c r="A884">
        <v>8830</v>
      </c>
      <c r="B884" t="s">
        <v>1799</v>
      </c>
      <c r="C884" t="s">
        <v>1964</v>
      </c>
      <c r="D884" t="s">
        <v>1801</v>
      </c>
      <c r="E884">
        <v>8830</v>
      </c>
      <c r="F884">
        <v>17.3</v>
      </c>
      <c r="G884">
        <v>1609</v>
      </c>
      <c r="H884">
        <v>11.2</v>
      </c>
      <c r="I884">
        <v>1501</v>
      </c>
      <c r="J884">
        <v>72.7</v>
      </c>
      <c r="K884">
        <v>491</v>
      </c>
      <c r="L884">
        <v>17.600000000000001</v>
      </c>
      <c r="M884">
        <v>1694</v>
      </c>
      <c r="N884">
        <v>60</v>
      </c>
      <c r="O884">
        <v>584</v>
      </c>
      <c r="P884" t="s">
        <v>1102</v>
      </c>
      <c r="Q884" s="1">
        <v>23650</v>
      </c>
      <c r="R884">
        <v>21.8</v>
      </c>
      <c r="S884" s="2">
        <v>7.0000000000000007E-2</v>
      </c>
      <c r="T884" s="3">
        <v>2.2819444444444446</v>
      </c>
      <c r="U884" s="2">
        <v>0.32</v>
      </c>
      <c r="V884" t="s">
        <v>1964</v>
      </c>
      <c r="W884" t="s">
        <v>1965</v>
      </c>
      <c r="X884" t="b">
        <v>0</v>
      </c>
      <c r="Y884" t="b">
        <v>0</v>
      </c>
    </row>
    <row r="885" spans="1:25">
      <c r="A885">
        <v>8840</v>
      </c>
      <c r="B885" t="s">
        <v>1799</v>
      </c>
      <c r="C885" t="s">
        <v>1966</v>
      </c>
      <c r="D885" t="s">
        <v>1801</v>
      </c>
      <c r="E885">
        <v>8840</v>
      </c>
      <c r="F885">
        <v>45.6</v>
      </c>
      <c r="G885">
        <v>194</v>
      </c>
      <c r="H885">
        <v>13.6</v>
      </c>
      <c r="I885">
        <v>1237</v>
      </c>
      <c r="J885">
        <v>47</v>
      </c>
      <c r="K885">
        <v>1079</v>
      </c>
      <c r="L885">
        <v>25.6</v>
      </c>
      <c r="M885">
        <v>1312</v>
      </c>
      <c r="N885">
        <v>25.4</v>
      </c>
      <c r="O885">
        <v>1688</v>
      </c>
      <c r="P885" t="s">
        <v>795</v>
      </c>
      <c r="Q885" s="1">
        <v>10944</v>
      </c>
      <c r="R885">
        <v>10.199999999999999</v>
      </c>
      <c r="S885" s="2">
        <v>0.03</v>
      </c>
      <c r="T885" s="3">
        <v>2.5277777777777777</v>
      </c>
      <c r="U885" s="2">
        <v>0.1</v>
      </c>
      <c r="V885" t="s">
        <v>1966</v>
      </c>
      <c r="W885" t="s">
        <v>253</v>
      </c>
      <c r="X885" t="b">
        <v>0</v>
      </c>
      <c r="Y885" t="b">
        <v>0</v>
      </c>
    </row>
    <row r="886" spans="1:25">
      <c r="A886">
        <v>8850</v>
      </c>
      <c r="B886" t="s">
        <v>1799</v>
      </c>
      <c r="C886" t="s">
        <v>1967</v>
      </c>
      <c r="D886" t="s">
        <v>1801</v>
      </c>
      <c r="E886">
        <v>8850</v>
      </c>
      <c r="F886">
        <v>21.4</v>
      </c>
      <c r="G886">
        <v>1277</v>
      </c>
      <c r="H886">
        <v>11.1</v>
      </c>
      <c r="I886">
        <v>1511</v>
      </c>
      <c r="J886">
        <v>62.9</v>
      </c>
      <c r="K886">
        <v>709</v>
      </c>
      <c r="L886">
        <v>17.100000000000001</v>
      </c>
      <c r="M886">
        <v>1745</v>
      </c>
      <c r="N886">
        <v>55.6</v>
      </c>
      <c r="O886">
        <v>667</v>
      </c>
      <c r="P886" t="s">
        <v>1102</v>
      </c>
      <c r="Q886" s="1">
        <v>6738</v>
      </c>
      <c r="R886">
        <v>24.4</v>
      </c>
      <c r="S886" s="2">
        <v>0.03</v>
      </c>
      <c r="T886" t="s">
        <v>529</v>
      </c>
      <c r="U886" s="2">
        <v>0.32</v>
      </c>
      <c r="V886" t="s">
        <v>1967</v>
      </c>
      <c r="W886" t="s">
        <v>1968</v>
      </c>
      <c r="X886" t="b">
        <v>0</v>
      </c>
      <c r="Y886" t="b">
        <v>0</v>
      </c>
    </row>
    <row r="887" spans="1:25">
      <c r="A887">
        <v>8860</v>
      </c>
      <c r="B887" t="s">
        <v>1799</v>
      </c>
      <c r="C887" t="s">
        <v>1969</v>
      </c>
      <c r="D887" t="s">
        <v>1801</v>
      </c>
      <c r="E887">
        <v>8860</v>
      </c>
      <c r="F887">
        <v>20.7</v>
      </c>
      <c r="G887">
        <v>1322</v>
      </c>
      <c r="H887">
        <v>18.8</v>
      </c>
      <c r="I887">
        <v>877</v>
      </c>
      <c r="J887">
        <v>64.2</v>
      </c>
      <c r="K887">
        <v>689</v>
      </c>
      <c r="L887">
        <v>41</v>
      </c>
      <c r="M887">
        <v>954</v>
      </c>
      <c r="N887">
        <v>45.4</v>
      </c>
      <c r="O887">
        <v>948</v>
      </c>
      <c r="P887" t="s">
        <v>386</v>
      </c>
      <c r="Q887" s="1">
        <v>13321</v>
      </c>
      <c r="R887">
        <v>16.100000000000001</v>
      </c>
      <c r="S887" s="2">
        <v>7.0000000000000007E-2</v>
      </c>
      <c r="T887" s="3">
        <v>2.4048611111111109</v>
      </c>
      <c r="U887" s="2">
        <v>0.3</v>
      </c>
      <c r="V887" t="s">
        <v>1969</v>
      </c>
      <c r="W887" t="s">
        <v>1970</v>
      </c>
      <c r="X887" t="b">
        <v>0</v>
      </c>
      <c r="Y887" t="b">
        <v>0</v>
      </c>
    </row>
    <row r="888" spans="1:25">
      <c r="A888">
        <v>8870</v>
      </c>
      <c r="B888" t="s">
        <v>1799</v>
      </c>
      <c r="C888" t="s">
        <v>1971</v>
      </c>
      <c r="D888" t="s">
        <v>1801</v>
      </c>
      <c r="E888">
        <v>8870</v>
      </c>
      <c r="F888">
        <v>24.1</v>
      </c>
      <c r="G888">
        <v>1075</v>
      </c>
      <c r="H888">
        <v>8.9</v>
      </c>
      <c r="I888">
        <v>1811</v>
      </c>
      <c r="J888">
        <v>71.900000000000006</v>
      </c>
      <c r="K888">
        <v>510</v>
      </c>
      <c r="L888">
        <v>19.5</v>
      </c>
      <c r="M888">
        <v>1562</v>
      </c>
      <c r="N888">
        <v>49.7</v>
      </c>
      <c r="O888">
        <v>812</v>
      </c>
      <c r="P888" t="s">
        <v>1846</v>
      </c>
      <c r="Q888" s="1">
        <v>12649</v>
      </c>
      <c r="R888">
        <v>17.3</v>
      </c>
      <c r="S888" s="2">
        <v>0</v>
      </c>
      <c r="T888" s="3">
        <v>2.0770833333333334</v>
      </c>
      <c r="U888" s="2">
        <v>0.32</v>
      </c>
      <c r="V888" t="s">
        <v>1971</v>
      </c>
      <c r="W888" t="s">
        <v>1972</v>
      </c>
      <c r="X888" t="b">
        <v>0</v>
      </c>
      <c r="Y888" t="b">
        <v>0</v>
      </c>
    </row>
    <row r="889" spans="1:25">
      <c r="A889">
        <v>8880</v>
      </c>
      <c r="B889" t="s">
        <v>1799</v>
      </c>
      <c r="C889" t="s">
        <v>1973</v>
      </c>
      <c r="D889" t="s">
        <v>1801</v>
      </c>
      <c r="E889">
        <v>8880</v>
      </c>
      <c r="F889">
        <v>23</v>
      </c>
      <c r="G889">
        <v>1151</v>
      </c>
      <c r="H889">
        <v>20.5</v>
      </c>
      <c r="I889">
        <v>788</v>
      </c>
      <c r="J889">
        <v>56.5</v>
      </c>
      <c r="K889">
        <v>859</v>
      </c>
      <c r="L889">
        <v>47.7</v>
      </c>
      <c r="M889">
        <v>851</v>
      </c>
      <c r="N889">
        <v>45.7</v>
      </c>
      <c r="O889">
        <v>941</v>
      </c>
      <c r="P889" t="s">
        <v>386</v>
      </c>
      <c r="Q889" s="1">
        <v>12194</v>
      </c>
      <c r="R889">
        <v>15.2</v>
      </c>
      <c r="S889" s="2">
        <v>0.1</v>
      </c>
      <c r="T889" s="3">
        <v>2.4868055555555557</v>
      </c>
      <c r="U889" s="2">
        <v>0.32</v>
      </c>
      <c r="V889" t="s">
        <v>1973</v>
      </c>
      <c r="W889" t="s">
        <v>1974</v>
      </c>
      <c r="X889" t="b">
        <v>0</v>
      </c>
      <c r="Y889" t="b">
        <v>0</v>
      </c>
    </row>
    <row r="890" spans="1:25">
      <c r="A890">
        <v>8890</v>
      </c>
      <c r="B890" t="s">
        <v>1799</v>
      </c>
      <c r="C890" t="s">
        <v>1975</v>
      </c>
      <c r="D890" t="s">
        <v>1801</v>
      </c>
      <c r="E890">
        <v>8890</v>
      </c>
      <c r="F890">
        <v>28.9</v>
      </c>
      <c r="G890">
        <v>750</v>
      </c>
      <c r="H890">
        <v>14.1</v>
      </c>
      <c r="I890">
        <v>1194</v>
      </c>
      <c r="J890">
        <v>60.7</v>
      </c>
      <c r="K890">
        <v>765</v>
      </c>
      <c r="L890">
        <v>17.5</v>
      </c>
      <c r="M890">
        <v>1700</v>
      </c>
      <c r="N890">
        <v>19.600000000000001</v>
      </c>
      <c r="O890">
        <v>1880</v>
      </c>
      <c r="P890" t="s">
        <v>528</v>
      </c>
      <c r="Q890" s="1">
        <v>6175</v>
      </c>
      <c r="R890">
        <v>18.100000000000001</v>
      </c>
      <c r="S890" s="2">
        <v>0</v>
      </c>
      <c r="T890" s="3">
        <v>1.7493055555555554</v>
      </c>
      <c r="U890" s="2">
        <v>0.44</v>
      </c>
      <c r="V890" t="s">
        <v>1975</v>
      </c>
      <c r="W890" t="s">
        <v>1976</v>
      </c>
      <c r="X890" t="b">
        <v>0</v>
      </c>
      <c r="Y890" t="b">
        <v>0</v>
      </c>
    </row>
    <row r="891" spans="1:25">
      <c r="A891">
        <v>8900</v>
      </c>
      <c r="B891" t="s">
        <v>1799</v>
      </c>
      <c r="C891" t="s">
        <v>1977</v>
      </c>
      <c r="D891" t="s">
        <v>1801</v>
      </c>
      <c r="E891">
        <v>8900</v>
      </c>
      <c r="F891">
        <v>23.2</v>
      </c>
      <c r="G891">
        <v>1134</v>
      </c>
      <c r="H891">
        <v>16.5</v>
      </c>
      <c r="I891">
        <v>1009</v>
      </c>
      <c r="J891">
        <v>70.599999999999994</v>
      </c>
      <c r="K891">
        <v>551</v>
      </c>
      <c r="L891">
        <v>22.5</v>
      </c>
      <c r="M891">
        <v>1420</v>
      </c>
      <c r="N891">
        <v>23.8</v>
      </c>
      <c r="O891">
        <v>1750</v>
      </c>
      <c r="P891" t="s">
        <v>528</v>
      </c>
      <c r="Q891" s="1">
        <v>1851</v>
      </c>
      <c r="R891">
        <v>18.5</v>
      </c>
      <c r="S891" s="2">
        <v>0.02</v>
      </c>
      <c r="T891" t="s">
        <v>529</v>
      </c>
      <c r="U891" s="2">
        <v>0.38</v>
      </c>
      <c r="V891" t="s">
        <v>1977</v>
      </c>
      <c r="W891" t="s">
        <v>1978</v>
      </c>
      <c r="X891" t="b">
        <v>0</v>
      </c>
      <c r="Y891" t="b">
        <v>0</v>
      </c>
    </row>
    <row r="892" spans="1:25">
      <c r="A892">
        <v>8910</v>
      </c>
      <c r="B892" t="s">
        <v>1799</v>
      </c>
      <c r="C892" t="s">
        <v>1979</v>
      </c>
      <c r="D892" t="s">
        <v>1801</v>
      </c>
      <c r="E892">
        <v>8910</v>
      </c>
      <c r="F892">
        <v>21</v>
      </c>
      <c r="G892">
        <v>1301</v>
      </c>
      <c r="H892">
        <v>9.9</v>
      </c>
      <c r="I892">
        <v>1653</v>
      </c>
      <c r="J892">
        <v>67.3</v>
      </c>
      <c r="K892">
        <v>615</v>
      </c>
      <c r="L892">
        <v>19.399999999999999</v>
      </c>
      <c r="M892">
        <v>1566</v>
      </c>
      <c r="N892">
        <v>77.400000000000006</v>
      </c>
      <c r="O892">
        <v>288</v>
      </c>
      <c r="P892" t="s">
        <v>534</v>
      </c>
      <c r="Q892" s="1">
        <v>23176</v>
      </c>
      <c r="R892">
        <v>12.4</v>
      </c>
      <c r="S892" s="2">
        <v>0.04</v>
      </c>
      <c r="T892" s="3">
        <v>2.5277777777777777</v>
      </c>
      <c r="U892" s="2">
        <v>0.25</v>
      </c>
      <c r="V892" t="s">
        <v>1979</v>
      </c>
      <c r="W892" t="s">
        <v>1980</v>
      </c>
      <c r="X892" t="b">
        <v>0</v>
      </c>
      <c r="Y892" t="b">
        <v>0</v>
      </c>
    </row>
    <row r="893" spans="1:25">
      <c r="A893">
        <v>8920</v>
      </c>
      <c r="B893" t="s">
        <v>1799</v>
      </c>
      <c r="C893" t="s">
        <v>1981</v>
      </c>
      <c r="D893" t="s">
        <v>1801</v>
      </c>
      <c r="E893">
        <v>8920</v>
      </c>
      <c r="F893">
        <v>30.2</v>
      </c>
      <c r="G893">
        <v>679</v>
      </c>
      <c r="H893">
        <v>27.3</v>
      </c>
      <c r="I893">
        <v>531</v>
      </c>
      <c r="J893">
        <v>45</v>
      </c>
      <c r="K893">
        <v>1121</v>
      </c>
      <c r="L893">
        <v>68.099999999999994</v>
      </c>
      <c r="M893">
        <v>478</v>
      </c>
      <c r="N893">
        <v>34.1</v>
      </c>
      <c r="O893">
        <v>1353</v>
      </c>
      <c r="P893" t="s">
        <v>181</v>
      </c>
      <c r="Q893" s="1">
        <v>20118</v>
      </c>
      <c r="R893">
        <v>19.600000000000001</v>
      </c>
      <c r="S893" s="2">
        <v>7.0000000000000007E-2</v>
      </c>
      <c r="T893" s="3">
        <v>1.9541666666666666</v>
      </c>
      <c r="U893" s="2">
        <v>0.25</v>
      </c>
      <c r="V893" t="s">
        <v>1982</v>
      </c>
      <c r="W893" t="s">
        <v>1983</v>
      </c>
      <c r="X893" t="b">
        <v>0</v>
      </c>
      <c r="Y893" t="b">
        <v>0</v>
      </c>
    </row>
    <row r="894" spans="1:25">
      <c r="A894">
        <v>8930</v>
      </c>
      <c r="B894" t="s">
        <v>1799</v>
      </c>
      <c r="C894" t="s">
        <v>1984</v>
      </c>
      <c r="D894" t="s">
        <v>1801</v>
      </c>
      <c r="E894">
        <v>8930</v>
      </c>
      <c r="F894">
        <v>24.7</v>
      </c>
      <c r="G894">
        <v>1028</v>
      </c>
      <c r="H894">
        <v>22.4</v>
      </c>
      <c r="I894">
        <v>717</v>
      </c>
      <c r="J894">
        <v>60.2</v>
      </c>
      <c r="K894">
        <v>772</v>
      </c>
      <c r="L894">
        <v>76.599999999999994</v>
      </c>
      <c r="M894">
        <v>308</v>
      </c>
      <c r="N894">
        <v>24</v>
      </c>
      <c r="O894">
        <v>1744</v>
      </c>
      <c r="P894" t="s">
        <v>54</v>
      </c>
      <c r="Q894" s="1">
        <v>31018</v>
      </c>
      <c r="R894">
        <v>12.9</v>
      </c>
      <c r="S894" s="2">
        <v>0.01</v>
      </c>
      <c r="U894" s="2">
        <v>0.3</v>
      </c>
      <c r="V894" t="s">
        <v>1985</v>
      </c>
      <c r="W894" t="s">
        <v>1986</v>
      </c>
      <c r="X894" t="b">
        <v>0</v>
      </c>
      <c r="Y894" t="b">
        <v>0</v>
      </c>
    </row>
    <row r="895" spans="1:25">
      <c r="A895">
        <v>8940</v>
      </c>
      <c r="B895" t="s">
        <v>1799</v>
      </c>
      <c r="C895" t="s">
        <v>1987</v>
      </c>
      <c r="D895" t="s">
        <v>1801</v>
      </c>
      <c r="E895">
        <v>8940</v>
      </c>
      <c r="F895">
        <v>19.8</v>
      </c>
      <c r="G895">
        <v>1390</v>
      </c>
      <c r="H895">
        <v>13.6</v>
      </c>
      <c r="I895">
        <v>1240</v>
      </c>
      <c r="J895">
        <v>67.3</v>
      </c>
      <c r="K895">
        <v>616</v>
      </c>
      <c r="L895">
        <v>40.799999999999997</v>
      </c>
      <c r="M895">
        <v>961</v>
      </c>
      <c r="N895">
        <v>61.1</v>
      </c>
      <c r="O895">
        <v>560</v>
      </c>
      <c r="P895" t="s">
        <v>1554</v>
      </c>
      <c r="Q895" s="1">
        <v>21161</v>
      </c>
      <c r="R895">
        <v>13.3</v>
      </c>
      <c r="S895" s="2">
        <v>0.17</v>
      </c>
      <c r="T895" s="3">
        <v>2.3638888888888889</v>
      </c>
      <c r="U895" s="2">
        <v>0.25</v>
      </c>
      <c r="V895" t="s">
        <v>1987</v>
      </c>
      <c r="W895" t="s">
        <v>1988</v>
      </c>
      <c r="X895" t="b">
        <v>0</v>
      </c>
      <c r="Y895" t="b">
        <v>0</v>
      </c>
    </row>
    <row r="896" spans="1:25">
      <c r="A896">
        <v>8950</v>
      </c>
      <c r="B896" t="s">
        <v>1799</v>
      </c>
      <c r="C896" t="s">
        <v>1989</v>
      </c>
      <c r="D896" t="s">
        <v>1801</v>
      </c>
      <c r="E896">
        <v>8950</v>
      </c>
      <c r="F896">
        <v>39.700000000000003</v>
      </c>
      <c r="G896">
        <v>317</v>
      </c>
      <c r="H896">
        <v>10.6</v>
      </c>
      <c r="I896">
        <v>1573</v>
      </c>
      <c r="J896">
        <v>51.9</v>
      </c>
      <c r="K896">
        <v>968</v>
      </c>
      <c r="L896">
        <v>22</v>
      </c>
      <c r="M896">
        <v>1440</v>
      </c>
      <c r="N896">
        <v>51.8</v>
      </c>
      <c r="O896">
        <v>748</v>
      </c>
      <c r="P896" t="s">
        <v>528</v>
      </c>
      <c r="Q896" s="1">
        <v>8315</v>
      </c>
      <c r="R896">
        <v>9.5</v>
      </c>
      <c r="S896" s="2">
        <v>0.08</v>
      </c>
      <c r="T896" s="3">
        <v>2.4458333333333333</v>
      </c>
      <c r="U896" s="2">
        <v>0.2</v>
      </c>
      <c r="V896" t="s">
        <v>1989</v>
      </c>
      <c r="W896" t="s">
        <v>1990</v>
      </c>
      <c r="X896" t="b">
        <v>0</v>
      </c>
      <c r="Y896" t="b">
        <v>0</v>
      </c>
    </row>
    <row r="897" spans="1:25">
      <c r="A897">
        <v>8960</v>
      </c>
      <c r="B897" t="s">
        <v>1799</v>
      </c>
      <c r="C897" t="s">
        <v>1991</v>
      </c>
      <c r="D897" t="s">
        <v>1801</v>
      </c>
      <c r="E897">
        <v>8960</v>
      </c>
      <c r="F897">
        <v>14.7</v>
      </c>
      <c r="G897">
        <v>1771</v>
      </c>
      <c r="H897">
        <v>9.1</v>
      </c>
      <c r="I897">
        <v>1781</v>
      </c>
      <c r="J897">
        <v>76.2</v>
      </c>
      <c r="K897">
        <v>411</v>
      </c>
      <c r="L897">
        <v>20</v>
      </c>
      <c r="M897">
        <v>1531</v>
      </c>
      <c r="N897">
        <v>51.9</v>
      </c>
      <c r="O897">
        <v>743</v>
      </c>
      <c r="P897" t="s">
        <v>1483</v>
      </c>
      <c r="Q897" s="1">
        <v>72606</v>
      </c>
      <c r="R897">
        <v>28.7</v>
      </c>
      <c r="S897" s="2">
        <v>0.02</v>
      </c>
      <c r="T897" s="3">
        <v>2.036111111111111</v>
      </c>
      <c r="U897" s="2">
        <v>0.26</v>
      </c>
      <c r="V897" t="s">
        <v>1991</v>
      </c>
      <c r="W897" t="s">
        <v>1992</v>
      </c>
      <c r="X897" t="b">
        <v>0</v>
      </c>
      <c r="Y897" t="b">
        <v>0</v>
      </c>
    </row>
    <row r="898" spans="1:25">
      <c r="A898">
        <v>8970</v>
      </c>
      <c r="B898" t="s">
        <v>1799</v>
      </c>
      <c r="C898" t="s">
        <v>1993</v>
      </c>
      <c r="D898" t="s">
        <v>1801</v>
      </c>
      <c r="E898">
        <v>8970</v>
      </c>
      <c r="F898">
        <v>29.1</v>
      </c>
      <c r="G898">
        <v>740</v>
      </c>
      <c r="H898">
        <v>8.9</v>
      </c>
      <c r="I898">
        <v>1813</v>
      </c>
      <c r="J898">
        <v>74.8</v>
      </c>
      <c r="K898">
        <v>441</v>
      </c>
      <c r="L898">
        <v>19.899999999999999</v>
      </c>
      <c r="M898">
        <v>1539</v>
      </c>
      <c r="N898">
        <v>30.3</v>
      </c>
      <c r="O898">
        <v>1491</v>
      </c>
      <c r="P898" t="s">
        <v>528</v>
      </c>
      <c r="Q898" s="1">
        <v>8049</v>
      </c>
      <c r="R898">
        <v>7.5</v>
      </c>
      <c r="S898" s="2">
        <v>0.04</v>
      </c>
      <c r="T898" s="3">
        <v>2.3229166666666665</v>
      </c>
      <c r="U898" s="2">
        <v>0.42</v>
      </c>
      <c r="V898" t="s">
        <v>1993</v>
      </c>
      <c r="W898" t="s">
        <v>1994</v>
      </c>
      <c r="X898" t="b">
        <v>0</v>
      </c>
      <c r="Y898" t="b">
        <v>0</v>
      </c>
    </row>
    <row r="899" spans="1:25">
      <c r="A899">
        <v>8980</v>
      </c>
      <c r="B899" t="s">
        <v>1799</v>
      </c>
      <c r="C899" t="s">
        <v>1995</v>
      </c>
      <c r="D899" t="s">
        <v>1801</v>
      </c>
      <c r="E899">
        <v>8980</v>
      </c>
      <c r="F899">
        <v>26.4</v>
      </c>
      <c r="G899">
        <v>916</v>
      </c>
      <c r="H899">
        <v>26.1</v>
      </c>
      <c r="I899">
        <v>567</v>
      </c>
      <c r="J899">
        <v>44</v>
      </c>
      <c r="K899">
        <v>1144</v>
      </c>
      <c r="L899">
        <v>81.3</v>
      </c>
      <c r="M899">
        <v>248</v>
      </c>
      <c r="N899">
        <v>28.7</v>
      </c>
      <c r="O899">
        <v>1552</v>
      </c>
      <c r="P899" t="s">
        <v>389</v>
      </c>
      <c r="Q899" s="1">
        <v>6528</v>
      </c>
      <c r="R899">
        <v>12.2</v>
      </c>
      <c r="S899" s="2">
        <v>0.05</v>
      </c>
      <c r="T899" s="3">
        <v>2.4868055555555557</v>
      </c>
      <c r="U899" s="2">
        <v>0.11</v>
      </c>
      <c r="V899" t="s">
        <v>1995</v>
      </c>
      <c r="W899" t="s">
        <v>1996</v>
      </c>
      <c r="X899" t="b">
        <v>0</v>
      </c>
      <c r="Y899" t="b">
        <v>0</v>
      </c>
    </row>
    <row r="900" spans="1:25">
      <c r="A900">
        <v>8990</v>
      </c>
      <c r="B900" t="s">
        <v>1799</v>
      </c>
      <c r="C900" t="s">
        <v>1997</v>
      </c>
      <c r="D900" t="s">
        <v>1801</v>
      </c>
      <c r="E900">
        <v>8990</v>
      </c>
      <c r="F900">
        <v>44.7</v>
      </c>
      <c r="G900">
        <v>209</v>
      </c>
      <c r="H900">
        <v>21.7</v>
      </c>
      <c r="I900">
        <v>743</v>
      </c>
      <c r="J900">
        <v>32.299999999999997</v>
      </c>
      <c r="K900">
        <v>1396</v>
      </c>
      <c r="L900">
        <v>42.6</v>
      </c>
      <c r="M900">
        <v>929</v>
      </c>
      <c r="N900">
        <v>69.2</v>
      </c>
      <c r="O900">
        <v>418</v>
      </c>
      <c r="P900" t="s">
        <v>255</v>
      </c>
      <c r="Q900" s="1">
        <v>22464</v>
      </c>
      <c r="R900">
        <v>10.8</v>
      </c>
      <c r="S900" s="2">
        <v>0.33</v>
      </c>
      <c r="T900" s="3">
        <v>2.8145833333333332</v>
      </c>
      <c r="U900" s="2">
        <v>0.36</v>
      </c>
      <c r="V900" t="s">
        <v>1997</v>
      </c>
      <c r="W900" t="s">
        <v>1998</v>
      </c>
      <c r="X900" t="b">
        <v>0</v>
      </c>
      <c r="Y900" t="b">
        <v>0</v>
      </c>
    </row>
    <row r="901" spans="1:25">
      <c r="A901">
        <v>9000</v>
      </c>
      <c r="B901" t="s">
        <v>1799</v>
      </c>
      <c r="C901" t="s">
        <v>1999</v>
      </c>
      <c r="D901" t="s">
        <v>1801</v>
      </c>
      <c r="E901">
        <v>9000</v>
      </c>
      <c r="F901">
        <v>19.899999999999999</v>
      </c>
      <c r="G901">
        <v>1381</v>
      </c>
      <c r="H901">
        <v>12.2</v>
      </c>
      <c r="I901">
        <v>1389</v>
      </c>
      <c r="J901">
        <v>68</v>
      </c>
      <c r="K901">
        <v>603</v>
      </c>
      <c r="L901">
        <v>31.4</v>
      </c>
      <c r="M901">
        <v>1153</v>
      </c>
      <c r="N901">
        <v>75.5</v>
      </c>
      <c r="O901">
        <v>324</v>
      </c>
      <c r="P901" t="s">
        <v>534</v>
      </c>
      <c r="Q901" s="1">
        <v>29628</v>
      </c>
      <c r="R901">
        <v>14.5</v>
      </c>
      <c r="S901" s="2">
        <v>0.02</v>
      </c>
      <c r="T901" s="3">
        <v>2.5277777777777777</v>
      </c>
      <c r="U901" s="2">
        <v>0.26</v>
      </c>
      <c r="V901" t="s">
        <v>1999</v>
      </c>
      <c r="W901" t="s">
        <v>2000</v>
      </c>
      <c r="X901" t="b">
        <v>0</v>
      </c>
      <c r="Y901" t="b">
        <v>0</v>
      </c>
    </row>
    <row r="902" spans="1:25">
      <c r="A902">
        <v>9010</v>
      </c>
      <c r="B902" t="s">
        <v>1799</v>
      </c>
      <c r="C902" t="s">
        <v>2001</v>
      </c>
      <c r="D902" t="s">
        <v>1801</v>
      </c>
      <c r="E902">
        <v>9010</v>
      </c>
      <c r="F902">
        <v>21.5</v>
      </c>
      <c r="G902">
        <v>1267</v>
      </c>
      <c r="H902">
        <v>22.1</v>
      </c>
      <c r="I902">
        <v>724</v>
      </c>
      <c r="J902">
        <v>59.5</v>
      </c>
      <c r="K902">
        <v>793</v>
      </c>
      <c r="L902">
        <v>71</v>
      </c>
      <c r="M902">
        <v>408</v>
      </c>
      <c r="N902">
        <v>43.3</v>
      </c>
      <c r="O902">
        <v>1006</v>
      </c>
      <c r="P902" t="s">
        <v>1448</v>
      </c>
      <c r="Q902" s="1">
        <v>15075</v>
      </c>
      <c r="R902">
        <v>20.399999999999999</v>
      </c>
      <c r="S902" s="2">
        <v>0.04</v>
      </c>
      <c r="T902" s="3">
        <v>1.9131944444444444</v>
      </c>
      <c r="U902" s="2">
        <v>0.39</v>
      </c>
      <c r="V902" t="s">
        <v>2001</v>
      </c>
      <c r="W902" t="s">
        <v>2002</v>
      </c>
      <c r="X902" t="b">
        <v>0</v>
      </c>
      <c r="Y902" t="b">
        <v>0</v>
      </c>
    </row>
    <row r="903" spans="1:25">
      <c r="A903">
        <v>9020</v>
      </c>
      <c r="B903" t="s">
        <v>1799</v>
      </c>
      <c r="C903" t="s">
        <v>2003</v>
      </c>
      <c r="D903" t="s">
        <v>1801</v>
      </c>
      <c r="E903">
        <v>9020</v>
      </c>
      <c r="F903">
        <v>20</v>
      </c>
      <c r="G903">
        <v>1375</v>
      </c>
      <c r="H903">
        <v>15.3</v>
      </c>
      <c r="I903">
        <v>1096</v>
      </c>
      <c r="J903">
        <v>53.2</v>
      </c>
      <c r="K903">
        <v>942</v>
      </c>
      <c r="L903">
        <v>52.2</v>
      </c>
      <c r="M903">
        <v>767</v>
      </c>
      <c r="N903">
        <v>91.3</v>
      </c>
      <c r="O903">
        <v>112</v>
      </c>
      <c r="P903" t="s">
        <v>26</v>
      </c>
      <c r="Q903" s="1">
        <v>14660</v>
      </c>
      <c r="R903">
        <v>18.899999999999999</v>
      </c>
      <c r="S903" s="2">
        <v>0.4</v>
      </c>
      <c r="T903" s="3">
        <v>2.4868055555555557</v>
      </c>
      <c r="U903" s="2">
        <v>0.26</v>
      </c>
      <c r="V903" t="s">
        <v>2003</v>
      </c>
      <c r="W903" t="s">
        <v>2004</v>
      </c>
      <c r="X903" t="b">
        <v>0</v>
      </c>
      <c r="Y903" t="b">
        <v>0</v>
      </c>
    </row>
    <row r="904" spans="1:25">
      <c r="A904">
        <v>9030</v>
      </c>
      <c r="B904" t="s">
        <v>1799</v>
      </c>
      <c r="C904" t="s">
        <v>2005</v>
      </c>
      <c r="D904" t="s">
        <v>1801</v>
      </c>
      <c r="E904">
        <v>9030</v>
      </c>
      <c r="F904">
        <v>22.6</v>
      </c>
      <c r="G904">
        <v>1178</v>
      </c>
      <c r="H904">
        <v>21</v>
      </c>
      <c r="I904">
        <v>768</v>
      </c>
      <c r="J904">
        <v>60.2</v>
      </c>
      <c r="K904">
        <v>774</v>
      </c>
      <c r="L904">
        <v>34.799999999999997</v>
      </c>
      <c r="M904">
        <v>1097</v>
      </c>
      <c r="N904">
        <v>35.700000000000003</v>
      </c>
      <c r="O904">
        <v>1292</v>
      </c>
      <c r="P904" t="s">
        <v>795</v>
      </c>
      <c r="Q904" s="1">
        <v>8727</v>
      </c>
      <c r="R904">
        <v>23.1</v>
      </c>
      <c r="S904" s="2">
        <v>0.01</v>
      </c>
      <c r="T904" t="s">
        <v>113</v>
      </c>
      <c r="U904" s="2">
        <v>0.49</v>
      </c>
      <c r="V904" t="s">
        <v>2005</v>
      </c>
      <c r="W904" t="s">
        <v>2006</v>
      </c>
      <c r="X904" t="b">
        <v>0</v>
      </c>
      <c r="Y904" t="b">
        <v>0</v>
      </c>
    </row>
    <row r="905" spans="1:25">
      <c r="A905">
        <v>9040</v>
      </c>
      <c r="B905" t="s">
        <v>1799</v>
      </c>
      <c r="C905" t="s">
        <v>2007</v>
      </c>
      <c r="D905" t="s">
        <v>1801</v>
      </c>
      <c r="E905">
        <v>9040</v>
      </c>
      <c r="F905">
        <v>18</v>
      </c>
      <c r="G905">
        <v>1549</v>
      </c>
      <c r="H905">
        <v>12.3</v>
      </c>
      <c r="I905">
        <v>1381</v>
      </c>
      <c r="J905">
        <v>71.3</v>
      </c>
      <c r="K905">
        <v>531</v>
      </c>
      <c r="L905">
        <v>40.9</v>
      </c>
      <c r="M905">
        <v>958</v>
      </c>
      <c r="N905">
        <v>37.299999999999997</v>
      </c>
      <c r="O905">
        <v>1229</v>
      </c>
      <c r="P905" t="s">
        <v>397</v>
      </c>
      <c r="Q905" s="1">
        <v>5052</v>
      </c>
      <c r="R905">
        <v>16</v>
      </c>
      <c r="S905" s="2">
        <v>0.01</v>
      </c>
      <c r="T905" s="3">
        <v>2.8555555555555556</v>
      </c>
      <c r="U905" s="2">
        <v>0.35</v>
      </c>
      <c r="V905" t="s">
        <v>2007</v>
      </c>
      <c r="W905" t="s">
        <v>2008</v>
      </c>
      <c r="X905" t="b">
        <v>0</v>
      </c>
      <c r="Y905" t="b">
        <v>0</v>
      </c>
    </row>
    <row r="906" spans="1:25">
      <c r="A906">
        <v>9050</v>
      </c>
      <c r="B906" t="s">
        <v>1799</v>
      </c>
      <c r="C906" t="s">
        <v>2009</v>
      </c>
      <c r="D906" t="s">
        <v>1801</v>
      </c>
      <c r="E906">
        <v>9050</v>
      </c>
      <c r="F906">
        <v>33.6</v>
      </c>
      <c r="G906">
        <v>516</v>
      </c>
      <c r="H906">
        <v>19.600000000000001</v>
      </c>
      <c r="I906">
        <v>835</v>
      </c>
      <c r="J906">
        <v>40.9</v>
      </c>
      <c r="K906">
        <v>1205</v>
      </c>
      <c r="L906">
        <v>77.5</v>
      </c>
      <c r="M906">
        <v>295</v>
      </c>
      <c r="N906">
        <v>36.5</v>
      </c>
      <c r="O906">
        <v>1259</v>
      </c>
      <c r="P906" t="s">
        <v>94</v>
      </c>
      <c r="Q906" s="1">
        <v>9384</v>
      </c>
      <c r="R906">
        <v>9.8000000000000007</v>
      </c>
      <c r="S906" s="2">
        <v>0.06</v>
      </c>
      <c r="T906" t="s">
        <v>501</v>
      </c>
      <c r="U906" s="2">
        <v>0.18</v>
      </c>
      <c r="V906" t="s">
        <v>2009</v>
      </c>
      <c r="W906" t="s">
        <v>2010</v>
      </c>
      <c r="X906" t="b">
        <v>0</v>
      </c>
      <c r="Y906" t="b">
        <v>0</v>
      </c>
    </row>
    <row r="907" spans="1:25">
      <c r="A907">
        <v>9060</v>
      </c>
      <c r="B907" t="s">
        <v>1799</v>
      </c>
      <c r="C907" t="s">
        <v>2011</v>
      </c>
      <c r="D907" t="s">
        <v>1801</v>
      </c>
      <c r="E907">
        <v>9060</v>
      </c>
      <c r="F907">
        <v>16.8</v>
      </c>
      <c r="G907">
        <v>1645</v>
      </c>
      <c r="H907">
        <v>14.7</v>
      </c>
      <c r="I907">
        <v>1147</v>
      </c>
      <c r="J907">
        <v>70.8</v>
      </c>
      <c r="K907">
        <v>544</v>
      </c>
      <c r="L907">
        <v>19</v>
      </c>
      <c r="M907">
        <v>1591</v>
      </c>
      <c r="N907">
        <v>35.9</v>
      </c>
      <c r="O907">
        <v>1286</v>
      </c>
      <c r="P907" t="s">
        <v>795</v>
      </c>
      <c r="Q907" s="1">
        <v>12714</v>
      </c>
      <c r="R907">
        <v>32.200000000000003</v>
      </c>
      <c r="S907" s="2">
        <v>0.04</v>
      </c>
      <c r="T907" s="3">
        <v>2.2819444444444446</v>
      </c>
      <c r="U907" s="2">
        <v>0.43</v>
      </c>
      <c r="V907" t="s">
        <v>2011</v>
      </c>
      <c r="W907" t="s">
        <v>2012</v>
      </c>
      <c r="X907" t="b">
        <v>0</v>
      </c>
      <c r="Y907" t="b">
        <v>0</v>
      </c>
    </row>
    <row r="908" spans="1:25">
      <c r="A908">
        <v>9070</v>
      </c>
      <c r="B908" t="s">
        <v>1799</v>
      </c>
      <c r="C908" t="s">
        <v>2013</v>
      </c>
      <c r="D908" t="s">
        <v>1801</v>
      </c>
      <c r="E908">
        <v>9070</v>
      </c>
      <c r="F908">
        <v>33.6</v>
      </c>
      <c r="G908">
        <v>517</v>
      </c>
      <c r="H908">
        <v>16</v>
      </c>
      <c r="I908">
        <v>1047</v>
      </c>
      <c r="J908">
        <v>47.8</v>
      </c>
      <c r="K908">
        <v>1064</v>
      </c>
      <c r="L908">
        <v>68.2</v>
      </c>
      <c r="M908">
        <v>476</v>
      </c>
      <c r="N908">
        <v>20.100000000000001</v>
      </c>
      <c r="O908">
        <v>1866</v>
      </c>
      <c r="P908" t="s">
        <v>94</v>
      </c>
      <c r="Q908" s="1">
        <v>1376</v>
      </c>
      <c r="R908">
        <v>3.2</v>
      </c>
      <c r="S908" s="2">
        <v>0.01</v>
      </c>
      <c r="T908" s="3">
        <v>1.9951388888888888</v>
      </c>
      <c r="U908" s="2">
        <v>0.04</v>
      </c>
      <c r="V908" t="s">
        <v>2013</v>
      </c>
      <c r="W908" t="s">
        <v>1769</v>
      </c>
      <c r="X908" t="b">
        <v>0</v>
      </c>
      <c r="Y908" t="b">
        <v>0</v>
      </c>
    </row>
    <row r="909" spans="1:25">
      <c r="A909">
        <v>9080</v>
      </c>
      <c r="B909" t="s">
        <v>1799</v>
      </c>
      <c r="C909" t="s">
        <v>2014</v>
      </c>
      <c r="D909" t="s">
        <v>1801</v>
      </c>
      <c r="E909">
        <v>9080</v>
      </c>
      <c r="F909">
        <v>17.600000000000001</v>
      </c>
      <c r="G909">
        <v>1587</v>
      </c>
      <c r="H909">
        <v>10.199999999999999</v>
      </c>
      <c r="I909">
        <v>1626</v>
      </c>
      <c r="J909">
        <v>68.8</v>
      </c>
      <c r="K909">
        <v>587</v>
      </c>
      <c r="L909">
        <v>20.3</v>
      </c>
      <c r="M909">
        <v>1520</v>
      </c>
      <c r="N909">
        <v>52.6</v>
      </c>
      <c r="O909">
        <v>726</v>
      </c>
      <c r="P909" t="s">
        <v>1102</v>
      </c>
      <c r="Q909" s="1">
        <v>26010</v>
      </c>
      <c r="R909">
        <v>13.5</v>
      </c>
      <c r="S909" s="2">
        <v>0.02</v>
      </c>
      <c r="T909" t="s">
        <v>696</v>
      </c>
      <c r="U909" s="2">
        <v>0.3</v>
      </c>
      <c r="V909" t="s">
        <v>2014</v>
      </c>
      <c r="W909" t="s">
        <v>2015</v>
      </c>
      <c r="X909" t="b">
        <v>0</v>
      </c>
      <c r="Y909" t="b">
        <v>0</v>
      </c>
    </row>
    <row r="910" spans="1:25">
      <c r="A910">
        <v>9090</v>
      </c>
      <c r="B910" t="s">
        <v>1799</v>
      </c>
      <c r="C910" t="s">
        <v>2016</v>
      </c>
      <c r="D910" t="s">
        <v>1801</v>
      </c>
      <c r="E910">
        <v>9090</v>
      </c>
      <c r="F910">
        <v>23.3</v>
      </c>
      <c r="G910">
        <v>1132</v>
      </c>
      <c r="H910">
        <v>16.7</v>
      </c>
      <c r="I910">
        <v>993</v>
      </c>
      <c r="J910">
        <v>60.2</v>
      </c>
      <c r="K910">
        <v>775</v>
      </c>
      <c r="L910">
        <v>43.1</v>
      </c>
      <c r="M910">
        <v>920</v>
      </c>
      <c r="N910">
        <v>53</v>
      </c>
      <c r="O910">
        <v>715</v>
      </c>
      <c r="P910" t="s">
        <v>1102</v>
      </c>
      <c r="Q910" s="1">
        <v>4735</v>
      </c>
      <c r="R910">
        <v>14.2</v>
      </c>
      <c r="S910" s="2">
        <v>0.02</v>
      </c>
      <c r="T910" s="3">
        <v>1.83125</v>
      </c>
      <c r="U910" s="2">
        <v>0.35</v>
      </c>
      <c r="V910" t="s">
        <v>2016</v>
      </c>
      <c r="W910" t="s">
        <v>2017</v>
      </c>
      <c r="X910" t="b">
        <v>0</v>
      </c>
      <c r="Y910" t="b">
        <v>0</v>
      </c>
    </row>
    <row r="911" spans="1:25">
      <c r="A911">
        <v>9100</v>
      </c>
      <c r="B911" t="s">
        <v>1799</v>
      </c>
      <c r="C911" t="s">
        <v>2018</v>
      </c>
      <c r="D911" t="s">
        <v>1801</v>
      </c>
      <c r="E911">
        <v>9100</v>
      </c>
      <c r="F911">
        <v>17.600000000000001</v>
      </c>
      <c r="G911">
        <v>1588</v>
      </c>
      <c r="H911">
        <v>24</v>
      </c>
      <c r="I911">
        <v>652</v>
      </c>
      <c r="J911">
        <v>51.4</v>
      </c>
      <c r="K911">
        <v>984</v>
      </c>
      <c r="L911">
        <v>48.7</v>
      </c>
      <c r="M911">
        <v>831</v>
      </c>
      <c r="N911">
        <v>59.2</v>
      </c>
      <c r="O911">
        <v>600</v>
      </c>
      <c r="P911" t="s">
        <v>76</v>
      </c>
      <c r="Q911" s="1">
        <v>8434</v>
      </c>
      <c r="R911">
        <v>25</v>
      </c>
      <c r="S911" s="2">
        <v>0.19</v>
      </c>
      <c r="T911" s="3">
        <v>2.3638888888888889</v>
      </c>
      <c r="U911" s="2">
        <v>0.37</v>
      </c>
      <c r="V911" t="s">
        <v>2018</v>
      </c>
      <c r="W911" t="s">
        <v>2019</v>
      </c>
      <c r="X911" t="b">
        <v>0</v>
      </c>
      <c r="Y911" t="b">
        <v>0</v>
      </c>
    </row>
    <row r="912" spans="1:25">
      <c r="A912">
        <v>9110</v>
      </c>
      <c r="B912" t="s">
        <v>1799</v>
      </c>
      <c r="C912" t="s">
        <v>2020</v>
      </c>
      <c r="D912" t="s">
        <v>1801</v>
      </c>
      <c r="E912">
        <v>9110</v>
      </c>
      <c r="F912">
        <v>42.8</v>
      </c>
      <c r="G912">
        <v>245</v>
      </c>
      <c r="H912">
        <v>22.3</v>
      </c>
      <c r="I912">
        <v>719</v>
      </c>
      <c r="J912">
        <v>23.6</v>
      </c>
      <c r="K912">
        <v>1594</v>
      </c>
      <c r="L912">
        <v>17.7</v>
      </c>
      <c r="M912">
        <v>1688</v>
      </c>
      <c r="N912">
        <v>78.8</v>
      </c>
      <c r="O912">
        <v>267</v>
      </c>
      <c r="P912" t="s">
        <v>1178</v>
      </c>
      <c r="Q912" s="1">
        <v>46704</v>
      </c>
      <c r="R912">
        <v>14.6</v>
      </c>
      <c r="S912" s="2">
        <v>0.16</v>
      </c>
      <c r="T912" s="3">
        <v>2.9375</v>
      </c>
      <c r="U912" s="2">
        <v>0.25</v>
      </c>
      <c r="V912" t="s">
        <v>2020</v>
      </c>
      <c r="W912" t="s">
        <v>2021</v>
      </c>
      <c r="X912" t="b">
        <v>0</v>
      </c>
      <c r="Y912" t="b">
        <v>0</v>
      </c>
    </row>
    <row r="913" spans="1:25">
      <c r="A913">
        <v>9120</v>
      </c>
      <c r="B913" t="s">
        <v>1799</v>
      </c>
      <c r="C913" t="s">
        <v>2022</v>
      </c>
      <c r="D913" t="s">
        <v>1801</v>
      </c>
      <c r="E913">
        <v>9120</v>
      </c>
      <c r="F913">
        <v>17.7</v>
      </c>
      <c r="G913">
        <v>1582</v>
      </c>
      <c r="H913">
        <v>16.2</v>
      </c>
      <c r="I913">
        <v>1034</v>
      </c>
      <c r="J913">
        <v>65</v>
      </c>
      <c r="K913">
        <v>674</v>
      </c>
      <c r="L913">
        <v>49.9</v>
      </c>
      <c r="M913">
        <v>810</v>
      </c>
      <c r="N913">
        <v>67.3</v>
      </c>
      <c r="O913">
        <v>441</v>
      </c>
      <c r="P913" t="s">
        <v>26</v>
      </c>
      <c r="Q913" s="1">
        <v>20360</v>
      </c>
      <c r="R913">
        <v>21.9</v>
      </c>
      <c r="S913" s="2">
        <v>0.15</v>
      </c>
      <c r="T913" s="3">
        <v>2.2819444444444446</v>
      </c>
      <c r="U913" s="2">
        <v>0.18</v>
      </c>
      <c r="V913" t="s">
        <v>2023</v>
      </c>
      <c r="W913" t="s">
        <v>2024</v>
      </c>
      <c r="X913" t="b">
        <v>0</v>
      </c>
      <c r="Y913" t="b">
        <v>0</v>
      </c>
    </row>
    <row r="914" spans="1:25">
      <c r="A914">
        <v>9130</v>
      </c>
      <c r="B914" t="s">
        <v>1799</v>
      </c>
      <c r="C914" t="s">
        <v>2025</v>
      </c>
      <c r="D914" t="s">
        <v>1801</v>
      </c>
      <c r="E914">
        <v>9130</v>
      </c>
      <c r="F914">
        <v>27.1</v>
      </c>
      <c r="G914">
        <v>872</v>
      </c>
      <c r="H914">
        <v>12.6</v>
      </c>
      <c r="I914">
        <v>1349</v>
      </c>
      <c r="J914">
        <v>55.5</v>
      </c>
      <c r="K914">
        <v>879</v>
      </c>
      <c r="L914">
        <v>25.5</v>
      </c>
      <c r="M914">
        <v>1320</v>
      </c>
      <c r="N914">
        <v>52.9</v>
      </c>
      <c r="O914">
        <v>719</v>
      </c>
      <c r="P914" t="s">
        <v>2026</v>
      </c>
      <c r="Q914" s="1">
        <v>6376</v>
      </c>
      <c r="R914">
        <v>9.1999999999999993</v>
      </c>
      <c r="S914" s="2">
        <v>0.23</v>
      </c>
      <c r="T914" s="3">
        <v>3.1013888888888888</v>
      </c>
      <c r="U914" s="2">
        <v>0.06</v>
      </c>
      <c r="V914" t="s">
        <v>2025</v>
      </c>
      <c r="W914" t="s">
        <v>2027</v>
      </c>
      <c r="X914" t="b">
        <v>0</v>
      </c>
      <c r="Y914" t="b">
        <v>0</v>
      </c>
    </row>
    <row r="915" spans="1:25">
      <c r="A915">
        <v>9140</v>
      </c>
      <c r="B915" t="s">
        <v>1799</v>
      </c>
      <c r="C915" t="s">
        <v>2028</v>
      </c>
      <c r="D915" t="s">
        <v>1801</v>
      </c>
      <c r="E915">
        <v>9140</v>
      </c>
      <c r="F915">
        <v>24.5</v>
      </c>
      <c r="G915">
        <v>1045</v>
      </c>
      <c r="H915">
        <v>20.100000000000001</v>
      </c>
      <c r="I915">
        <v>806</v>
      </c>
      <c r="J915">
        <v>54.6</v>
      </c>
      <c r="K915">
        <v>896</v>
      </c>
      <c r="L915">
        <v>69.8</v>
      </c>
      <c r="M915">
        <v>436</v>
      </c>
      <c r="N915">
        <v>42.4</v>
      </c>
      <c r="O915">
        <v>1036</v>
      </c>
      <c r="P915" t="s">
        <v>2029</v>
      </c>
      <c r="Q915" s="1">
        <v>40607</v>
      </c>
      <c r="R915">
        <v>13.8</v>
      </c>
      <c r="S915" s="2">
        <v>0.09</v>
      </c>
      <c r="T915" s="3">
        <v>2.5277777777777777</v>
      </c>
      <c r="U915" s="2">
        <v>0.28000000000000003</v>
      </c>
      <c r="V915" t="s">
        <v>2028</v>
      </c>
      <c r="W915" t="s">
        <v>2030</v>
      </c>
      <c r="X915" t="b">
        <v>0</v>
      </c>
      <c r="Y915" t="b">
        <v>0</v>
      </c>
    </row>
    <row r="916" spans="1:25">
      <c r="A916">
        <v>9150</v>
      </c>
      <c r="B916" t="s">
        <v>1799</v>
      </c>
      <c r="C916" t="s">
        <v>2031</v>
      </c>
      <c r="D916" t="s">
        <v>1801</v>
      </c>
      <c r="E916">
        <v>9150</v>
      </c>
      <c r="F916">
        <v>23.5</v>
      </c>
      <c r="G916">
        <v>1112</v>
      </c>
      <c r="H916">
        <v>20.100000000000001</v>
      </c>
      <c r="I916">
        <v>807</v>
      </c>
      <c r="J916">
        <v>58.2</v>
      </c>
      <c r="K916">
        <v>821</v>
      </c>
      <c r="L916">
        <v>57.3</v>
      </c>
      <c r="M916">
        <v>699</v>
      </c>
      <c r="N916">
        <v>45.4</v>
      </c>
      <c r="O916">
        <v>949</v>
      </c>
      <c r="P916" t="s">
        <v>386</v>
      </c>
      <c r="Q916" s="1">
        <v>9474</v>
      </c>
      <c r="R916">
        <v>16.100000000000001</v>
      </c>
      <c r="S916" s="2">
        <v>0.1</v>
      </c>
      <c r="T916" s="3">
        <v>2.4868055555555557</v>
      </c>
      <c r="U916" s="2">
        <v>0.24</v>
      </c>
      <c r="V916" t="s">
        <v>2031</v>
      </c>
      <c r="W916" t="s">
        <v>2032</v>
      </c>
      <c r="X916" t="b">
        <v>0</v>
      </c>
      <c r="Y916" t="b">
        <v>0</v>
      </c>
    </row>
    <row r="917" spans="1:25">
      <c r="A917">
        <v>9160</v>
      </c>
      <c r="B917" t="s">
        <v>1799</v>
      </c>
      <c r="C917" t="s">
        <v>2033</v>
      </c>
      <c r="D917" t="s">
        <v>1801</v>
      </c>
      <c r="E917">
        <v>9160</v>
      </c>
      <c r="F917">
        <v>21.5</v>
      </c>
      <c r="G917">
        <v>1268</v>
      </c>
      <c r="H917">
        <v>12.8</v>
      </c>
      <c r="I917">
        <v>1327</v>
      </c>
      <c r="J917">
        <v>73.7</v>
      </c>
      <c r="K917">
        <v>471</v>
      </c>
      <c r="L917">
        <v>17.5</v>
      </c>
      <c r="M917">
        <v>1701</v>
      </c>
      <c r="N917">
        <v>43.4</v>
      </c>
      <c r="O917">
        <v>1005</v>
      </c>
      <c r="P917" t="s">
        <v>528</v>
      </c>
      <c r="Q917" s="1">
        <v>34961</v>
      </c>
      <c r="R917">
        <v>14.7</v>
      </c>
      <c r="S917" s="2">
        <v>7.0000000000000007E-2</v>
      </c>
      <c r="T917" t="s">
        <v>162</v>
      </c>
      <c r="U917" s="2">
        <v>0.36</v>
      </c>
      <c r="V917" t="s">
        <v>2033</v>
      </c>
      <c r="W917" t="s">
        <v>2034</v>
      </c>
      <c r="X917" t="b">
        <v>0</v>
      </c>
      <c r="Y917" t="b">
        <v>0</v>
      </c>
    </row>
    <row r="918" spans="1:25">
      <c r="A918">
        <v>9170</v>
      </c>
      <c r="B918" t="s">
        <v>1799</v>
      </c>
      <c r="C918" t="s">
        <v>2035</v>
      </c>
      <c r="D918" t="s">
        <v>1801</v>
      </c>
      <c r="E918">
        <v>9170</v>
      </c>
      <c r="F918">
        <v>23.4</v>
      </c>
      <c r="G918">
        <v>1123</v>
      </c>
      <c r="H918">
        <v>25.3</v>
      </c>
      <c r="I918">
        <v>597</v>
      </c>
      <c r="J918">
        <v>39.6</v>
      </c>
      <c r="K918">
        <v>1228</v>
      </c>
      <c r="L918">
        <v>52.1</v>
      </c>
      <c r="M918">
        <v>770</v>
      </c>
      <c r="N918">
        <v>68.099999999999994</v>
      </c>
      <c r="O918">
        <v>431</v>
      </c>
      <c r="P918" t="s">
        <v>2036</v>
      </c>
      <c r="Q918" s="1">
        <v>29510</v>
      </c>
      <c r="R918">
        <v>19.2</v>
      </c>
      <c r="S918" s="2">
        <v>0.03</v>
      </c>
      <c r="T918" s="3">
        <v>1.9541666666666666</v>
      </c>
      <c r="U918" s="2">
        <v>0.13</v>
      </c>
      <c r="V918" t="s">
        <v>2035</v>
      </c>
      <c r="W918" t="s">
        <v>2037</v>
      </c>
      <c r="X918" t="b">
        <v>0</v>
      </c>
      <c r="Y918" t="b">
        <v>0</v>
      </c>
    </row>
    <row r="919" spans="1:25">
      <c r="A919">
        <v>9180</v>
      </c>
      <c r="B919" t="s">
        <v>1799</v>
      </c>
      <c r="C919" t="s">
        <v>2038</v>
      </c>
      <c r="D919" t="s">
        <v>1801</v>
      </c>
      <c r="E919">
        <v>9180</v>
      </c>
      <c r="F919">
        <v>16.8</v>
      </c>
      <c r="G919">
        <v>1646</v>
      </c>
      <c r="H919">
        <v>14</v>
      </c>
      <c r="I919">
        <v>1207</v>
      </c>
      <c r="J919">
        <v>74.099999999999994</v>
      </c>
      <c r="K919">
        <v>465</v>
      </c>
      <c r="L919">
        <v>26.7</v>
      </c>
      <c r="M919">
        <v>1274</v>
      </c>
      <c r="N919">
        <v>49.2</v>
      </c>
      <c r="O919">
        <v>825</v>
      </c>
      <c r="P919" t="s">
        <v>1102</v>
      </c>
      <c r="Q919" s="1">
        <v>8339</v>
      </c>
      <c r="R919">
        <v>32.1</v>
      </c>
      <c r="S919" s="2">
        <v>0.01</v>
      </c>
      <c r="T919" t="s">
        <v>796</v>
      </c>
      <c r="U919" s="2">
        <v>0.34</v>
      </c>
      <c r="V919" t="s">
        <v>2038</v>
      </c>
      <c r="W919" t="s">
        <v>2039</v>
      </c>
      <c r="X919" t="b">
        <v>0</v>
      </c>
      <c r="Y919" t="b">
        <v>0</v>
      </c>
    </row>
    <row r="920" spans="1:25">
      <c r="A920">
        <v>9190</v>
      </c>
      <c r="B920" t="s">
        <v>1799</v>
      </c>
      <c r="C920" t="s">
        <v>2040</v>
      </c>
      <c r="D920" t="s">
        <v>1801</v>
      </c>
      <c r="E920">
        <v>9190</v>
      </c>
      <c r="F920">
        <v>23.4</v>
      </c>
      <c r="G920">
        <v>1124</v>
      </c>
      <c r="H920">
        <v>16.2</v>
      </c>
      <c r="I920">
        <v>1035</v>
      </c>
      <c r="J920">
        <v>60.6</v>
      </c>
      <c r="K920">
        <v>767</v>
      </c>
      <c r="L920">
        <v>20.5</v>
      </c>
      <c r="M920">
        <v>1513</v>
      </c>
      <c r="N920">
        <v>53.8</v>
      </c>
      <c r="O920">
        <v>697</v>
      </c>
      <c r="P920" t="s">
        <v>2041</v>
      </c>
      <c r="Q920" s="1">
        <v>10056</v>
      </c>
      <c r="R920">
        <v>12.3</v>
      </c>
      <c r="S920" s="2">
        <v>0.14000000000000001</v>
      </c>
      <c r="T920" s="3">
        <v>2.4868055555555557</v>
      </c>
      <c r="U920" s="2">
        <v>0.28000000000000003</v>
      </c>
      <c r="V920" t="s">
        <v>2040</v>
      </c>
      <c r="W920" t="s">
        <v>2042</v>
      </c>
      <c r="X920" t="b">
        <v>0</v>
      </c>
      <c r="Y920" t="b">
        <v>0</v>
      </c>
    </row>
    <row r="921" spans="1:25">
      <c r="A921">
        <v>9200</v>
      </c>
      <c r="B921" t="s">
        <v>1799</v>
      </c>
      <c r="C921" t="s">
        <v>2043</v>
      </c>
      <c r="D921" t="s">
        <v>1801</v>
      </c>
      <c r="E921">
        <v>9200</v>
      </c>
      <c r="F921">
        <v>13.8</v>
      </c>
      <c r="G921">
        <v>1813</v>
      </c>
      <c r="H921">
        <v>10.4</v>
      </c>
      <c r="I921">
        <v>1602</v>
      </c>
      <c r="J921">
        <v>80.400000000000006</v>
      </c>
      <c r="K921">
        <v>315</v>
      </c>
      <c r="L921">
        <v>19.100000000000001</v>
      </c>
      <c r="M921">
        <v>1582</v>
      </c>
      <c r="N921">
        <v>51.3</v>
      </c>
      <c r="O921">
        <v>764</v>
      </c>
      <c r="P921" t="s">
        <v>1102</v>
      </c>
      <c r="Q921" s="1">
        <v>23418</v>
      </c>
      <c r="R921">
        <v>22.4</v>
      </c>
      <c r="S921" s="2">
        <v>0.02</v>
      </c>
      <c r="T921" s="3">
        <v>2.1180555555555554</v>
      </c>
      <c r="U921" s="2">
        <v>0.35</v>
      </c>
      <c r="V921" t="s">
        <v>2043</v>
      </c>
      <c r="W921" t="s">
        <v>2044</v>
      </c>
      <c r="X921" t="b">
        <v>0</v>
      </c>
      <c r="Y921" t="b">
        <v>0</v>
      </c>
    </row>
    <row r="922" spans="1:25">
      <c r="A922">
        <v>9210</v>
      </c>
      <c r="B922" t="s">
        <v>1799</v>
      </c>
      <c r="C922" t="s">
        <v>2045</v>
      </c>
      <c r="D922" t="s">
        <v>1801</v>
      </c>
      <c r="E922">
        <v>9210</v>
      </c>
      <c r="F922">
        <v>19.5</v>
      </c>
      <c r="G922">
        <v>1423</v>
      </c>
      <c r="H922">
        <v>12.4</v>
      </c>
      <c r="I922">
        <v>1367</v>
      </c>
      <c r="J922">
        <v>68.099999999999994</v>
      </c>
      <c r="K922">
        <v>601</v>
      </c>
      <c r="L922">
        <v>31.8</v>
      </c>
      <c r="M922">
        <v>1146</v>
      </c>
      <c r="N922">
        <v>74.099999999999994</v>
      </c>
      <c r="O922">
        <v>350</v>
      </c>
      <c r="P922" t="s">
        <v>1483</v>
      </c>
      <c r="Q922" s="1">
        <v>174302</v>
      </c>
      <c r="R922">
        <v>40.200000000000003</v>
      </c>
      <c r="S922" s="2">
        <v>0.04</v>
      </c>
      <c r="T922" s="3">
        <v>2.1180555555555554</v>
      </c>
      <c r="U922" s="2">
        <v>0.25</v>
      </c>
      <c r="V922" t="s">
        <v>2045</v>
      </c>
      <c r="W922" t="s">
        <v>2046</v>
      </c>
      <c r="X922" t="b">
        <v>0</v>
      </c>
      <c r="Y922" t="b">
        <v>0</v>
      </c>
    </row>
    <row r="923" spans="1:25">
      <c r="A923">
        <v>9220</v>
      </c>
      <c r="B923" t="s">
        <v>1799</v>
      </c>
      <c r="C923" t="s">
        <v>2047</v>
      </c>
      <c r="D923" t="s">
        <v>1801</v>
      </c>
      <c r="E923">
        <v>9220</v>
      </c>
      <c r="F923">
        <v>36.9</v>
      </c>
      <c r="G923">
        <v>392</v>
      </c>
      <c r="H923">
        <v>18.2</v>
      </c>
      <c r="I923">
        <v>909</v>
      </c>
      <c r="J923">
        <v>54</v>
      </c>
      <c r="K923">
        <v>916</v>
      </c>
      <c r="L923">
        <v>49.3</v>
      </c>
      <c r="M923">
        <v>823</v>
      </c>
      <c r="N923">
        <v>33.1</v>
      </c>
      <c r="O923">
        <v>1386</v>
      </c>
      <c r="P923" t="s">
        <v>29</v>
      </c>
      <c r="Q923" s="1">
        <v>10317</v>
      </c>
      <c r="R923">
        <v>12.2</v>
      </c>
      <c r="S923" s="2">
        <v>0.03</v>
      </c>
      <c r="T923" s="3">
        <v>2.4458333333333333</v>
      </c>
      <c r="U923" s="2">
        <v>0.25</v>
      </c>
      <c r="V923" t="s">
        <v>2047</v>
      </c>
      <c r="W923" t="s">
        <v>2048</v>
      </c>
      <c r="X923" t="b">
        <v>0</v>
      </c>
      <c r="Y923" t="b">
        <v>0</v>
      </c>
    </row>
    <row r="924" spans="1:25">
      <c r="A924">
        <v>9230</v>
      </c>
      <c r="B924" t="s">
        <v>1799</v>
      </c>
      <c r="C924" t="s">
        <v>2049</v>
      </c>
      <c r="D924" t="s">
        <v>1801</v>
      </c>
      <c r="E924">
        <v>9230</v>
      </c>
      <c r="F924">
        <v>27.4</v>
      </c>
      <c r="G924">
        <v>853</v>
      </c>
      <c r="H924">
        <v>11</v>
      </c>
      <c r="I924">
        <v>1526</v>
      </c>
      <c r="J924">
        <v>67.599999999999994</v>
      </c>
      <c r="K924">
        <v>610</v>
      </c>
      <c r="L924">
        <v>39.700000000000003</v>
      </c>
      <c r="M924">
        <v>987</v>
      </c>
      <c r="N924">
        <v>32.299999999999997</v>
      </c>
      <c r="O924">
        <v>1414</v>
      </c>
      <c r="P924" t="s">
        <v>1543</v>
      </c>
      <c r="Q924" s="1">
        <v>10237</v>
      </c>
      <c r="R924">
        <v>8.4</v>
      </c>
      <c r="S924" s="2">
        <v>0.09</v>
      </c>
      <c r="T924" s="3">
        <v>2.9375</v>
      </c>
      <c r="U924" s="2">
        <v>0.04</v>
      </c>
      <c r="V924" t="s">
        <v>2049</v>
      </c>
      <c r="W924" t="s">
        <v>253</v>
      </c>
      <c r="X924" t="b">
        <v>0</v>
      </c>
      <c r="Y924" t="b">
        <v>0</v>
      </c>
    </row>
    <row r="925" spans="1:25">
      <c r="A925">
        <v>9240</v>
      </c>
      <c r="B925" t="s">
        <v>1799</v>
      </c>
      <c r="C925" t="s">
        <v>2050</v>
      </c>
      <c r="D925" t="s">
        <v>1801</v>
      </c>
      <c r="E925">
        <v>9240</v>
      </c>
      <c r="F925">
        <v>26.3</v>
      </c>
      <c r="G925">
        <v>921</v>
      </c>
      <c r="H925">
        <v>11</v>
      </c>
      <c r="I925">
        <v>1527</v>
      </c>
      <c r="J925">
        <v>62.6</v>
      </c>
      <c r="K925">
        <v>717</v>
      </c>
      <c r="L925">
        <v>24.6</v>
      </c>
      <c r="M925">
        <v>1349</v>
      </c>
      <c r="N925">
        <v>38.799999999999997</v>
      </c>
      <c r="O925">
        <v>1161</v>
      </c>
      <c r="P925" t="s">
        <v>1853</v>
      </c>
      <c r="Q925" s="1">
        <v>12069</v>
      </c>
      <c r="R925">
        <v>8.6</v>
      </c>
      <c r="S925" s="2">
        <v>0.16</v>
      </c>
      <c r="T925" s="3">
        <v>2.8555555555555556</v>
      </c>
      <c r="U925" s="2">
        <v>0.05</v>
      </c>
      <c r="V925" t="s">
        <v>2050</v>
      </c>
      <c r="W925" t="s">
        <v>253</v>
      </c>
      <c r="X925" t="b">
        <v>0</v>
      </c>
      <c r="Y925" t="b">
        <v>0</v>
      </c>
    </row>
    <row r="926" spans="1:25">
      <c r="A926">
        <v>9250</v>
      </c>
      <c r="B926" t="s">
        <v>1799</v>
      </c>
      <c r="C926" t="s">
        <v>2051</v>
      </c>
      <c r="D926" t="s">
        <v>1801</v>
      </c>
      <c r="E926">
        <v>9250</v>
      </c>
      <c r="F926">
        <v>27.5</v>
      </c>
      <c r="G926">
        <v>846</v>
      </c>
      <c r="H926">
        <v>19</v>
      </c>
      <c r="I926">
        <v>864</v>
      </c>
      <c r="J926">
        <v>55</v>
      </c>
      <c r="K926">
        <v>889</v>
      </c>
      <c r="L926">
        <v>63</v>
      </c>
      <c r="M926">
        <v>590</v>
      </c>
      <c r="N926">
        <v>35</v>
      </c>
      <c r="O926">
        <v>1319</v>
      </c>
      <c r="P926" t="s">
        <v>29</v>
      </c>
      <c r="Q926" s="1">
        <v>16549</v>
      </c>
      <c r="R926">
        <v>14.9</v>
      </c>
      <c r="S926" s="2">
        <v>0.05</v>
      </c>
      <c r="T926" s="3">
        <v>2.6097222222222221</v>
      </c>
      <c r="U926" s="2">
        <v>0.25</v>
      </c>
      <c r="V926" t="s">
        <v>2051</v>
      </c>
      <c r="W926" t="s">
        <v>2052</v>
      </c>
      <c r="X926" t="b">
        <v>0</v>
      </c>
      <c r="Y926" t="b">
        <v>0</v>
      </c>
    </row>
    <row r="927" spans="1:25">
      <c r="A927">
        <v>9260</v>
      </c>
      <c r="B927" t="s">
        <v>1799</v>
      </c>
      <c r="C927" t="s">
        <v>2053</v>
      </c>
      <c r="D927" t="s">
        <v>1801</v>
      </c>
      <c r="E927">
        <v>9260</v>
      </c>
      <c r="F927">
        <v>19.3</v>
      </c>
      <c r="G927">
        <v>1443</v>
      </c>
      <c r="H927">
        <v>17.3</v>
      </c>
      <c r="I927">
        <v>951</v>
      </c>
      <c r="J927">
        <v>71.5</v>
      </c>
      <c r="K927">
        <v>524</v>
      </c>
      <c r="L927">
        <v>19.7</v>
      </c>
      <c r="M927">
        <v>1549</v>
      </c>
      <c r="N927">
        <v>32.9</v>
      </c>
      <c r="O927">
        <v>1393</v>
      </c>
      <c r="P927" t="s">
        <v>795</v>
      </c>
      <c r="Q927" s="1">
        <v>11773</v>
      </c>
      <c r="R927">
        <v>29.7</v>
      </c>
      <c r="S927" s="2">
        <v>0</v>
      </c>
      <c r="T927" s="3">
        <v>2.3229166666666665</v>
      </c>
      <c r="U927" s="2">
        <v>0.34</v>
      </c>
      <c r="V927" t="s">
        <v>2053</v>
      </c>
      <c r="W927" t="s">
        <v>2054</v>
      </c>
      <c r="X927" t="b">
        <v>0</v>
      </c>
      <c r="Y927" t="b">
        <v>0</v>
      </c>
    </row>
    <row r="928" spans="1:25">
      <c r="A928">
        <v>9270</v>
      </c>
      <c r="B928" t="s">
        <v>1799</v>
      </c>
      <c r="C928" t="s">
        <v>2055</v>
      </c>
      <c r="D928" t="s">
        <v>1801</v>
      </c>
      <c r="E928">
        <v>9270</v>
      </c>
      <c r="F928">
        <v>24</v>
      </c>
      <c r="G928">
        <v>1080</v>
      </c>
      <c r="H928">
        <v>20.399999999999999</v>
      </c>
      <c r="I928">
        <v>793</v>
      </c>
      <c r="J928">
        <v>56.3</v>
      </c>
      <c r="K928">
        <v>864</v>
      </c>
      <c r="L928">
        <v>63</v>
      </c>
      <c r="M928">
        <v>591</v>
      </c>
      <c r="N928">
        <v>38</v>
      </c>
      <c r="O928">
        <v>1199</v>
      </c>
      <c r="P928" t="s">
        <v>29</v>
      </c>
      <c r="Q928" s="1">
        <v>13795</v>
      </c>
      <c r="R928">
        <v>16.3</v>
      </c>
      <c r="S928" s="2">
        <v>0.02</v>
      </c>
      <c r="T928" s="3">
        <v>2.0770833333333334</v>
      </c>
      <c r="U928" s="2">
        <v>0.3</v>
      </c>
      <c r="V928" t="s">
        <v>2055</v>
      </c>
      <c r="W928" t="s">
        <v>2056</v>
      </c>
      <c r="X928" t="b">
        <v>0</v>
      </c>
      <c r="Y928" t="b">
        <v>0</v>
      </c>
    </row>
    <row r="929" spans="1:25">
      <c r="A929">
        <v>9280</v>
      </c>
      <c r="B929" t="s">
        <v>1799</v>
      </c>
      <c r="C929" t="s">
        <v>2057</v>
      </c>
      <c r="D929" t="s">
        <v>1801</v>
      </c>
      <c r="E929">
        <v>9280</v>
      </c>
      <c r="F929">
        <v>25.2</v>
      </c>
      <c r="G929">
        <v>989</v>
      </c>
      <c r="H929">
        <v>19.899999999999999</v>
      </c>
      <c r="I929">
        <v>820</v>
      </c>
      <c r="J929">
        <v>52.6</v>
      </c>
      <c r="K929">
        <v>952</v>
      </c>
      <c r="L929">
        <v>61.4</v>
      </c>
      <c r="M929">
        <v>625</v>
      </c>
      <c r="N929">
        <v>38.9</v>
      </c>
      <c r="O929">
        <v>1157</v>
      </c>
      <c r="P929" t="s">
        <v>386</v>
      </c>
      <c r="Q929" s="1">
        <v>28862</v>
      </c>
      <c r="R929">
        <v>17.7</v>
      </c>
      <c r="S929" s="2">
        <v>0.05</v>
      </c>
      <c r="T929" s="3">
        <v>2.6097222222222221</v>
      </c>
      <c r="U929" s="2">
        <v>0.2</v>
      </c>
      <c r="V929" t="s">
        <v>2057</v>
      </c>
      <c r="W929" t="s">
        <v>2058</v>
      </c>
      <c r="X929" t="b">
        <v>0</v>
      </c>
      <c r="Y929" t="b">
        <v>0</v>
      </c>
    </row>
    <row r="930" spans="1:25">
      <c r="A930">
        <v>9290</v>
      </c>
      <c r="B930" t="s">
        <v>1799</v>
      </c>
      <c r="C930" t="s">
        <v>2059</v>
      </c>
      <c r="D930" t="s">
        <v>1801</v>
      </c>
      <c r="E930">
        <v>9290</v>
      </c>
      <c r="F930">
        <v>18</v>
      </c>
      <c r="G930">
        <v>1551</v>
      </c>
      <c r="H930">
        <v>18.3</v>
      </c>
      <c r="I930">
        <v>906</v>
      </c>
      <c r="J930">
        <v>68.599999999999994</v>
      </c>
      <c r="K930">
        <v>593</v>
      </c>
      <c r="L930">
        <v>42</v>
      </c>
      <c r="M930">
        <v>938</v>
      </c>
      <c r="N930">
        <v>42.4</v>
      </c>
      <c r="O930">
        <v>1037</v>
      </c>
      <c r="P930" t="s">
        <v>54</v>
      </c>
      <c r="Q930" s="1">
        <v>35807</v>
      </c>
      <c r="R930">
        <v>16.8</v>
      </c>
      <c r="S930" s="2">
        <v>0.04</v>
      </c>
      <c r="U930" s="2">
        <v>0.52</v>
      </c>
      <c r="V930" t="s">
        <v>2059</v>
      </c>
      <c r="W930" t="s">
        <v>2060</v>
      </c>
      <c r="X930" t="b">
        <v>0</v>
      </c>
      <c r="Y930" t="b">
        <v>0</v>
      </c>
    </row>
    <row r="931" spans="1:25">
      <c r="A931">
        <v>9300</v>
      </c>
      <c r="B931" t="s">
        <v>1799</v>
      </c>
      <c r="C931" t="s">
        <v>2061</v>
      </c>
      <c r="D931" t="s">
        <v>1801</v>
      </c>
      <c r="E931">
        <v>9300</v>
      </c>
      <c r="F931">
        <v>36.299999999999997</v>
      </c>
      <c r="G931">
        <v>419</v>
      </c>
      <c r="H931">
        <v>16.5</v>
      </c>
      <c r="I931">
        <v>1010</v>
      </c>
      <c r="J931">
        <v>58.1</v>
      </c>
      <c r="K931">
        <v>823</v>
      </c>
      <c r="L931">
        <v>41.2</v>
      </c>
      <c r="M931">
        <v>951</v>
      </c>
      <c r="N931">
        <v>25.8</v>
      </c>
      <c r="O931">
        <v>1672</v>
      </c>
      <c r="P931" t="s">
        <v>54</v>
      </c>
      <c r="Q931" s="1">
        <v>22378</v>
      </c>
      <c r="R931">
        <v>9.3000000000000007</v>
      </c>
      <c r="S931" s="2">
        <v>0.04</v>
      </c>
      <c r="U931" s="2">
        <v>0.04</v>
      </c>
      <c r="V931" t="s">
        <v>2061</v>
      </c>
      <c r="W931" t="s">
        <v>1769</v>
      </c>
      <c r="X931" t="b">
        <v>0</v>
      </c>
      <c r="Y931" t="b">
        <v>0</v>
      </c>
    </row>
    <row r="932" spans="1:25">
      <c r="A932">
        <v>9310</v>
      </c>
      <c r="B932" t="s">
        <v>1799</v>
      </c>
      <c r="C932" t="s">
        <v>2062</v>
      </c>
      <c r="D932" t="s">
        <v>1801</v>
      </c>
      <c r="E932">
        <v>9310</v>
      </c>
      <c r="F932">
        <v>25.1</v>
      </c>
      <c r="G932">
        <v>993</v>
      </c>
      <c r="H932">
        <v>15.1</v>
      </c>
      <c r="I932">
        <v>1115</v>
      </c>
      <c r="J932">
        <v>66.5</v>
      </c>
      <c r="K932">
        <v>637</v>
      </c>
      <c r="L932">
        <v>50.7</v>
      </c>
      <c r="M932">
        <v>799</v>
      </c>
      <c r="N932">
        <v>29.8</v>
      </c>
      <c r="O932">
        <v>1504</v>
      </c>
      <c r="P932" t="s">
        <v>54</v>
      </c>
      <c r="Q932" s="1">
        <v>32700</v>
      </c>
      <c r="R932">
        <v>13.5</v>
      </c>
      <c r="S932" s="2">
        <v>0.02</v>
      </c>
      <c r="T932" s="3">
        <v>2.8965277777777776</v>
      </c>
      <c r="U932" s="2">
        <v>0.37</v>
      </c>
      <c r="V932" t="s">
        <v>2062</v>
      </c>
      <c r="W932" t="s">
        <v>2063</v>
      </c>
      <c r="X932" t="b">
        <v>0</v>
      </c>
      <c r="Y932" t="b">
        <v>0</v>
      </c>
    </row>
    <row r="933" spans="1:25">
      <c r="A933">
        <v>9320</v>
      </c>
      <c r="B933" t="s">
        <v>1799</v>
      </c>
      <c r="C933" t="s">
        <v>2064</v>
      </c>
      <c r="D933" t="s">
        <v>1801</v>
      </c>
      <c r="E933">
        <v>9320</v>
      </c>
      <c r="F933">
        <v>29.9</v>
      </c>
      <c r="G933">
        <v>697</v>
      </c>
      <c r="H933">
        <v>30.4</v>
      </c>
      <c r="I933">
        <v>459</v>
      </c>
      <c r="J933">
        <v>34.4</v>
      </c>
      <c r="K933">
        <v>1343</v>
      </c>
      <c r="L933">
        <v>62.5</v>
      </c>
      <c r="M933">
        <v>603</v>
      </c>
      <c r="N933">
        <v>58.4</v>
      </c>
      <c r="O933">
        <v>616</v>
      </c>
      <c r="P933" t="s">
        <v>1613</v>
      </c>
      <c r="Q933" s="1">
        <v>175561</v>
      </c>
      <c r="R933">
        <v>17.100000000000001</v>
      </c>
      <c r="S933" s="2">
        <v>0.04</v>
      </c>
      <c r="T933" s="3">
        <v>2.2000000000000002</v>
      </c>
      <c r="U933" s="2">
        <v>0.28999999999999998</v>
      </c>
      <c r="V933" t="s">
        <v>2064</v>
      </c>
      <c r="W933" t="s">
        <v>2065</v>
      </c>
      <c r="X933" t="b">
        <v>0</v>
      </c>
      <c r="Y933" t="b">
        <v>0</v>
      </c>
    </row>
    <row r="934" spans="1:25">
      <c r="A934">
        <v>9330</v>
      </c>
      <c r="B934" t="s">
        <v>1799</v>
      </c>
      <c r="C934" t="s">
        <v>2066</v>
      </c>
      <c r="D934" t="s">
        <v>1801</v>
      </c>
      <c r="E934">
        <v>9330</v>
      </c>
      <c r="F934">
        <v>27.3</v>
      </c>
      <c r="G934">
        <v>863</v>
      </c>
      <c r="H934">
        <v>25</v>
      </c>
      <c r="I934">
        <v>612</v>
      </c>
      <c r="J934">
        <v>35.799999999999997</v>
      </c>
      <c r="K934">
        <v>1309</v>
      </c>
      <c r="L934">
        <v>94.1</v>
      </c>
      <c r="M934">
        <v>127</v>
      </c>
      <c r="N934">
        <v>41.6</v>
      </c>
      <c r="O934">
        <v>1067</v>
      </c>
      <c r="P934" t="s">
        <v>389</v>
      </c>
      <c r="Q934" s="1">
        <v>9868</v>
      </c>
      <c r="R934">
        <v>15.6</v>
      </c>
      <c r="S934" s="2">
        <v>0.1</v>
      </c>
      <c r="T934" t="s">
        <v>336</v>
      </c>
      <c r="U934" s="2">
        <v>0.42</v>
      </c>
      <c r="V934" t="s">
        <v>2066</v>
      </c>
      <c r="W934" t="s">
        <v>2067</v>
      </c>
      <c r="X934" t="b">
        <v>0</v>
      </c>
      <c r="Y934" t="b">
        <v>0</v>
      </c>
    </row>
    <row r="935" spans="1:25">
      <c r="A935">
        <v>9340</v>
      </c>
      <c r="B935" t="s">
        <v>1799</v>
      </c>
      <c r="C935" t="s">
        <v>2068</v>
      </c>
      <c r="D935" t="s">
        <v>1801</v>
      </c>
      <c r="E935">
        <v>9340</v>
      </c>
      <c r="F935">
        <v>33.799999999999997</v>
      </c>
      <c r="G935">
        <v>501</v>
      </c>
      <c r="H935">
        <v>17.100000000000001</v>
      </c>
      <c r="I935">
        <v>964</v>
      </c>
      <c r="J935">
        <v>60.2</v>
      </c>
      <c r="K935">
        <v>777</v>
      </c>
      <c r="L935">
        <v>27.1</v>
      </c>
      <c r="M935">
        <v>1259</v>
      </c>
      <c r="N935">
        <v>21.2</v>
      </c>
      <c r="O935">
        <v>1839</v>
      </c>
      <c r="P935" t="s">
        <v>528</v>
      </c>
      <c r="Q935" s="1">
        <v>7462</v>
      </c>
      <c r="R935">
        <v>20.399999999999999</v>
      </c>
      <c r="S935" s="2">
        <v>0.02</v>
      </c>
      <c r="T935" t="s">
        <v>1062</v>
      </c>
      <c r="U935" s="2">
        <v>0.43</v>
      </c>
      <c r="V935" t="s">
        <v>2068</v>
      </c>
      <c r="W935" t="s">
        <v>2069</v>
      </c>
      <c r="X935" t="b">
        <v>0</v>
      </c>
      <c r="Y935" t="b">
        <v>0</v>
      </c>
    </row>
    <row r="936" spans="1:25">
      <c r="A936">
        <v>9350</v>
      </c>
      <c r="B936" t="s">
        <v>1799</v>
      </c>
      <c r="C936" t="s">
        <v>2070</v>
      </c>
      <c r="D936" t="s">
        <v>1801</v>
      </c>
      <c r="E936">
        <v>9350</v>
      </c>
      <c r="F936">
        <v>29.8</v>
      </c>
      <c r="G936">
        <v>700</v>
      </c>
      <c r="H936">
        <v>15.5</v>
      </c>
      <c r="I936">
        <v>1084</v>
      </c>
      <c r="J936">
        <v>45.8</v>
      </c>
      <c r="K936">
        <v>1104</v>
      </c>
      <c r="L936">
        <v>27.2</v>
      </c>
      <c r="M936">
        <v>1258</v>
      </c>
      <c r="N936">
        <v>61.1</v>
      </c>
      <c r="O936">
        <v>561</v>
      </c>
      <c r="P936" t="s">
        <v>29</v>
      </c>
      <c r="Q936" s="1">
        <v>8644</v>
      </c>
      <c r="R936">
        <v>9.3000000000000007</v>
      </c>
      <c r="S936" s="2">
        <v>0.34</v>
      </c>
      <c r="T936" s="3">
        <v>3.0604166666666668</v>
      </c>
      <c r="U936" s="2">
        <v>0.15</v>
      </c>
      <c r="V936" t="s">
        <v>2070</v>
      </c>
      <c r="W936" t="s">
        <v>2071</v>
      </c>
      <c r="X936" t="b">
        <v>0</v>
      </c>
      <c r="Y936" t="b">
        <v>0</v>
      </c>
    </row>
    <row r="937" spans="1:25">
      <c r="A937">
        <v>9360</v>
      </c>
      <c r="B937" t="s">
        <v>1799</v>
      </c>
      <c r="C937" t="s">
        <v>2072</v>
      </c>
      <c r="D937" t="s">
        <v>1801</v>
      </c>
      <c r="E937">
        <v>9360</v>
      </c>
      <c r="F937">
        <v>25.8</v>
      </c>
      <c r="G937">
        <v>953</v>
      </c>
      <c r="H937">
        <v>22.1</v>
      </c>
      <c r="I937">
        <v>725</v>
      </c>
      <c r="J937">
        <v>49.8</v>
      </c>
      <c r="K937">
        <v>1024</v>
      </c>
      <c r="L937">
        <v>62.9</v>
      </c>
      <c r="M937">
        <v>593</v>
      </c>
      <c r="N937">
        <v>45.6</v>
      </c>
      <c r="O937">
        <v>943</v>
      </c>
      <c r="P937" t="s">
        <v>29</v>
      </c>
      <c r="Q937" s="1">
        <v>12305</v>
      </c>
      <c r="R937">
        <v>16</v>
      </c>
      <c r="S937" s="2">
        <v>0.06</v>
      </c>
      <c r="T937" s="3">
        <v>2.4458333333333333</v>
      </c>
      <c r="U937" s="2">
        <v>0.35</v>
      </c>
      <c r="V937" t="s">
        <v>2072</v>
      </c>
      <c r="W937" t="s">
        <v>2073</v>
      </c>
      <c r="X937" t="b">
        <v>0</v>
      </c>
      <c r="Y937" t="b">
        <v>0</v>
      </c>
    </row>
    <row r="938" spans="1:25">
      <c r="A938">
        <v>9370</v>
      </c>
      <c r="B938" t="s">
        <v>1799</v>
      </c>
      <c r="C938" t="s">
        <v>2074</v>
      </c>
      <c r="D938" t="s">
        <v>1801</v>
      </c>
      <c r="E938">
        <v>9370</v>
      </c>
      <c r="F938">
        <v>22</v>
      </c>
      <c r="G938">
        <v>1229</v>
      </c>
      <c r="H938">
        <v>23.1</v>
      </c>
      <c r="I938">
        <v>684</v>
      </c>
      <c r="J938">
        <v>51.4</v>
      </c>
      <c r="K938">
        <v>986</v>
      </c>
      <c r="L938">
        <v>60.1</v>
      </c>
      <c r="M938">
        <v>646</v>
      </c>
      <c r="N938">
        <v>22.4</v>
      </c>
      <c r="O938">
        <v>1792</v>
      </c>
      <c r="P938" t="s">
        <v>54</v>
      </c>
      <c r="Q938" s="1">
        <v>36736</v>
      </c>
      <c r="R938">
        <v>18.600000000000001</v>
      </c>
      <c r="S938" s="2">
        <v>0.03</v>
      </c>
      <c r="T938" t="s">
        <v>696</v>
      </c>
      <c r="U938" s="2">
        <v>0.47</v>
      </c>
      <c r="V938" t="s">
        <v>2074</v>
      </c>
      <c r="W938" t="s">
        <v>2075</v>
      </c>
      <c r="X938" t="b">
        <v>0</v>
      </c>
      <c r="Y938" t="b">
        <v>0</v>
      </c>
    </row>
    <row r="939" spans="1:25">
      <c r="A939">
        <v>9380</v>
      </c>
      <c r="B939" t="s">
        <v>1799</v>
      </c>
      <c r="C939" t="s">
        <v>2076</v>
      </c>
      <c r="D939" t="s">
        <v>1801</v>
      </c>
      <c r="E939">
        <v>9380</v>
      </c>
      <c r="F939">
        <v>28.2</v>
      </c>
      <c r="G939">
        <v>800</v>
      </c>
      <c r="H939">
        <v>15.6</v>
      </c>
      <c r="I939">
        <v>1078</v>
      </c>
      <c r="J939">
        <v>60.9</v>
      </c>
      <c r="K939">
        <v>760</v>
      </c>
      <c r="L939">
        <v>45.5</v>
      </c>
      <c r="M939">
        <v>887</v>
      </c>
      <c r="N939">
        <v>31.1</v>
      </c>
      <c r="O939">
        <v>1463</v>
      </c>
      <c r="P939" t="s">
        <v>54</v>
      </c>
      <c r="Q939" s="1">
        <v>30591</v>
      </c>
      <c r="R939">
        <v>18.600000000000001</v>
      </c>
      <c r="S939" s="2">
        <v>0.03</v>
      </c>
      <c r="T939" s="3">
        <v>2.9375</v>
      </c>
      <c r="U939" s="2">
        <v>0.36</v>
      </c>
      <c r="V939" t="s">
        <v>2076</v>
      </c>
      <c r="W939" t="s">
        <v>2077</v>
      </c>
      <c r="X939" t="b">
        <v>0</v>
      </c>
      <c r="Y939" t="b">
        <v>0</v>
      </c>
    </row>
    <row r="940" spans="1:25">
      <c r="A940">
        <v>9390</v>
      </c>
      <c r="B940" t="s">
        <v>1799</v>
      </c>
      <c r="C940" t="s">
        <v>2078</v>
      </c>
      <c r="D940" t="s">
        <v>1801</v>
      </c>
      <c r="E940">
        <v>9390</v>
      </c>
      <c r="F940">
        <v>21.1</v>
      </c>
      <c r="G940">
        <v>1297</v>
      </c>
      <c r="H940">
        <v>21.8</v>
      </c>
      <c r="I940">
        <v>740</v>
      </c>
      <c r="J940">
        <v>51.7</v>
      </c>
      <c r="K940">
        <v>976</v>
      </c>
      <c r="L940">
        <v>21.4</v>
      </c>
      <c r="M940">
        <v>1466</v>
      </c>
      <c r="N940">
        <v>52</v>
      </c>
      <c r="O940">
        <v>740</v>
      </c>
      <c r="P940" t="s">
        <v>76</v>
      </c>
      <c r="Q940" s="1">
        <v>2937</v>
      </c>
      <c r="R940">
        <v>16.5</v>
      </c>
      <c r="S940" s="2">
        <v>0.12</v>
      </c>
      <c r="T940" s="3">
        <v>2.5687500000000001</v>
      </c>
      <c r="U940" s="2">
        <v>0.3</v>
      </c>
      <c r="V940" t="s">
        <v>2078</v>
      </c>
      <c r="W940" t="s">
        <v>2079</v>
      </c>
      <c r="X940" t="b">
        <v>0</v>
      </c>
      <c r="Y940" t="b">
        <v>0</v>
      </c>
    </row>
    <row r="941" spans="1:25">
      <c r="A941">
        <v>9400</v>
      </c>
      <c r="B941" t="s">
        <v>1799</v>
      </c>
      <c r="C941" t="s">
        <v>2080</v>
      </c>
      <c r="D941" t="s">
        <v>1801</v>
      </c>
      <c r="E941">
        <v>9400</v>
      </c>
      <c r="F941">
        <v>12.9</v>
      </c>
      <c r="G941">
        <v>1851</v>
      </c>
      <c r="H941">
        <v>10</v>
      </c>
      <c r="I941">
        <v>1644</v>
      </c>
      <c r="J941">
        <v>76.099999999999994</v>
      </c>
      <c r="K941">
        <v>414</v>
      </c>
      <c r="L941">
        <v>15.8</v>
      </c>
      <c r="M941">
        <v>1889</v>
      </c>
      <c r="N941">
        <v>43.3</v>
      </c>
      <c r="O941">
        <v>1007</v>
      </c>
      <c r="P941" t="s">
        <v>1846</v>
      </c>
      <c r="Q941" s="1">
        <v>18681</v>
      </c>
      <c r="R941">
        <v>21.3</v>
      </c>
      <c r="S941" s="2">
        <v>0</v>
      </c>
      <c r="T941" s="3">
        <v>1.7902777777777779</v>
      </c>
      <c r="U941" s="2">
        <v>0.26</v>
      </c>
      <c r="V941" t="s">
        <v>2080</v>
      </c>
      <c r="W941" t="s">
        <v>2081</v>
      </c>
      <c r="X941" t="b">
        <v>0</v>
      </c>
      <c r="Y941" t="b">
        <v>0</v>
      </c>
    </row>
    <row r="942" spans="1:25">
      <c r="A942">
        <v>9410</v>
      </c>
      <c r="B942" t="s">
        <v>1799</v>
      </c>
      <c r="C942" t="s">
        <v>2082</v>
      </c>
      <c r="D942" t="s">
        <v>1801</v>
      </c>
      <c r="E942">
        <v>9410</v>
      </c>
      <c r="F942">
        <v>39.1</v>
      </c>
      <c r="G942">
        <v>331</v>
      </c>
      <c r="H942">
        <v>12.2</v>
      </c>
      <c r="I942">
        <v>1390</v>
      </c>
      <c r="J942">
        <v>50.1</v>
      </c>
      <c r="K942">
        <v>1022</v>
      </c>
      <c r="L942">
        <v>38.9</v>
      </c>
      <c r="M942">
        <v>1009</v>
      </c>
      <c r="N942">
        <v>34.4</v>
      </c>
      <c r="O942">
        <v>1344</v>
      </c>
      <c r="P942" t="s">
        <v>29</v>
      </c>
      <c r="Q942" s="1">
        <v>17973</v>
      </c>
      <c r="R942">
        <v>16.5</v>
      </c>
      <c r="S942" s="2">
        <v>0.04</v>
      </c>
      <c r="T942" s="3">
        <v>2.9784722222222224</v>
      </c>
      <c r="U942" s="2">
        <v>0.12</v>
      </c>
      <c r="V942" t="s">
        <v>2082</v>
      </c>
      <c r="W942" t="s">
        <v>2083</v>
      </c>
      <c r="X942" t="b">
        <v>0</v>
      </c>
      <c r="Y942" t="b">
        <v>0</v>
      </c>
    </row>
    <row r="943" spans="1:25">
      <c r="A943">
        <v>9420</v>
      </c>
      <c r="B943" t="s">
        <v>1799</v>
      </c>
      <c r="C943" t="s">
        <v>2084</v>
      </c>
      <c r="D943" t="s">
        <v>1801</v>
      </c>
      <c r="E943">
        <v>9420</v>
      </c>
      <c r="F943">
        <v>34.6</v>
      </c>
      <c r="G943">
        <v>475</v>
      </c>
      <c r="H943">
        <v>21.5</v>
      </c>
      <c r="I943">
        <v>749</v>
      </c>
      <c r="J943">
        <v>36.4</v>
      </c>
      <c r="K943">
        <v>1297</v>
      </c>
      <c r="L943">
        <v>84.9</v>
      </c>
      <c r="M943">
        <v>210</v>
      </c>
      <c r="N943">
        <v>37.200000000000003</v>
      </c>
      <c r="O943">
        <v>1233</v>
      </c>
      <c r="P943" t="s">
        <v>94</v>
      </c>
      <c r="Q943" s="1">
        <v>13027</v>
      </c>
      <c r="R943">
        <v>10</v>
      </c>
      <c r="S943" s="2">
        <v>7.0000000000000007E-2</v>
      </c>
      <c r="T943" t="s">
        <v>658</v>
      </c>
      <c r="U943" s="2">
        <v>0.2</v>
      </c>
      <c r="V943" t="s">
        <v>2084</v>
      </c>
      <c r="W943" t="s">
        <v>2085</v>
      </c>
      <c r="X943" t="b">
        <v>0</v>
      </c>
      <c r="Y943" t="b">
        <v>0</v>
      </c>
    </row>
    <row r="944" spans="1:25">
      <c r="A944">
        <v>9430</v>
      </c>
      <c r="B944" t="s">
        <v>1799</v>
      </c>
      <c r="C944" t="s">
        <v>2086</v>
      </c>
      <c r="D944" t="s">
        <v>1801</v>
      </c>
      <c r="E944">
        <v>9430</v>
      </c>
      <c r="F944">
        <v>29</v>
      </c>
      <c r="G944">
        <v>746</v>
      </c>
      <c r="H944">
        <v>18.5</v>
      </c>
      <c r="I944">
        <v>892</v>
      </c>
      <c r="J944">
        <v>49.2</v>
      </c>
      <c r="K944">
        <v>1037</v>
      </c>
      <c r="L944">
        <v>40.6</v>
      </c>
      <c r="M944">
        <v>966</v>
      </c>
      <c r="N944">
        <v>37.799999999999997</v>
      </c>
      <c r="O944">
        <v>1207</v>
      </c>
      <c r="P944" t="s">
        <v>386</v>
      </c>
      <c r="Q944" s="1">
        <v>18657</v>
      </c>
      <c r="R944">
        <v>9.1999999999999993</v>
      </c>
      <c r="S944" s="2">
        <v>0.04</v>
      </c>
      <c r="T944" s="3">
        <v>2.2819444444444446</v>
      </c>
      <c r="U944" s="2">
        <v>0.31</v>
      </c>
      <c r="V944" t="s">
        <v>2086</v>
      </c>
      <c r="W944" t="s">
        <v>2087</v>
      </c>
      <c r="X944" t="b">
        <v>0</v>
      </c>
      <c r="Y944" t="b">
        <v>0</v>
      </c>
    </row>
    <row r="945" spans="1:25">
      <c r="A945">
        <v>9440</v>
      </c>
      <c r="B945" t="s">
        <v>1799</v>
      </c>
      <c r="C945" t="s">
        <v>2088</v>
      </c>
      <c r="D945" t="s">
        <v>1801</v>
      </c>
      <c r="E945">
        <v>9440</v>
      </c>
      <c r="F945">
        <v>16.3</v>
      </c>
      <c r="G945">
        <v>1681</v>
      </c>
      <c r="H945">
        <v>23.9</v>
      </c>
      <c r="I945">
        <v>661</v>
      </c>
      <c r="J945">
        <v>53.5</v>
      </c>
      <c r="K945">
        <v>934</v>
      </c>
      <c r="L945">
        <v>58</v>
      </c>
      <c r="M945">
        <v>681</v>
      </c>
      <c r="N945">
        <v>57.7</v>
      </c>
      <c r="O945">
        <v>630</v>
      </c>
      <c r="P945" t="s">
        <v>895</v>
      </c>
      <c r="Q945" s="1">
        <v>6181</v>
      </c>
      <c r="R945">
        <v>26.7</v>
      </c>
      <c r="S945" s="2">
        <v>0.08</v>
      </c>
      <c r="T945" s="3">
        <v>1.8722222222222222</v>
      </c>
      <c r="U945" s="2">
        <v>0.46</v>
      </c>
      <c r="V945" t="s">
        <v>2088</v>
      </c>
      <c r="W945" t="s">
        <v>2089</v>
      </c>
      <c r="X945" t="b">
        <v>0</v>
      </c>
      <c r="Y945" t="b">
        <v>0</v>
      </c>
    </row>
    <row r="946" spans="1:25">
      <c r="A946">
        <v>9450</v>
      </c>
      <c r="B946" t="s">
        <v>1799</v>
      </c>
      <c r="C946" t="s">
        <v>2090</v>
      </c>
      <c r="D946" t="s">
        <v>1801</v>
      </c>
      <c r="E946">
        <v>9450</v>
      </c>
      <c r="F946">
        <v>23.8</v>
      </c>
      <c r="G946">
        <v>1096</v>
      </c>
      <c r="H946">
        <v>17.5</v>
      </c>
      <c r="I946">
        <v>944</v>
      </c>
      <c r="J946">
        <v>58.5</v>
      </c>
      <c r="K946">
        <v>814</v>
      </c>
      <c r="L946">
        <v>66.900000000000006</v>
      </c>
      <c r="M946">
        <v>506</v>
      </c>
      <c r="N946">
        <v>47.8</v>
      </c>
      <c r="O946">
        <v>871</v>
      </c>
      <c r="P946" t="s">
        <v>386</v>
      </c>
      <c r="Q946" s="1">
        <v>11069</v>
      </c>
      <c r="R946">
        <v>12.2</v>
      </c>
      <c r="S946" s="2">
        <v>0.11</v>
      </c>
      <c r="T946" s="3">
        <v>2.4868055555555557</v>
      </c>
      <c r="U946" s="2">
        <v>0.21</v>
      </c>
      <c r="V946" t="s">
        <v>2090</v>
      </c>
      <c r="W946" t="s">
        <v>2091</v>
      </c>
      <c r="X946" t="b">
        <v>0</v>
      </c>
      <c r="Y946" t="b">
        <v>0</v>
      </c>
    </row>
    <row r="947" spans="1:25">
      <c r="A947">
        <v>9460</v>
      </c>
      <c r="B947" t="s">
        <v>1799</v>
      </c>
      <c r="C947" t="s">
        <v>2092</v>
      </c>
      <c r="D947" t="s">
        <v>1801</v>
      </c>
      <c r="E947">
        <v>9460</v>
      </c>
      <c r="F947">
        <v>23.4</v>
      </c>
      <c r="G947">
        <v>1125</v>
      </c>
      <c r="H947">
        <v>23.9</v>
      </c>
      <c r="I947">
        <v>662</v>
      </c>
      <c r="J947">
        <v>49.8</v>
      </c>
      <c r="K947">
        <v>1025</v>
      </c>
      <c r="L947">
        <v>36.799999999999997</v>
      </c>
      <c r="M947">
        <v>1053</v>
      </c>
      <c r="N947">
        <v>61.8</v>
      </c>
      <c r="O947">
        <v>547</v>
      </c>
      <c r="P947" t="s">
        <v>984</v>
      </c>
      <c r="Q947" s="1">
        <v>19474</v>
      </c>
      <c r="R947">
        <v>15.2</v>
      </c>
      <c r="S947" s="2">
        <v>0.14000000000000001</v>
      </c>
      <c r="T947" s="3">
        <v>2.8555555555555556</v>
      </c>
      <c r="U947" s="2">
        <v>0.21</v>
      </c>
      <c r="V947" t="s">
        <v>2092</v>
      </c>
      <c r="W947" t="s">
        <v>2093</v>
      </c>
      <c r="X947" t="b">
        <v>0</v>
      </c>
      <c r="Y947" t="b">
        <v>0</v>
      </c>
    </row>
    <row r="948" spans="1:25">
      <c r="A948">
        <v>9470</v>
      </c>
      <c r="B948" t="s">
        <v>1799</v>
      </c>
      <c r="C948" t="s">
        <v>2094</v>
      </c>
      <c r="D948" t="s">
        <v>1801</v>
      </c>
      <c r="E948">
        <v>9470</v>
      </c>
      <c r="F948">
        <v>33.9</v>
      </c>
      <c r="G948">
        <v>498</v>
      </c>
      <c r="H948">
        <v>31.8</v>
      </c>
      <c r="I948">
        <v>421</v>
      </c>
      <c r="J948">
        <v>36.6</v>
      </c>
      <c r="K948">
        <v>1289</v>
      </c>
      <c r="L948">
        <v>27.3</v>
      </c>
      <c r="M948">
        <v>1253</v>
      </c>
      <c r="N948">
        <v>67.7</v>
      </c>
      <c r="O948">
        <v>437</v>
      </c>
      <c r="P948" t="s">
        <v>125</v>
      </c>
      <c r="Q948" s="1">
        <v>36995</v>
      </c>
      <c r="R948">
        <v>29.8</v>
      </c>
      <c r="S948" s="2">
        <v>0.2</v>
      </c>
      <c r="T948" s="3">
        <v>2.6097222222222221</v>
      </c>
      <c r="U948" s="2">
        <v>0.14000000000000001</v>
      </c>
      <c r="V948" t="s">
        <v>2094</v>
      </c>
      <c r="W948" t="s">
        <v>2095</v>
      </c>
      <c r="X948" t="b">
        <v>0</v>
      </c>
      <c r="Y948" t="b">
        <v>0</v>
      </c>
    </row>
    <row r="949" spans="1:25">
      <c r="A949">
        <v>9480</v>
      </c>
      <c r="B949" t="s">
        <v>1799</v>
      </c>
      <c r="C949" t="s">
        <v>2096</v>
      </c>
      <c r="D949" t="s">
        <v>1801</v>
      </c>
      <c r="E949">
        <v>9480</v>
      </c>
      <c r="F949">
        <v>19</v>
      </c>
      <c r="G949">
        <v>1469</v>
      </c>
      <c r="H949">
        <v>17.8</v>
      </c>
      <c r="I949">
        <v>931</v>
      </c>
      <c r="J949">
        <v>56.2</v>
      </c>
      <c r="K949">
        <v>865</v>
      </c>
      <c r="L949">
        <v>68.400000000000006</v>
      </c>
      <c r="M949">
        <v>470</v>
      </c>
      <c r="N949">
        <v>35.1</v>
      </c>
      <c r="O949">
        <v>1315</v>
      </c>
      <c r="P949" t="s">
        <v>1220</v>
      </c>
      <c r="Q949" s="1">
        <v>31172</v>
      </c>
      <c r="R949">
        <v>29.4</v>
      </c>
      <c r="S949" s="2">
        <v>0.05</v>
      </c>
      <c r="T949" s="3">
        <v>2.1590277777777778</v>
      </c>
      <c r="U949" s="2">
        <v>0.37</v>
      </c>
      <c r="V949" t="s">
        <v>2096</v>
      </c>
      <c r="W949" t="s">
        <v>2097</v>
      </c>
      <c r="X949" t="b">
        <v>0</v>
      </c>
      <c r="Y949" t="b">
        <v>0</v>
      </c>
    </row>
    <row r="950" spans="1:25">
      <c r="A950">
        <v>9490</v>
      </c>
      <c r="B950" t="s">
        <v>1799</v>
      </c>
      <c r="C950" t="s">
        <v>2098</v>
      </c>
      <c r="D950" t="s">
        <v>1801</v>
      </c>
      <c r="E950">
        <v>9490</v>
      </c>
      <c r="F950">
        <v>28.3</v>
      </c>
      <c r="G950">
        <v>790</v>
      </c>
      <c r="H950">
        <v>16.7</v>
      </c>
      <c r="I950">
        <v>994</v>
      </c>
      <c r="J950">
        <v>63.7</v>
      </c>
      <c r="K950">
        <v>700</v>
      </c>
      <c r="L950">
        <v>17.100000000000001</v>
      </c>
      <c r="M950">
        <v>1749</v>
      </c>
      <c r="N950">
        <v>50.7</v>
      </c>
      <c r="O950">
        <v>784</v>
      </c>
      <c r="P950" t="s">
        <v>528</v>
      </c>
      <c r="Q950" s="1">
        <v>11792</v>
      </c>
      <c r="R950">
        <v>11</v>
      </c>
      <c r="S950" s="2">
        <v>0</v>
      </c>
      <c r="T950" t="s">
        <v>145</v>
      </c>
      <c r="U950" s="2">
        <v>0.46</v>
      </c>
      <c r="V950" t="s">
        <v>2098</v>
      </c>
      <c r="W950" t="s">
        <v>2099</v>
      </c>
      <c r="X950" t="b">
        <v>0</v>
      </c>
      <c r="Y950" t="b">
        <v>0</v>
      </c>
    </row>
    <row r="951" spans="1:25">
      <c r="A951">
        <v>9500</v>
      </c>
      <c r="B951" t="s">
        <v>1799</v>
      </c>
      <c r="C951" t="s">
        <v>2100</v>
      </c>
      <c r="D951" t="s">
        <v>1801</v>
      </c>
      <c r="E951">
        <v>9500</v>
      </c>
      <c r="F951">
        <v>28.6</v>
      </c>
      <c r="G951">
        <v>768</v>
      </c>
      <c r="H951">
        <v>25.7</v>
      </c>
      <c r="I951">
        <v>586</v>
      </c>
      <c r="J951">
        <v>36</v>
      </c>
      <c r="K951">
        <v>1302</v>
      </c>
      <c r="L951">
        <v>45</v>
      </c>
      <c r="M951">
        <v>894</v>
      </c>
      <c r="N951">
        <v>58.9</v>
      </c>
      <c r="O951">
        <v>606</v>
      </c>
      <c r="P951" t="s">
        <v>125</v>
      </c>
      <c r="Q951" s="1">
        <v>29280</v>
      </c>
      <c r="R951">
        <v>31.5</v>
      </c>
      <c r="S951" s="2">
        <v>0.11</v>
      </c>
      <c r="T951" s="3">
        <v>2.4048611111111109</v>
      </c>
      <c r="U951" s="2">
        <v>0.28000000000000003</v>
      </c>
      <c r="V951" t="s">
        <v>2100</v>
      </c>
      <c r="W951" t="s">
        <v>2101</v>
      </c>
      <c r="X951" t="b">
        <v>0</v>
      </c>
      <c r="Y951" t="b">
        <v>0</v>
      </c>
    </row>
    <row r="952" spans="1:25">
      <c r="A952">
        <v>9510</v>
      </c>
      <c r="B952" t="s">
        <v>1799</v>
      </c>
      <c r="C952" t="s">
        <v>2102</v>
      </c>
      <c r="D952" t="s">
        <v>1801</v>
      </c>
      <c r="E952">
        <v>9510</v>
      </c>
      <c r="F952">
        <v>33.4</v>
      </c>
      <c r="G952">
        <v>530</v>
      </c>
      <c r="H952">
        <v>30.5</v>
      </c>
      <c r="I952">
        <v>456</v>
      </c>
      <c r="J952">
        <v>37.1</v>
      </c>
      <c r="K952">
        <v>1278</v>
      </c>
      <c r="L952">
        <v>62.9</v>
      </c>
      <c r="M952">
        <v>594</v>
      </c>
      <c r="N952">
        <v>43.2</v>
      </c>
      <c r="O952">
        <v>1016</v>
      </c>
      <c r="P952" t="s">
        <v>577</v>
      </c>
      <c r="Q952" s="1">
        <v>13154</v>
      </c>
      <c r="R952">
        <v>18.7</v>
      </c>
      <c r="S952" s="2">
        <v>0.02</v>
      </c>
      <c r="T952" s="3">
        <v>2.1180555555555554</v>
      </c>
      <c r="U952" s="2">
        <v>0.41</v>
      </c>
      <c r="V952" t="s">
        <v>2102</v>
      </c>
      <c r="W952" t="s">
        <v>2103</v>
      </c>
      <c r="X952" t="b">
        <v>0</v>
      </c>
      <c r="Y952" t="b">
        <v>0</v>
      </c>
    </row>
    <row r="953" spans="1:25">
      <c r="A953">
        <v>9520</v>
      </c>
      <c r="B953" t="s">
        <v>1799</v>
      </c>
      <c r="C953" t="s">
        <v>2104</v>
      </c>
      <c r="D953" t="s">
        <v>1801</v>
      </c>
      <c r="E953">
        <v>9520</v>
      </c>
      <c r="F953">
        <v>22.1</v>
      </c>
      <c r="G953">
        <v>1225</v>
      </c>
      <c r="H953">
        <v>23.2</v>
      </c>
      <c r="I953">
        <v>680</v>
      </c>
      <c r="J953">
        <v>55.7</v>
      </c>
      <c r="K953">
        <v>873</v>
      </c>
      <c r="L953">
        <v>54.7</v>
      </c>
      <c r="M953">
        <v>734</v>
      </c>
      <c r="N953">
        <v>35</v>
      </c>
      <c r="O953">
        <v>1321</v>
      </c>
      <c r="P953" t="s">
        <v>29</v>
      </c>
      <c r="Q953" s="1">
        <v>18763</v>
      </c>
      <c r="R953">
        <v>20.5</v>
      </c>
      <c r="S953" s="2">
        <v>0.05</v>
      </c>
      <c r="T953" s="3">
        <v>2.4458333333333333</v>
      </c>
      <c r="U953" s="2">
        <v>0.28000000000000003</v>
      </c>
      <c r="V953" t="s">
        <v>2104</v>
      </c>
      <c r="W953" t="s">
        <v>2105</v>
      </c>
      <c r="X953" t="b">
        <v>0</v>
      </c>
      <c r="Y953" t="b">
        <v>0</v>
      </c>
    </row>
    <row r="954" spans="1:25">
      <c r="A954">
        <v>9530</v>
      </c>
      <c r="B954" t="s">
        <v>1799</v>
      </c>
      <c r="C954" t="s">
        <v>2106</v>
      </c>
      <c r="D954" t="s">
        <v>1801</v>
      </c>
      <c r="E954">
        <v>9530</v>
      </c>
      <c r="F954">
        <v>27.7</v>
      </c>
      <c r="G954">
        <v>826</v>
      </c>
      <c r="H954">
        <v>14.7</v>
      </c>
      <c r="I954">
        <v>1150</v>
      </c>
      <c r="J954">
        <v>62.4</v>
      </c>
      <c r="K954">
        <v>724</v>
      </c>
      <c r="L954">
        <v>24.9</v>
      </c>
      <c r="M954">
        <v>1342</v>
      </c>
      <c r="N954">
        <v>46.7</v>
      </c>
      <c r="O954">
        <v>907</v>
      </c>
      <c r="P954" t="s">
        <v>1102</v>
      </c>
      <c r="Q954" s="1">
        <v>28692</v>
      </c>
      <c r="R954">
        <v>22</v>
      </c>
      <c r="S954" s="2">
        <v>0.01</v>
      </c>
      <c r="T954" s="3">
        <v>2.2000000000000002</v>
      </c>
      <c r="U954" s="2">
        <v>0.33</v>
      </c>
      <c r="V954" t="s">
        <v>2106</v>
      </c>
      <c r="W954" t="s">
        <v>2107</v>
      </c>
      <c r="X954" t="b">
        <v>0</v>
      </c>
      <c r="Y954" t="b">
        <v>0</v>
      </c>
    </row>
    <row r="955" spans="1:25">
      <c r="A955">
        <v>9540</v>
      </c>
      <c r="B955" t="s">
        <v>1799</v>
      </c>
      <c r="C955" t="s">
        <v>2108</v>
      </c>
      <c r="D955" t="s">
        <v>1801</v>
      </c>
      <c r="E955">
        <v>9540</v>
      </c>
      <c r="F955">
        <v>36</v>
      </c>
      <c r="G955">
        <v>428</v>
      </c>
      <c r="H955">
        <v>20.399999999999999</v>
      </c>
      <c r="I955">
        <v>795</v>
      </c>
      <c r="J955">
        <v>42.8</v>
      </c>
      <c r="K955">
        <v>1173</v>
      </c>
      <c r="L955">
        <v>21.6</v>
      </c>
      <c r="M955">
        <v>1460</v>
      </c>
      <c r="N955">
        <v>80.2</v>
      </c>
      <c r="O955">
        <v>255</v>
      </c>
      <c r="P955" t="s">
        <v>534</v>
      </c>
      <c r="Q955" s="1">
        <v>37222</v>
      </c>
      <c r="R955">
        <v>10.199999999999999</v>
      </c>
      <c r="S955" s="2">
        <v>7.0000000000000007E-2</v>
      </c>
      <c r="T955" s="3">
        <v>2.6097222222222221</v>
      </c>
      <c r="U955" s="2">
        <v>0.28999999999999998</v>
      </c>
      <c r="V955" t="s">
        <v>2108</v>
      </c>
      <c r="W955" t="s">
        <v>2109</v>
      </c>
      <c r="X955" t="b">
        <v>0</v>
      </c>
      <c r="Y955" t="b">
        <v>0</v>
      </c>
    </row>
    <row r="956" spans="1:25">
      <c r="A956">
        <v>9550</v>
      </c>
      <c r="B956" t="s">
        <v>1799</v>
      </c>
      <c r="C956" t="s">
        <v>2110</v>
      </c>
      <c r="D956" t="s">
        <v>1801</v>
      </c>
      <c r="E956">
        <v>9550</v>
      </c>
      <c r="F956">
        <v>35.200000000000003</v>
      </c>
      <c r="G956">
        <v>457</v>
      </c>
      <c r="H956">
        <v>7.3</v>
      </c>
      <c r="I956">
        <v>1902</v>
      </c>
      <c r="J956">
        <v>60</v>
      </c>
      <c r="K956">
        <v>784</v>
      </c>
      <c r="L956">
        <v>17.899999999999999</v>
      </c>
      <c r="M956">
        <v>1678</v>
      </c>
      <c r="N956">
        <v>22.4</v>
      </c>
      <c r="O956">
        <v>1793</v>
      </c>
      <c r="P956" t="s">
        <v>795</v>
      </c>
      <c r="Q956" s="1">
        <v>2556</v>
      </c>
      <c r="R956">
        <v>9.3000000000000007</v>
      </c>
      <c r="S956" s="2">
        <v>0.04</v>
      </c>
      <c r="T956" s="3">
        <v>2.3229166666666665</v>
      </c>
      <c r="U956" s="2">
        <v>0.11</v>
      </c>
      <c r="V956" t="s">
        <v>2110</v>
      </c>
      <c r="W956" t="s">
        <v>1823</v>
      </c>
      <c r="X956" t="b">
        <v>0</v>
      </c>
      <c r="Y956" t="b">
        <v>0</v>
      </c>
    </row>
    <row r="957" spans="1:25">
      <c r="A957">
        <v>9560</v>
      </c>
      <c r="B957" t="s">
        <v>1799</v>
      </c>
      <c r="C957" t="s">
        <v>2111</v>
      </c>
      <c r="D957" t="s">
        <v>1801</v>
      </c>
      <c r="E957">
        <v>9560</v>
      </c>
      <c r="F957">
        <v>17.8</v>
      </c>
      <c r="G957">
        <v>1572</v>
      </c>
      <c r="H957">
        <v>19.5</v>
      </c>
      <c r="I957">
        <v>841</v>
      </c>
      <c r="J957">
        <v>62.9</v>
      </c>
      <c r="K957">
        <v>710</v>
      </c>
      <c r="L957">
        <v>36.1</v>
      </c>
      <c r="M957">
        <v>1075</v>
      </c>
      <c r="N957">
        <v>71</v>
      </c>
      <c r="O957">
        <v>392</v>
      </c>
      <c r="P957" t="s">
        <v>76</v>
      </c>
      <c r="Q957" s="1">
        <v>14167</v>
      </c>
      <c r="R957">
        <v>24.6</v>
      </c>
      <c r="S957" s="2">
        <v>0.26</v>
      </c>
      <c r="T957" s="3">
        <v>2.0770833333333334</v>
      </c>
      <c r="U957" s="2">
        <v>0.36</v>
      </c>
      <c r="V957" t="s">
        <v>2111</v>
      </c>
      <c r="W957" t="s">
        <v>2112</v>
      </c>
      <c r="X957" t="b">
        <v>0</v>
      </c>
      <c r="Y957" t="b">
        <v>0</v>
      </c>
    </row>
    <row r="958" spans="1:25">
      <c r="A958">
        <v>9570</v>
      </c>
      <c r="B958" t="s">
        <v>1799</v>
      </c>
      <c r="C958" t="s">
        <v>2113</v>
      </c>
      <c r="D958" t="s">
        <v>1801</v>
      </c>
      <c r="E958">
        <v>9570</v>
      </c>
      <c r="F958">
        <v>13.1</v>
      </c>
      <c r="G958">
        <v>1841</v>
      </c>
      <c r="H958">
        <v>16.600000000000001</v>
      </c>
      <c r="I958">
        <v>1003</v>
      </c>
      <c r="J958">
        <v>64.3</v>
      </c>
      <c r="K958">
        <v>687</v>
      </c>
      <c r="L958">
        <v>31.4</v>
      </c>
      <c r="M958">
        <v>1154</v>
      </c>
      <c r="N958">
        <v>63.6</v>
      </c>
      <c r="O958">
        <v>511</v>
      </c>
      <c r="P958" t="s">
        <v>588</v>
      </c>
      <c r="Q958" s="1">
        <v>8585</v>
      </c>
      <c r="R958">
        <v>35</v>
      </c>
      <c r="S958" s="2">
        <v>0.28000000000000003</v>
      </c>
      <c r="T958" s="3">
        <v>2.2000000000000002</v>
      </c>
      <c r="U958" s="2">
        <v>0.21</v>
      </c>
      <c r="V958" t="s">
        <v>2113</v>
      </c>
      <c r="W958" t="s">
        <v>2114</v>
      </c>
      <c r="X958" t="b">
        <v>0</v>
      </c>
      <c r="Y958" t="b">
        <v>0</v>
      </c>
    </row>
    <row r="959" spans="1:25">
      <c r="A959">
        <v>9580</v>
      </c>
      <c r="B959" t="s">
        <v>1799</v>
      </c>
      <c r="C959" t="s">
        <v>2115</v>
      </c>
      <c r="D959" t="s">
        <v>1801</v>
      </c>
      <c r="E959">
        <v>9580</v>
      </c>
      <c r="F959">
        <v>32.1</v>
      </c>
      <c r="G959">
        <v>587</v>
      </c>
      <c r="H959">
        <v>17.899999999999999</v>
      </c>
      <c r="I959">
        <v>926</v>
      </c>
      <c r="J959">
        <v>44.7</v>
      </c>
      <c r="K959">
        <v>1129</v>
      </c>
      <c r="L959">
        <v>64</v>
      </c>
      <c r="M959">
        <v>571</v>
      </c>
      <c r="N959">
        <v>63.8</v>
      </c>
      <c r="O959">
        <v>506</v>
      </c>
      <c r="P959" t="s">
        <v>125</v>
      </c>
      <c r="Q959" s="1">
        <v>27592</v>
      </c>
      <c r="R959">
        <v>17.5</v>
      </c>
      <c r="S959" s="2">
        <v>0.12</v>
      </c>
      <c r="T959" s="3">
        <v>2.2000000000000002</v>
      </c>
      <c r="U959" s="2">
        <v>0.31</v>
      </c>
      <c r="V959" t="s">
        <v>2115</v>
      </c>
      <c r="W959" t="s">
        <v>2116</v>
      </c>
      <c r="X959" t="b">
        <v>0</v>
      </c>
      <c r="Y959" t="b">
        <v>0</v>
      </c>
    </row>
    <row r="960" spans="1:25">
      <c r="A960">
        <v>9590</v>
      </c>
      <c r="B960" t="s">
        <v>1799</v>
      </c>
      <c r="C960" t="s">
        <v>2117</v>
      </c>
      <c r="D960" t="s">
        <v>1801</v>
      </c>
      <c r="E960">
        <v>9590</v>
      </c>
      <c r="F960">
        <v>17.5</v>
      </c>
      <c r="G960">
        <v>1596</v>
      </c>
      <c r="H960">
        <v>13.2</v>
      </c>
      <c r="I960">
        <v>1288</v>
      </c>
      <c r="J960">
        <v>53.4</v>
      </c>
      <c r="K960">
        <v>937</v>
      </c>
      <c r="L960">
        <v>36</v>
      </c>
      <c r="M960">
        <v>1076</v>
      </c>
      <c r="N960">
        <v>87.1</v>
      </c>
      <c r="O960">
        <v>165</v>
      </c>
      <c r="P960" t="s">
        <v>26</v>
      </c>
      <c r="Q960" s="1">
        <v>10095</v>
      </c>
      <c r="R960">
        <v>21</v>
      </c>
      <c r="S960" s="2">
        <v>0.26</v>
      </c>
      <c r="T960" s="3">
        <v>2.5277777777777777</v>
      </c>
      <c r="U960" s="2">
        <v>0.32</v>
      </c>
      <c r="V960" t="s">
        <v>2117</v>
      </c>
      <c r="W960" t="s">
        <v>2118</v>
      </c>
      <c r="X960" t="b">
        <v>0</v>
      </c>
      <c r="Y960" t="b">
        <v>0</v>
      </c>
    </row>
    <row r="961" spans="1:25">
      <c r="A961">
        <v>9600</v>
      </c>
      <c r="B961" t="s">
        <v>1799</v>
      </c>
      <c r="C961" t="s">
        <v>2119</v>
      </c>
      <c r="D961" t="s">
        <v>1801</v>
      </c>
      <c r="E961">
        <v>9600</v>
      </c>
      <c r="F961">
        <v>22.9</v>
      </c>
      <c r="G961">
        <v>1160</v>
      </c>
      <c r="H961">
        <v>20.2</v>
      </c>
      <c r="I961">
        <v>802</v>
      </c>
      <c r="J961">
        <v>58.4</v>
      </c>
      <c r="K961">
        <v>816</v>
      </c>
      <c r="L961">
        <v>60.7</v>
      </c>
      <c r="M961">
        <v>630</v>
      </c>
      <c r="N961">
        <v>46.3</v>
      </c>
      <c r="O961">
        <v>922</v>
      </c>
      <c r="P961" t="s">
        <v>29</v>
      </c>
      <c r="Q961" s="1">
        <v>14249</v>
      </c>
      <c r="R961">
        <v>16</v>
      </c>
      <c r="S961" s="2">
        <v>0.13</v>
      </c>
      <c r="T961" t="s">
        <v>40</v>
      </c>
      <c r="U961" s="2">
        <v>0.36</v>
      </c>
      <c r="V961" t="s">
        <v>2119</v>
      </c>
      <c r="W961" t="s">
        <v>2120</v>
      </c>
      <c r="X961" t="b">
        <v>0</v>
      </c>
      <c r="Y961" t="b">
        <v>0</v>
      </c>
    </row>
    <row r="962" spans="1:25">
      <c r="A962">
        <v>9610</v>
      </c>
      <c r="B962" t="s">
        <v>1799</v>
      </c>
      <c r="C962" t="s">
        <v>2121</v>
      </c>
      <c r="D962" t="s">
        <v>1801</v>
      </c>
      <c r="E962">
        <v>9610</v>
      </c>
      <c r="F962">
        <v>23</v>
      </c>
      <c r="G962">
        <v>1153</v>
      </c>
      <c r="H962">
        <v>21.5</v>
      </c>
      <c r="I962">
        <v>750</v>
      </c>
      <c r="J962">
        <v>52</v>
      </c>
      <c r="K962">
        <v>965</v>
      </c>
      <c r="L962">
        <v>35.799999999999997</v>
      </c>
      <c r="M962">
        <v>1081</v>
      </c>
      <c r="N962">
        <v>85</v>
      </c>
      <c r="O962">
        <v>189</v>
      </c>
      <c r="P962" t="s">
        <v>26</v>
      </c>
      <c r="Q962" s="1">
        <v>8245</v>
      </c>
      <c r="R962">
        <v>19.600000000000001</v>
      </c>
      <c r="S962" s="2">
        <v>0.36</v>
      </c>
      <c r="T962" s="3">
        <v>2.8145833333333332</v>
      </c>
      <c r="U962" s="2">
        <v>0.08</v>
      </c>
      <c r="V962" t="s">
        <v>2121</v>
      </c>
      <c r="W962" t="s">
        <v>2122</v>
      </c>
      <c r="X962" t="b">
        <v>0</v>
      </c>
      <c r="Y962" t="b">
        <v>0</v>
      </c>
    </row>
    <row r="963" spans="1:25">
      <c r="A963">
        <v>9620</v>
      </c>
      <c r="B963" t="s">
        <v>1799</v>
      </c>
      <c r="C963" t="s">
        <v>2123</v>
      </c>
      <c r="D963" t="s">
        <v>1801</v>
      </c>
      <c r="E963">
        <v>9620</v>
      </c>
      <c r="F963">
        <v>32</v>
      </c>
      <c r="G963">
        <v>593</v>
      </c>
      <c r="H963">
        <v>21.8</v>
      </c>
      <c r="I963">
        <v>741</v>
      </c>
      <c r="J963">
        <v>50.4</v>
      </c>
      <c r="K963">
        <v>1015</v>
      </c>
      <c r="L963">
        <v>39.9</v>
      </c>
      <c r="M963">
        <v>982</v>
      </c>
      <c r="N963">
        <v>53.6</v>
      </c>
      <c r="O963">
        <v>702</v>
      </c>
      <c r="P963" t="s">
        <v>386</v>
      </c>
      <c r="Q963" s="1">
        <v>24707</v>
      </c>
      <c r="R963">
        <v>14.7</v>
      </c>
      <c r="S963" s="2">
        <v>0.13</v>
      </c>
      <c r="T963" s="3">
        <v>2.5687500000000001</v>
      </c>
      <c r="U963" s="2">
        <v>0.2</v>
      </c>
      <c r="V963" t="s">
        <v>2123</v>
      </c>
      <c r="W963" t="s">
        <v>2124</v>
      </c>
      <c r="X963" t="b">
        <v>0</v>
      </c>
      <c r="Y963" t="b">
        <v>0</v>
      </c>
    </row>
    <row r="964" spans="1:25">
      <c r="A964">
        <v>9630</v>
      </c>
      <c r="B964" t="s">
        <v>1799</v>
      </c>
      <c r="C964" t="s">
        <v>2125</v>
      </c>
      <c r="D964" t="s">
        <v>1801</v>
      </c>
      <c r="E964">
        <v>9630</v>
      </c>
      <c r="F964">
        <v>18.8</v>
      </c>
      <c r="G964">
        <v>1483</v>
      </c>
      <c r="H964">
        <v>15</v>
      </c>
      <c r="I964">
        <v>1125</v>
      </c>
      <c r="J964">
        <v>61.1</v>
      </c>
      <c r="K964">
        <v>753</v>
      </c>
      <c r="L964">
        <v>46.9</v>
      </c>
      <c r="M964">
        <v>866</v>
      </c>
      <c r="N964">
        <v>82.2</v>
      </c>
      <c r="O964">
        <v>222</v>
      </c>
      <c r="P964" t="s">
        <v>26</v>
      </c>
      <c r="Q964" s="1">
        <v>20010</v>
      </c>
      <c r="R964">
        <v>20.3</v>
      </c>
      <c r="S964" s="2">
        <v>0.23</v>
      </c>
      <c r="T964" s="3">
        <v>2.3229166666666665</v>
      </c>
      <c r="U964" s="2">
        <v>0.26</v>
      </c>
      <c r="V964" t="s">
        <v>2125</v>
      </c>
      <c r="W964" t="s">
        <v>2126</v>
      </c>
      <c r="X964" t="b">
        <v>0</v>
      </c>
      <c r="Y964" t="b">
        <v>0</v>
      </c>
    </row>
    <row r="965" spans="1:25">
      <c r="A965">
        <v>9640</v>
      </c>
      <c r="B965" t="s">
        <v>1799</v>
      </c>
      <c r="C965" t="s">
        <v>2127</v>
      </c>
      <c r="D965" t="s">
        <v>1801</v>
      </c>
      <c r="E965">
        <v>9640</v>
      </c>
      <c r="F965">
        <v>21.5</v>
      </c>
      <c r="G965">
        <v>1273</v>
      </c>
      <c r="H965">
        <v>11.9</v>
      </c>
      <c r="I965">
        <v>1418</v>
      </c>
      <c r="J965">
        <v>71.099999999999994</v>
      </c>
      <c r="K965">
        <v>536</v>
      </c>
      <c r="L965">
        <v>58.3</v>
      </c>
      <c r="M965">
        <v>673</v>
      </c>
      <c r="N965">
        <v>37</v>
      </c>
      <c r="O965">
        <v>1242</v>
      </c>
      <c r="P965" t="s">
        <v>29</v>
      </c>
      <c r="Q965" s="1">
        <v>32069</v>
      </c>
      <c r="R965">
        <v>28.1</v>
      </c>
      <c r="S965" s="2">
        <v>0.05</v>
      </c>
      <c r="T965" s="3">
        <v>2.4458333333333333</v>
      </c>
      <c r="U965" s="2">
        <v>0.25</v>
      </c>
      <c r="V965" t="s">
        <v>2127</v>
      </c>
      <c r="W965" t="s">
        <v>2128</v>
      </c>
      <c r="X965" t="b">
        <v>0</v>
      </c>
      <c r="Y965" t="b">
        <v>0</v>
      </c>
    </row>
    <row r="966" spans="1:25">
      <c r="A966">
        <v>9650</v>
      </c>
      <c r="B966" t="s">
        <v>1799</v>
      </c>
      <c r="C966" t="s">
        <v>2129</v>
      </c>
      <c r="D966" t="s">
        <v>1801</v>
      </c>
      <c r="E966">
        <v>9650</v>
      </c>
      <c r="F966">
        <v>44</v>
      </c>
      <c r="G966">
        <v>219</v>
      </c>
      <c r="H966">
        <v>11.8</v>
      </c>
      <c r="I966">
        <v>1431</v>
      </c>
      <c r="J966">
        <v>54.5</v>
      </c>
      <c r="K966">
        <v>899</v>
      </c>
      <c r="L966">
        <v>22.8</v>
      </c>
      <c r="M966">
        <v>1411</v>
      </c>
      <c r="N966">
        <v>25.2</v>
      </c>
      <c r="O966">
        <v>1699</v>
      </c>
      <c r="P966" t="s">
        <v>528</v>
      </c>
      <c r="Q966" s="1">
        <v>5871</v>
      </c>
      <c r="R966">
        <v>9.6</v>
      </c>
      <c r="S966" s="2">
        <v>0.04</v>
      </c>
      <c r="T966" s="3">
        <v>1.8722222222222222</v>
      </c>
      <c r="U966" s="2">
        <v>0.37</v>
      </c>
      <c r="V966" t="s">
        <v>2129</v>
      </c>
      <c r="W966" t="s">
        <v>2130</v>
      </c>
      <c r="X966" t="b">
        <v>0</v>
      </c>
      <c r="Y966" t="b">
        <v>0</v>
      </c>
    </row>
    <row r="967" spans="1:25">
      <c r="A967">
        <v>9660</v>
      </c>
      <c r="B967" t="s">
        <v>1799</v>
      </c>
      <c r="C967" t="s">
        <v>2131</v>
      </c>
      <c r="D967" t="s">
        <v>1801</v>
      </c>
      <c r="E967">
        <v>9660</v>
      </c>
      <c r="F967">
        <v>32.6</v>
      </c>
      <c r="G967">
        <v>569</v>
      </c>
      <c r="H967">
        <v>17.100000000000001</v>
      </c>
      <c r="I967">
        <v>967</v>
      </c>
      <c r="J967">
        <v>47.7</v>
      </c>
      <c r="K967">
        <v>1069</v>
      </c>
      <c r="L967">
        <v>39.4</v>
      </c>
      <c r="M967">
        <v>997</v>
      </c>
      <c r="N967">
        <v>62.1</v>
      </c>
      <c r="O967">
        <v>541</v>
      </c>
      <c r="P967" t="s">
        <v>255</v>
      </c>
      <c r="Q967" s="1">
        <v>15885</v>
      </c>
      <c r="R967">
        <v>8.1</v>
      </c>
      <c r="S967" s="2">
        <v>0.26</v>
      </c>
      <c r="T967" s="3">
        <v>2.8965277777777776</v>
      </c>
      <c r="U967" s="2">
        <v>0.1</v>
      </c>
      <c r="V967" t="s">
        <v>2131</v>
      </c>
      <c r="W967" t="s">
        <v>2132</v>
      </c>
      <c r="X967" t="b">
        <v>0</v>
      </c>
      <c r="Y967" t="b">
        <v>0</v>
      </c>
    </row>
    <row r="968" spans="1:25">
      <c r="A968">
        <v>9670</v>
      </c>
      <c r="B968" t="s">
        <v>1799</v>
      </c>
      <c r="C968" t="s">
        <v>2133</v>
      </c>
      <c r="D968" t="s">
        <v>1801</v>
      </c>
      <c r="E968">
        <v>9670</v>
      </c>
      <c r="F968">
        <v>28.8</v>
      </c>
      <c r="G968">
        <v>755</v>
      </c>
      <c r="H968">
        <v>26.1</v>
      </c>
      <c r="I968">
        <v>568</v>
      </c>
      <c r="J968">
        <v>41</v>
      </c>
      <c r="K968">
        <v>1203</v>
      </c>
      <c r="L968">
        <v>52.1</v>
      </c>
      <c r="M968">
        <v>771</v>
      </c>
      <c r="N968">
        <v>34.9</v>
      </c>
      <c r="O968">
        <v>1324</v>
      </c>
      <c r="P968" t="s">
        <v>181</v>
      </c>
      <c r="Q968" s="1">
        <v>9929</v>
      </c>
      <c r="R968">
        <v>14.4</v>
      </c>
      <c r="S968" s="2">
        <v>0.04</v>
      </c>
      <c r="T968" s="3">
        <v>1.7902777777777779</v>
      </c>
      <c r="U968" s="2">
        <v>0.37</v>
      </c>
      <c r="V968" t="s">
        <v>2133</v>
      </c>
      <c r="W968" t="s">
        <v>2134</v>
      </c>
      <c r="X968" t="b">
        <v>0</v>
      </c>
      <c r="Y968" t="b">
        <v>0</v>
      </c>
    </row>
    <row r="969" spans="1:25">
      <c r="A969">
        <v>9680</v>
      </c>
      <c r="B969" t="s">
        <v>1799</v>
      </c>
      <c r="C969" t="s">
        <v>2135</v>
      </c>
      <c r="D969" t="s">
        <v>1801</v>
      </c>
      <c r="E969">
        <v>9680</v>
      </c>
      <c r="F969">
        <v>23.8</v>
      </c>
      <c r="G969">
        <v>1097</v>
      </c>
      <c r="H969">
        <v>24.5</v>
      </c>
      <c r="I969">
        <v>631</v>
      </c>
      <c r="J969">
        <v>53.6</v>
      </c>
      <c r="K969">
        <v>932</v>
      </c>
      <c r="L969">
        <v>50.8</v>
      </c>
      <c r="M969">
        <v>796</v>
      </c>
      <c r="N969">
        <v>44.6</v>
      </c>
      <c r="O969">
        <v>973</v>
      </c>
      <c r="P969" t="s">
        <v>386</v>
      </c>
      <c r="Q969" s="1">
        <v>52335</v>
      </c>
      <c r="R969">
        <v>16.7</v>
      </c>
      <c r="S969" s="2">
        <v>0.08</v>
      </c>
      <c r="T969" s="3">
        <v>2.3229166666666665</v>
      </c>
      <c r="U969" s="2">
        <v>0.28999999999999998</v>
      </c>
      <c r="V969" t="s">
        <v>2135</v>
      </c>
      <c r="W969" t="s">
        <v>2136</v>
      </c>
      <c r="X969" t="b">
        <v>0</v>
      </c>
      <c r="Y969" t="b">
        <v>0</v>
      </c>
    </row>
    <row r="970" spans="1:25">
      <c r="A970">
        <v>9690</v>
      </c>
      <c r="B970" t="s">
        <v>1799</v>
      </c>
      <c r="C970" t="s">
        <v>2137</v>
      </c>
      <c r="D970" t="s">
        <v>1801</v>
      </c>
      <c r="E970">
        <v>9690</v>
      </c>
      <c r="F970">
        <v>33.700000000000003</v>
      </c>
      <c r="G970">
        <v>512</v>
      </c>
      <c r="H970">
        <v>10.5</v>
      </c>
      <c r="I970">
        <v>1593</v>
      </c>
      <c r="J970">
        <v>62.1</v>
      </c>
      <c r="K970">
        <v>732</v>
      </c>
      <c r="L970">
        <v>17.3</v>
      </c>
      <c r="M970">
        <v>1731</v>
      </c>
      <c r="N970">
        <v>20.6</v>
      </c>
      <c r="O970">
        <v>1850</v>
      </c>
      <c r="P970" t="s">
        <v>795</v>
      </c>
      <c r="Q970" s="1">
        <v>2755</v>
      </c>
      <c r="R970">
        <v>9.1999999999999993</v>
      </c>
      <c r="S970" s="2">
        <v>0</v>
      </c>
      <c r="T970" s="3">
        <v>2.2409722222222221</v>
      </c>
      <c r="U970" s="2">
        <v>7.0000000000000007E-2</v>
      </c>
      <c r="V970" t="s">
        <v>2137</v>
      </c>
      <c r="W970" t="s">
        <v>253</v>
      </c>
      <c r="X970" t="b">
        <v>0</v>
      </c>
      <c r="Y970" t="b">
        <v>0</v>
      </c>
    </row>
    <row r="971" spans="1:25">
      <c r="A971">
        <v>9700</v>
      </c>
      <c r="B971" t="s">
        <v>1799</v>
      </c>
      <c r="C971" t="s">
        <v>2138</v>
      </c>
      <c r="D971" t="s">
        <v>1801</v>
      </c>
      <c r="E971">
        <v>9700</v>
      </c>
      <c r="F971">
        <v>21.2</v>
      </c>
      <c r="G971">
        <v>1290</v>
      </c>
      <c r="H971">
        <v>16.399999999999999</v>
      </c>
      <c r="I971">
        <v>1021</v>
      </c>
      <c r="J971">
        <v>63</v>
      </c>
      <c r="K971">
        <v>708</v>
      </c>
      <c r="L971">
        <v>33.799999999999997</v>
      </c>
      <c r="M971">
        <v>1115</v>
      </c>
      <c r="N971">
        <v>42.9</v>
      </c>
      <c r="O971">
        <v>1023</v>
      </c>
      <c r="P971" t="s">
        <v>54</v>
      </c>
      <c r="Q971" s="1">
        <v>16620</v>
      </c>
      <c r="R971">
        <v>13.3</v>
      </c>
      <c r="S971" s="2">
        <v>0.01</v>
      </c>
      <c r="T971" s="3">
        <v>2.0770833333333334</v>
      </c>
      <c r="U971" s="2">
        <v>0.34</v>
      </c>
      <c r="V971" t="s">
        <v>2138</v>
      </c>
      <c r="W971" t="s">
        <v>2139</v>
      </c>
      <c r="X971" t="b">
        <v>0</v>
      </c>
      <c r="Y971" t="b">
        <v>0</v>
      </c>
    </row>
    <row r="972" spans="1:25">
      <c r="A972">
        <v>9710</v>
      </c>
      <c r="B972" t="s">
        <v>1799</v>
      </c>
      <c r="C972" t="s">
        <v>2140</v>
      </c>
      <c r="D972" t="s">
        <v>1801</v>
      </c>
      <c r="E972">
        <v>9710</v>
      </c>
      <c r="F972">
        <v>19.399999999999999</v>
      </c>
      <c r="G972">
        <v>1438</v>
      </c>
      <c r="H972">
        <v>14.4</v>
      </c>
      <c r="I972">
        <v>1171</v>
      </c>
      <c r="J972">
        <v>66.7</v>
      </c>
      <c r="K972">
        <v>633</v>
      </c>
      <c r="L972">
        <v>33.1</v>
      </c>
      <c r="M972">
        <v>1127</v>
      </c>
      <c r="N972">
        <v>64</v>
      </c>
      <c r="O972">
        <v>504</v>
      </c>
      <c r="P972" t="s">
        <v>26</v>
      </c>
      <c r="Q972" s="1">
        <v>26580</v>
      </c>
      <c r="R972">
        <v>17.7</v>
      </c>
      <c r="S972" s="2">
        <v>0.12</v>
      </c>
      <c r="T972" s="3">
        <v>2.3229166666666665</v>
      </c>
      <c r="U972" s="2">
        <v>0.22</v>
      </c>
      <c r="V972" t="s">
        <v>2140</v>
      </c>
      <c r="W972" t="s">
        <v>2141</v>
      </c>
      <c r="X972" t="b">
        <v>0</v>
      </c>
      <c r="Y972" t="b">
        <v>0</v>
      </c>
    </row>
    <row r="973" spans="1:25">
      <c r="A973">
        <v>9720</v>
      </c>
      <c r="B973" t="s">
        <v>1799</v>
      </c>
      <c r="C973" t="s">
        <v>2142</v>
      </c>
      <c r="D973" t="s">
        <v>1801</v>
      </c>
      <c r="E973">
        <v>9720</v>
      </c>
      <c r="F973">
        <v>29.3</v>
      </c>
      <c r="G973">
        <v>732</v>
      </c>
      <c r="H973">
        <v>24.6</v>
      </c>
      <c r="I973">
        <v>626</v>
      </c>
      <c r="J973">
        <v>55</v>
      </c>
      <c r="K973">
        <v>890</v>
      </c>
      <c r="L973">
        <v>57.4</v>
      </c>
      <c r="M973">
        <v>697</v>
      </c>
      <c r="N973">
        <v>29.1</v>
      </c>
      <c r="O973">
        <v>1538</v>
      </c>
      <c r="P973" t="s">
        <v>795</v>
      </c>
      <c r="Q973" s="1">
        <v>14857</v>
      </c>
      <c r="R973">
        <v>20.8</v>
      </c>
      <c r="S973" s="2">
        <v>0.02</v>
      </c>
      <c r="T973" s="3">
        <v>2.2409722222222221</v>
      </c>
      <c r="U973" s="2">
        <v>0.37</v>
      </c>
      <c r="V973" t="s">
        <v>2142</v>
      </c>
      <c r="W973" t="s">
        <v>2143</v>
      </c>
      <c r="X973" t="b">
        <v>0</v>
      </c>
      <c r="Y973" t="b">
        <v>0</v>
      </c>
    </row>
    <row r="974" spans="1:25">
      <c r="A974">
        <v>9730</v>
      </c>
      <c r="B974" t="s">
        <v>1799</v>
      </c>
      <c r="C974" t="s">
        <v>2144</v>
      </c>
      <c r="D974" t="s">
        <v>1801</v>
      </c>
      <c r="E974">
        <v>9730</v>
      </c>
      <c r="F974">
        <v>41.7</v>
      </c>
      <c r="G974">
        <v>268</v>
      </c>
      <c r="H974">
        <v>12.7</v>
      </c>
      <c r="I974">
        <v>1338</v>
      </c>
      <c r="J974">
        <v>55.7</v>
      </c>
      <c r="K974">
        <v>874</v>
      </c>
      <c r="L974">
        <v>24.5</v>
      </c>
      <c r="M974">
        <v>1354</v>
      </c>
      <c r="N974">
        <v>24.1</v>
      </c>
      <c r="O974">
        <v>1740</v>
      </c>
      <c r="P974" t="s">
        <v>795</v>
      </c>
      <c r="Q974" s="1">
        <v>9938</v>
      </c>
      <c r="R974">
        <v>10.1</v>
      </c>
      <c r="S974" s="2">
        <v>0.02</v>
      </c>
      <c r="T974" s="3">
        <v>2.3638888888888889</v>
      </c>
      <c r="U974" s="2">
        <v>0.1</v>
      </c>
      <c r="V974" t="s">
        <v>2144</v>
      </c>
      <c r="W974" t="s">
        <v>637</v>
      </c>
      <c r="X974" t="b">
        <v>0</v>
      </c>
      <c r="Y974" t="b">
        <v>0</v>
      </c>
    </row>
    <row r="975" spans="1:25">
      <c r="A975">
        <v>9740</v>
      </c>
      <c r="B975" t="s">
        <v>1799</v>
      </c>
      <c r="C975" t="s">
        <v>2145</v>
      </c>
      <c r="D975" t="s">
        <v>1801</v>
      </c>
      <c r="E975">
        <v>9740</v>
      </c>
      <c r="F975">
        <v>24.7</v>
      </c>
      <c r="G975">
        <v>1031</v>
      </c>
      <c r="H975">
        <v>17.2</v>
      </c>
      <c r="I975">
        <v>958</v>
      </c>
      <c r="J975">
        <v>68</v>
      </c>
      <c r="K975">
        <v>604</v>
      </c>
      <c r="L975">
        <v>26.1</v>
      </c>
      <c r="M975">
        <v>1297</v>
      </c>
      <c r="N975">
        <v>22.8</v>
      </c>
      <c r="O975">
        <v>1782</v>
      </c>
      <c r="P975" t="s">
        <v>528</v>
      </c>
      <c r="Q975" s="1">
        <v>2502</v>
      </c>
      <c r="R975">
        <v>20.3</v>
      </c>
      <c r="S975" s="2">
        <v>0</v>
      </c>
      <c r="T975" t="s">
        <v>113</v>
      </c>
      <c r="U975" s="2">
        <v>0.38</v>
      </c>
      <c r="V975" t="s">
        <v>2145</v>
      </c>
      <c r="W975" t="s">
        <v>2146</v>
      </c>
      <c r="X975" t="b">
        <v>0</v>
      </c>
      <c r="Y975" t="b">
        <v>0</v>
      </c>
    </row>
    <row r="976" spans="1:25">
      <c r="A976">
        <v>9750</v>
      </c>
      <c r="B976" t="s">
        <v>1799</v>
      </c>
      <c r="C976" t="s">
        <v>2147</v>
      </c>
      <c r="D976" t="s">
        <v>1801</v>
      </c>
      <c r="E976">
        <v>9750</v>
      </c>
      <c r="F976">
        <v>37.9</v>
      </c>
      <c r="G976">
        <v>364</v>
      </c>
      <c r="H976">
        <v>16.7</v>
      </c>
      <c r="I976">
        <v>996</v>
      </c>
      <c r="J976">
        <v>47.7</v>
      </c>
      <c r="K976">
        <v>1070</v>
      </c>
      <c r="L976">
        <v>40.799999999999997</v>
      </c>
      <c r="M976">
        <v>963</v>
      </c>
      <c r="N976">
        <v>19.899999999999999</v>
      </c>
      <c r="O976">
        <v>1872</v>
      </c>
      <c r="P976" t="s">
        <v>528</v>
      </c>
      <c r="Q976" s="1">
        <v>13808</v>
      </c>
      <c r="R976">
        <v>11.9</v>
      </c>
      <c r="S976" s="2">
        <v>0.02</v>
      </c>
      <c r="T976" s="3">
        <v>2.2000000000000002</v>
      </c>
      <c r="U976" s="2">
        <v>0.39</v>
      </c>
      <c r="V976" t="s">
        <v>2147</v>
      </c>
      <c r="W976" t="s">
        <v>1769</v>
      </c>
      <c r="X976" t="b">
        <v>0</v>
      </c>
      <c r="Y976" t="b">
        <v>0</v>
      </c>
    </row>
    <row r="977" spans="1:25">
      <c r="A977">
        <v>9760</v>
      </c>
      <c r="B977" t="s">
        <v>1799</v>
      </c>
      <c r="C977" t="s">
        <v>2148</v>
      </c>
      <c r="D977" t="s">
        <v>1801</v>
      </c>
      <c r="E977">
        <v>9760</v>
      </c>
      <c r="F977">
        <v>27.2</v>
      </c>
      <c r="G977">
        <v>866</v>
      </c>
      <c r="H977">
        <v>30.6</v>
      </c>
      <c r="I977">
        <v>452</v>
      </c>
      <c r="J977">
        <v>39.799999999999997</v>
      </c>
      <c r="K977">
        <v>1227</v>
      </c>
      <c r="L977">
        <v>73.3</v>
      </c>
      <c r="M977">
        <v>362</v>
      </c>
      <c r="N977">
        <v>45</v>
      </c>
      <c r="O977">
        <v>962</v>
      </c>
      <c r="P977" t="s">
        <v>181</v>
      </c>
      <c r="Q977" s="1">
        <v>9688</v>
      </c>
      <c r="R977">
        <v>23.9</v>
      </c>
      <c r="S977" s="2">
        <v>0.19</v>
      </c>
      <c r="T977" s="3">
        <v>1.9951388888888888</v>
      </c>
      <c r="U977" s="2">
        <v>0.36</v>
      </c>
      <c r="V977" t="s">
        <v>2148</v>
      </c>
      <c r="W977" t="s">
        <v>2149</v>
      </c>
      <c r="X977" t="b">
        <v>0</v>
      </c>
      <c r="Y977" t="b">
        <v>0</v>
      </c>
    </row>
    <row r="978" spans="1:25">
      <c r="A978">
        <v>9770</v>
      </c>
      <c r="B978" t="s">
        <v>1799</v>
      </c>
      <c r="C978" t="s">
        <v>2150</v>
      </c>
      <c r="D978" t="s">
        <v>1801</v>
      </c>
      <c r="E978">
        <v>9770</v>
      </c>
      <c r="F978">
        <v>18.600000000000001</v>
      </c>
      <c r="G978">
        <v>1498</v>
      </c>
      <c r="H978">
        <v>13.3</v>
      </c>
      <c r="I978">
        <v>1281</v>
      </c>
      <c r="J978">
        <v>70.5</v>
      </c>
      <c r="K978">
        <v>553</v>
      </c>
      <c r="L978">
        <v>16.5</v>
      </c>
      <c r="M978">
        <v>1812</v>
      </c>
      <c r="N978">
        <v>47.1</v>
      </c>
      <c r="O978">
        <v>890</v>
      </c>
      <c r="P978" t="s">
        <v>1102</v>
      </c>
      <c r="Q978" s="1">
        <v>1869</v>
      </c>
      <c r="R978">
        <v>13.4</v>
      </c>
      <c r="S978" s="2">
        <v>0</v>
      </c>
      <c r="T978" t="s">
        <v>162</v>
      </c>
      <c r="U978" s="2">
        <v>0.48</v>
      </c>
      <c r="V978" t="s">
        <v>2150</v>
      </c>
      <c r="W978" t="s">
        <v>2151</v>
      </c>
      <c r="X978" t="b">
        <v>0</v>
      </c>
      <c r="Y978" t="b">
        <v>0</v>
      </c>
    </row>
    <row r="979" spans="1:25">
      <c r="A979">
        <v>9780</v>
      </c>
      <c r="B979" t="s">
        <v>1799</v>
      </c>
      <c r="C979" t="s">
        <v>2152</v>
      </c>
      <c r="D979" t="s">
        <v>1801</v>
      </c>
      <c r="E979">
        <v>9780</v>
      </c>
      <c r="F979">
        <v>16.899999999999999</v>
      </c>
      <c r="G979">
        <v>1634</v>
      </c>
      <c r="H979">
        <v>10.4</v>
      </c>
      <c r="I979">
        <v>1604</v>
      </c>
      <c r="J979">
        <v>69</v>
      </c>
      <c r="K979">
        <v>580</v>
      </c>
      <c r="L979">
        <v>26.1</v>
      </c>
      <c r="M979">
        <v>1298</v>
      </c>
      <c r="N979">
        <v>75.599999999999994</v>
      </c>
      <c r="O979">
        <v>321</v>
      </c>
      <c r="P979" t="s">
        <v>534</v>
      </c>
      <c r="Q979" s="1">
        <v>31635</v>
      </c>
      <c r="R979">
        <v>19.5</v>
      </c>
      <c r="S979" s="2">
        <v>0.02</v>
      </c>
      <c r="T979" s="3">
        <v>2.5277777777777777</v>
      </c>
      <c r="U979" s="2">
        <v>0.33</v>
      </c>
      <c r="V979" t="s">
        <v>2152</v>
      </c>
      <c r="W979" t="s">
        <v>2153</v>
      </c>
      <c r="X979" t="b">
        <v>0</v>
      </c>
      <c r="Y979" t="b">
        <v>0</v>
      </c>
    </row>
    <row r="980" spans="1:25">
      <c r="A980">
        <v>9790</v>
      </c>
      <c r="B980" t="s">
        <v>1799</v>
      </c>
      <c r="C980" t="s">
        <v>2154</v>
      </c>
      <c r="D980" t="s">
        <v>1801</v>
      </c>
      <c r="E980">
        <v>9790</v>
      </c>
      <c r="F980">
        <v>26.6</v>
      </c>
      <c r="G980">
        <v>906</v>
      </c>
      <c r="H980">
        <v>15.8</v>
      </c>
      <c r="I980">
        <v>1065</v>
      </c>
      <c r="J980">
        <v>49.8</v>
      </c>
      <c r="K980">
        <v>1026</v>
      </c>
      <c r="L980">
        <v>57.4</v>
      </c>
      <c r="M980">
        <v>698</v>
      </c>
      <c r="N980">
        <v>53.8</v>
      </c>
      <c r="O980">
        <v>698</v>
      </c>
      <c r="P980" t="s">
        <v>386</v>
      </c>
      <c r="Q980" s="1">
        <v>39221</v>
      </c>
      <c r="R980">
        <v>15.8</v>
      </c>
      <c r="S980" s="2">
        <v>0.14000000000000001</v>
      </c>
      <c r="T980" t="s">
        <v>51</v>
      </c>
      <c r="U980" s="2">
        <v>0.44</v>
      </c>
      <c r="V980" t="s">
        <v>2154</v>
      </c>
      <c r="W980" t="s">
        <v>2155</v>
      </c>
      <c r="X980" t="b">
        <v>0</v>
      </c>
      <c r="Y980" t="b">
        <v>0</v>
      </c>
    </row>
    <row r="981" spans="1:25">
      <c r="A981">
        <v>9800</v>
      </c>
      <c r="B981" t="s">
        <v>1799</v>
      </c>
      <c r="C981" t="s">
        <v>2156</v>
      </c>
      <c r="D981" t="s">
        <v>1801</v>
      </c>
      <c r="E981">
        <v>9800</v>
      </c>
      <c r="F981">
        <v>25.8</v>
      </c>
      <c r="G981">
        <v>955</v>
      </c>
      <c r="H981">
        <v>9.1999999999999993</v>
      </c>
      <c r="I981">
        <v>1770</v>
      </c>
      <c r="J981">
        <v>65.7</v>
      </c>
      <c r="K981">
        <v>660</v>
      </c>
      <c r="L981">
        <v>20</v>
      </c>
      <c r="M981">
        <v>1536</v>
      </c>
      <c r="N981">
        <v>25</v>
      </c>
      <c r="O981">
        <v>1712</v>
      </c>
      <c r="P981" t="s">
        <v>2157</v>
      </c>
      <c r="Q981" s="1">
        <v>10321</v>
      </c>
      <c r="R981">
        <v>6.9</v>
      </c>
      <c r="S981" s="2">
        <v>0</v>
      </c>
      <c r="T981" s="3">
        <v>1.9541666666666666</v>
      </c>
      <c r="U981" s="2">
        <v>0.47</v>
      </c>
      <c r="V981" t="s">
        <v>2156</v>
      </c>
      <c r="W981" t="s">
        <v>2158</v>
      </c>
      <c r="X981" t="b">
        <v>0</v>
      </c>
      <c r="Y981" t="b">
        <v>0</v>
      </c>
    </row>
    <row r="982" spans="1:25">
      <c r="A982">
        <v>9810</v>
      </c>
      <c r="B982" t="s">
        <v>1799</v>
      </c>
      <c r="C982" t="s">
        <v>2159</v>
      </c>
      <c r="D982" t="s">
        <v>1801</v>
      </c>
      <c r="E982">
        <v>9810</v>
      </c>
      <c r="F982">
        <v>24.5</v>
      </c>
      <c r="G982">
        <v>1046</v>
      </c>
      <c r="H982">
        <v>28.7</v>
      </c>
      <c r="I982">
        <v>503</v>
      </c>
      <c r="J982">
        <v>44.8</v>
      </c>
      <c r="K982">
        <v>1124</v>
      </c>
      <c r="L982">
        <v>51.9</v>
      </c>
      <c r="M982">
        <v>778</v>
      </c>
      <c r="N982">
        <v>46.8</v>
      </c>
      <c r="O982">
        <v>901</v>
      </c>
      <c r="P982" t="s">
        <v>29</v>
      </c>
      <c r="Q982" s="1">
        <v>18012</v>
      </c>
      <c r="R982">
        <v>22.9</v>
      </c>
      <c r="S982" s="2">
        <v>0.06</v>
      </c>
      <c r="T982" s="3">
        <v>2.3229166666666665</v>
      </c>
      <c r="U982" s="2">
        <v>0.3</v>
      </c>
      <c r="V982" t="s">
        <v>2159</v>
      </c>
      <c r="W982" t="s">
        <v>2160</v>
      </c>
      <c r="X982" t="b">
        <v>0</v>
      </c>
      <c r="Y982" t="b">
        <v>0</v>
      </c>
    </row>
    <row r="983" spans="1:25">
      <c r="A983">
        <v>9820</v>
      </c>
      <c r="B983" t="s">
        <v>1799</v>
      </c>
      <c r="C983" t="s">
        <v>2161</v>
      </c>
      <c r="D983" t="s">
        <v>1801</v>
      </c>
      <c r="E983">
        <v>9820</v>
      </c>
      <c r="F983">
        <v>35</v>
      </c>
      <c r="G983">
        <v>463</v>
      </c>
      <c r="H983">
        <v>29.1</v>
      </c>
      <c r="I983">
        <v>494</v>
      </c>
      <c r="J983">
        <v>29.6</v>
      </c>
      <c r="K983">
        <v>1457</v>
      </c>
      <c r="L983">
        <v>84.5</v>
      </c>
      <c r="M983">
        <v>214</v>
      </c>
      <c r="N983">
        <v>38.1</v>
      </c>
      <c r="O983">
        <v>1193</v>
      </c>
      <c r="P983" t="s">
        <v>94</v>
      </c>
      <c r="Q983" s="1">
        <v>5834</v>
      </c>
      <c r="R983">
        <v>15.6</v>
      </c>
      <c r="S983" s="2">
        <v>7.0000000000000007E-2</v>
      </c>
      <c r="T983" t="s">
        <v>113</v>
      </c>
      <c r="U983" s="2">
        <v>0.33</v>
      </c>
      <c r="V983" t="s">
        <v>2161</v>
      </c>
      <c r="W983" t="s">
        <v>2162</v>
      </c>
      <c r="X983" t="b">
        <v>0</v>
      </c>
      <c r="Y983" t="b">
        <v>0</v>
      </c>
    </row>
    <row r="984" spans="1:25">
      <c r="A984">
        <v>9830</v>
      </c>
      <c r="B984" t="s">
        <v>1799</v>
      </c>
      <c r="C984" t="s">
        <v>2163</v>
      </c>
      <c r="D984" t="s">
        <v>1801</v>
      </c>
      <c r="E984">
        <v>9830</v>
      </c>
      <c r="F984">
        <v>35.1</v>
      </c>
      <c r="G984">
        <v>459</v>
      </c>
      <c r="H984">
        <v>17</v>
      </c>
      <c r="I984">
        <v>975</v>
      </c>
      <c r="J984">
        <v>54</v>
      </c>
      <c r="K984">
        <v>917</v>
      </c>
      <c r="L984">
        <v>70.400000000000006</v>
      </c>
      <c r="M984">
        <v>423</v>
      </c>
      <c r="N984">
        <v>21.4</v>
      </c>
      <c r="O984">
        <v>1831</v>
      </c>
      <c r="P984" t="s">
        <v>94</v>
      </c>
      <c r="Q984" s="1">
        <v>1367</v>
      </c>
      <c r="R984">
        <v>3.4</v>
      </c>
      <c r="S984" s="2">
        <v>0.01</v>
      </c>
      <c r="T984" s="3">
        <v>2.1590277777777778</v>
      </c>
      <c r="U984" s="2">
        <v>0.03</v>
      </c>
      <c r="V984" t="s">
        <v>2163</v>
      </c>
      <c r="W984" t="s">
        <v>1769</v>
      </c>
      <c r="X984" t="b">
        <v>0</v>
      </c>
      <c r="Y984" t="b">
        <v>0</v>
      </c>
    </row>
    <row r="985" spans="1:25">
      <c r="A985">
        <v>9840</v>
      </c>
      <c r="B985" t="s">
        <v>1799</v>
      </c>
      <c r="C985" t="s">
        <v>2164</v>
      </c>
      <c r="D985" t="s">
        <v>1801</v>
      </c>
      <c r="E985">
        <v>9840</v>
      </c>
      <c r="F985">
        <v>40.5</v>
      </c>
      <c r="G985">
        <v>294</v>
      </c>
      <c r="H985">
        <v>23.5</v>
      </c>
      <c r="I985">
        <v>671</v>
      </c>
      <c r="J985">
        <v>31.7</v>
      </c>
      <c r="K985">
        <v>1408</v>
      </c>
      <c r="L985">
        <v>54.9</v>
      </c>
      <c r="M985">
        <v>727</v>
      </c>
      <c r="N985">
        <v>69.400000000000006</v>
      </c>
      <c r="O985">
        <v>414</v>
      </c>
      <c r="P985" t="s">
        <v>255</v>
      </c>
      <c r="Q985" s="1">
        <v>9741</v>
      </c>
      <c r="R985">
        <v>10.6</v>
      </c>
      <c r="S985" s="2">
        <v>0.28999999999999998</v>
      </c>
      <c r="T985" t="s">
        <v>145</v>
      </c>
      <c r="U985" s="2">
        <v>0.45</v>
      </c>
      <c r="V985" t="s">
        <v>2164</v>
      </c>
      <c r="W985" t="s">
        <v>2165</v>
      </c>
      <c r="X985" t="b">
        <v>0</v>
      </c>
      <c r="Y985" t="b">
        <v>0</v>
      </c>
    </row>
    <row r="986" spans="1:25">
      <c r="A986">
        <v>9850</v>
      </c>
      <c r="B986" t="s">
        <v>1799</v>
      </c>
      <c r="C986" t="s">
        <v>2166</v>
      </c>
      <c r="D986" t="s">
        <v>1801</v>
      </c>
      <c r="E986">
        <v>9850</v>
      </c>
      <c r="F986">
        <v>32.700000000000003</v>
      </c>
      <c r="G986">
        <v>563</v>
      </c>
      <c r="H986">
        <v>15.9</v>
      </c>
      <c r="I986">
        <v>1057</v>
      </c>
      <c r="J986">
        <v>42.2</v>
      </c>
      <c r="K986">
        <v>1181</v>
      </c>
      <c r="L986">
        <v>52.9</v>
      </c>
      <c r="M986">
        <v>755</v>
      </c>
      <c r="N986">
        <v>61.2</v>
      </c>
      <c r="O986">
        <v>559</v>
      </c>
      <c r="P986" t="s">
        <v>125</v>
      </c>
      <c r="Q986" s="1">
        <v>29490</v>
      </c>
      <c r="R986">
        <v>21.8</v>
      </c>
      <c r="S986" s="2">
        <v>0.11</v>
      </c>
      <c r="T986" s="3">
        <v>2.5277777777777777</v>
      </c>
      <c r="U986" s="2">
        <v>0.17</v>
      </c>
      <c r="V986" t="s">
        <v>2166</v>
      </c>
      <c r="W986" t="s">
        <v>2167</v>
      </c>
      <c r="X986" t="b">
        <v>0</v>
      </c>
      <c r="Y986" t="b">
        <v>0</v>
      </c>
    </row>
    <row r="987" spans="1:25">
      <c r="A987">
        <v>9860</v>
      </c>
      <c r="B987" t="s">
        <v>1799</v>
      </c>
      <c r="C987" t="s">
        <v>2168</v>
      </c>
      <c r="D987" t="s">
        <v>1801</v>
      </c>
      <c r="E987">
        <v>9860</v>
      </c>
      <c r="F987">
        <v>22.5</v>
      </c>
      <c r="G987">
        <v>1191</v>
      </c>
      <c r="H987">
        <v>31.2</v>
      </c>
      <c r="I987">
        <v>439</v>
      </c>
      <c r="J987">
        <v>44.6</v>
      </c>
      <c r="K987">
        <v>1133</v>
      </c>
      <c r="L987">
        <v>23.5</v>
      </c>
      <c r="M987">
        <v>1385</v>
      </c>
      <c r="N987">
        <v>40.5</v>
      </c>
      <c r="O987">
        <v>1105</v>
      </c>
      <c r="P987" t="s">
        <v>992</v>
      </c>
      <c r="Q987" s="1">
        <v>6375</v>
      </c>
      <c r="R987">
        <v>9.1999999999999993</v>
      </c>
      <c r="S987" s="2">
        <v>0.06</v>
      </c>
      <c r="T987" s="3">
        <v>2.2409722222222221</v>
      </c>
      <c r="U987" s="2">
        <v>0.28000000000000003</v>
      </c>
      <c r="V987" t="s">
        <v>2168</v>
      </c>
      <c r="W987" t="s">
        <v>2169</v>
      </c>
      <c r="X987" t="b">
        <v>0</v>
      </c>
      <c r="Y987" t="b">
        <v>0</v>
      </c>
    </row>
    <row r="988" spans="1:25">
      <c r="A988">
        <v>9870</v>
      </c>
      <c r="B988" t="s">
        <v>1799</v>
      </c>
      <c r="C988" t="s">
        <v>2170</v>
      </c>
      <c r="D988" t="s">
        <v>1801</v>
      </c>
      <c r="E988">
        <v>9870</v>
      </c>
      <c r="F988">
        <v>42.3</v>
      </c>
      <c r="G988">
        <v>257</v>
      </c>
      <c r="H988">
        <v>19.899999999999999</v>
      </c>
      <c r="I988">
        <v>822</v>
      </c>
      <c r="J988">
        <v>31.1</v>
      </c>
      <c r="K988">
        <v>1424</v>
      </c>
      <c r="L988">
        <v>49.5</v>
      </c>
      <c r="M988">
        <v>820</v>
      </c>
      <c r="N988">
        <v>50.5</v>
      </c>
      <c r="O988">
        <v>792</v>
      </c>
      <c r="P988" t="s">
        <v>2171</v>
      </c>
      <c r="Q988" s="1">
        <v>21302</v>
      </c>
      <c r="R988">
        <v>9.6</v>
      </c>
      <c r="S988" s="2">
        <v>0.06</v>
      </c>
      <c r="T988" s="3">
        <v>3.0194444444444444</v>
      </c>
      <c r="U988" s="2">
        <v>0.34</v>
      </c>
      <c r="V988" t="s">
        <v>2170</v>
      </c>
      <c r="W988" t="s">
        <v>2172</v>
      </c>
      <c r="X988" t="b">
        <v>0</v>
      </c>
      <c r="Y988" t="b">
        <v>0</v>
      </c>
    </row>
    <row r="989" spans="1:25">
      <c r="A989">
        <v>9880</v>
      </c>
      <c r="B989" t="s">
        <v>1799</v>
      </c>
      <c r="C989" t="s">
        <v>2173</v>
      </c>
      <c r="D989" t="s">
        <v>1801</v>
      </c>
      <c r="E989">
        <v>9880</v>
      </c>
      <c r="F989">
        <v>29.6</v>
      </c>
      <c r="G989">
        <v>717</v>
      </c>
      <c r="H989">
        <v>19.5</v>
      </c>
      <c r="I989">
        <v>842</v>
      </c>
      <c r="J989">
        <v>56.9</v>
      </c>
      <c r="K989">
        <v>852</v>
      </c>
      <c r="L989">
        <v>25.8</v>
      </c>
      <c r="M989">
        <v>1308</v>
      </c>
      <c r="N989">
        <v>38</v>
      </c>
      <c r="O989">
        <v>1201</v>
      </c>
      <c r="P989" t="s">
        <v>795</v>
      </c>
      <c r="Q989" s="1">
        <v>13300</v>
      </c>
      <c r="R989">
        <v>26.4</v>
      </c>
      <c r="S989" s="2">
        <v>0.12</v>
      </c>
      <c r="T989" s="3">
        <v>2.0770833333333334</v>
      </c>
      <c r="U989" s="2">
        <v>0.25</v>
      </c>
      <c r="V989" t="s">
        <v>2173</v>
      </c>
      <c r="W989" t="s">
        <v>2174</v>
      </c>
      <c r="X989" t="b">
        <v>0</v>
      </c>
      <c r="Y989" t="b">
        <v>0</v>
      </c>
    </row>
    <row r="990" spans="1:25">
      <c r="A990">
        <v>9890</v>
      </c>
      <c r="B990" t="s">
        <v>1799</v>
      </c>
      <c r="C990" t="s">
        <v>2175</v>
      </c>
      <c r="D990" t="s">
        <v>1801</v>
      </c>
      <c r="E990">
        <v>9890</v>
      </c>
      <c r="F990">
        <v>22.2</v>
      </c>
      <c r="G990">
        <v>1219</v>
      </c>
      <c r="H990">
        <v>17</v>
      </c>
      <c r="I990">
        <v>976</v>
      </c>
      <c r="J990">
        <v>53.7</v>
      </c>
      <c r="K990">
        <v>930</v>
      </c>
      <c r="L990">
        <v>46.7</v>
      </c>
      <c r="M990">
        <v>872</v>
      </c>
      <c r="N990">
        <v>55.5</v>
      </c>
      <c r="O990">
        <v>668</v>
      </c>
      <c r="P990" t="s">
        <v>1102</v>
      </c>
      <c r="Q990" s="1">
        <v>6980</v>
      </c>
      <c r="R990">
        <v>19.2</v>
      </c>
      <c r="S990" s="2">
        <v>0.01</v>
      </c>
      <c r="T990" s="3">
        <v>2.2409722222222221</v>
      </c>
      <c r="U990" s="2">
        <v>0.16</v>
      </c>
      <c r="V990" t="s">
        <v>2175</v>
      </c>
      <c r="W990" t="s">
        <v>2176</v>
      </c>
      <c r="X990" t="b">
        <v>0</v>
      </c>
      <c r="Y990" t="b">
        <v>0</v>
      </c>
    </row>
    <row r="991" spans="1:25">
      <c r="A991">
        <v>9900</v>
      </c>
      <c r="B991" t="s">
        <v>1799</v>
      </c>
      <c r="C991" t="s">
        <v>2177</v>
      </c>
      <c r="D991" t="s">
        <v>1801</v>
      </c>
      <c r="E991">
        <v>9900</v>
      </c>
      <c r="F991">
        <v>19.100000000000001</v>
      </c>
      <c r="G991">
        <v>1464</v>
      </c>
      <c r="H991">
        <v>13.1</v>
      </c>
      <c r="I991">
        <v>1297</v>
      </c>
      <c r="J991">
        <v>70.8</v>
      </c>
      <c r="K991">
        <v>546</v>
      </c>
      <c r="L991">
        <v>20.2</v>
      </c>
      <c r="M991">
        <v>1522</v>
      </c>
      <c r="N991">
        <v>59.1</v>
      </c>
      <c r="O991">
        <v>603</v>
      </c>
      <c r="P991" t="s">
        <v>386</v>
      </c>
      <c r="Q991" s="1">
        <v>6925</v>
      </c>
      <c r="R991">
        <v>13.1</v>
      </c>
      <c r="S991" s="2">
        <v>0.19</v>
      </c>
      <c r="T991" s="3">
        <v>2.5687500000000001</v>
      </c>
      <c r="U991" s="2">
        <v>0.14000000000000001</v>
      </c>
      <c r="V991" t="s">
        <v>2177</v>
      </c>
      <c r="W991" t="s">
        <v>2178</v>
      </c>
      <c r="X991" t="b">
        <v>0</v>
      </c>
      <c r="Y991" t="b">
        <v>0</v>
      </c>
    </row>
    <row r="992" spans="1:25">
      <c r="A992">
        <v>9910</v>
      </c>
      <c r="B992" t="s">
        <v>1799</v>
      </c>
      <c r="C992" t="s">
        <v>2179</v>
      </c>
      <c r="D992" t="s">
        <v>1801</v>
      </c>
      <c r="E992">
        <v>9910</v>
      </c>
      <c r="F992">
        <v>25.1</v>
      </c>
      <c r="G992">
        <v>1002</v>
      </c>
      <c r="H992">
        <v>17.899999999999999</v>
      </c>
      <c r="I992">
        <v>928</v>
      </c>
      <c r="J992">
        <v>57.8</v>
      </c>
      <c r="K992">
        <v>828</v>
      </c>
      <c r="L992">
        <v>49.5</v>
      </c>
      <c r="M992">
        <v>821</v>
      </c>
      <c r="N992">
        <v>47.4</v>
      </c>
      <c r="O992">
        <v>880</v>
      </c>
      <c r="P992" t="s">
        <v>386</v>
      </c>
      <c r="Q992" s="1">
        <v>17367</v>
      </c>
      <c r="R992">
        <v>15.1</v>
      </c>
      <c r="S992" s="2">
        <v>0.05</v>
      </c>
      <c r="T992" s="3">
        <v>2.2000000000000002</v>
      </c>
      <c r="U992" s="2">
        <v>0.33</v>
      </c>
      <c r="V992" t="s">
        <v>2179</v>
      </c>
      <c r="W992" t="s">
        <v>2180</v>
      </c>
      <c r="X992" t="b">
        <v>0</v>
      </c>
      <c r="Y992" t="b">
        <v>0</v>
      </c>
    </row>
    <row r="993" spans="1:25">
      <c r="A993">
        <v>9920</v>
      </c>
      <c r="B993" t="s">
        <v>1799</v>
      </c>
      <c r="C993" t="s">
        <v>2181</v>
      </c>
      <c r="D993" t="s">
        <v>1801</v>
      </c>
      <c r="E993">
        <v>9920</v>
      </c>
      <c r="F993">
        <v>26.6</v>
      </c>
      <c r="G993">
        <v>907</v>
      </c>
      <c r="H993">
        <v>17.5</v>
      </c>
      <c r="I993">
        <v>945</v>
      </c>
      <c r="J993">
        <v>51.4</v>
      </c>
      <c r="K993">
        <v>987</v>
      </c>
      <c r="L993">
        <v>44.4</v>
      </c>
      <c r="M993">
        <v>907</v>
      </c>
      <c r="N993">
        <v>46.7</v>
      </c>
      <c r="O993">
        <v>909</v>
      </c>
      <c r="P993" t="s">
        <v>2026</v>
      </c>
      <c r="Q993" s="1">
        <v>20901</v>
      </c>
      <c r="R993">
        <v>9.1</v>
      </c>
      <c r="S993" s="2">
        <v>0.09</v>
      </c>
      <c r="T993" s="3">
        <v>2.7326388888888888</v>
      </c>
      <c r="U993" s="2">
        <v>0.26</v>
      </c>
      <c r="V993" t="s">
        <v>2181</v>
      </c>
      <c r="W993" t="s">
        <v>2182</v>
      </c>
      <c r="X993" t="b">
        <v>0</v>
      </c>
      <c r="Y993" t="b">
        <v>0</v>
      </c>
    </row>
    <row r="994" spans="1:25">
      <c r="A994">
        <v>9930</v>
      </c>
      <c r="B994" t="s">
        <v>1799</v>
      </c>
      <c r="C994" t="s">
        <v>2183</v>
      </c>
      <c r="D994" t="s">
        <v>1801</v>
      </c>
      <c r="E994">
        <v>9930</v>
      </c>
      <c r="F994">
        <v>33.700000000000003</v>
      </c>
      <c r="G994">
        <v>513</v>
      </c>
      <c r="H994">
        <v>26.2</v>
      </c>
      <c r="I994">
        <v>566</v>
      </c>
      <c r="J994">
        <v>43.1</v>
      </c>
      <c r="K994">
        <v>1167</v>
      </c>
      <c r="L994">
        <v>56.7</v>
      </c>
      <c r="M994">
        <v>707</v>
      </c>
      <c r="N994">
        <v>54.8</v>
      </c>
      <c r="O994">
        <v>681</v>
      </c>
      <c r="P994" t="s">
        <v>94</v>
      </c>
      <c r="Q994" s="1">
        <v>46013</v>
      </c>
      <c r="R994">
        <v>14.3</v>
      </c>
      <c r="S994" s="2">
        <v>0.13</v>
      </c>
      <c r="T994" t="s">
        <v>501</v>
      </c>
      <c r="U994" s="2">
        <v>0.37</v>
      </c>
      <c r="V994" t="s">
        <v>2184</v>
      </c>
      <c r="W994" t="s">
        <v>2185</v>
      </c>
      <c r="X994" t="b">
        <v>0</v>
      </c>
      <c r="Y994" t="b">
        <v>0</v>
      </c>
    </row>
    <row r="995" spans="1:25">
      <c r="A995">
        <v>9940</v>
      </c>
      <c r="B995" t="s">
        <v>1799</v>
      </c>
      <c r="C995" t="s">
        <v>2186</v>
      </c>
      <c r="D995" t="s">
        <v>1801</v>
      </c>
      <c r="E995">
        <v>9940</v>
      </c>
      <c r="F995">
        <v>16.2</v>
      </c>
      <c r="G995">
        <v>1690</v>
      </c>
      <c r="H995">
        <v>15</v>
      </c>
      <c r="I995">
        <v>1128</v>
      </c>
      <c r="J995">
        <v>78.099999999999994</v>
      </c>
      <c r="K995">
        <v>365</v>
      </c>
      <c r="L995">
        <v>27.8</v>
      </c>
      <c r="M995">
        <v>1241</v>
      </c>
      <c r="N995">
        <v>34.799999999999997</v>
      </c>
      <c r="O995">
        <v>1331</v>
      </c>
      <c r="P995" t="s">
        <v>54</v>
      </c>
      <c r="Q995" s="1">
        <v>22633</v>
      </c>
      <c r="R995">
        <v>18.600000000000001</v>
      </c>
      <c r="S995" s="2">
        <v>0.02</v>
      </c>
      <c r="T995" s="3">
        <v>2.4868055555555557</v>
      </c>
      <c r="U995" s="2">
        <v>0.39</v>
      </c>
      <c r="V995" t="s">
        <v>2186</v>
      </c>
      <c r="W995" t="s">
        <v>2187</v>
      </c>
      <c r="X995" t="b">
        <v>0</v>
      </c>
      <c r="Y995" t="b">
        <v>0</v>
      </c>
    </row>
    <row r="996" spans="1:25">
      <c r="A996">
        <v>9950</v>
      </c>
      <c r="B996" t="s">
        <v>1799</v>
      </c>
      <c r="C996" t="s">
        <v>2188</v>
      </c>
      <c r="D996" t="s">
        <v>1801</v>
      </c>
      <c r="E996">
        <v>9950</v>
      </c>
      <c r="F996">
        <v>18.399999999999999</v>
      </c>
      <c r="G996">
        <v>1522</v>
      </c>
      <c r="H996">
        <v>13.6</v>
      </c>
      <c r="I996">
        <v>1246</v>
      </c>
      <c r="J996">
        <v>68.7</v>
      </c>
      <c r="K996">
        <v>591</v>
      </c>
      <c r="L996">
        <v>38.299999999999997</v>
      </c>
      <c r="M996">
        <v>1016</v>
      </c>
      <c r="N996">
        <v>42.8</v>
      </c>
      <c r="O996">
        <v>1027</v>
      </c>
      <c r="P996" t="s">
        <v>54</v>
      </c>
      <c r="Q996" s="1">
        <v>27976</v>
      </c>
      <c r="R996">
        <v>14.6</v>
      </c>
      <c r="S996" s="2">
        <v>0.03</v>
      </c>
      <c r="T996" s="3">
        <v>2.5687500000000001</v>
      </c>
      <c r="U996" s="2">
        <v>7.0000000000000007E-2</v>
      </c>
      <c r="V996" t="s">
        <v>2188</v>
      </c>
      <c r="W996" t="s">
        <v>2189</v>
      </c>
      <c r="X996" t="b">
        <v>0</v>
      </c>
      <c r="Y996" t="b">
        <v>0</v>
      </c>
    </row>
    <row r="997" spans="1:25">
      <c r="A997">
        <v>9960</v>
      </c>
      <c r="B997" t="s">
        <v>1799</v>
      </c>
      <c r="C997" t="s">
        <v>2190</v>
      </c>
      <c r="D997" t="s">
        <v>1801</v>
      </c>
      <c r="E997">
        <v>9960</v>
      </c>
      <c r="F997">
        <v>19.399999999999999</v>
      </c>
      <c r="G997">
        <v>1440</v>
      </c>
      <c r="H997">
        <v>18.100000000000001</v>
      </c>
      <c r="I997">
        <v>915</v>
      </c>
      <c r="J997">
        <v>55.3</v>
      </c>
      <c r="K997">
        <v>884</v>
      </c>
      <c r="L997">
        <v>40</v>
      </c>
      <c r="M997">
        <v>981</v>
      </c>
      <c r="N997">
        <v>87.1</v>
      </c>
      <c r="O997">
        <v>166</v>
      </c>
      <c r="P997" t="s">
        <v>26</v>
      </c>
      <c r="Q997" s="1">
        <v>17315</v>
      </c>
      <c r="R997">
        <v>19.8</v>
      </c>
      <c r="S997" s="2">
        <v>0.48</v>
      </c>
      <c r="T997" s="3">
        <v>2.5277777777777777</v>
      </c>
      <c r="U997" s="2">
        <v>0.19</v>
      </c>
      <c r="V997" t="s">
        <v>2190</v>
      </c>
      <c r="W997" t="s">
        <v>2191</v>
      </c>
      <c r="X997" t="b">
        <v>0</v>
      </c>
      <c r="Y997" t="b">
        <v>0</v>
      </c>
    </row>
    <row r="998" spans="1:25">
      <c r="A998">
        <v>9970</v>
      </c>
      <c r="B998" t="s">
        <v>1799</v>
      </c>
      <c r="C998" t="s">
        <v>2192</v>
      </c>
      <c r="D998" t="s">
        <v>1801</v>
      </c>
      <c r="E998">
        <v>9970</v>
      </c>
      <c r="F998">
        <v>32.1</v>
      </c>
      <c r="G998">
        <v>589</v>
      </c>
      <c r="H998">
        <v>28</v>
      </c>
      <c r="I998">
        <v>516</v>
      </c>
      <c r="J998">
        <v>41.2</v>
      </c>
      <c r="K998">
        <v>1200</v>
      </c>
      <c r="L998">
        <v>64.099999999999994</v>
      </c>
      <c r="M998">
        <v>567</v>
      </c>
      <c r="N998">
        <v>40.9</v>
      </c>
      <c r="O998">
        <v>1088</v>
      </c>
      <c r="P998" t="s">
        <v>895</v>
      </c>
      <c r="Q998" s="1">
        <v>19651</v>
      </c>
      <c r="R998">
        <v>24.8</v>
      </c>
      <c r="S998" s="2">
        <v>0.13</v>
      </c>
      <c r="T998" s="3">
        <v>1.83125</v>
      </c>
      <c r="U998" s="2">
        <v>0.42</v>
      </c>
      <c r="V998" t="s">
        <v>2192</v>
      </c>
      <c r="W998" t="s">
        <v>2193</v>
      </c>
      <c r="X998" t="b">
        <v>0</v>
      </c>
      <c r="Y998" t="b">
        <v>0</v>
      </c>
    </row>
    <row r="999" spans="1:25">
      <c r="A999">
        <v>9980</v>
      </c>
      <c r="B999" t="s">
        <v>1799</v>
      </c>
      <c r="C999" t="s">
        <v>2194</v>
      </c>
      <c r="D999" t="s">
        <v>1801</v>
      </c>
      <c r="E999">
        <v>9980</v>
      </c>
      <c r="F999">
        <v>28.4</v>
      </c>
      <c r="G999">
        <v>785</v>
      </c>
      <c r="H999">
        <v>11.3</v>
      </c>
      <c r="I999">
        <v>1498</v>
      </c>
      <c r="J999">
        <v>59.4</v>
      </c>
      <c r="K999">
        <v>795</v>
      </c>
      <c r="L999">
        <v>62.4</v>
      </c>
      <c r="M999">
        <v>608</v>
      </c>
      <c r="N999">
        <v>29</v>
      </c>
      <c r="O999">
        <v>1544</v>
      </c>
      <c r="P999" t="s">
        <v>94</v>
      </c>
      <c r="Q999" s="1">
        <v>5144</v>
      </c>
      <c r="R999">
        <v>6</v>
      </c>
      <c r="S999" s="2">
        <v>0.03</v>
      </c>
      <c r="T999" s="3">
        <v>2.3229166666666665</v>
      </c>
      <c r="U999" s="2">
        <v>0.08</v>
      </c>
      <c r="V999" t="s">
        <v>2194</v>
      </c>
      <c r="W999" t="s">
        <v>2195</v>
      </c>
      <c r="X999" t="b">
        <v>0</v>
      </c>
      <c r="Y999" t="b">
        <v>0</v>
      </c>
    </row>
    <row r="1000" spans="1:25">
      <c r="A1000">
        <v>9990</v>
      </c>
      <c r="B1000" t="s">
        <v>1799</v>
      </c>
      <c r="C1000" t="s">
        <v>2196</v>
      </c>
      <c r="D1000" t="s">
        <v>1801</v>
      </c>
      <c r="E1000">
        <v>9990</v>
      </c>
      <c r="F1000">
        <v>14.2</v>
      </c>
      <c r="G1000">
        <v>1796</v>
      </c>
      <c r="H1000">
        <v>9.1999999999999993</v>
      </c>
      <c r="I1000">
        <v>1772</v>
      </c>
      <c r="J1000">
        <v>71.400000000000006</v>
      </c>
      <c r="K1000">
        <v>527</v>
      </c>
      <c r="L1000">
        <v>49.8</v>
      </c>
      <c r="M1000">
        <v>813</v>
      </c>
      <c r="N1000">
        <v>49</v>
      </c>
      <c r="O1000">
        <v>832</v>
      </c>
      <c r="P1000" t="s">
        <v>1483</v>
      </c>
      <c r="Q1000" s="1">
        <v>166653</v>
      </c>
      <c r="R1000">
        <v>25.2</v>
      </c>
      <c r="S1000" s="2">
        <v>0.02</v>
      </c>
      <c r="T1000" s="3">
        <v>2.2000000000000002</v>
      </c>
      <c r="U1000" s="2">
        <v>0.23</v>
      </c>
      <c r="V1000" t="s">
        <v>2196</v>
      </c>
      <c r="W1000" t="s">
        <v>2197</v>
      </c>
      <c r="X1000" t="b">
        <v>0</v>
      </c>
      <c r="Y1000" t="b">
        <v>0</v>
      </c>
    </row>
    <row r="1001" spans="1:25">
      <c r="A1001">
        <v>10000</v>
      </c>
      <c r="B1001" t="s">
        <v>1799</v>
      </c>
      <c r="C1001" t="s">
        <v>2198</v>
      </c>
      <c r="D1001" t="s">
        <v>1801</v>
      </c>
      <c r="E1001">
        <v>10000</v>
      </c>
      <c r="F1001">
        <v>28.3</v>
      </c>
      <c r="G1001">
        <v>794</v>
      </c>
      <c r="H1001">
        <v>18.5</v>
      </c>
      <c r="I1001">
        <v>894</v>
      </c>
      <c r="J1001">
        <v>46.4</v>
      </c>
      <c r="K1001">
        <v>1087</v>
      </c>
      <c r="L1001">
        <v>55.7</v>
      </c>
      <c r="M1001">
        <v>718</v>
      </c>
      <c r="N1001">
        <v>42.8</v>
      </c>
      <c r="O1001">
        <v>1029</v>
      </c>
      <c r="P1001" t="s">
        <v>386</v>
      </c>
      <c r="Q1001" s="1">
        <v>28491</v>
      </c>
      <c r="R1001">
        <v>10.199999999999999</v>
      </c>
      <c r="S1001" s="2">
        <v>7.0000000000000007E-2</v>
      </c>
      <c r="T1001" s="3">
        <v>2.2819444444444446</v>
      </c>
      <c r="U1001" s="2">
        <v>0.3</v>
      </c>
      <c r="V1001" t="s">
        <v>2198</v>
      </c>
      <c r="W1001" t="s">
        <v>2199</v>
      </c>
      <c r="X1001" t="b">
        <v>0</v>
      </c>
      <c r="Y1001" t="b">
        <v>0</v>
      </c>
    </row>
    <row r="1002" spans="1:25">
      <c r="A1002">
        <v>10010</v>
      </c>
      <c r="B1002" t="s">
        <v>1799</v>
      </c>
      <c r="C1002" t="s">
        <v>2200</v>
      </c>
      <c r="D1002" t="s">
        <v>1801</v>
      </c>
      <c r="E1002">
        <v>10010</v>
      </c>
      <c r="F1002">
        <v>22.2</v>
      </c>
      <c r="G1002">
        <v>1221</v>
      </c>
      <c r="H1002">
        <v>15.8</v>
      </c>
      <c r="I1002">
        <v>1066</v>
      </c>
      <c r="J1002">
        <v>46</v>
      </c>
      <c r="K1002">
        <v>1100</v>
      </c>
      <c r="L1002">
        <v>59.2</v>
      </c>
      <c r="M1002">
        <v>661</v>
      </c>
      <c r="N1002">
        <v>72.400000000000006</v>
      </c>
      <c r="O1002">
        <v>374</v>
      </c>
      <c r="P1002" t="s">
        <v>50</v>
      </c>
      <c r="Q1002" s="1">
        <v>11120</v>
      </c>
      <c r="R1002">
        <v>12.3</v>
      </c>
      <c r="S1002" s="2">
        <v>0.11</v>
      </c>
      <c r="T1002" s="3">
        <v>2.2000000000000002</v>
      </c>
      <c r="U1002" t="s">
        <v>1292</v>
      </c>
      <c r="V1002" t="s">
        <v>2200</v>
      </c>
      <c r="W1002" t="s">
        <v>2201</v>
      </c>
      <c r="X1002" t="b">
        <v>0</v>
      </c>
      <c r="Y1002" t="b">
        <v>0</v>
      </c>
    </row>
    <row r="1003" spans="1:25">
      <c r="A1003">
        <v>10020</v>
      </c>
      <c r="B1003" t="s">
        <v>1799</v>
      </c>
      <c r="C1003" t="s">
        <v>2202</v>
      </c>
      <c r="D1003" t="s">
        <v>1801</v>
      </c>
      <c r="E1003">
        <v>10020</v>
      </c>
      <c r="F1003">
        <v>21.8</v>
      </c>
      <c r="G1003">
        <v>1250</v>
      </c>
      <c r="H1003">
        <v>12.6</v>
      </c>
      <c r="I1003">
        <v>1356</v>
      </c>
      <c r="J1003">
        <v>61.1</v>
      </c>
      <c r="K1003">
        <v>755</v>
      </c>
      <c r="L1003">
        <v>30.8</v>
      </c>
      <c r="M1003">
        <v>1166</v>
      </c>
      <c r="N1003">
        <v>44.1</v>
      </c>
      <c r="O1003">
        <v>990</v>
      </c>
      <c r="P1003" t="s">
        <v>54</v>
      </c>
      <c r="Q1003" s="1">
        <v>17459</v>
      </c>
      <c r="R1003">
        <v>11.5</v>
      </c>
      <c r="S1003" s="2">
        <v>7.0000000000000007E-2</v>
      </c>
      <c r="T1003" s="3">
        <v>2.4458333333333333</v>
      </c>
      <c r="U1003" s="2">
        <v>0.36</v>
      </c>
      <c r="V1003" t="s">
        <v>2202</v>
      </c>
      <c r="W1003" t="s">
        <v>2203</v>
      </c>
      <c r="X1003" t="b">
        <v>0</v>
      </c>
      <c r="Y1003" t="b">
        <v>0</v>
      </c>
    </row>
    <row r="1004" spans="1:25">
      <c r="A1004">
        <v>10030</v>
      </c>
      <c r="B1004" t="s">
        <v>2204</v>
      </c>
      <c r="C1004" t="s">
        <v>2205</v>
      </c>
      <c r="D1004" t="s">
        <v>2206</v>
      </c>
      <c r="E1004">
        <v>10030</v>
      </c>
      <c r="F1004">
        <v>24.2</v>
      </c>
      <c r="G1004">
        <v>1065</v>
      </c>
      <c r="H1004">
        <v>17.5</v>
      </c>
      <c r="I1004">
        <v>940</v>
      </c>
      <c r="J1004">
        <v>45.6</v>
      </c>
      <c r="K1004">
        <v>1107</v>
      </c>
      <c r="L1004">
        <v>36.1</v>
      </c>
      <c r="M1004">
        <v>1069</v>
      </c>
      <c r="N1004">
        <v>36.5</v>
      </c>
      <c r="O1004">
        <v>1258</v>
      </c>
      <c r="P1004" t="s">
        <v>386</v>
      </c>
      <c r="Q1004" s="1">
        <v>15359</v>
      </c>
      <c r="R1004">
        <v>12.4</v>
      </c>
      <c r="S1004" s="2">
        <v>0.05</v>
      </c>
      <c r="T1004" s="3">
        <v>2.1590277777777778</v>
      </c>
      <c r="U1004" s="2">
        <v>0.3</v>
      </c>
      <c r="V1004" t="s">
        <v>2205</v>
      </c>
      <c r="W1004" t="s">
        <v>2207</v>
      </c>
      <c r="X1004" t="b">
        <v>0</v>
      </c>
      <c r="Y1004" t="b">
        <v>0</v>
      </c>
    </row>
    <row r="1005" spans="1:25">
      <c r="A1005">
        <v>10040</v>
      </c>
      <c r="B1005" t="s">
        <v>2204</v>
      </c>
      <c r="C1005" t="s">
        <v>2208</v>
      </c>
      <c r="D1005" t="s">
        <v>2206</v>
      </c>
      <c r="E1005">
        <v>10040</v>
      </c>
      <c r="F1005">
        <v>19.7</v>
      </c>
      <c r="G1005">
        <v>1397</v>
      </c>
      <c r="H1005">
        <v>28.4</v>
      </c>
      <c r="I1005">
        <v>506</v>
      </c>
      <c r="J1005">
        <v>43.5</v>
      </c>
      <c r="K1005">
        <v>1155</v>
      </c>
      <c r="L1005">
        <v>29.6</v>
      </c>
      <c r="M1005">
        <v>1194</v>
      </c>
      <c r="N1005">
        <v>37.799999999999997</v>
      </c>
      <c r="O1005">
        <v>1205</v>
      </c>
      <c r="P1005" t="s">
        <v>1543</v>
      </c>
      <c r="Q1005" s="1">
        <v>33268</v>
      </c>
      <c r="R1005">
        <v>25</v>
      </c>
      <c r="S1005" s="2">
        <v>0.06</v>
      </c>
      <c r="T1005" s="3">
        <v>2.8555555555555556</v>
      </c>
      <c r="U1005" s="2">
        <v>0.28000000000000003</v>
      </c>
      <c r="V1005" t="s">
        <v>2208</v>
      </c>
      <c r="W1005" t="s">
        <v>2209</v>
      </c>
      <c r="X1005" t="b">
        <v>0</v>
      </c>
      <c r="Y1005" t="b">
        <v>0</v>
      </c>
    </row>
    <row r="1006" spans="1:25">
      <c r="A1006">
        <v>10050</v>
      </c>
      <c r="B1006" t="s">
        <v>2204</v>
      </c>
      <c r="C1006" t="s">
        <v>2210</v>
      </c>
      <c r="D1006" t="s">
        <v>2206</v>
      </c>
      <c r="E1006">
        <v>10050</v>
      </c>
      <c r="F1006">
        <v>25.8</v>
      </c>
      <c r="G1006">
        <v>950</v>
      </c>
      <c r="H1006">
        <v>20.9</v>
      </c>
      <c r="I1006">
        <v>773</v>
      </c>
      <c r="J1006">
        <v>38.6</v>
      </c>
      <c r="K1006">
        <v>1249</v>
      </c>
      <c r="L1006">
        <v>68.5</v>
      </c>
      <c r="M1006">
        <v>465</v>
      </c>
      <c r="N1006">
        <v>29.9</v>
      </c>
      <c r="O1006">
        <v>1497</v>
      </c>
      <c r="P1006" t="s">
        <v>1543</v>
      </c>
      <c r="Q1006" s="1">
        <v>19189</v>
      </c>
      <c r="R1006">
        <v>12.2</v>
      </c>
      <c r="S1006" s="2">
        <v>0.03</v>
      </c>
      <c r="T1006" t="s">
        <v>350</v>
      </c>
      <c r="U1006" s="2">
        <v>0.49</v>
      </c>
      <c r="V1006" t="s">
        <v>2210</v>
      </c>
      <c r="W1006" t="s">
        <v>2211</v>
      </c>
      <c r="X1006" t="b">
        <v>0</v>
      </c>
      <c r="Y1006" t="b">
        <v>0</v>
      </c>
    </row>
    <row r="1007" spans="1:25">
      <c r="A1007">
        <v>10060</v>
      </c>
      <c r="B1007" t="s">
        <v>2204</v>
      </c>
      <c r="C1007" t="s">
        <v>2212</v>
      </c>
      <c r="D1007" t="s">
        <v>2206</v>
      </c>
      <c r="E1007">
        <v>10060</v>
      </c>
      <c r="F1007">
        <v>30.5</v>
      </c>
      <c r="G1007">
        <v>665</v>
      </c>
      <c r="H1007">
        <v>13.5</v>
      </c>
      <c r="I1007">
        <v>1247</v>
      </c>
      <c r="J1007">
        <v>43.1</v>
      </c>
      <c r="K1007">
        <v>1166</v>
      </c>
      <c r="L1007">
        <v>39.5</v>
      </c>
      <c r="M1007">
        <v>993</v>
      </c>
      <c r="N1007">
        <v>21.5</v>
      </c>
      <c r="O1007">
        <v>1822</v>
      </c>
      <c r="P1007" t="s">
        <v>94</v>
      </c>
      <c r="Q1007" s="1">
        <v>1315</v>
      </c>
      <c r="R1007">
        <v>2.9</v>
      </c>
      <c r="S1007" s="2">
        <v>0.01</v>
      </c>
      <c r="T1007" s="3">
        <v>2.4458333333333333</v>
      </c>
      <c r="U1007" s="2">
        <v>0.03</v>
      </c>
      <c r="V1007" t="s">
        <v>2212</v>
      </c>
      <c r="W1007" t="s">
        <v>253</v>
      </c>
      <c r="X1007" t="b">
        <v>0</v>
      </c>
      <c r="Y1007" t="b">
        <v>0</v>
      </c>
    </row>
    <row r="1008" spans="1:25">
      <c r="A1008">
        <v>10070</v>
      </c>
      <c r="B1008" t="s">
        <v>2204</v>
      </c>
      <c r="C1008" t="s">
        <v>2213</v>
      </c>
      <c r="D1008" t="s">
        <v>2206</v>
      </c>
      <c r="E1008">
        <v>10070</v>
      </c>
      <c r="F1008">
        <v>27.9</v>
      </c>
      <c r="G1008">
        <v>809</v>
      </c>
      <c r="H1008">
        <v>15.3</v>
      </c>
      <c r="I1008">
        <v>1091</v>
      </c>
      <c r="J1008">
        <v>45.8</v>
      </c>
      <c r="K1008">
        <v>1103</v>
      </c>
      <c r="L1008">
        <v>48</v>
      </c>
      <c r="M1008">
        <v>844</v>
      </c>
      <c r="N1008">
        <v>51.8</v>
      </c>
      <c r="O1008">
        <v>746</v>
      </c>
      <c r="P1008" t="s">
        <v>1483</v>
      </c>
      <c r="Q1008" s="1">
        <v>152995</v>
      </c>
      <c r="R1008">
        <v>13.3</v>
      </c>
      <c r="S1008" s="2">
        <v>0.06</v>
      </c>
      <c r="T1008" s="3">
        <v>2.2000000000000002</v>
      </c>
      <c r="U1008" s="2">
        <v>0.23</v>
      </c>
      <c r="V1008" t="s">
        <v>2213</v>
      </c>
      <c r="W1008" t="s">
        <v>2214</v>
      </c>
      <c r="X1008" t="b">
        <v>0</v>
      </c>
      <c r="Y1008" t="b">
        <v>0</v>
      </c>
    </row>
    <row r="1009" spans="1:25">
      <c r="A1009">
        <v>10080</v>
      </c>
      <c r="B1009" t="s">
        <v>2204</v>
      </c>
      <c r="C1009" t="s">
        <v>2215</v>
      </c>
      <c r="D1009" t="s">
        <v>2206</v>
      </c>
      <c r="E1009">
        <v>10080</v>
      </c>
      <c r="F1009">
        <v>22.7</v>
      </c>
      <c r="G1009">
        <v>1171</v>
      </c>
      <c r="H1009">
        <v>27.3</v>
      </c>
      <c r="I1009">
        <v>530</v>
      </c>
      <c r="J1009">
        <v>42.6</v>
      </c>
      <c r="K1009">
        <v>1174</v>
      </c>
      <c r="L1009">
        <v>54.7</v>
      </c>
      <c r="M1009">
        <v>731</v>
      </c>
      <c r="N1009">
        <v>25.2</v>
      </c>
      <c r="O1009">
        <v>1696</v>
      </c>
      <c r="P1009" t="s">
        <v>895</v>
      </c>
      <c r="Q1009" s="1">
        <v>46464</v>
      </c>
      <c r="R1009">
        <v>47.3</v>
      </c>
      <c r="S1009" s="2">
        <v>0.04</v>
      </c>
      <c r="T1009" s="3">
        <v>1.9131944444444444</v>
      </c>
      <c r="U1009" s="2">
        <v>0.21</v>
      </c>
      <c r="V1009" t="s">
        <v>2215</v>
      </c>
      <c r="W1009" t="s">
        <v>2216</v>
      </c>
      <c r="X1009" t="b">
        <v>0</v>
      </c>
      <c r="Y1009" t="b">
        <v>0</v>
      </c>
    </row>
    <row r="1010" spans="1:25">
      <c r="A1010">
        <v>10090</v>
      </c>
      <c r="B1010" t="s">
        <v>2204</v>
      </c>
      <c r="C1010" t="s">
        <v>2217</v>
      </c>
      <c r="D1010" t="s">
        <v>2206</v>
      </c>
      <c r="E1010">
        <v>10090</v>
      </c>
      <c r="F1010">
        <v>12</v>
      </c>
      <c r="G1010">
        <v>1876</v>
      </c>
      <c r="H1010">
        <v>13.6</v>
      </c>
      <c r="I1010">
        <v>1236</v>
      </c>
      <c r="J1010">
        <v>59.2</v>
      </c>
      <c r="K1010">
        <v>802</v>
      </c>
      <c r="L1010">
        <v>22.5</v>
      </c>
      <c r="M1010">
        <v>1417</v>
      </c>
      <c r="N1010">
        <v>39.299999999999997</v>
      </c>
      <c r="O1010">
        <v>1140</v>
      </c>
      <c r="P1010" t="s">
        <v>1554</v>
      </c>
      <c r="Q1010" s="1">
        <v>27973</v>
      </c>
      <c r="R1010">
        <v>27.3</v>
      </c>
      <c r="S1010" s="2">
        <v>0.02</v>
      </c>
      <c r="T1010" s="3">
        <v>2.4868055555555557</v>
      </c>
      <c r="U1010" s="2">
        <v>0.36</v>
      </c>
      <c r="V1010" t="s">
        <v>2217</v>
      </c>
      <c r="W1010" t="s">
        <v>2218</v>
      </c>
      <c r="X1010" t="b">
        <v>0</v>
      </c>
      <c r="Y1010" t="b">
        <v>0</v>
      </c>
    </row>
    <row r="1011" spans="1:25">
      <c r="A1011">
        <v>10100</v>
      </c>
      <c r="B1011" t="s">
        <v>2204</v>
      </c>
      <c r="C1011" t="s">
        <v>2219</v>
      </c>
      <c r="D1011" t="s">
        <v>2206</v>
      </c>
      <c r="E1011">
        <v>10100</v>
      </c>
      <c r="F1011">
        <v>25</v>
      </c>
      <c r="G1011">
        <v>1003</v>
      </c>
      <c r="H1011">
        <v>19.8</v>
      </c>
      <c r="I1011">
        <v>823</v>
      </c>
      <c r="J1011">
        <v>43.8</v>
      </c>
      <c r="K1011">
        <v>1145</v>
      </c>
      <c r="L1011">
        <v>51.6</v>
      </c>
      <c r="M1011">
        <v>781</v>
      </c>
      <c r="N1011">
        <v>44.6</v>
      </c>
      <c r="O1011">
        <v>971</v>
      </c>
      <c r="P1011" t="s">
        <v>386</v>
      </c>
      <c r="Q1011" s="1">
        <v>22767</v>
      </c>
      <c r="R1011">
        <v>14.5</v>
      </c>
      <c r="S1011" s="2">
        <v>0.1</v>
      </c>
      <c r="T1011" s="3">
        <v>2.4868055555555557</v>
      </c>
      <c r="U1011" s="2">
        <v>0.3</v>
      </c>
      <c r="V1011" t="s">
        <v>2219</v>
      </c>
      <c r="W1011" t="s">
        <v>2220</v>
      </c>
      <c r="X1011" t="b">
        <v>0</v>
      </c>
      <c r="Y1011" t="b">
        <v>0</v>
      </c>
    </row>
    <row r="1012" spans="1:25">
      <c r="A1012">
        <v>10110</v>
      </c>
      <c r="B1012" t="s">
        <v>2204</v>
      </c>
      <c r="C1012" t="s">
        <v>2221</v>
      </c>
      <c r="D1012" t="s">
        <v>2206</v>
      </c>
      <c r="E1012">
        <v>10110</v>
      </c>
      <c r="F1012">
        <v>21.7</v>
      </c>
      <c r="G1012">
        <v>1251</v>
      </c>
      <c r="H1012">
        <v>18.899999999999999</v>
      </c>
      <c r="I1012">
        <v>867</v>
      </c>
      <c r="J1012">
        <v>48.9</v>
      </c>
      <c r="K1012">
        <v>1043</v>
      </c>
      <c r="L1012">
        <v>33.700000000000003</v>
      </c>
      <c r="M1012">
        <v>1117</v>
      </c>
      <c r="N1012">
        <v>42.2</v>
      </c>
      <c r="O1012">
        <v>1045</v>
      </c>
      <c r="P1012" t="s">
        <v>386</v>
      </c>
      <c r="Q1012" s="1">
        <v>12902</v>
      </c>
      <c r="R1012">
        <v>17</v>
      </c>
      <c r="S1012" s="2">
        <v>0.1</v>
      </c>
      <c r="T1012" s="3">
        <v>2.3229166666666665</v>
      </c>
      <c r="U1012" s="2">
        <v>0.3</v>
      </c>
      <c r="V1012" t="s">
        <v>2221</v>
      </c>
      <c r="W1012" t="s">
        <v>2222</v>
      </c>
      <c r="X1012" t="b">
        <v>0</v>
      </c>
      <c r="Y1012" t="b">
        <v>0</v>
      </c>
    </row>
    <row r="1013" spans="1:25">
      <c r="A1013">
        <v>10120</v>
      </c>
      <c r="B1013" t="s">
        <v>2204</v>
      </c>
      <c r="C1013" t="s">
        <v>2223</v>
      </c>
      <c r="D1013" t="s">
        <v>2206</v>
      </c>
      <c r="E1013">
        <v>10120</v>
      </c>
      <c r="F1013">
        <v>13.3</v>
      </c>
      <c r="G1013">
        <v>1830</v>
      </c>
      <c r="H1013">
        <v>9.8000000000000007</v>
      </c>
      <c r="I1013">
        <v>1666</v>
      </c>
      <c r="J1013">
        <v>65.400000000000006</v>
      </c>
      <c r="K1013">
        <v>668</v>
      </c>
      <c r="L1013">
        <v>21</v>
      </c>
      <c r="M1013">
        <v>1479</v>
      </c>
      <c r="N1013">
        <v>61.2</v>
      </c>
      <c r="O1013">
        <v>556</v>
      </c>
      <c r="P1013" t="s">
        <v>2224</v>
      </c>
      <c r="Q1013" s="1">
        <v>24835</v>
      </c>
      <c r="R1013">
        <v>21.7</v>
      </c>
      <c r="S1013" s="2">
        <v>0.11</v>
      </c>
      <c r="T1013" s="3">
        <v>2.7736111111111112</v>
      </c>
      <c r="U1013" s="2">
        <v>0.27</v>
      </c>
      <c r="V1013" t="s">
        <v>2223</v>
      </c>
      <c r="W1013" t="s">
        <v>2225</v>
      </c>
      <c r="X1013" t="b">
        <v>0</v>
      </c>
      <c r="Y1013" t="b">
        <v>0</v>
      </c>
    </row>
    <row r="1014" spans="1:25">
      <c r="A1014">
        <v>10130</v>
      </c>
      <c r="B1014" t="s">
        <v>2204</v>
      </c>
      <c r="C1014" t="s">
        <v>2226</v>
      </c>
      <c r="D1014" t="s">
        <v>2206</v>
      </c>
      <c r="E1014">
        <v>10130</v>
      </c>
      <c r="F1014">
        <v>24</v>
      </c>
      <c r="G1014">
        <v>1078</v>
      </c>
      <c r="H1014">
        <v>13.1</v>
      </c>
      <c r="I1014">
        <v>1290</v>
      </c>
      <c r="J1014">
        <v>38.299999999999997</v>
      </c>
      <c r="K1014">
        <v>1253</v>
      </c>
      <c r="L1014">
        <v>33.799999999999997</v>
      </c>
      <c r="M1014">
        <v>1114</v>
      </c>
      <c r="N1014">
        <v>87.4</v>
      </c>
      <c r="O1014">
        <v>160</v>
      </c>
      <c r="P1014" t="s">
        <v>50</v>
      </c>
      <c r="Q1014" s="1">
        <v>17933</v>
      </c>
      <c r="R1014">
        <v>6.5</v>
      </c>
      <c r="S1014" s="2">
        <v>0.28999999999999998</v>
      </c>
      <c r="T1014" s="3">
        <v>2.2819444444444446</v>
      </c>
      <c r="U1014" s="2">
        <v>0.31</v>
      </c>
      <c r="V1014" t="s">
        <v>2226</v>
      </c>
      <c r="W1014" t="s">
        <v>2227</v>
      </c>
      <c r="X1014" t="b">
        <v>0</v>
      </c>
      <c r="Y1014" t="b">
        <v>0</v>
      </c>
    </row>
    <row r="1015" spans="1:25">
      <c r="A1015">
        <v>10140</v>
      </c>
      <c r="B1015" t="s">
        <v>2204</v>
      </c>
      <c r="C1015" t="s">
        <v>2228</v>
      </c>
      <c r="D1015" t="s">
        <v>2206</v>
      </c>
      <c r="E1015">
        <v>10140</v>
      </c>
      <c r="F1015">
        <v>30.8</v>
      </c>
      <c r="G1015">
        <v>647</v>
      </c>
      <c r="H1015">
        <v>10.8</v>
      </c>
      <c r="I1015">
        <v>1545</v>
      </c>
      <c r="J1015">
        <v>52.4</v>
      </c>
      <c r="K1015">
        <v>954</v>
      </c>
      <c r="L1015">
        <v>27.6</v>
      </c>
      <c r="M1015">
        <v>1249</v>
      </c>
      <c r="N1015">
        <v>33.5</v>
      </c>
      <c r="O1015">
        <v>1374</v>
      </c>
      <c r="P1015" t="s">
        <v>2229</v>
      </c>
      <c r="Q1015" s="1">
        <v>14168</v>
      </c>
      <c r="R1015">
        <v>11.1</v>
      </c>
      <c r="S1015" s="2">
        <v>0.01</v>
      </c>
      <c r="T1015" s="3">
        <v>2.2000000000000002</v>
      </c>
      <c r="U1015" s="2">
        <v>0.27</v>
      </c>
      <c r="V1015" t="s">
        <v>2228</v>
      </c>
      <c r="W1015" t="s">
        <v>2230</v>
      </c>
      <c r="X1015" t="b">
        <v>0</v>
      </c>
      <c r="Y1015" t="b">
        <v>0</v>
      </c>
    </row>
    <row r="1016" spans="1:25">
      <c r="A1016">
        <v>10150</v>
      </c>
      <c r="B1016" t="s">
        <v>2204</v>
      </c>
      <c r="C1016" t="s">
        <v>2231</v>
      </c>
      <c r="D1016" t="s">
        <v>2206</v>
      </c>
      <c r="E1016">
        <v>10150</v>
      </c>
      <c r="F1016">
        <v>12.5</v>
      </c>
      <c r="G1016">
        <v>1860</v>
      </c>
      <c r="H1016">
        <v>12.2</v>
      </c>
      <c r="I1016">
        <v>1386</v>
      </c>
      <c r="J1016">
        <v>54.5</v>
      </c>
      <c r="K1016">
        <v>897</v>
      </c>
      <c r="L1016">
        <v>16.100000000000001</v>
      </c>
      <c r="M1016">
        <v>1848</v>
      </c>
      <c r="N1016">
        <v>55.4</v>
      </c>
      <c r="O1016">
        <v>669</v>
      </c>
      <c r="P1016" t="s">
        <v>1093</v>
      </c>
      <c r="Q1016" s="1">
        <v>30336</v>
      </c>
      <c r="R1016">
        <v>25.5</v>
      </c>
      <c r="S1016" s="2">
        <v>0.01</v>
      </c>
      <c r="T1016" s="3">
        <v>2.7326388888888888</v>
      </c>
      <c r="U1016" s="2">
        <v>0.23</v>
      </c>
      <c r="V1016" t="s">
        <v>2231</v>
      </c>
      <c r="W1016" t="s">
        <v>2232</v>
      </c>
      <c r="X1016" t="b">
        <v>0</v>
      </c>
      <c r="Y1016" t="b">
        <v>0</v>
      </c>
    </row>
    <row r="1017" spans="1:25">
      <c r="A1017">
        <v>10160</v>
      </c>
      <c r="B1017" t="s">
        <v>2204</v>
      </c>
      <c r="C1017" t="s">
        <v>2233</v>
      </c>
      <c r="D1017" t="s">
        <v>2206</v>
      </c>
      <c r="E1017">
        <v>10160</v>
      </c>
      <c r="F1017">
        <v>14.9</v>
      </c>
      <c r="G1017">
        <v>1758</v>
      </c>
      <c r="H1017">
        <v>15.3</v>
      </c>
      <c r="I1017">
        <v>1093</v>
      </c>
      <c r="J1017">
        <v>67.900000000000006</v>
      </c>
      <c r="K1017">
        <v>605</v>
      </c>
      <c r="L1017">
        <v>19</v>
      </c>
      <c r="M1017">
        <v>1588</v>
      </c>
      <c r="N1017">
        <v>27.9</v>
      </c>
      <c r="O1017">
        <v>1579</v>
      </c>
      <c r="P1017" t="s">
        <v>795</v>
      </c>
      <c r="Q1017" s="1">
        <v>7477</v>
      </c>
      <c r="R1017">
        <v>27.1</v>
      </c>
      <c r="S1017" s="2">
        <v>0.02</v>
      </c>
      <c r="T1017" s="3">
        <v>2.5687500000000001</v>
      </c>
      <c r="U1017" s="2">
        <v>0.39</v>
      </c>
      <c r="V1017" t="s">
        <v>2233</v>
      </c>
      <c r="W1017" t="s">
        <v>2234</v>
      </c>
      <c r="X1017" t="b">
        <v>0</v>
      </c>
      <c r="Y1017" t="b">
        <v>0</v>
      </c>
    </row>
    <row r="1018" spans="1:25">
      <c r="A1018">
        <v>10170</v>
      </c>
      <c r="B1018" t="s">
        <v>2204</v>
      </c>
      <c r="C1018" t="s">
        <v>2235</v>
      </c>
      <c r="D1018" t="s">
        <v>2206</v>
      </c>
      <c r="E1018">
        <v>10170</v>
      </c>
      <c r="F1018">
        <v>23.3</v>
      </c>
      <c r="G1018">
        <v>1128</v>
      </c>
      <c r="H1018">
        <v>16.8</v>
      </c>
      <c r="I1018">
        <v>982</v>
      </c>
      <c r="J1018">
        <v>46</v>
      </c>
      <c r="K1018">
        <v>1096</v>
      </c>
      <c r="L1018">
        <v>35.200000000000003</v>
      </c>
      <c r="M1018">
        <v>1089</v>
      </c>
      <c r="N1018">
        <v>39</v>
      </c>
      <c r="O1018">
        <v>1150</v>
      </c>
      <c r="P1018" t="s">
        <v>1853</v>
      </c>
      <c r="Q1018" s="1">
        <v>43018</v>
      </c>
      <c r="R1018">
        <v>21.1</v>
      </c>
      <c r="S1018" s="2">
        <v>0.04</v>
      </c>
      <c r="T1018" s="3">
        <v>2.6916666666666669</v>
      </c>
      <c r="U1018" s="2">
        <v>0.28999999999999998</v>
      </c>
      <c r="V1018" t="s">
        <v>2235</v>
      </c>
      <c r="W1018" t="s">
        <v>2236</v>
      </c>
      <c r="X1018" t="b">
        <v>0</v>
      </c>
      <c r="Y1018" t="b">
        <v>0</v>
      </c>
    </row>
    <row r="1019" spans="1:25">
      <c r="A1019">
        <v>10180</v>
      </c>
      <c r="B1019" t="s">
        <v>2204</v>
      </c>
      <c r="C1019" t="s">
        <v>2237</v>
      </c>
      <c r="D1019" t="s">
        <v>2206</v>
      </c>
      <c r="E1019">
        <v>10180</v>
      </c>
      <c r="F1019">
        <v>19.600000000000001</v>
      </c>
      <c r="G1019">
        <v>1409</v>
      </c>
      <c r="H1019">
        <v>12.6</v>
      </c>
      <c r="I1019">
        <v>1347</v>
      </c>
      <c r="J1019">
        <v>58.5</v>
      </c>
      <c r="K1019">
        <v>813</v>
      </c>
      <c r="L1019">
        <v>19.2</v>
      </c>
      <c r="M1019">
        <v>1572</v>
      </c>
      <c r="N1019">
        <v>48.1</v>
      </c>
      <c r="O1019">
        <v>866</v>
      </c>
      <c r="P1019" t="s">
        <v>1102</v>
      </c>
      <c r="Q1019" s="1">
        <v>26994</v>
      </c>
      <c r="R1019">
        <v>27.2</v>
      </c>
      <c r="S1019" s="2">
        <v>0</v>
      </c>
      <c r="T1019" t="s">
        <v>658</v>
      </c>
      <c r="U1019" s="2">
        <v>0.28000000000000003</v>
      </c>
      <c r="V1019" t="s">
        <v>2237</v>
      </c>
      <c r="W1019" t="s">
        <v>2238</v>
      </c>
      <c r="X1019" t="b">
        <v>0</v>
      </c>
      <c r="Y1019" t="b">
        <v>0</v>
      </c>
    </row>
    <row r="1020" spans="1:25">
      <c r="A1020">
        <v>10190</v>
      </c>
      <c r="B1020" t="s">
        <v>2204</v>
      </c>
      <c r="C1020" t="s">
        <v>2239</v>
      </c>
      <c r="D1020" t="s">
        <v>2206</v>
      </c>
      <c r="E1020">
        <v>10190</v>
      </c>
      <c r="F1020">
        <v>29.5</v>
      </c>
      <c r="G1020">
        <v>720</v>
      </c>
      <c r="H1020">
        <v>9.9</v>
      </c>
      <c r="I1020">
        <v>1645</v>
      </c>
      <c r="J1020">
        <v>45.2</v>
      </c>
      <c r="K1020">
        <v>1114</v>
      </c>
      <c r="L1020">
        <v>22.6</v>
      </c>
      <c r="M1020">
        <v>1415</v>
      </c>
      <c r="N1020">
        <v>49.5</v>
      </c>
      <c r="O1020">
        <v>818</v>
      </c>
      <c r="P1020" t="s">
        <v>1846</v>
      </c>
      <c r="Q1020" s="1">
        <v>6810</v>
      </c>
      <c r="R1020">
        <v>11.4</v>
      </c>
      <c r="S1020" s="2">
        <v>0.01</v>
      </c>
      <c r="T1020" s="3">
        <v>1.9131944444444444</v>
      </c>
      <c r="U1020" s="2">
        <v>0.21</v>
      </c>
      <c r="V1020" t="s">
        <v>2239</v>
      </c>
      <c r="W1020" t="s">
        <v>2240</v>
      </c>
      <c r="X1020" t="b">
        <v>0</v>
      </c>
      <c r="Y1020" t="b">
        <v>0</v>
      </c>
    </row>
    <row r="1021" spans="1:25">
      <c r="A1021">
        <v>10200</v>
      </c>
      <c r="B1021" t="s">
        <v>2204</v>
      </c>
      <c r="C1021" t="s">
        <v>2241</v>
      </c>
      <c r="D1021" t="s">
        <v>2206</v>
      </c>
      <c r="E1021">
        <v>10200</v>
      </c>
      <c r="F1021">
        <v>21.7</v>
      </c>
      <c r="G1021">
        <v>1252</v>
      </c>
      <c r="H1021">
        <v>15.8</v>
      </c>
      <c r="I1021">
        <v>1060</v>
      </c>
      <c r="J1021">
        <v>50.7</v>
      </c>
      <c r="K1021">
        <v>1003</v>
      </c>
      <c r="L1021">
        <v>35.200000000000003</v>
      </c>
      <c r="M1021">
        <v>1090</v>
      </c>
      <c r="N1021">
        <v>29.8</v>
      </c>
      <c r="O1021">
        <v>1499</v>
      </c>
      <c r="P1021" t="s">
        <v>1846</v>
      </c>
      <c r="Q1021" s="1">
        <v>6237</v>
      </c>
      <c r="R1021">
        <v>13.2</v>
      </c>
      <c r="S1021" s="2">
        <v>0</v>
      </c>
      <c r="T1021">
        <v>0.97083333333333333</v>
      </c>
      <c r="U1021" s="2">
        <v>0.44</v>
      </c>
      <c r="V1021" t="s">
        <v>2242</v>
      </c>
      <c r="W1021" t="s">
        <v>2243</v>
      </c>
      <c r="X1021" t="b">
        <v>0</v>
      </c>
      <c r="Y1021" t="b">
        <v>0</v>
      </c>
    </row>
    <row r="1022" spans="1:25">
      <c r="A1022">
        <v>10210</v>
      </c>
      <c r="B1022" t="s">
        <v>2204</v>
      </c>
      <c r="C1022" t="s">
        <v>2244</v>
      </c>
      <c r="D1022" t="s">
        <v>2206</v>
      </c>
      <c r="E1022">
        <v>10210</v>
      </c>
      <c r="F1022">
        <v>11.1</v>
      </c>
      <c r="G1022">
        <v>1895</v>
      </c>
      <c r="H1022">
        <v>13</v>
      </c>
      <c r="I1022">
        <v>1299</v>
      </c>
      <c r="J1022">
        <v>69.599999999999994</v>
      </c>
      <c r="K1022">
        <v>564</v>
      </c>
      <c r="L1022">
        <v>16.3</v>
      </c>
      <c r="M1022">
        <v>1824</v>
      </c>
      <c r="N1022">
        <v>37.4</v>
      </c>
      <c r="O1022">
        <v>1223</v>
      </c>
      <c r="P1022" t="s">
        <v>895</v>
      </c>
      <c r="Q1022" s="1">
        <v>11828</v>
      </c>
      <c r="R1022">
        <v>31.8</v>
      </c>
      <c r="S1022" s="2">
        <v>0.11</v>
      </c>
      <c r="T1022" t="s">
        <v>501</v>
      </c>
      <c r="U1022" s="2">
        <v>0.28000000000000003</v>
      </c>
      <c r="V1022" t="s">
        <v>2244</v>
      </c>
      <c r="W1022" t="s">
        <v>2245</v>
      </c>
      <c r="X1022" t="b">
        <v>0</v>
      </c>
      <c r="Y1022" t="b">
        <v>0</v>
      </c>
    </row>
    <row r="1023" spans="1:25">
      <c r="A1023">
        <v>10220</v>
      </c>
      <c r="B1023" t="s">
        <v>2204</v>
      </c>
      <c r="C1023" t="s">
        <v>2246</v>
      </c>
      <c r="D1023" t="s">
        <v>2206</v>
      </c>
      <c r="E1023">
        <v>10220</v>
      </c>
      <c r="F1023">
        <v>17.5</v>
      </c>
      <c r="G1023">
        <v>1593</v>
      </c>
      <c r="H1023">
        <v>14.3</v>
      </c>
      <c r="I1023">
        <v>1175</v>
      </c>
      <c r="J1023">
        <v>52.4</v>
      </c>
      <c r="K1023">
        <v>955</v>
      </c>
      <c r="L1023">
        <v>25.6</v>
      </c>
      <c r="M1023">
        <v>1310</v>
      </c>
      <c r="N1023">
        <v>83.9</v>
      </c>
      <c r="O1023">
        <v>202</v>
      </c>
      <c r="P1023" t="s">
        <v>26</v>
      </c>
      <c r="Q1023" s="1">
        <v>13545</v>
      </c>
      <c r="R1023">
        <v>29.1</v>
      </c>
      <c r="S1023" s="2">
        <v>0.64</v>
      </c>
      <c r="T1023" s="3">
        <v>2.4868055555555557</v>
      </c>
      <c r="U1023" s="2">
        <v>0.24</v>
      </c>
      <c r="V1023" t="s">
        <v>2246</v>
      </c>
      <c r="W1023" t="s">
        <v>2247</v>
      </c>
      <c r="X1023" t="b">
        <v>0</v>
      </c>
      <c r="Y1023" t="b">
        <v>0</v>
      </c>
    </row>
    <row r="1024" spans="1:25">
      <c r="A1024">
        <v>10230</v>
      </c>
      <c r="B1024" t="s">
        <v>2204</v>
      </c>
      <c r="C1024" t="s">
        <v>2248</v>
      </c>
      <c r="D1024" t="s">
        <v>2206</v>
      </c>
      <c r="E1024">
        <v>10230</v>
      </c>
      <c r="F1024">
        <v>15.7</v>
      </c>
      <c r="G1024">
        <v>1717</v>
      </c>
      <c r="H1024">
        <v>9.1999999999999993</v>
      </c>
      <c r="I1024">
        <v>1756</v>
      </c>
      <c r="J1024">
        <v>66.5</v>
      </c>
      <c r="K1024">
        <v>636</v>
      </c>
      <c r="L1024">
        <v>18.899999999999999</v>
      </c>
      <c r="M1024">
        <v>1597</v>
      </c>
      <c r="N1024">
        <v>49.1</v>
      </c>
      <c r="O1024">
        <v>827</v>
      </c>
      <c r="P1024" t="s">
        <v>1483</v>
      </c>
      <c r="Q1024" s="1">
        <v>110873</v>
      </c>
      <c r="R1024">
        <v>30.9</v>
      </c>
      <c r="S1024" s="2">
        <v>0.02</v>
      </c>
      <c r="T1024" s="3">
        <v>1.7902777777777779</v>
      </c>
      <c r="U1024" s="2">
        <v>0.26</v>
      </c>
      <c r="V1024" t="s">
        <v>2248</v>
      </c>
      <c r="W1024" t="s">
        <v>2249</v>
      </c>
      <c r="X1024" t="b">
        <v>0</v>
      </c>
      <c r="Y1024" t="b">
        <v>0</v>
      </c>
    </row>
    <row r="1025" spans="1:25">
      <c r="A1025">
        <v>10240</v>
      </c>
      <c r="B1025" t="s">
        <v>2204</v>
      </c>
      <c r="C1025" t="s">
        <v>2250</v>
      </c>
      <c r="D1025" t="s">
        <v>2206</v>
      </c>
      <c r="E1025">
        <v>10240</v>
      </c>
      <c r="F1025">
        <v>16.8</v>
      </c>
      <c r="G1025">
        <v>1638</v>
      </c>
      <c r="H1025">
        <v>9.8000000000000007</v>
      </c>
      <c r="I1025">
        <v>1667</v>
      </c>
      <c r="J1025">
        <v>61.1</v>
      </c>
      <c r="K1025">
        <v>751</v>
      </c>
      <c r="L1025">
        <v>19.5</v>
      </c>
      <c r="M1025">
        <v>1558</v>
      </c>
      <c r="N1025">
        <v>51.4</v>
      </c>
      <c r="O1025">
        <v>759</v>
      </c>
      <c r="P1025" t="s">
        <v>1483</v>
      </c>
      <c r="Q1025" s="1">
        <v>85158</v>
      </c>
      <c r="R1025">
        <v>31.6</v>
      </c>
      <c r="S1025" s="2">
        <v>0</v>
      </c>
      <c r="T1025" s="3">
        <v>2.0770833333333334</v>
      </c>
      <c r="U1025" s="2">
        <v>0.23</v>
      </c>
      <c r="V1025" t="s">
        <v>2250</v>
      </c>
      <c r="W1025" t="s">
        <v>2251</v>
      </c>
      <c r="X1025" t="b">
        <v>0</v>
      </c>
      <c r="Y1025" t="b">
        <v>0</v>
      </c>
    </row>
    <row r="1026" spans="1:25">
      <c r="A1026">
        <v>10250</v>
      </c>
      <c r="B1026" t="s">
        <v>2204</v>
      </c>
      <c r="C1026" t="s">
        <v>2252</v>
      </c>
      <c r="D1026" t="s">
        <v>2206</v>
      </c>
      <c r="E1026">
        <v>10250</v>
      </c>
      <c r="F1026">
        <v>22.4</v>
      </c>
      <c r="G1026">
        <v>1192</v>
      </c>
      <c r="H1026">
        <v>13.9</v>
      </c>
      <c r="I1026">
        <v>1209</v>
      </c>
      <c r="J1026">
        <v>52.7</v>
      </c>
      <c r="K1026">
        <v>950</v>
      </c>
      <c r="L1026">
        <v>40.5</v>
      </c>
      <c r="M1026">
        <v>969</v>
      </c>
      <c r="N1026">
        <v>28.9</v>
      </c>
      <c r="O1026">
        <v>1545</v>
      </c>
      <c r="P1026" t="s">
        <v>29</v>
      </c>
      <c r="Q1026" s="1">
        <v>15159</v>
      </c>
      <c r="R1026">
        <v>17.600000000000001</v>
      </c>
      <c r="S1026" s="2">
        <v>0.03</v>
      </c>
      <c r="T1026" s="3">
        <v>2.4048611111111109</v>
      </c>
      <c r="U1026" s="2">
        <v>0.25</v>
      </c>
      <c r="V1026" t="s">
        <v>2252</v>
      </c>
      <c r="W1026" t="s">
        <v>2253</v>
      </c>
      <c r="X1026" t="b">
        <v>0</v>
      </c>
      <c r="Y1026" t="b">
        <v>0</v>
      </c>
    </row>
    <row r="1027" spans="1:25">
      <c r="A1027">
        <v>10260</v>
      </c>
      <c r="B1027" t="s">
        <v>2204</v>
      </c>
      <c r="C1027" t="s">
        <v>2254</v>
      </c>
      <c r="D1027" t="s">
        <v>2206</v>
      </c>
      <c r="E1027">
        <v>10260</v>
      </c>
      <c r="F1027">
        <v>22.2</v>
      </c>
      <c r="G1027">
        <v>1208</v>
      </c>
      <c r="H1027">
        <v>19.3</v>
      </c>
      <c r="I1027">
        <v>847</v>
      </c>
      <c r="J1027">
        <v>39</v>
      </c>
      <c r="K1027">
        <v>1240</v>
      </c>
      <c r="L1027">
        <v>70.3</v>
      </c>
      <c r="M1027">
        <v>424</v>
      </c>
      <c r="N1027">
        <v>58.3</v>
      </c>
      <c r="O1027">
        <v>619</v>
      </c>
      <c r="P1027" t="s">
        <v>984</v>
      </c>
      <c r="Q1027" s="1">
        <v>18137</v>
      </c>
      <c r="R1027">
        <v>15.5</v>
      </c>
      <c r="S1027" s="2">
        <v>0.25</v>
      </c>
      <c r="T1027" t="s">
        <v>336</v>
      </c>
      <c r="U1027" s="2">
        <v>0.45</v>
      </c>
      <c r="V1027" t="s">
        <v>2254</v>
      </c>
      <c r="W1027" t="s">
        <v>2255</v>
      </c>
      <c r="X1027" t="b">
        <v>0</v>
      </c>
      <c r="Y1027" t="b">
        <v>0</v>
      </c>
    </row>
    <row r="1028" spans="1:25">
      <c r="A1028">
        <v>10270</v>
      </c>
      <c r="B1028" t="s">
        <v>2204</v>
      </c>
      <c r="C1028" t="s">
        <v>2256</v>
      </c>
      <c r="D1028" t="s">
        <v>2206</v>
      </c>
      <c r="E1028">
        <v>10270</v>
      </c>
      <c r="F1028">
        <v>24.8</v>
      </c>
      <c r="G1028">
        <v>1016</v>
      </c>
      <c r="H1028">
        <v>21.1</v>
      </c>
      <c r="I1028">
        <v>764</v>
      </c>
      <c r="J1028">
        <v>43.2</v>
      </c>
      <c r="K1028">
        <v>1161</v>
      </c>
      <c r="L1028">
        <v>25.3</v>
      </c>
      <c r="M1028">
        <v>1327</v>
      </c>
      <c r="N1028">
        <v>29.1</v>
      </c>
      <c r="O1028">
        <v>1536</v>
      </c>
      <c r="P1028" t="s">
        <v>1853</v>
      </c>
      <c r="Q1028" s="1">
        <v>32362</v>
      </c>
      <c r="R1028">
        <v>33.299999999999997</v>
      </c>
      <c r="S1028" s="2">
        <v>0.02</v>
      </c>
      <c r="T1028" s="3">
        <v>2.9375</v>
      </c>
      <c r="U1028" s="2">
        <v>0.33</v>
      </c>
      <c r="V1028" t="s">
        <v>2256</v>
      </c>
      <c r="W1028" t="s">
        <v>2257</v>
      </c>
      <c r="X1028" t="b">
        <v>0</v>
      </c>
      <c r="Y1028" t="b">
        <v>0</v>
      </c>
    </row>
    <row r="1029" spans="1:25">
      <c r="A1029">
        <v>10280</v>
      </c>
      <c r="B1029" t="s">
        <v>2204</v>
      </c>
      <c r="C1029" t="s">
        <v>2258</v>
      </c>
      <c r="D1029" t="s">
        <v>2206</v>
      </c>
      <c r="E1029">
        <v>10280</v>
      </c>
      <c r="F1029">
        <v>20.399999999999999</v>
      </c>
      <c r="G1029">
        <v>1342</v>
      </c>
      <c r="H1029">
        <v>16.7</v>
      </c>
      <c r="I1029">
        <v>990</v>
      </c>
      <c r="J1029">
        <v>43.7</v>
      </c>
      <c r="K1029">
        <v>1148</v>
      </c>
      <c r="L1029">
        <v>30</v>
      </c>
      <c r="M1029">
        <v>1182</v>
      </c>
      <c r="N1029">
        <v>42.3</v>
      </c>
      <c r="O1029">
        <v>1041</v>
      </c>
      <c r="P1029" t="s">
        <v>386</v>
      </c>
      <c r="Q1029" s="1">
        <v>19416</v>
      </c>
      <c r="R1029">
        <v>17.7</v>
      </c>
      <c r="S1029" s="2">
        <v>0.08</v>
      </c>
      <c r="T1029" s="3">
        <v>2.3229166666666665</v>
      </c>
      <c r="U1029" s="2">
        <v>0.28000000000000003</v>
      </c>
      <c r="V1029" t="s">
        <v>2258</v>
      </c>
      <c r="W1029" t="s">
        <v>2259</v>
      </c>
      <c r="X1029" t="b">
        <v>0</v>
      </c>
      <c r="Y1029" t="b">
        <v>0</v>
      </c>
    </row>
    <row r="1030" spans="1:25">
      <c r="A1030">
        <v>10290</v>
      </c>
      <c r="B1030" t="s">
        <v>2204</v>
      </c>
      <c r="C1030" t="s">
        <v>2260</v>
      </c>
      <c r="D1030" t="s">
        <v>2206</v>
      </c>
      <c r="E1030">
        <v>10290</v>
      </c>
      <c r="F1030">
        <v>40</v>
      </c>
      <c r="G1030">
        <v>307</v>
      </c>
      <c r="H1030">
        <v>15.2</v>
      </c>
      <c r="I1030">
        <v>1104</v>
      </c>
      <c r="J1030">
        <v>33.700000000000003</v>
      </c>
      <c r="K1030">
        <v>1359</v>
      </c>
      <c r="L1030">
        <v>30.3</v>
      </c>
      <c r="M1030">
        <v>1175</v>
      </c>
      <c r="N1030">
        <v>19.3</v>
      </c>
      <c r="O1030">
        <v>1883</v>
      </c>
      <c r="P1030" t="s">
        <v>528</v>
      </c>
      <c r="Q1030" s="1">
        <v>17879</v>
      </c>
      <c r="R1030">
        <v>14.2</v>
      </c>
      <c r="S1030" s="2">
        <v>0</v>
      </c>
      <c r="T1030" s="3">
        <v>2.2819444444444446</v>
      </c>
      <c r="U1030" s="2">
        <v>0.37</v>
      </c>
      <c r="V1030" t="s">
        <v>2260</v>
      </c>
      <c r="W1030" t="s">
        <v>2261</v>
      </c>
      <c r="X1030" t="b">
        <v>0</v>
      </c>
      <c r="Y1030" t="b">
        <v>0</v>
      </c>
    </row>
    <row r="1031" spans="1:25">
      <c r="A1031">
        <v>10300</v>
      </c>
      <c r="B1031" t="s">
        <v>2204</v>
      </c>
      <c r="C1031" t="s">
        <v>2262</v>
      </c>
      <c r="D1031" t="s">
        <v>2206</v>
      </c>
      <c r="E1031">
        <v>10300</v>
      </c>
      <c r="F1031">
        <v>20.7</v>
      </c>
      <c r="G1031">
        <v>1319</v>
      </c>
      <c r="H1031">
        <v>13.8</v>
      </c>
      <c r="I1031">
        <v>1222</v>
      </c>
      <c r="J1031">
        <v>44.6</v>
      </c>
      <c r="K1031">
        <v>1132</v>
      </c>
      <c r="L1031">
        <v>18</v>
      </c>
      <c r="M1031">
        <v>1665</v>
      </c>
      <c r="N1031">
        <v>59.6</v>
      </c>
      <c r="O1031">
        <v>593</v>
      </c>
      <c r="P1031" t="s">
        <v>26</v>
      </c>
      <c r="Q1031" s="1">
        <v>11155</v>
      </c>
      <c r="R1031">
        <v>20.100000000000001</v>
      </c>
      <c r="S1031" s="2">
        <v>0.15</v>
      </c>
      <c r="T1031" s="3">
        <v>2.8555555555555556</v>
      </c>
      <c r="U1031" s="2">
        <v>0.11</v>
      </c>
      <c r="V1031" t="s">
        <v>2262</v>
      </c>
      <c r="W1031" t="s">
        <v>2263</v>
      </c>
      <c r="X1031" t="b">
        <v>0</v>
      </c>
      <c r="Y1031" t="b">
        <v>0</v>
      </c>
    </row>
    <row r="1032" spans="1:25">
      <c r="A1032">
        <v>10310</v>
      </c>
      <c r="B1032" t="s">
        <v>2204</v>
      </c>
      <c r="C1032" t="s">
        <v>2264</v>
      </c>
      <c r="D1032" t="s">
        <v>2206</v>
      </c>
      <c r="E1032">
        <v>10310</v>
      </c>
      <c r="F1032">
        <v>18.3</v>
      </c>
      <c r="G1032">
        <v>1525</v>
      </c>
      <c r="H1032">
        <v>13.8</v>
      </c>
      <c r="I1032">
        <v>1223</v>
      </c>
      <c r="J1032">
        <v>51.9</v>
      </c>
      <c r="K1032">
        <v>966</v>
      </c>
      <c r="L1032">
        <v>34.299999999999997</v>
      </c>
      <c r="M1032">
        <v>1106</v>
      </c>
      <c r="N1032">
        <v>82.3</v>
      </c>
      <c r="O1032">
        <v>219</v>
      </c>
      <c r="P1032" t="s">
        <v>26</v>
      </c>
      <c r="Q1032" s="1">
        <v>21525</v>
      </c>
      <c r="R1032">
        <v>16.3</v>
      </c>
      <c r="S1032" s="2">
        <v>0.28000000000000003</v>
      </c>
      <c r="T1032" s="3">
        <v>2.4458333333333333</v>
      </c>
      <c r="U1032" s="2">
        <v>0.18</v>
      </c>
      <c r="V1032" t="s">
        <v>2264</v>
      </c>
      <c r="W1032" t="s">
        <v>2265</v>
      </c>
      <c r="X1032" t="b">
        <v>0</v>
      </c>
      <c r="Y1032" t="b">
        <v>0</v>
      </c>
    </row>
    <row r="1033" spans="1:25">
      <c r="A1033">
        <v>10320</v>
      </c>
      <c r="B1033" t="s">
        <v>2204</v>
      </c>
      <c r="C1033" t="s">
        <v>2266</v>
      </c>
      <c r="D1033" t="s">
        <v>2206</v>
      </c>
      <c r="E1033">
        <v>10320</v>
      </c>
      <c r="F1033">
        <v>28.8</v>
      </c>
      <c r="G1033">
        <v>753</v>
      </c>
      <c r="H1033">
        <v>15.3</v>
      </c>
      <c r="I1033">
        <v>1094</v>
      </c>
      <c r="J1033">
        <v>46.8</v>
      </c>
      <c r="K1033">
        <v>1081</v>
      </c>
      <c r="L1033">
        <v>44.9</v>
      </c>
      <c r="M1033">
        <v>895</v>
      </c>
      <c r="N1033">
        <v>33.4</v>
      </c>
      <c r="O1033">
        <v>1376</v>
      </c>
      <c r="P1033" t="s">
        <v>29</v>
      </c>
      <c r="Q1033" s="1">
        <v>13780</v>
      </c>
      <c r="R1033">
        <v>18.3</v>
      </c>
      <c r="S1033" s="2">
        <v>0.03</v>
      </c>
      <c r="T1033" s="3">
        <v>2.5277777777777777</v>
      </c>
      <c r="U1033" s="2">
        <v>0.21</v>
      </c>
      <c r="V1033" t="s">
        <v>2266</v>
      </c>
      <c r="W1033" t="s">
        <v>2267</v>
      </c>
      <c r="X1033" t="b">
        <v>0</v>
      </c>
      <c r="Y1033" t="b">
        <v>0</v>
      </c>
    </row>
    <row r="1034" spans="1:25">
      <c r="A1034">
        <v>10330</v>
      </c>
      <c r="B1034" t="s">
        <v>2204</v>
      </c>
      <c r="C1034" t="s">
        <v>2268</v>
      </c>
      <c r="D1034" t="s">
        <v>2206</v>
      </c>
      <c r="E1034">
        <v>10330</v>
      </c>
      <c r="F1034">
        <v>32.799999999999997</v>
      </c>
      <c r="G1034">
        <v>552</v>
      </c>
      <c r="H1034">
        <v>14.7</v>
      </c>
      <c r="I1034">
        <v>1146</v>
      </c>
      <c r="J1034">
        <v>29</v>
      </c>
      <c r="K1034">
        <v>1471</v>
      </c>
      <c r="L1034">
        <v>45.7</v>
      </c>
      <c r="M1034">
        <v>883</v>
      </c>
      <c r="N1034">
        <v>51</v>
      </c>
      <c r="O1034">
        <v>772</v>
      </c>
      <c r="P1034" t="s">
        <v>984</v>
      </c>
      <c r="Q1034" s="1">
        <v>4061</v>
      </c>
      <c r="R1034">
        <v>8.3000000000000007</v>
      </c>
      <c r="S1034" s="2">
        <v>0.23</v>
      </c>
      <c r="T1034" s="3">
        <v>2.4048611111111109</v>
      </c>
      <c r="U1034" s="2">
        <v>0.36</v>
      </c>
      <c r="V1034" t="s">
        <v>2268</v>
      </c>
      <c r="W1034" t="s">
        <v>2269</v>
      </c>
      <c r="X1034" t="b">
        <v>0</v>
      </c>
      <c r="Y1034" t="b">
        <v>0</v>
      </c>
    </row>
    <row r="1035" spans="1:25">
      <c r="A1035">
        <v>10340</v>
      </c>
      <c r="B1035" t="s">
        <v>2204</v>
      </c>
      <c r="C1035" t="s">
        <v>2270</v>
      </c>
      <c r="D1035" t="s">
        <v>2206</v>
      </c>
      <c r="E1035">
        <v>10340</v>
      </c>
      <c r="F1035">
        <v>23.4</v>
      </c>
      <c r="G1035">
        <v>1120</v>
      </c>
      <c r="H1035">
        <v>18.3</v>
      </c>
      <c r="I1035">
        <v>901</v>
      </c>
      <c r="J1035">
        <v>52.8</v>
      </c>
      <c r="K1035">
        <v>949</v>
      </c>
      <c r="L1035">
        <v>73.400000000000006</v>
      </c>
      <c r="M1035">
        <v>357</v>
      </c>
      <c r="N1035">
        <v>22.2</v>
      </c>
      <c r="O1035">
        <v>1802</v>
      </c>
      <c r="P1035" t="s">
        <v>54</v>
      </c>
      <c r="Q1035" s="1">
        <v>18448</v>
      </c>
      <c r="R1035">
        <v>16.399999999999999</v>
      </c>
      <c r="S1035" s="2">
        <v>0.03</v>
      </c>
      <c r="T1035" s="3">
        <v>2.7326388888888888</v>
      </c>
      <c r="U1035" s="2">
        <v>0.14000000000000001</v>
      </c>
      <c r="V1035" t="s">
        <v>2270</v>
      </c>
      <c r="W1035" t="s">
        <v>2271</v>
      </c>
      <c r="X1035" t="b">
        <v>0</v>
      </c>
      <c r="Y1035" t="b">
        <v>0</v>
      </c>
    </row>
    <row r="1036" spans="1:25">
      <c r="A1036">
        <v>10350</v>
      </c>
      <c r="B1036" t="s">
        <v>2204</v>
      </c>
      <c r="C1036" t="s">
        <v>2272</v>
      </c>
      <c r="D1036" t="s">
        <v>2206</v>
      </c>
      <c r="E1036">
        <v>10350</v>
      </c>
      <c r="F1036">
        <v>18.100000000000001</v>
      </c>
      <c r="G1036">
        <v>1540</v>
      </c>
      <c r="H1036">
        <v>24.4</v>
      </c>
      <c r="I1036">
        <v>633</v>
      </c>
      <c r="J1036">
        <v>39</v>
      </c>
      <c r="K1036">
        <v>1241</v>
      </c>
      <c r="L1036">
        <v>62.6</v>
      </c>
      <c r="M1036">
        <v>602</v>
      </c>
      <c r="N1036">
        <v>41.2</v>
      </c>
      <c r="O1036">
        <v>1075</v>
      </c>
      <c r="P1036" t="s">
        <v>389</v>
      </c>
      <c r="Q1036" s="1">
        <v>15939</v>
      </c>
      <c r="R1036">
        <v>33.5</v>
      </c>
      <c r="S1036" s="2">
        <v>7.0000000000000007E-2</v>
      </c>
      <c r="T1036" s="3">
        <v>1.9541666666666666</v>
      </c>
      <c r="U1036" s="2">
        <v>0.36</v>
      </c>
      <c r="V1036" t="s">
        <v>2272</v>
      </c>
      <c r="W1036" t="s">
        <v>2273</v>
      </c>
      <c r="X1036" t="b">
        <v>0</v>
      </c>
      <c r="Y1036" t="b">
        <v>0</v>
      </c>
    </row>
    <row r="1037" spans="1:25">
      <c r="A1037">
        <v>10360</v>
      </c>
      <c r="B1037" t="s">
        <v>2204</v>
      </c>
      <c r="C1037" t="s">
        <v>2274</v>
      </c>
      <c r="D1037" t="s">
        <v>2206</v>
      </c>
      <c r="E1037">
        <v>10360</v>
      </c>
      <c r="F1037">
        <v>25.4</v>
      </c>
      <c r="G1037">
        <v>975</v>
      </c>
      <c r="H1037">
        <v>10.6</v>
      </c>
      <c r="I1037">
        <v>1570</v>
      </c>
      <c r="J1037">
        <v>60.2</v>
      </c>
      <c r="K1037">
        <v>769</v>
      </c>
      <c r="L1037">
        <v>18.7</v>
      </c>
      <c r="M1037">
        <v>1609</v>
      </c>
      <c r="N1037">
        <v>39.299999999999997</v>
      </c>
      <c r="O1037">
        <v>1141</v>
      </c>
      <c r="P1037" t="s">
        <v>2275</v>
      </c>
      <c r="Q1037" s="1">
        <v>34058</v>
      </c>
      <c r="R1037">
        <v>32</v>
      </c>
      <c r="S1037" s="2">
        <v>0</v>
      </c>
      <c r="T1037" s="3">
        <v>2.5277777777777777</v>
      </c>
      <c r="U1037" s="2">
        <v>0.18</v>
      </c>
      <c r="V1037" t="s">
        <v>2274</v>
      </c>
      <c r="W1037" t="s">
        <v>2276</v>
      </c>
      <c r="X1037" t="b">
        <v>0</v>
      </c>
      <c r="Y1037" t="b">
        <v>0</v>
      </c>
    </row>
    <row r="1038" spans="1:25">
      <c r="A1038">
        <v>10370</v>
      </c>
      <c r="B1038" t="s">
        <v>2204</v>
      </c>
      <c r="C1038" t="s">
        <v>2277</v>
      </c>
      <c r="D1038" t="s">
        <v>2206</v>
      </c>
      <c r="E1038">
        <v>10370</v>
      </c>
      <c r="F1038">
        <v>31.2</v>
      </c>
      <c r="G1038">
        <v>630</v>
      </c>
      <c r="H1038">
        <v>16.600000000000001</v>
      </c>
      <c r="I1038">
        <v>998</v>
      </c>
      <c r="J1038">
        <v>41.8</v>
      </c>
      <c r="K1038">
        <v>1186</v>
      </c>
      <c r="L1038">
        <v>25</v>
      </c>
      <c r="M1038">
        <v>1336</v>
      </c>
      <c r="N1038">
        <v>52.6</v>
      </c>
      <c r="O1038">
        <v>724</v>
      </c>
      <c r="P1038" t="s">
        <v>2278</v>
      </c>
      <c r="Q1038" s="1">
        <v>21812</v>
      </c>
      <c r="R1038">
        <v>10.5</v>
      </c>
      <c r="S1038" s="2">
        <v>0.15</v>
      </c>
      <c r="T1038" s="3">
        <v>2.7326388888888888</v>
      </c>
      <c r="U1038" s="2">
        <v>0.24</v>
      </c>
      <c r="V1038" t="s">
        <v>2277</v>
      </c>
      <c r="W1038" t="s">
        <v>2279</v>
      </c>
      <c r="X1038" t="b">
        <v>0</v>
      </c>
      <c r="Y1038" t="b">
        <v>0</v>
      </c>
    </row>
    <row r="1039" spans="1:25">
      <c r="A1039">
        <v>10380</v>
      </c>
      <c r="B1039" t="s">
        <v>2204</v>
      </c>
      <c r="C1039" t="s">
        <v>2280</v>
      </c>
      <c r="D1039" t="s">
        <v>2206</v>
      </c>
      <c r="E1039">
        <v>10380</v>
      </c>
      <c r="F1039">
        <v>30.9</v>
      </c>
      <c r="G1039">
        <v>643</v>
      </c>
      <c r="H1039">
        <v>18.8</v>
      </c>
      <c r="I1039">
        <v>874</v>
      </c>
      <c r="J1039">
        <v>32.200000000000003</v>
      </c>
      <c r="K1039">
        <v>1398</v>
      </c>
      <c r="L1039">
        <v>51.9</v>
      </c>
      <c r="M1039">
        <v>774</v>
      </c>
      <c r="N1039">
        <v>60.2</v>
      </c>
      <c r="O1039">
        <v>580</v>
      </c>
      <c r="P1039" t="s">
        <v>984</v>
      </c>
      <c r="Q1039" s="1">
        <v>15663</v>
      </c>
      <c r="R1039">
        <v>8.6999999999999993</v>
      </c>
      <c r="S1039" s="2">
        <v>0.21</v>
      </c>
      <c r="T1039" t="s">
        <v>105</v>
      </c>
      <c r="U1039" s="2">
        <v>0.48</v>
      </c>
      <c r="V1039" t="s">
        <v>2280</v>
      </c>
      <c r="W1039" t="s">
        <v>2281</v>
      </c>
      <c r="X1039" t="b">
        <v>0</v>
      </c>
      <c r="Y1039" t="b">
        <v>0</v>
      </c>
    </row>
    <row r="1040" spans="1:25">
      <c r="A1040">
        <v>10390</v>
      </c>
      <c r="B1040" t="s">
        <v>2204</v>
      </c>
      <c r="C1040" t="s">
        <v>2282</v>
      </c>
      <c r="D1040" t="s">
        <v>2206</v>
      </c>
      <c r="E1040">
        <v>10390</v>
      </c>
      <c r="F1040">
        <v>16.100000000000001</v>
      </c>
      <c r="G1040">
        <v>1693</v>
      </c>
      <c r="H1040">
        <v>16.5</v>
      </c>
      <c r="I1040">
        <v>1007</v>
      </c>
      <c r="J1040">
        <v>54.3</v>
      </c>
      <c r="K1040">
        <v>905</v>
      </c>
      <c r="L1040">
        <v>32.1</v>
      </c>
      <c r="M1040">
        <v>1140</v>
      </c>
      <c r="N1040">
        <v>30.4</v>
      </c>
      <c r="O1040">
        <v>1484</v>
      </c>
      <c r="P1040" t="s">
        <v>1220</v>
      </c>
      <c r="Q1040" s="1">
        <v>22266</v>
      </c>
      <c r="R1040">
        <v>36.4</v>
      </c>
      <c r="S1040" s="2">
        <v>0.03</v>
      </c>
      <c r="T1040" s="3">
        <v>2.036111111111111</v>
      </c>
      <c r="U1040" s="2">
        <v>0.27</v>
      </c>
      <c r="V1040" t="s">
        <v>2282</v>
      </c>
      <c r="W1040" t="s">
        <v>2283</v>
      </c>
      <c r="X1040" t="b">
        <v>0</v>
      </c>
      <c r="Y1040" t="b">
        <v>0</v>
      </c>
    </row>
    <row r="1041" spans="1:25">
      <c r="A1041">
        <v>10400</v>
      </c>
      <c r="B1041" t="s">
        <v>2204</v>
      </c>
      <c r="C1041" t="s">
        <v>2284</v>
      </c>
      <c r="D1041" t="s">
        <v>2206</v>
      </c>
      <c r="E1041">
        <v>10400</v>
      </c>
      <c r="F1041">
        <v>17.8</v>
      </c>
      <c r="G1041">
        <v>1565</v>
      </c>
      <c r="H1041">
        <v>10.8</v>
      </c>
      <c r="I1041">
        <v>1547</v>
      </c>
      <c r="J1041">
        <v>53</v>
      </c>
      <c r="K1041">
        <v>943</v>
      </c>
      <c r="L1041">
        <v>21.2</v>
      </c>
      <c r="M1041">
        <v>1472</v>
      </c>
      <c r="N1041">
        <v>52.2</v>
      </c>
      <c r="O1041">
        <v>736</v>
      </c>
      <c r="P1041" t="s">
        <v>1093</v>
      </c>
      <c r="Q1041" s="1">
        <v>16638</v>
      </c>
      <c r="R1041">
        <v>14.4</v>
      </c>
      <c r="S1041" s="2">
        <v>0.04</v>
      </c>
      <c r="T1041" s="3">
        <v>2.4048611111111109</v>
      </c>
      <c r="U1041" s="2">
        <v>0.08</v>
      </c>
      <c r="V1041" t="s">
        <v>2285</v>
      </c>
      <c r="W1041" t="s">
        <v>2286</v>
      </c>
      <c r="X1041" t="b">
        <v>0</v>
      </c>
      <c r="Y1041" t="b">
        <v>0</v>
      </c>
    </row>
    <row r="1042" spans="1:25">
      <c r="A1042">
        <v>10410</v>
      </c>
      <c r="B1042" t="s">
        <v>2204</v>
      </c>
      <c r="C1042" t="s">
        <v>2287</v>
      </c>
      <c r="D1042" t="s">
        <v>2206</v>
      </c>
      <c r="E1042">
        <v>10410</v>
      </c>
      <c r="F1042">
        <v>15.3</v>
      </c>
      <c r="G1042">
        <v>1738</v>
      </c>
      <c r="H1042">
        <v>11.8</v>
      </c>
      <c r="I1042">
        <v>1424</v>
      </c>
      <c r="J1042">
        <v>53.8</v>
      </c>
      <c r="K1042">
        <v>923</v>
      </c>
      <c r="L1042">
        <v>18</v>
      </c>
      <c r="M1042">
        <v>1666</v>
      </c>
      <c r="N1042">
        <v>53</v>
      </c>
      <c r="O1042">
        <v>712</v>
      </c>
      <c r="P1042" t="s">
        <v>1093</v>
      </c>
      <c r="Q1042" s="1">
        <v>18126</v>
      </c>
      <c r="R1042">
        <v>17.600000000000001</v>
      </c>
      <c r="S1042" s="2">
        <v>0.02</v>
      </c>
      <c r="T1042" s="3">
        <v>2.1180555555555554</v>
      </c>
      <c r="U1042" s="2">
        <v>0.27</v>
      </c>
      <c r="V1042" t="s">
        <v>2287</v>
      </c>
      <c r="W1042" t="s">
        <v>2288</v>
      </c>
      <c r="X1042" t="b">
        <v>0</v>
      </c>
      <c r="Y1042" t="b">
        <v>0</v>
      </c>
    </row>
    <row r="1043" spans="1:25">
      <c r="A1043">
        <v>10420</v>
      </c>
      <c r="B1043" t="s">
        <v>2204</v>
      </c>
      <c r="C1043" t="s">
        <v>2289</v>
      </c>
      <c r="D1043" t="s">
        <v>2206</v>
      </c>
      <c r="E1043">
        <v>10420</v>
      </c>
      <c r="F1043">
        <v>30.6</v>
      </c>
      <c r="G1043">
        <v>658</v>
      </c>
      <c r="H1043">
        <v>9.3000000000000007</v>
      </c>
      <c r="I1043">
        <v>1744</v>
      </c>
      <c r="J1043">
        <v>46</v>
      </c>
      <c r="K1043">
        <v>1097</v>
      </c>
      <c r="L1043">
        <v>16.899999999999999</v>
      </c>
      <c r="M1043">
        <v>1762</v>
      </c>
      <c r="N1043">
        <v>37.4</v>
      </c>
      <c r="O1043">
        <v>1224</v>
      </c>
      <c r="P1043" t="s">
        <v>2290</v>
      </c>
      <c r="Q1043" s="1">
        <v>27917</v>
      </c>
      <c r="R1043">
        <v>19.7</v>
      </c>
      <c r="S1043" s="2">
        <v>0.01</v>
      </c>
      <c r="T1043" s="3">
        <v>2.3638888888888889</v>
      </c>
      <c r="U1043" s="2">
        <v>0.4</v>
      </c>
      <c r="V1043" t="s">
        <v>2289</v>
      </c>
      <c r="W1043" t="s">
        <v>2291</v>
      </c>
      <c r="X1043" t="b">
        <v>0</v>
      </c>
      <c r="Y1043" t="b">
        <v>0</v>
      </c>
    </row>
    <row r="1044" spans="1:25">
      <c r="A1044">
        <v>10430</v>
      </c>
      <c r="B1044" t="s">
        <v>2204</v>
      </c>
      <c r="C1044" t="s">
        <v>2292</v>
      </c>
      <c r="D1044" t="s">
        <v>2206</v>
      </c>
      <c r="E1044">
        <v>10430</v>
      </c>
      <c r="F1044">
        <v>20.6</v>
      </c>
      <c r="G1044">
        <v>1328</v>
      </c>
      <c r="H1044">
        <v>9</v>
      </c>
      <c r="I1044">
        <v>1794</v>
      </c>
      <c r="J1044">
        <v>54.9</v>
      </c>
      <c r="K1044">
        <v>892</v>
      </c>
      <c r="L1044">
        <v>17.899999999999999</v>
      </c>
      <c r="M1044">
        <v>1675</v>
      </c>
      <c r="N1044">
        <v>31.7</v>
      </c>
      <c r="O1044">
        <v>1438</v>
      </c>
      <c r="P1044" t="s">
        <v>255</v>
      </c>
      <c r="Q1044" s="1">
        <v>26030</v>
      </c>
      <c r="R1044">
        <v>12.4</v>
      </c>
      <c r="S1044" s="2">
        <v>0.12</v>
      </c>
      <c r="U1044" s="2">
        <v>0.39</v>
      </c>
      <c r="V1044" t="s">
        <v>2292</v>
      </c>
      <c r="W1044" t="s">
        <v>2293</v>
      </c>
      <c r="X1044" t="b">
        <v>0</v>
      </c>
      <c r="Y1044" t="b">
        <v>0</v>
      </c>
    </row>
    <row r="1045" spans="1:25">
      <c r="A1045">
        <v>10440</v>
      </c>
      <c r="B1045" t="s">
        <v>2204</v>
      </c>
      <c r="C1045" t="s">
        <v>2294</v>
      </c>
      <c r="D1045" t="s">
        <v>2206</v>
      </c>
      <c r="E1045">
        <v>10440</v>
      </c>
      <c r="F1045">
        <v>25.4</v>
      </c>
      <c r="G1045">
        <v>976</v>
      </c>
      <c r="H1045">
        <v>13.2</v>
      </c>
      <c r="I1045">
        <v>1285</v>
      </c>
      <c r="J1045">
        <v>54.6</v>
      </c>
      <c r="K1045">
        <v>895</v>
      </c>
      <c r="L1045">
        <v>22.2</v>
      </c>
      <c r="M1045">
        <v>1434</v>
      </c>
      <c r="N1045">
        <v>17.8</v>
      </c>
      <c r="O1045">
        <v>1901</v>
      </c>
      <c r="P1045" t="s">
        <v>528</v>
      </c>
      <c r="Q1045" s="1">
        <v>5462</v>
      </c>
      <c r="R1045">
        <v>24.1</v>
      </c>
      <c r="S1045" s="2">
        <v>0.01</v>
      </c>
      <c r="T1045" t="s">
        <v>801</v>
      </c>
      <c r="U1045" s="2">
        <v>0.46</v>
      </c>
      <c r="V1045" t="s">
        <v>2294</v>
      </c>
      <c r="W1045" t="s">
        <v>2295</v>
      </c>
      <c r="X1045" t="b">
        <v>0</v>
      </c>
      <c r="Y1045" t="b">
        <v>0</v>
      </c>
    </row>
    <row r="1046" spans="1:25">
      <c r="A1046">
        <v>10450</v>
      </c>
      <c r="B1046" t="s">
        <v>2204</v>
      </c>
      <c r="C1046" t="s">
        <v>2296</v>
      </c>
      <c r="D1046" t="s">
        <v>2206</v>
      </c>
      <c r="E1046">
        <v>10450</v>
      </c>
      <c r="F1046">
        <v>17.3</v>
      </c>
      <c r="G1046">
        <v>1608</v>
      </c>
      <c r="H1046">
        <v>11.8</v>
      </c>
      <c r="I1046">
        <v>1425</v>
      </c>
      <c r="J1046">
        <v>62</v>
      </c>
      <c r="K1046">
        <v>734</v>
      </c>
      <c r="L1046">
        <v>18.399999999999999</v>
      </c>
      <c r="M1046">
        <v>1635</v>
      </c>
      <c r="N1046">
        <v>46.5</v>
      </c>
      <c r="O1046">
        <v>917</v>
      </c>
      <c r="P1046" t="s">
        <v>421</v>
      </c>
      <c r="Q1046" s="1">
        <v>27163</v>
      </c>
      <c r="R1046">
        <v>35.299999999999997</v>
      </c>
      <c r="S1046" s="2">
        <v>0.01</v>
      </c>
      <c r="T1046" s="3">
        <v>2.3229166666666665</v>
      </c>
      <c r="U1046" s="2">
        <v>0.37</v>
      </c>
      <c r="V1046" t="s">
        <v>2296</v>
      </c>
      <c r="W1046" t="s">
        <v>2297</v>
      </c>
      <c r="X1046" t="b">
        <v>0</v>
      </c>
      <c r="Y1046" t="b">
        <v>0</v>
      </c>
    </row>
    <row r="1047" spans="1:25">
      <c r="A1047">
        <v>10460</v>
      </c>
      <c r="B1047" t="s">
        <v>2204</v>
      </c>
      <c r="C1047" t="s">
        <v>2298</v>
      </c>
      <c r="D1047" t="s">
        <v>2206</v>
      </c>
      <c r="E1047">
        <v>10460</v>
      </c>
      <c r="F1047">
        <v>21.8</v>
      </c>
      <c r="G1047">
        <v>1246</v>
      </c>
      <c r="H1047">
        <v>15.1</v>
      </c>
      <c r="I1047">
        <v>1113</v>
      </c>
      <c r="J1047">
        <v>41</v>
      </c>
      <c r="K1047">
        <v>1202</v>
      </c>
      <c r="L1047">
        <v>28.2</v>
      </c>
      <c r="M1047">
        <v>1231</v>
      </c>
      <c r="N1047">
        <v>84.9</v>
      </c>
      <c r="O1047">
        <v>190</v>
      </c>
      <c r="P1047" t="s">
        <v>26</v>
      </c>
      <c r="Q1047" s="1">
        <v>14480</v>
      </c>
      <c r="R1047">
        <v>26.1</v>
      </c>
      <c r="S1047" s="2">
        <v>0.52</v>
      </c>
      <c r="T1047" s="3">
        <v>2.3638888888888889</v>
      </c>
      <c r="U1047" s="2">
        <v>0.18</v>
      </c>
      <c r="V1047" t="s">
        <v>2298</v>
      </c>
      <c r="W1047" t="s">
        <v>2299</v>
      </c>
      <c r="X1047" t="b">
        <v>0</v>
      </c>
      <c r="Y1047" t="b">
        <v>0</v>
      </c>
    </row>
    <row r="1048" spans="1:25">
      <c r="A1048">
        <v>10470</v>
      </c>
      <c r="B1048" t="s">
        <v>2204</v>
      </c>
      <c r="C1048" t="s">
        <v>2300</v>
      </c>
      <c r="D1048" t="s">
        <v>2206</v>
      </c>
      <c r="E1048">
        <v>10470</v>
      </c>
      <c r="F1048">
        <v>18.100000000000001</v>
      </c>
      <c r="G1048">
        <v>1541</v>
      </c>
      <c r="H1048">
        <v>13.8</v>
      </c>
      <c r="I1048">
        <v>1224</v>
      </c>
      <c r="J1048">
        <v>55.6</v>
      </c>
      <c r="K1048">
        <v>875</v>
      </c>
      <c r="L1048">
        <v>22</v>
      </c>
      <c r="M1048">
        <v>1439</v>
      </c>
      <c r="N1048">
        <v>54.7</v>
      </c>
      <c r="O1048">
        <v>682</v>
      </c>
      <c r="P1048" t="s">
        <v>26</v>
      </c>
      <c r="Q1048" s="1">
        <v>11910</v>
      </c>
      <c r="R1048">
        <v>16.399999999999999</v>
      </c>
      <c r="S1048" s="2">
        <v>0.06</v>
      </c>
      <c r="T1048" s="3">
        <v>2.9375</v>
      </c>
      <c r="U1048" s="2">
        <v>0.18</v>
      </c>
      <c r="V1048" t="s">
        <v>2300</v>
      </c>
      <c r="W1048" t="s">
        <v>2301</v>
      </c>
      <c r="X1048" t="b">
        <v>0</v>
      </c>
      <c r="Y1048" t="b">
        <v>0</v>
      </c>
    </row>
    <row r="1049" spans="1:25">
      <c r="A1049">
        <v>10480</v>
      </c>
      <c r="B1049" t="s">
        <v>2204</v>
      </c>
      <c r="C1049" t="s">
        <v>2302</v>
      </c>
      <c r="D1049" t="s">
        <v>2206</v>
      </c>
      <c r="E1049">
        <v>10480</v>
      </c>
      <c r="F1049">
        <v>13.7</v>
      </c>
      <c r="G1049">
        <v>1815</v>
      </c>
      <c r="H1049">
        <v>11.5</v>
      </c>
      <c r="I1049">
        <v>1461</v>
      </c>
      <c r="J1049">
        <v>60.9</v>
      </c>
      <c r="K1049">
        <v>758</v>
      </c>
      <c r="L1049">
        <v>25</v>
      </c>
      <c r="M1049">
        <v>1337</v>
      </c>
      <c r="N1049">
        <v>49.8</v>
      </c>
      <c r="O1049">
        <v>806</v>
      </c>
      <c r="P1049" t="s">
        <v>1102</v>
      </c>
      <c r="Q1049" s="1">
        <v>9307</v>
      </c>
      <c r="R1049">
        <v>21.7</v>
      </c>
      <c r="S1049" s="2">
        <v>0.02</v>
      </c>
      <c r="T1049">
        <v>0.31527777777777777</v>
      </c>
      <c r="U1049" s="2">
        <v>0.51</v>
      </c>
      <c r="V1049" t="s">
        <v>2302</v>
      </c>
      <c r="W1049" t="s">
        <v>2303</v>
      </c>
      <c r="X1049" t="b">
        <v>0</v>
      </c>
      <c r="Y1049" t="b">
        <v>0</v>
      </c>
    </row>
    <row r="1050" spans="1:25">
      <c r="A1050">
        <v>10490</v>
      </c>
      <c r="B1050" t="s">
        <v>2204</v>
      </c>
      <c r="C1050" t="s">
        <v>2304</v>
      </c>
      <c r="D1050" t="s">
        <v>2206</v>
      </c>
      <c r="E1050">
        <v>10490</v>
      </c>
      <c r="F1050">
        <v>18.8</v>
      </c>
      <c r="G1050">
        <v>1477</v>
      </c>
      <c r="H1050">
        <v>9.9</v>
      </c>
      <c r="I1050">
        <v>1651</v>
      </c>
      <c r="J1050">
        <v>53.5</v>
      </c>
      <c r="K1050">
        <v>933</v>
      </c>
      <c r="L1050">
        <v>24.1</v>
      </c>
      <c r="M1050">
        <v>1364</v>
      </c>
      <c r="N1050">
        <v>50.6</v>
      </c>
      <c r="O1050">
        <v>788</v>
      </c>
      <c r="P1050" t="s">
        <v>1102</v>
      </c>
      <c r="Q1050" s="1">
        <v>12720</v>
      </c>
      <c r="R1050">
        <v>13.4</v>
      </c>
      <c r="S1050" s="2">
        <v>0.02</v>
      </c>
      <c r="T1050" t="s">
        <v>357</v>
      </c>
      <c r="U1050" s="2">
        <v>0.46</v>
      </c>
      <c r="V1050" t="s">
        <v>2304</v>
      </c>
      <c r="W1050" t="s">
        <v>2305</v>
      </c>
      <c r="X1050" t="b">
        <v>0</v>
      </c>
      <c r="Y1050" t="b">
        <v>0</v>
      </c>
    </row>
    <row r="1051" spans="1:25">
      <c r="A1051">
        <v>10500</v>
      </c>
      <c r="B1051" t="s">
        <v>2204</v>
      </c>
      <c r="C1051" t="s">
        <v>2306</v>
      </c>
      <c r="D1051" t="s">
        <v>2206</v>
      </c>
      <c r="E1051">
        <v>10500</v>
      </c>
      <c r="F1051">
        <v>21.5</v>
      </c>
      <c r="G1051">
        <v>1264</v>
      </c>
      <c r="H1051">
        <v>10.9</v>
      </c>
      <c r="I1051">
        <v>1537</v>
      </c>
      <c r="J1051">
        <v>54.3</v>
      </c>
      <c r="K1051">
        <v>907</v>
      </c>
      <c r="L1051">
        <v>17.7</v>
      </c>
      <c r="M1051">
        <v>1686</v>
      </c>
      <c r="N1051">
        <v>61.7</v>
      </c>
      <c r="O1051">
        <v>549</v>
      </c>
      <c r="P1051" t="s">
        <v>386</v>
      </c>
      <c r="Q1051" s="1">
        <v>11416</v>
      </c>
      <c r="R1051">
        <v>12</v>
      </c>
      <c r="S1051" s="2">
        <v>0.3</v>
      </c>
      <c r="T1051" s="3">
        <v>2.1180555555555554</v>
      </c>
      <c r="U1051" s="2">
        <v>0.11</v>
      </c>
      <c r="V1051" t="s">
        <v>2306</v>
      </c>
      <c r="W1051" t="s">
        <v>2307</v>
      </c>
      <c r="X1051" t="b">
        <v>0</v>
      </c>
      <c r="Y1051" t="b">
        <v>0</v>
      </c>
    </row>
    <row r="1052" spans="1:25">
      <c r="A1052">
        <v>10510</v>
      </c>
      <c r="B1052" t="s">
        <v>2204</v>
      </c>
      <c r="C1052" t="s">
        <v>2308</v>
      </c>
      <c r="D1052" t="s">
        <v>2206</v>
      </c>
      <c r="E1052">
        <v>10510</v>
      </c>
      <c r="F1052">
        <v>24.7</v>
      </c>
      <c r="G1052">
        <v>1026</v>
      </c>
      <c r="H1052">
        <v>12.4</v>
      </c>
      <c r="I1052">
        <v>1362</v>
      </c>
      <c r="J1052">
        <v>51.9</v>
      </c>
      <c r="K1052">
        <v>967</v>
      </c>
      <c r="L1052">
        <v>22.4</v>
      </c>
      <c r="M1052">
        <v>1421</v>
      </c>
      <c r="N1052">
        <v>35.700000000000003</v>
      </c>
      <c r="O1052">
        <v>1290</v>
      </c>
      <c r="P1052" t="s">
        <v>386</v>
      </c>
      <c r="Q1052" s="1">
        <v>20146</v>
      </c>
      <c r="R1052">
        <v>10.7</v>
      </c>
      <c r="S1052" s="2">
        <v>0.03</v>
      </c>
      <c r="T1052" s="3">
        <v>2.3229166666666665</v>
      </c>
      <c r="U1052" s="2">
        <v>0.28999999999999998</v>
      </c>
      <c r="V1052" t="s">
        <v>2308</v>
      </c>
      <c r="W1052" t="s">
        <v>2309</v>
      </c>
      <c r="X1052" t="b">
        <v>0</v>
      </c>
      <c r="Y1052" t="b">
        <v>0</v>
      </c>
    </row>
    <row r="1053" spans="1:25">
      <c r="A1053">
        <v>10520</v>
      </c>
      <c r="B1053" t="s">
        <v>2204</v>
      </c>
      <c r="C1053" t="s">
        <v>2310</v>
      </c>
      <c r="D1053" t="s">
        <v>2206</v>
      </c>
      <c r="E1053">
        <v>10520</v>
      </c>
      <c r="F1053">
        <v>15.9</v>
      </c>
      <c r="G1053">
        <v>1702</v>
      </c>
      <c r="H1053">
        <v>11.9</v>
      </c>
      <c r="I1053">
        <v>1416</v>
      </c>
      <c r="J1053">
        <v>65.5</v>
      </c>
      <c r="K1053">
        <v>664</v>
      </c>
      <c r="L1053">
        <v>24.9</v>
      </c>
      <c r="M1053">
        <v>1340</v>
      </c>
      <c r="N1053">
        <v>46.4</v>
      </c>
      <c r="O1053">
        <v>921</v>
      </c>
      <c r="P1053" t="s">
        <v>1483</v>
      </c>
      <c r="Q1053" s="1">
        <v>46689</v>
      </c>
      <c r="R1053">
        <v>18</v>
      </c>
      <c r="S1053" s="2">
        <v>0</v>
      </c>
      <c r="T1053" s="3">
        <v>2.6097222222222221</v>
      </c>
      <c r="U1053" s="2">
        <v>0.25</v>
      </c>
      <c r="V1053" t="s">
        <v>2310</v>
      </c>
      <c r="W1053" t="s">
        <v>2311</v>
      </c>
      <c r="X1053" t="b">
        <v>0</v>
      </c>
      <c r="Y1053" t="b">
        <v>0</v>
      </c>
    </row>
    <row r="1054" spans="1:25">
      <c r="A1054">
        <v>10530</v>
      </c>
      <c r="B1054" t="s">
        <v>2204</v>
      </c>
      <c r="C1054" t="s">
        <v>2312</v>
      </c>
      <c r="D1054" t="s">
        <v>2206</v>
      </c>
      <c r="E1054">
        <v>10530</v>
      </c>
      <c r="F1054">
        <v>33.4</v>
      </c>
      <c r="G1054">
        <v>525</v>
      </c>
      <c r="H1054">
        <v>19.8</v>
      </c>
      <c r="I1054">
        <v>825</v>
      </c>
      <c r="J1054">
        <v>33.5</v>
      </c>
      <c r="K1054">
        <v>1369</v>
      </c>
      <c r="L1054">
        <v>44.8</v>
      </c>
      <c r="M1054">
        <v>898</v>
      </c>
      <c r="N1054">
        <v>29.5</v>
      </c>
      <c r="O1054">
        <v>1518</v>
      </c>
      <c r="P1054" t="s">
        <v>577</v>
      </c>
      <c r="Q1054" s="1">
        <v>21119</v>
      </c>
      <c r="R1054">
        <v>16.100000000000001</v>
      </c>
      <c r="S1054" s="2">
        <v>0.01</v>
      </c>
      <c r="T1054" s="3">
        <v>2.1590277777777778</v>
      </c>
      <c r="U1054" s="2">
        <v>0.32</v>
      </c>
      <c r="V1054" t="s">
        <v>2312</v>
      </c>
      <c r="W1054" t="s">
        <v>2313</v>
      </c>
      <c r="X1054" t="b">
        <v>0</v>
      </c>
      <c r="Y1054" t="b">
        <v>0</v>
      </c>
    </row>
    <row r="1055" spans="1:25">
      <c r="A1055">
        <v>10540</v>
      </c>
      <c r="B1055" t="s">
        <v>2204</v>
      </c>
      <c r="C1055" t="s">
        <v>2314</v>
      </c>
      <c r="D1055" t="s">
        <v>2206</v>
      </c>
      <c r="E1055">
        <v>10540</v>
      </c>
      <c r="F1055">
        <v>24.8</v>
      </c>
      <c r="G1055">
        <v>1018</v>
      </c>
      <c r="H1055">
        <v>11.1</v>
      </c>
      <c r="I1055">
        <v>1510</v>
      </c>
      <c r="J1055">
        <v>50.6</v>
      </c>
      <c r="K1055">
        <v>1006</v>
      </c>
      <c r="L1055">
        <v>18.2</v>
      </c>
      <c r="M1055">
        <v>1650</v>
      </c>
      <c r="N1055">
        <v>40.4</v>
      </c>
      <c r="O1055">
        <v>1107</v>
      </c>
      <c r="P1055" t="s">
        <v>1895</v>
      </c>
      <c r="Q1055" s="1">
        <v>19711</v>
      </c>
      <c r="R1055">
        <v>24.5</v>
      </c>
      <c r="S1055" s="2">
        <v>0</v>
      </c>
      <c r="T1055" t="s">
        <v>796</v>
      </c>
      <c r="U1055" s="2">
        <v>0.35</v>
      </c>
      <c r="V1055" t="s">
        <v>2314</v>
      </c>
      <c r="W1055" t="s">
        <v>2315</v>
      </c>
      <c r="X1055" t="b">
        <v>0</v>
      </c>
      <c r="Y1055" t="b">
        <v>0</v>
      </c>
    </row>
    <row r="1056" spans="1:25">
      <c r="A1056">
        <v>10550</v>
      </c>
      <c r="B1056" t="s">
        <v>2204</v>
      </c>
      <c r="C1056" t="s">
        <v>2316</v>
      </c>
      <c r="D1056" t="s">
        <v>2206</v>
      </c>
      <c r="E1056">
        <v>10550</v>
      </c>
      <c r="F1056">
        <v>26.7</v>
      </c>
      <c r="G1056">
        <v>892</v>
      </c>
      <c r="H1056">
        <v>18</v>
      </c>
      <c r="I1056">
        <v>917</v>
      </c>
      <c r="J1056">
        <v>50.3</v>
      </c>
      <c r="K1056">
        <v>1017</v>
      </c>
      <c r="L1056">
        <v>30.9</v>
      </c>
      <c r="M1056">
        <v>1160</v>
      </c>
      <c r="N1056">
        <v>34.5</v>
      </c>
      <c r="O1056">
        <v>1339</v>
      </c>
      <c r="P1056" t="s">
        <v>255</v>
      </c>
      <c r="Q1056" s="1">
        <v>16580</v>
      </c>
      <c r="R1056">
        <v>13</v>
      </c>
      <c r="S1056" s="2">
        <v>0.09</v>
      </c>
      <c r="T1056" s="3">
        <v>2.1590277777777778</v>
      </c>
      <c r="U1056" s="2">
        <v>0.21</v>
      </c>
      <c r="V1056" t="s">
        <v>2316</v>
      </c>
      <c r="W1056" t="s">
        <v>2317</v>
      </c>
      <c r="X1056" t="b">
        <v>0</v>
      </c>
      <c r="Y1056" t="b">
        <v>0</v>
      </c>
    </row>
    <row r="1057" spans="1:25">
      <c r="A1057">
        <v>10560</v>
      </c>
      <c r="B1057" t="s">
        <v>2204</v>
      </c>
      <c r="C1057" t="s">
        <v>2318</v>
      </c>
      <c r="D1057" t="s">
        <v>2206</v>
      </c>
      <c r="E1057">
        <v>10560</v>
      </c>
      <c r="F1057">
        <v>19.2</v>
      </c>
      <c r="G1057">
        <v>1453</v>
      </c>
      <c r="H1057">
        <v>10.3</v>
      </c>
      <c r="I1057">
        <v>1610</v>
      </c>
      <c r="J1057">
        <v>64.5</v>
      </c>
      <c r="K1057">
        <v>682</v>
      </c>
      <c r="L1057">
        <v>19.7</v>
      </c>
      <c r="M1057">
        <v>1548</v>
      </c>
      <c r="N1057">
        <v>31.5</v>
      </c>
      <c r="O1057">
        <v>1446</v>
      </c>
      <c r="P1057" t="s">
        <v>895</v>
      </c>
      <c r="Q1057" s="1">
        <v>35348</v>
      </c>
      <c r="R1057">
        <v>25.4</v>
      </c>
      <c r="S1057" s="2">
        <v>0.06</v>
      </c>
      <c r="T1057" s="3">
        <v>2.0770833333333334</v>
      </c>
      <c r="U1057" s="2">
        <v>0.28000000000000003</v>
      </c>
      <c r="V1057" t="s">
        <v>2318</v>
      </c>
      <c r="W1057" t="s">
        <v>2319</v>
      </c>
      <c r="X1057" t="b">
        <v>0</v>
      </c>
      <c r="Y1057" t="b">
        <v>0</v>
      </c>
    </row>
    <row r="1058" spans="1:25">
      <c r="A1058">
        <v>10570</v>
      </c>
      <c r="B1058" t="s">
        <v>2204</v>
      </c>
      <c r="C1058" t="s">
        <v>2320</v>
      </c>
      <c r="D1058" t="s">
        <v>2206</v>
      </c>
      <c r="E1058">
        <v>10570</v>
      </c>
      <c r="F1058">
        <v>33.4</v>
      </c>
      <c r="G1058">
        <v>526</v>
      </c>
      <c r="H1058">
        <v>16.7</v>
      </c>
      <c r="I1058">
        <v>992</v>
      </c>
      <c r="J1058">
        <v>39.799999999999997</v>
      </c>
      <c r="K1058">
        <v>1226</v>
      </c>
      <c r="L1058">
        <v>37.299999999999997</v>
      </c>
      <c r="M1058">
        <v>1033</v>
      </c>
      <c r="N1058">
        <v>50.3</v>
      </c>
      <c r="O1058">
        <v>797</v>
      </c>
      <c r="P1058" t="s">
        <v>29</v>
      </c>
      <c r="Q1058" s="1">
        <v>8850</v>
      </c>
      <c r="R1058">
        <v>15.7</v>
      </c>
      <c r="S1058" s="2">
        <v>0.01</v>
      </c>
      <c r="T1058" s="3">
        <v>2.8145833333333332</v>
      </c>
      <c r="U1058" s="2">
        <v>0.33</v>
      </c>
      <c r="V1058" t="s">
        <v>2320</v>
      </c>
      <c r="W1058" t="s">
        <v>2321</v>
      </c>
      <c r="X1058" t="b">
        <v>0</v>
      </c>
      <c r="Y1058" t="b">
        <v>0</v>
      </c>
    </row>
    <row r="1059" spans="1:25">
      <c r="A1059">
        <v>10580</v>
      </c>
      <c r="B1059" t="s">
        <v>2204</v>
      </c>
      <c r="C1059" t="s">
        <v>2322</v>
      </c>
      <c r="D1059" t="s">
        <v>2206</v>
      </c>
      <c r="E1059">
        <v>10580</v>
      </c>
      <c r="F1059">
        <v>21.3</v>
      </c>
      <c r="G1059">
        <v>1281</v>
      </c>
      <c r="H1059">
        <v>15.7</v>
      </c>
      <c r="I1059">
        <v>1070</v>
      </c>
      <c r="J1059">
        <v>40.6</v>
      </c>
      <c r="K1059">
        <v>1212</v>
      </c>
      <c r="L1059">
        <v>44.9</v>
      </c>
      <c r="M1059">
        <v>896</v>
      </c>
      <c r="N1059">
        <v>70.599999999999994</v>
      </c>
      <c r="O1059">
        <v>400</v>
      </c>
      <c r="P1059" t="s">
        <v>125</v>
      </c>
      <c r="Q1059" s="1">
        <v>24908</v>
      </c>
      <c r="R1059">
        <v>33.5</v>
      </c>
      <c r="S1059" s="2">
        <v>0.11</v>
      </c>
      <c r="T1059" s="3">
        <v>2.4458333333333333</v>
      </c>
      <c r="U1059" s="2">
        <v>0.32</v>
      </c>
      <c r="V1059" t="s">
        <v>2322</v>
      </c>
      <c r="W1059" t="s">
        <v>2323</v>
      </c>
      <c r="X1059" t="b">
        <v>0</v>
      </c>
      <c r="Y1059" t="b">
        <v>0</v>
      </c>
    </row>
    <row r="1060" spans="1:25">
      <c r="A1060">
        <v>10590</v>
      </c>
      <c r="B1060" t="s">
        <v>2204</v>
      </c>
      <c r="C1060" t="s">
        <v>2324</v>
      </c>
      <c r="D1060" t="s">
        <v>2206</v>
      </c>
      <c r="E1060">
        <v>10590</v>
      </c>
      <c r="F1060">
        <v>24</v>
      </c>
      <c r="G1060">
        <v>1079</v>
      </c>
      <c r="H1060">
        <v>29.2</v>
      </c>
      <c r="I1060">
        <v>492</v>
      </c>
      <c r="J1060">
        <v>26.3</v>
      </c>
      <c r="K1060">
        <v>1533</v>
      </c>
      <c r="L1060">
        <v>65.5</v>
      </c>
      <c r="M1060">
        <v>538</v>
      </c>
      <c r="N1060">
        <v>31.1</v>
      </c>
      <c r="O1060">
        <v>1461</v>
      </c>
      <c r="P1060" t="s">
        <v>389</v>
      </c>
      <c r="Q1060" s="1">
        <v>16382</v>
      </c>
      <c r="R1060">
        <v>27.2</v>
      </c>
      <c r="S1060" s="2">
        <v>0.06</v>
      </c>
      <c r="T1060" s="3">
        <v>2.4868055555555557</v>
      </c>
      <c r="U1060" s="2">
        <v>0.13</v>
      </c>
      <c r="V1060" t="s">
        <v>2324</v>
      </c>
      <c r="W1060" t="s">
        <v>2325</v>
      </c>
      <c r="X1060" t="b">
        <v>0</v>
      </c>
      <c r="Y1060" t="b">
        <v>0</v>
      </c>
    </row>
    <row r="1061" spans="1:25">
      <c r="A1061">
        <v>10600</v>
      </c>
      <c r="B1061" t="s">
        <v>2204</v>
      </c>
      <c r="C1061" t="s">
        <v>2326</v>
      </c>
      <c r="D1061" t="s">
        <v>2206</v>
      </c>
      <c r="E1061">
        <v>10600</v>
      </c>
      <c r="F1061">
        <v>18.3</v>
      </c>
      <c r="G1061">
        <v>1528</v>
      </c>
      <c r="H1061">
        <v>15.5</v>
      </c>
      <c r="I1061">
        <v>1083</v>
      </c>
      <c r="J1061">
        <v>62</v>
      </c>
      <c r="K1061">
        <v>735</v>
      </c>
      <c r="L1061">
        <v>34.799999999999997</v>
      </c>
      <c r="M1061">
        <v>1096</v>
      </c>
      <c r="N1061">
        <v>32.700000000000003</v>
      </c>
      <c r="O1061">
        <v>1398</v>
      </c>
      <c r="P1061" t="s">
        <v>54</v>
      </c>
      <c r="Q1061" s="1">
        <v>30262</v>
      </c>
      <c r="R1061">
        <v>17.100000000000001</v>
      </c>
      <c r="S1061" s="2">
        <v>0.01</v>
      </c>
      <c r="T1061" s="3">
        <v>2.2409722222222221</v>
      </c>
      <c r="U1061" s="2">
        <v>0.2</v>
      </c>
      <c r="V1061" t="s">
        <v>2326</v>
      </c>
      <c r="W1061" t="s">
        <v>2327</v>
      </c>
      <c r="X1061" t="b">
        <v>0</v>
      </c>
      <c r="Y1061" t="b">
        <v>0</v>
      </c>
    </row>
    <row r="1062" spans="1:25">
      <c r="A1062">
        <v>10610</v>
      </c>
      <c r="B1062" t="s">
        <v>2204</v>
      </c>
      <c r="C1062" t="s">
        <v>2328</v>
      </c>
      <c r="D1062" t="s">
        <v>2206</v>
      </c>
      <c r="E1062">
        <v>10610</v>
      </c>
      <c r="F1062">
        <v>27.6</v>
      </c>
      <c r="G1062">
        <v>832</v>
      </c>
      <c r="H1062">
        <v>13</v>
      </c>
      <c r="I1062">
        <v>1302</v>
      </c>
      <c r="J1062">
        <v>55.4</v>
      </c>
      <c r="K1062">
        <v>881</v>
      </c>
      <c r="L1062">
        <v>53.3</v>
      </c>
      <c r="M1062">
        <v>746</v>
      </c>
      <c r="N1062">
        <v>22.3</v>
      </c>
      <c r="O1062">
        <v>1796</v>
      </c>
      <c r="P1062" t="s">
        <v>94</v>
      </c>
      <c r="Q1062" s="1">
        <v>3071</v>
      </c>
      <c r="R1062">
        <v>3.6</v>
      </c>
      <c r="S1062" s="2">
        <v>0.01</v>
      </c>
      <c r="T1062" s="3">
        <v>2.4458333333333333</v>
      </c>
      <c r="U1062" s="2">
        <v>0.04</v>
      </c>
      <c r="V1062" t="s">
        <v>2329</v>
      </c>
      <c r="W1062" t="s">
        <v>1823</v>
      </c>
      <c r="X1062" t="b">
        <v>0</v>
      </c>
      <c r="Y1062" t="b">
        <v>0</v>
      </c>
    </row>
    <row r="1063" spans="1:25">
      <c r="A1063">
        <v>10620</v>
      </c>
      <c r="B1063" t="s">
        <v>2204</v>
      </c>
      <c r="C1063" t="s">
        <v>2330</v>
      </c>
      <c r="D1063" t="s">
        <v>2206</v>
      </c>
      <c r="E1063">
        <v>10620</v>
      </c>
      <c r="F1063">
        <v>36.200000000000003</v>
      </c>
      <c r="G1063">
        <v>420</v>
      </c>
      <c r="H1063">
        <v>26.6</v>
      </c>
      <c r="I1063">
        <v>552</v>
      </c>
      <c r="J1063">
        <v>23.3</v>
      </c>
      <c r="K1063">
        <v>1603</v>
      </c>
      <c r="L1063">
        <v>34.299999999999997</v>
      </c>
      <c r="M1063">
        <v>1107</v>
      </c>
      <c r="N1063">
        <v>22.2</v>
      </c>
      <c r="O1063">
        <v>1803</v>
      </c>
      <c r="P1063" t="s">
        <v>528</v>
      </c>
      <c r="Q1063" s="1">
        <v>6817</v>
      </c>
      <c r="R1063">
        <v>17.3</v>
      </c>
      <c r="S1063" s="2">
        <v>0</v>
      </c>
      <c r="T1063" s="3">
        <v>2.2409722222222221</v>
      </c>
      <c r="U1063" s="2">
        <v>0.35</v>
      </c>
      <c r="V1063" t="s">
        <v>2330</v>
      </c>
      <c r="W1063" t="s">
        <v>2331</v>
      </c>
      <c r="X1063" t="b">
        <v>0</v>
      </c>
      <c r="Y1063" t="b">
        <v>0</v>
      </c>
    </row>
    <row r="1064" spans="1:25">
      <c r="A1064">
        <v>10630</v>
      </c>
      <c r="B1064" t="s">
        <v>2204</v>
      </c>
      <c r="C1064" t="s">
        <v>2332</v>
      </c>
      <c r="D1064" t="s">
        <v>2206</v>
      </c>
      <c r="E1064">
        <v>10630</v>
      </c>
      <c r="F1064">
        <v>19.7</v>
      </c>
      <c r="G1064">
        <v>1400</v>
      </c>
      <c r="H1064">
        <v>17</v>
      </c>
      <c r="I1064">
        <v>974</v>
      </c>
      <c r="J1064">
        <v>48.3</v>
      </c>
      <c r="K1064">
        <v>1050</v>
      </c>
      <c r="L1064">
        <v>50.7</v>
      </c>
      <c r="M1064">
        <v>798</v>
      </c>
      <c r="N1064">
        <v>35</v>
      </c>
      <c r="O1064">
        <v>1318</v>
      </c>
      <c r="P1064" t="s">
        <v>1543</v>
      </c>
      <c r="Q1064" s="1">
        <v>13903</v>
      </c>
      <c r="R1064">
        <v>17.899999999999999</v>
      </c>
      <c r="S1064" s="2">
        <v>0.05</v>
      </c>
      <c r="T1064" t="s">
        <v>696</v>
      </c>
      <c r="U1064" s="2">
        <v>0.47</v>
      </c>
      <c r="V1064" t="s">
        <v>2332</v>
      </c>
      <c r="W1064" t="s">
        <v>2333</v>
      </c>
      <c r="X1064" t="b">
        <v>0</v>
      </c>
      <c r="Y1064" t="b">
        <v>0</v>
      </c>
    </row>
    <row r="1065" spans="1:25">
      <c r="A1065">
        <v>10640</v>
      </c>
      <c r="B1065" t="s">
        <v>2204</v>
      </c>
      <c r="C1065" t="s">
        <v>2334</v>
      </c>
      <c r="D1065" t="s">
        <v>2206</v>
      </c>
      <c r="E1065">
        <v>10640</v>
      </c>
      <c r="F1065">
        <v>14.9</v>
      </c>
      <c r="G1065">
        <v>1760</v>
      </c>
      <c r="H1065">
        <v>21.3</v>
      </c>
      <c r="I1065">
        <v>755</v>
      </c>
      <c r="J1065">
        <v>42.1</v>
      </c>
      <c r="K1065">
        <v>1182</v>
      </c>
      <c r="L1065">
        <v>37.299999999999997</v>
      </c>
      <c r="M1065">
        <v>1034</v>
      </c>
      <c r="N1065">
        <v>52.3</v>
      </c>
      <c r="O1065">
        <v>734</v>
      </c>
      <c r="P1065" t="s">
        <v>1433</v>
      </c>
      <c r="Q1065" s="1">
        <v>59744</v>
      </c>
      <c r="R1065">
        <v>35.9</v>
      </c>
      <c r="S1065" s="2">
        <v>0.01</v>
      </c>
      <c r="T1065" s="3">
        <v>2.0770833333333334</v>
      </c>
      <c r="U1065" s="2">
        <v>0.16</v>
      </c>
      <c r="V1065" t="s">
        <v>2334</v>
      </c>
      <c r="W1065" t="s">
        <v>2335</v>
      </c>
      <c r="X1065" t="b">
        <v>0</v>
      </c>
      <c r="Y1065" t="b">
        <v>0</v>
      </c>
    </row>
    <row r="1066" spans="1:25">
      <c r="A1066">
        <v>10650</v>
      </c>
      <c r="B1066" t="s">
        <v>2204</v>
      </c>
      <c r="C1066" t="s">
        <v>2336</v>
      </c>
      <c r="D1066" t="s">
        <v>2206</v>
      </c>
      <c r="E1066">
        <v>10650</v>
      </c>
      <c r="F1066">
        <v>30.6</v>
      </c>
      <c r="G1066">
        <v>659</v>
      </c>
      <c r="H1066">
        <v>23.2</v>
      </c>
      <c r="I1066">
        <v>678</v>
      </c>
      <c r="J1066">
        <v>29.5</v>
      </c>
      <c r="K1066">
        <v>1458</v>
      </c>
      <c r="L1066">
        <v>65.900000000000006</v>
      </c>
      <c r="M1066">
        <v>531</v>
      </c>
      <c r="N1066">
        <v>29.5</v>
      </c>
      <c r="O1066">
        <v>1519</v>
      </c>
      <c r="P1066" t="s">
        <v>94</v>
      </c>
      <c r="Q1066" s="1">
        <v>7134</v>
      </c>
      <c r="R1066">
        <v>14.6</v>
      </c>
      <c r="S1066" s="2">
        <v>0.04</v>
      </c>
      <c r="T1066" t="s">
        <v>696</v>
      </c>
      <c r="U1066" s="2">
        <v>0.19</v>
      </c>
      <c r="V1066" t="s">
        <v>2336</v>
      </c>
      <c r="W1066" t="s">
        <v>2337</v>
      </c>
      <c r="X1066" t="b">
        <v>0</v>
      </c>
      <c r="Y1066" t="b">
        <v>0</v>
      </c>
    </row>
    <row r="1067" spans="1:25">
      <c r="A1067">
        <v>10660</v>
      </c>
      <c r="B1067" t="s">
        <v>2204</v>
      </c>
      <c r="C1067" t="s">
        <v>2338</v>
      </c>
      <c r="D1067" t="s">
        <v>2206</v>
      </c>
      <c r="E1067">
        <v>10660</v>
      </c>
      <c r="F1067">
        <v>16.8</v>
      </c>
      <c r="G1067">
        <v>1642</v>
      </c>
      <c r="H1067">
        <v>10.6</v>
      </c>
      <c r="I1067">
        <v>1571</v>
      </c>
      <c r="J1067">
        <v>63.9</v>
      </c>
      <c r="K1067">
        <v>692</v>
      </c>
      <c r="L1067">
        <v>16</v>
      </c>
      <c r="M1067">
        <v>1859</v>
      </c>
      <c r="N1067">
        <v>20.9</v>
      </c>
      <c r="O1067">
        <v>1846</v>
      </c>
      <c r="P1067" t="s">
        <v>528</v>
      </c>
      <c r="Q1067" s="1">
        <v>10719</v>
      </c>
      <c r="R1067">
        <v>16.8</v>
      </c>
      <c r="S1067" s="2">
        <v>0</v>
      </c>
      <c r="T1067" t="s">
        <v>357</v>
      </c>
      <c r="U1067" s="2">
        <v>0.41</v>
      </c>
      <c r="V1067" t="s">
        <v>2338</v>
      </c>
      <c r="W1067" t="s">
        <v>2339</v>
      </c>
      <c r="X1067" t="b">
        <v>0</v>
      </c>
      <c r="Y1067" t="b">
        <v>0</v>
      </c>
    </row>
    <row r="1068" spans="1:25">
      <c r="A1068">
        <v>10670</v>
      </c>
      <c r="B1068" t="s">
        <v>2204</v>
      </c>
      <c r="C1068" t="s">
        <v>2340</v>
      </c>
      <c r="D1068" t="s">
        <v>2206</v>
      </c>
      <c r="E1068">
        <v>10670</v>
      </c>
      <c r="F1068">
        <v>13.4</v>
      </c>
      <c r="G1068">
        <v>1828</v>
      </c>
      <c r="H1068">
        <v>11.3</v>
      </c>
      <c r="I1068">
        <v>1487</v>
      </c>
      <c r="J1068">
        <v>69.5</v>
      </c>
      <c r="K1068">
        <v>568</v>
      </c>
      <c r="L1068">
        <v>16</v>
      </c>
      <c r="M1068">
        <v>1860</v>
      </c>
      <c r="N1068">
        <v>45.8</v>
      </c>
      <c r="O1068">
        <v>938</v>
      </c>
      <c r="P1068" t="s">
        <v>1102</v>
      </c>
      <c r="Q1068" s="1">
        <v>14741</v>
      </c>
      <c r="R1068">
        <v>24.7</v>
      </c>
      <c r="S1068" s="2">
        <v>0</v>
      </c>
      <c r="T1068" s="3">
        <v>2.4458333333333333</v>
      </c>
      <c r="U1068" s="2">
        <v>0.36</v>
      </c>
      <c r="V1068" t="s">
        <v>2340</v>
      </c>
      <c r="W1068" t="s">
        <v>2341</v>
      </c>
      <c r="X1068" t="b">
        <v>0</v>
      </c>
      <c r="Y1068" t="b">
        <v>0</v>
      </c>
    </row>
    <row r="1069" spans="1:25">
      <c r="A1069">
        <v>10680</v>
      </c>
      <c r="B1069" t="s">
        <v>2204</v>
      </c>
      <c r="C1069" t="s">
        <v>2342</v>
      </c>
      <c r="D1069" t="s">
        <v>2206</v>
      </c>
      <c r="E1069">
        <v>10680</v>
      </c>
      <c r="F1069">
        <v>16.600000000000001</v>
      </c>
      <c r="G1069">
        <v>1658</v>
      </c>
      <c r="H1069">
        <v>9.8000000000000007</v>
      </c>
      <c r="I1069">
        <v>1670</v>
      </c>
      <c r="J1069">
        <v>63.7</v>
      </c>
      <c r="K1069">
        <v>698</v>
      </c>
      <c r="L1069">
        <v>21.6</v>
      </c>
      <c r="M1069">
        <v>1457</v>
      </c>
      <c r="N1069">
        <v>22.3</v>
      </c>
      <c r="O1069">
        <v>1797</v>
      </c>
      <c r="P1069" t="s">
        <v>528</v>
      </c>
      <c r="Q1069" s="1">
        <v>8928</v>
      </c>
      <c r="R1069">
        <v>21.7</v>
      </c>
      <c r="S1069" s="2">
        <v>0</v>
      </c>
      <c r="T1069" t="s">
        <v>658</v>
      </c>
      <c r="U1069" s="2">
        <v>0.35</v>
      </c>
      <c r="V1069" t="s">
        <v>2342</v>
      </c>
      <c r="W1069" t="s">
        <v>2343</v>
      </c>
      <c r="X1069" t="b">
        <v>0</v>
      </c>
      <c r="Y1069" t="b">
        <v>0</v>
      </c>
    </row>
    <row r="1070" spans="1:25">
      <c r="A1070">
        <v>10690</v>
      </c>
      <c r="B1070" t="s">
        <v>2204</v>
      </c>
      <c r="C1070" t="s">
        <v>2344</v>
      </c>
      <c r="D1070" t="s">
        <v>2206</v>
      </c>
      <c r="E1070">
        <v>10690</v>
      </c>
      <c r="F1070">
        <v>15.3</v>
      </c>
      <c r="G1070">
        <v>1739</v>
      </c>
      <c r="H1070">
        <v>11.5</v>
      </c>
      <c r="I1070">
        <v>1463</v>
      </c>
      <c r="J1070">
        <v>61.6</v>
      </c>
      <c r="K1070">
        <v>742</v>
      </c>
      <c r="L1070">
        <v>16.5</v>
      </c>
      <c r="M1070">
        <v>1807</v>
      </c>
      <c r="N1070">
        <v>38</v>
      </c>
      <c r="O1070">
        <v>1197</v>
      </c>
      <c r="P1070" t="s">
        <v>795</v>
      </c>
      <c r="Q1070" s="1">
        <v>9464</v>
      </c>
      <c r="R1070">
        <v>22.8</v>
      </c>
      <c r="S1070" s="2">
        <v>0.03</v>
      </c>
      <c r="T1070" s="3">
        <v>2.1590277777777778</v>
      </c>
      <c r="U1070" s="2">
        <v>0.39</v>
      </c>
      <c r="V1070" t="s">
        <v>2344</v>
      </c>
      <c r="W1070" t="s">
        <v>2345</v>
      </c>
      <c r="X1070" t="b">
        <v>0</v>
      </c>
      <c r="Y1070" t="b">
        <v>0</v>
      </c>
    </row>
    <row r="1071" spans="1:25">
      <c r="A1071">
        <v>10700</v>
      </c>
      <c r="B1071" t="s">
        <v>2204</v>
      </c>
      <c r="C1071" t="s">
        <v>2346</v>
      </c>
      <c r="D1071" t="s">
        <v>2206</v>
      </c>
      <c r="E1071">
        <v>10700</v>
      </c>
      <c r="F1071">
        <v>33.6</v>
      </c>
      <c r="G1071">
        <v>514</v>
      </c>
      <c r="H1071">
        <v>18.3</v>
      </c>
      <c r="I1071">
        <v>903</v>
      </c>
      <c r="J1071">
        <v>36.9</v>
      </c>
      <c r="K1071">
        <v>1281</v>
      </c>
      <c r="L1071">
        <v>58.3</v>
      </c>
      <c r="M1071">
        <v>671</v>
      </c>
      <c r="N1071">
        <v>24</v>
      </c>
      <c r="O1071">
        <v>1742</v>
      </c>
      <c r="P1071" t="s">
        <v>94</v>
      </c>
      <c r="Q1071" s="1">
        <v>1216</v>
      </c>
      <c r="R1071">
        <v>4.0999999999999996</v>
      </c>
      <c r="S1071" s="2">
        <v>0.03</v>
      </c>
      <c r="T1071" s="3">
        <v>2.036111111111111</v>
      </c>
      <c r="U1071" s="2">
        <v>0.03</v>
      </c>
      <c r="V1071" t="s">
        <v>2346</v>
      </c>
      <c r="W1071" t="s">
        <v>253</v>
      </c>
      <c r="X1071" t="b">
        <v>0</v>
      </c>
      <c r="Y1071" t="b">
        <v>0</v>
      </c>
    </row>
    <row r="1072" spans="1:25">
      <c r="A1072">
        <v>10710</v>
      </c>
      <c r="B1072" t="s">
        <v>2204</v>
      </c>
      <c r="C1072" t="s">
        <v>2347</v>
      </c>
      <c r="D1072" t="s">
        <v>2206</v>
      </c>
      <c r="E1072">
        <v>10710</v>
      </c>
      <c r="F1072">
        <v>15.5</v>
      </c>
      <c r="G1072">
        <v>1732</v>
      </c>
      <c r="H1072">
        <v>14.3</v>
      </c>
      <c r="I1072">
        <v>1177</v>
      </c>
      <c r="J1072">
        <v>48.1</v>
      </c>
      <c r="K1072">
        <v>1057</v>
      </c>
      <c r="L1072">
        <v>28.4</v>
      </c>
      <c r="M1072">
        <v>1225</v>
      </c>
      <c r="N1072">
        <v>70.900000000000006</v>
      </c>
      <c r="O1072">
        <v>393</v>
      </c>
      <c r="P1072" t="s">
        <v>54</v>
      </c>
      <c r="Q1072" s="1">
        <v>33228</v>
      </c>
      <c r="R1072">
        <v>17.8</v>
      </c>
      <c r="S1072" s="2">
        <v>0.19</v>
      </c>
      <c r="T1072" s="3">
        <v>2.1590277777777778</v>
      </c>
      <c r="U1072" s="2">
        <v>0.42</v>
      </c>
      <c r="V1072" t="s">
        <v>2347</v>
      </c>
      <c r="W1072" t="s">
        <v>2348</v>
      </c>
      <c r="X1072" t="b">
        <v>0</v>
      </c>
      <c r="Y1072" t="b">
        <v>0</v>
      </c>
    </row>
    <row r="1073" spans="1:25">
      <c r="A1073">
        <v>10720</v>
      </c>
      <c r="B1073" t="s">
        <v>2204</v>
      </c>
      <c r="C1073" t="s">
        <v>2349</v>
      </c>
      <c r="D1073" t="s">
        <v>2206</v>
      </c>
      <c r="E1073">
        <v>10720</v>
      </c>
      <c r="F1073">
        <v>23.5</v>
      </c>
      <c r="G1073">
        <v>1110</v>
      </c>
      <c r="H1073">
        <v>10.5</v>
      </c>
      <c r="I1073">
        <v>1589</v>
      </c>
      <c r="J1073">
        <v>55.8</v>
      </c>
      <c r="K1073">
        <v>867</v>
      </c>
      <c r="L1073">
        <v>16.100000000000001</v>
      </c>
      <c r="M1073">
        <v>1850</v>
      </c>
      <c r="N1073">
        <v>41.1</v>
      </c>
      <c r="O1073">
        <v>1079</v>
      </c>
      <c r="P1073" t="s">
        <v>1820</v>
      </c>
      <c r="Q1073" s="1">
        <v>6013</v>
      </c>
      <c r="R1073">
        <v>7.2</v>
      </c>
      <c r="S1073" s="2">
        <v>0.02</v>
      </c>
      <c r="T1073" s="3">
        <v>2.2409722222222221</v>
      </c>
      <c r="U1073" s="2">
        <v>0.14000000000000001</v>
      </c>
      <c r="V1073" t="s">
        <v>2349</v>
      </c>
      <c r="W1073" t="s">
        <v>2350</v>
      </c>
      <c r="X1073" t="b">
        <v>0</v>
      </c>
      <c r="Y1073" t="b">
        <v>0</v>
      </c>
    </row>
    <row r="1074" spans="1:25">
      <c r="A1074">
        <v>10730</v>
      </c>
      <c r="B1074" t="s">
        <v>2204</v>
      </c>
      <c r="C1074" t="s">
        <v>2351</v>
      </c>
      <c r="D1074" t="s">
        <v>2206</v>
      </c>
      <c r="E1074">
        <v>10730</v>
      </c>
      <c r="F1074">
        <v>31</v>
      </c>
      <c r="G1074">
        <v>642</v>
      </c>
      <c r="H1074">
        <v>21.4</v>
      </c>
      <c r="I1074">
        <v>752</v>
      </c>
      <c r="J1074">
        <v>32.799999999999997</v>
      </c>
      <c r="K1074">
        <v>1380</v>
      </c>
      <c r="L1074">
        <v>64.900000000000006</v>
      </c>
      <c r="M1074">
        <v>549</v>
      </c>
      <c r="N1074">
        <v>57.1</v>
      </c>
      <c r="O1074">
        <v>642</v>
      </c>
      <c r="P1074" t="s">
        <v>99</v>
      </c>
      <c r="Q1074" s="1">
        <v>5224</v>
      </c>
      <c r="R1074">
        <v>18.399999999999999</v>
      </c>
      <c r="S1074" s="2">
        <v>0.31</v>
      </c>
      <c r="T1074" t="s">
        <v>336</v>
      </c>
      <c r="U1074" s="2">
        <v>0.47</v>
      </c>
      <c r="V1074" t="s">
        <v>2351</v>
      </c>
      <c r="W1074" t="s">
        <v>2352</v>
      </c>
      <c r="X1074" t="b">
        <v>0</v>
      </c>
      <c r="Y1074" t="b">
        <v>0</v>
      </c>
    </row>
    <row r="1075" spans="1:25">
      <c r="A1075">
        <v>10740</v>
      </c>
      <c r="B1075" t="s">
        <v>2204</v>
      </c>
      <c r="C1075" t="s">
        <v>2353</v>
      </c>
      <c r="D1075" t="s">
        <v>2206</v>
      </c>
      <c r="E1075">
        <v>10740</v>
      </c>
      <c r="F1075">
        <v>32.200000000000003</v>
      </c>
      <c r="G1075">
        <v>581</v>
      </c>
      <c r="H1075">
        <v>25.2</v>
      </c>
      <c r="I1075">
        <v>602</v>
      </c>
      <c r="J1075">
        <v>19.7</v>
      </c>
      <c r="K1075">
        <v>1685</v>
      </c>
      <c r="L1075">
        <v>64.8</v>
      </c>
      <c r="M1075">
        <v>553</v>
      </c>
      <c r="N1075">
        <v>73.400000000000006</v>
      </c>
      <c r="O1075">
        <v>358</v>
      </c>
      <c r="P1075" t="s">
        <v>125</v>
      </c>
      <c r="Q1075" s="1">
        <v>1592</v>
      </c>
      <c r="R1075">
        <v>15</v>
      </c>
      <c r="S1075" s="2">
        <v>0.19</v>
      </c>
      <c r="T1075" t="s">
        <v>162</v>
      </c>
      <c r="U1075" s="2">
        <v>0.39</v>
      </c>
      <c r="V1075" t="s">
        <v>2353</v>
      </c>
      <c r="W1075" t="s">
        <v>2354</v>
      </c>
      <c r="X1075" t="b">
        <v>0</v>
      </c>
      <c r="Y1075" t="b">
        <v>0</v>
      </c>
    </row>
    <row r="1076" spans="1:25">
      <c r="A1076">
        <v>10750</v>
      </c>
      <c r="B1076" t="s">
        <v>2204</v>
      </c>
      <c r="C1076" t="s">
        <v>2355</v>
      </c>
      <c r="D1076" t="s">
        <v>2206</v>
      </c>
      <c r="E1076">
        <v>10750</v>
      </c>
      <c r="F1076">
        <v>40.799999999999997</v>
      </c>
      <c r="G1076">
        <v>282</v>
      </c>
      <c r="H1076">
        <v>19.399999999999999</v>
      </c>
      <c r="I1076">
        <v>843</v>
      </c>
      <c r="J1076">
        <v>33.4</v>
      </c>
      <c r="K1076">
        <v>1370</v>
      </c>
      <c r="L1076">
        <v>28.8</v>
      </c>
      <c r="M1076">
        <v>1209</v>
      </c>
      <c r="N1076">
        <v>24</v>
      </c>
      <c r="O1076">
        <v>1743</v>
      </c>
      <c r="P1076" t="s">
        <v>528</v>
      </c>
      <c r="Q1076" s="1">
        <v>1589</v>
      </c>
      <c r="R1076">
        <v>12.6</v>
      </c>
      <c r="S1076" s="2">
        <v>0</v>
      </c>
      <c r="T1076" t="s">
        <v>336</v>
      </c>
      <c r="U1076" s="2">
        <v>0.49</v>
      </c>
      <c r="V1076" t="s">
        <v>2355</v>
      </c>
      <c r="W1076" t="s">
        <v>2356</v>
      </c>
      <c r="X1076" t="b">
        <v>0</v>
      </c>
      <c r="Y1076" t="b">
        <v>0</v>
      </c>
    </row>
    <row r="1077" spans="1:25">
      <c r="A1077">
        <v>10760</v>
      </c>
      <c r="B1077" t="s">
        <v>2204</v>
      </c>
      <c r="C1077" t="s">
        <v>2357</v>
      </c>
      <c r="D1077" t="s">
        <v>2206</v>
      </c>
      <c r="E1077">
        <v>10760</v>
      </c>
      <c r="F1077">
        <v>36.5</v>
      </c>
      <c r="G1077">
        <v>410</v>
      </c>
      <c r="H1077">
        <v>18.399999999999999</v>
      </c>
      <c r="I1077">
        <v>896</v>
      </c>
      <c r="J1077">
        <v>44.7</v>
      </c>
      <c r="K1077">
        <v>1127</v>
      </c>
      <c r="L1077">
        <v>27.2</v>
      </c>
      <c r="M1077">
        <v>1257</v>
      </c>
      <c r="N1077">
        <v>23.7</v>
      </c>
      <c r="O1077">
        <v>1753</v>
      </c>
      <c r="P1077" t="s">
        <v>528</v>
      </c>
      <c r="Q1077" s="1">
        <v>2486</v>
      </c>
      <c r="R1077">
        <v>14.9</v>
      </c>
      <c r="S1077" s="2">
        <v>0.01</v>
      </c>
      <c r="T1077">
        <v>0.97083333333333333</v>
      </c>
      <c r="U1077" s="2">
        <v>0.46</v>
      </c>
      <c r="V1077" t="s">
        <v>2357</v>
      </c>
      <c r="W1077" t="s">
        <v>2358</v>
      </c>
      <c r="X1077" t="b">
        <v>0</v>
      </c>
      <c r="Y1077" t="b">
        <v>0</v>
      </c>
    </row>
    <row r="1078" spans="1:25">
      <c r="A1078">
        <v>10770</v>
      </c>
      <c r="B1078" t="s">
        <v>2204</v>
      </c>
      <c r="C1078" t="s">
        <v>2359</v>
      </c>
      <c r="D1078" t="s">
        <v>2206</v>
      </c>
      <c r="E1078">
        <v>10770</v>
      </c>
      <c r="F1078">
        <v>36.5</v>
      </c>
      <c r="G1078">
        <v>411</v>
      </c>
      <c r="H1078">
        <v>13.4</v>
      </c>
      <c r="I1078">
        <v>1265</v>
      </c>
      <c r="J1078">
        <v>49.2</v>
      </c>
      <c r="K1078">
        <v>1035</v>
      </c>
      <c r="L1078">
        <v>18.3</v>
      </c>
      <c r="M1078">
        <v>1644</v>
      </c>
      <c r="N1078">
        <v>26.8</v>
      </c>
      <c r="O1078">
        <v>1624</v>
      </c>
      <c r="P1078" t="s">
        <v>528</v>
      </c>
      <c r="Q1078" s="1">
        <v>2058</v>
      </c>
      <c r="R1078">
        <v>12.9</v>
      </c>
      <c r="S1078" s="2">
        <v>0.01</v>
      </c>
      <c r="T1078" t="s">
        <v>529</v>
      </c>
      <c r="U1078" s="2">
        <v>0.42</v>
      </c>
      <c r="V1078" t="s">
        <v>2359</v>
      </c>
      <c r="W1078" t="s">
        <v>2360</v>
      </c>
      <c r="X1078" t="b">
        <v>0</v>
      </c>
      <c r="Y1078" t="b">
        <v>0</v>
      </c>
    </row>
    <row r="1079" spans="1:25">
      <c r="A1079">
        <v>10780</v>
      </c>
      <c r="B1079" t="s">
        <v>2204</v>
      </c>
      <c r="C1079" t="s">
        <v>2361</v>
      </c>
      <c r="D1079" t="s">
        <v>2206</v>
      </c>
      <c r="E1079">
        <v>10780</v>
      </c>
      <c r="F1079">
        <v>14</v>
      </c>
      <c r="G1079">
        <v>1802</v>
      </c>
      <c r="H1079">
        <v>12.4</v>
      </c>
      <c r="I1079">
        <v>1365</v>
      </c>
      <c r="J1079">
        <v>55.9</v>
      </c>
      <c r="K1079">
        <v>866</v>
      </c>
      <c r="L1079">
        <v>47.4</v>
      </c>
      <c r="M1079">
        <v>855</v>
      </c>
      <c r="N1079">
        <v>43.2</v>
      </c>
      <c r="O1079">
        <v>1010</v>
      </c>
      <c r="P1079" t="s">
        <v>1220</v>
      </c>
      <c r="Q1079" s="1">
        <v>32155</v>
      </c>
      <c r="R1079">
        <v>32.6</v>
      </c>
      <c r="S1079" s="2">
        <v>0.05</v>
      </c>
      <c r="T1079" s="3">
        <v>2.2819444444444446</v>
      </c>
      <c r="U1079" s="2">
        <v>0.28000000000000003</v>
      </c>
      <c r="V1079" t="s">
        <v>2361</v>
      </c>
      <c r="W1079" t="s">
        <v>2362</v>
      </c>
      <c r="X1079" t="b">
        <v>0</v>
      </c>
      <c r="Y1079" t="b">
        <v>0</v>
      </c>
    </row>
    <row r="1080" spans="1:25">
      <c r="A1080">
        <v>10790</v>
      </c>
      <c r="B1080" t="s">
        <v>2204</v>
      </c>
      <c r="C1080" t="s">
        <v>2363</v>
      </c>
      <c r="D1080" t="s">
        <v>2206</v>
      </c>
      <c r="E1080">
        <v>10790</v>
      </c>
      <c r="F1080">
        <v>30.4</v>
      </c>
      <c r="G1080">
        <v>671</v>
      </c>
      <c r="H1080">
        <v>16.8</v>
      </c>
      <c r="I1080">
        <v>985</v>
      </c>
      <c r="J1080">
        <v>40.9</v>
      </c>
      <c r="K1080">
        <v>1204</v>
      </c>
      <c r="L1080">
        <v>26.2</v>
      </c>
      <c r="M1080">
        <v>1290</v>
      </c>
      <c r="N1080">
        <v>35.5</v>
      </c>
      <c r="O1080">
        <v>1297</v>
      </c>
      <c r="P1080" t="s">
        <v>795</v>
      </c>
      <c r="Q1080" s="1">
        <v>17182</v>
      </c>
      <c r="R1080">
        <v>24</v>
      </c>
      <c r="S1080" s="2">
        <v>0.08</v>
      </c>
      <c r="T1080" s="3">
        <v>2.4458333333333333</v>
      </c>
      <c r="U1080" s="2">
        <v>0.33</v>
      </c>
      <c r="V1080" t="s">
        <v>2363</v>
      </c>
      <c r="W1080" t="s">
        <v>2364</v>
      </c>
      <c r="X1080" t="b">
        <v>0</v>
      </c>
      <c r="Y1080" t="b">
        <v>0</v>
      </c>
    </row>
    <row r="1081" spans="1:25">
      <c r="A1081">
        <v>10800</v>
      </c>
      <c r="B1081" t="s">
        <v>2204</v>
      </c>
      <c r="C1081" t="s">
        <v>2365</v>
      </c>
      <c r="D1081" t="s">
        <v>2206</v>
      </c>
      <c r="E1081">
        <v>10800</v>
      </c>
      <c r="F1081">
        <v>16.399999999999999</v>
      </c>
      <c r="G1081">
        <v>1669</v>
      </c>
      <c r="H1081">
        <v>11.4</v>
      </c>
      <c r="I1081">
        <v>1478</v>
      </c>
      <c r="J1081">
        <v>66.7</v>
      </c>
      <c r="K1081">
        <v>632</v>
      </c>
      <c r="L1081">
        <v>18.2</v>
      </c>
      <c r="M1081">
        <v>1653</v>
      </c>
      <c r="N1081">
        <v>48.2</v>
      </c>
      <c r="O1081">
        <v>862</v>
      </c>
      <c r="P1081" t="s">
        <v>1102</v>
      </c>
      <c r="Q1081" s="1">
        <v>64226</v>
      </c>
      <c r="R1081">
        <v>47.8</v>
      </c>
      <c r="S1081" s="2">
        <v>0</v>
      </c>
      <c r="T1081" s="3">
        <v>1.7902777777777779</v>
      </c>
      <c r="U1081" s="2">
        <v>0.31</v>
      </c>
      <c r="V1081" t="s">
        <v>2365</v>
      </c>
      <c r="W1081" t="s">
        <v>2366</v>
      </c>
      <c r="X1081" t="b">
        <v>0</v>
      </c>
      <c r="Y1081" t="b">
        <v>0</v>
      </c>
    </row>
    <row r="1082" spans="1:25">
      <c r="A1082">
        <v>10810</v>
      </c>
      <c r="B1082" t="s">
        <v>2204</v>
      </c>
      <c r="C1082" t="s">
        <v>2367</v>
      </c>
      <c r="D1082" t="s">
        <v>2206</v>
      </c>
      <c r="E1082">
        <v>10810</v>
      </c>
      <c r="F1082">
        <v>23.5</v>
      </c>
      <c r="G1082">
        <v>1111</v>
      </c>
      <c r="H1082">
        <v>22</v>
      </c>
      <c r="I1082">
        <v>731</v>
      </c>
      <c r="J1082">
        <v>34.4</v>
      </c>
      <c r="K1082">
        <v>1341</v>
      </c>
      <c r="L1082">
        <v>50.9</v>
      </c>
      <c r="M1082">
        <v>794</v>
      </c>
      <c r="N1082">
        <v>38.200000000000003</v>
      </c>
      <c r="O1082">
        <v>1183</v>
      </c>
      <c r="P1082" t="s">
        <v>895</v>
      </c>
      <c r="Q1082" s="1">
        <v>61369</v>
      </c>
      <c r="R1082">
        <v>25.4</v>
      </c>
      <c r="S1082" s="2">
        <v>0.09</v>
      </c>
      <c r="T1082" s="3">
        <v>2.3638888888888889</v>
      </c>
      <c r="U1082" s="2">
        <v>0.14000000000000001</v>
      </c>
      <c r="V1082" t="s">
        <v>2367</v>
      </c>
      <c r="W1082" t="s">
        <v>2368</v>
      </c>
      <c r="X1082" t="b">
        <v>0</v>
      </c>
      <c r="Y1082" t="b">
        <v>0</v>
      </c>
    </row>
    <row r="1083" spans="1:25">
      <c r="A1083">
        <v>10820</v>
      </c>
      <c r="B1083" t="s">
        <v>2204</v>
      </c>
      <c r="C1083" t="s">
        <v>2369</v>
      </c>
      <c r="D1083" t="s">
        <v>2206</v>
      </c>
      <c r="E1083">
        <v>10820</v>
      </c>
      <c r="F1083">
        <v>26</v>
      </c>
      <c r="G1083">
        <v>937</v>
      </c>
      <c r="H1083">
        <v>24.1</v>
      </c>
      <c r="I1083">
        <v>648</v>
      </c>
      <c r="J1083">
        <v>41.7</v>
      </c>
      <c r="K1083">
        <v>1192</v>
      </c>
      <c r="L1083">
        <v>59.8</v>
      </c>
      <c r="M1083">
        <v>651</v>
      </c>
      <c r="N1083">
        <v>26.9</v>
      </c>
      <c r="O1083">
        <v>1619</v>
      </c>
      <c r="P1083" t="s">
        <v>895</v>
      </c>
      <c r="Q1083" s="1">
        <v>22236</v>
      </c>
      <c r="R1083">
        <v>27.8</v>
      </c>
      <c r="S1083" s="2">
        <v>0.06</v>
      </c>
      <c r="T1083" s="3">
        <v>2.2000000000000002</v>
      </c>
      <c r="U1083" s="2">
        <v>0.18</v>
      </c>
      <c r="V1083" t="s">
        <v>2369</v>
      </c>
      <c r="W1083" t="s">
        <v>2370</v>
      </c>
      <c r="X1083" t="b">
        <v>0</v>
      </c>
      <c r="Y1083" t="b">
        <v>0</v>
      </c>
    </row>
    <row r="1084" spans="1:25">
      <c r="A1084">
        <v>10830</v>
      </c>
      <c r="B1084" t="s">
        <v>2204</v>
      </c>
      <c r="C1084" t="s">
        <v>2371</v>
      </c>
      <c r="D1084" t="s">
        <v>2206</v>
      </c>
      <c r="E1084">
        <v>10830</v>
      </c>
      <c r="F1084">
        <v>25.8</v>
      </c>
      <c r="G1084">
        <v>952</v>
      </c>
      <c r="H1084">
        <v>10.9</v>
      </c>
      <c r="I1084">
        <v>1539</v>
      </c>
      <c r="J1084">
        <v>54.3</v>
      </c>
      <c r="K1084">
        <v>908</v>
      </c>
      <c r="L1084">
        <v>25.2</v>
      </c>
      <c r="M1084">
        <v>1332</v>
      </c>
      <c r="N1084">
        <v>50.2</v>
      </c>
      <c r="O1084">
        <v>799</v>
      </c>
      <c r="P1084" t="s">
        <v>1853</v>
      </c>
      <c r="Q1084" s="1">
        <v>8258</v>
      </c>
      <c r="R1084">
        <v>8.9</v>
      </c>
      <c r="S1084" s="2">
        <v>0.36</v>
      </c>
      <c r="T1084" s="3">
        <v>2.7736111111111112</v>
      </c>
      <c r="U1084" s="2">
        <v>0.08</v>
      </c>
      <c r="V1084" t="s">
        <v>2371</v>
      </c>
      <c r="W1084" t="s">
        <v>1199</v>
      </c>
      <c r="X1084" t="b">
        <v>0</v>
      </c>
      <c r="Y1084" t="b">
        <v>0</v>
      </c>
    </row>
    <row r="1085" spans="1:25">
      <c r="A1085">
        <v>10840</v>
      </c>
      <c r="B1085" t="s">
        <v>2204</v>
      </c>
      <c r="C1085" t="s">
        <v>2372</v>
      </c>
      <c r="D1085" t="s">
        <v>2206</v>
      </c>
      <c r="E1085">
        <v>10840</v>
      </c>
      <c r="F1085">
        <v>35.299999999999997</v>
      </c>
      <c r="G1085">
        <v>451</v>
      </c>
      <c r="H1085">
        <v>15.8</v>
      </c>
      <c r="I1085">
        <v>1061</v>
      </c>
      <c r="J1085">
        <v>46</v>
      </c>
      <c r="K1085">
        <v>1098</v>
      </c>
      <c r="L1085">
        <v>35.4</v>
      </c>
      <c r="M1085">
        <v>1084</v>
      </c>
      <c r="N1085">
        <v>19.2</v>
      </c>
      <c r="O1085">
        <v>1885</v>
      </c>
      <c r="P1085" t="s">
        <v>528</v>
      </c>
      <c r="Q1085" s="1">
        <v>14338</v>
      </c>
      <c r="R1085">
        <v>21.3</v>
      </c>
      <c r="S1085" s="2">
        <v>0</v>
      </c>
      <c r="T1085" t="s">
        <v>145</v>
      </c>
      <c r="U1085" s="2">
        <v>0.45</v>
      </c>
      <c r="V1085" t="s">
        <v>2372</v>
      </c>
      <c r="W1085" t="s">
        <v>2373</v>
      </c>
      <c r="X1085" t="b">
        <v>0</v>
      </c>
      <c r="Y1085" t="b">
        <v>0</v>
      </c>
    </row>
    <row r="1086" spans="1:25">
      <c r="A1086">
        <v>10850</v>
      </c>
      <c r="B1086" t="s">
        <v>2204</v>
      </c>
      <c r="C1086" t="s">
        <v>2374</v>
      </c>
      <c r="D1086" t="s">
        <v>2206</v>
      </c>
      <c r="E1086">
        <v>10850</v>
      </c>
      <c r="F1086">
        <v>17.399999999999999</v>
      </c>
      <c r="G1086">
        <v>1600</v>
      </c>
      <c r="H1086">
        <v>9.1999999999999993</v>
      </c>
      <c r="I1086">
        <v>1760</v>
      </c>
      <c r="J1086">
        <v>51.5</v>
      </c>
      <c r="K1086">
        <v>980</v>
      </c>
      <c r="L1086">
        <v>16</v>
      </c>
      <c r="M1086">
        <v>1861</v>
      </c>
      <c r="N1086">
        <v>73.2</v>
      </c>
      <c r="O1086">
        <v>361</v>
      </c>
      <c r="P1086" t="s">
        <v>534</v>
      </c>
      <c r="Q1086" s="1">
        <v>28561</v>
      </c>
      <c r="R1086">
        <v>14.6</v>
      </c>
      <c r="S1086" s="2">
        <v>0.02</v>
      </c>
      <c r="T1086" s="3">
        <v>2.8145833333333332</v>
      </c>
      <c r="U1086" s="2">
        <v>0.31</v>
      </c>
      <c r="V1086" t="s">
        <v>2374</v>
      </c>
      <c r="W1086" t="s">
        <v>2375</v>
      </c>
      <c r="X1086" t="b">
        <v>0</v>
      </c>
      <c r="Y1086" t="b">
        <v>0</v>
      </c>
    </row>
    <row r="1087" spans="1:25">
      <c r="A1087">
        <v>10860</v>
      </c>
      <c r="B1087" t="s">
        <v>2204</v>
      </c>
      <c r="C1087" t="s">
        <v>2376</v>
      </c>
      <c r="D1087" t="s">
        <v>2206</v>
      </c>
      <c r="E1087">
        <v>10860</v>
      </c>
      <c r="F1087">
        <v>16.399999999999999</v>
      </c>
      <c r="G1087">
        <v>1671</v>
      </c>
      <c r="H1087">
        <v>8.9</v>
      </c>
      <c r="I1087">
        <v>1812</v>
      </c>
      <c r="J1087">
        <v>60.2</v>
      </c>
      <c r="K1087">
        <v>773</v>
      </c>
      <c r="L1087">
        <v>16.2</v>
      </c>
      <c r="M1087">
        <v>1838</v>
      </c>
      <c r="N1087">
        <v>39.200000000000003</v>
      </c>
      <c r="O1087">
        <v>1144</v>
      </c>
      <c r="P1087" t="s">
        <v>2377</v>
      </c>
      <c r="Q1087" s="1">
        <v>30186</v>
      </c>
      <c r="R1087">
        <v>14.9</v>
      </c>
      <c r="S1087" s="2">
        <v>0.01</v>
      </c>
      <c r="T1087" t="s">
        <v>696</v>
      </c>
      <c r="U1087" s="2">
        <v>0.23</v>
      </c>
      <c r="V1087" t="s">
        <v>2376</v>
      </c>
      <c r="W1087" t="s">
        <v>2378</v>
      </c>
      <c r="X1087" t="b">
        <v>0</v>
      </c>
      <c r="Y1087" t="b">
        <v>0</v>
      </c>
    </row>
    <row r="1088" spans="1:25">
      <c r="A1088">
        <v>10870</v>
      </c>
      <c r="B1088" t="s">
        <v>2204</v>
      </c>
      <c r="C1088" t="s">
        <v>2379</v>
      </c>
      <c r="D1088" t="s">
        <v>2206</v>
      </c>
      <c r="E1088">
        <v>10870</v>
      </c>
      <c r="F1088">
        <v>35.5</v>
      </c>
      <c r="G1088">
        <v>448</v>
      </c>
      <c r="H1088">
        <v>18.8</v>
      </c>
      <c r="I1088">
        <v>878</v>
      </c>
      <c r="J1088">
        <v>35.4</v>
      </c>
      <c r="K1088">
        <v>1317</v>
      </c>
      <c r="L1088">
        <v>70.400000000000006</v>
      </c>
      <c r="M1088">
        <v>420</v>
      </c>
      <c r="N1088">
        <v>33.6</v>
      </c>
      <c r="O1088">
        <v>1368</v>
      </c>
      <c r="P1088" t="s">
        <v>94</v>
      </c>
      <c r="Q1088" s="1">
        <v>10271</v>
      </c>
      <c r="R1088">
        <v>9.9</v>
      </c>
      <c r="S1088" s="2">
        <v>0.06</v>
      </c>
      <c r="T1088" t="s">
        <v>40</v>
      </c>
      <c r="U1088" s="2">
        <v>0.25</v>
      </c>
      <c r="V1088" t="s">
        <v>2379</v>
      </c>
      <c r="W1088" t="s">
        <v>2380</v>
      </c>
      <c r="X1088" t="b">
        <v>0</v>
      </c>
      <c r="Y1088" t="b">
        <v>0</v>
      </c>
    </row>
    <row r="1089" spans="1:25">
      <c r="A1089">
        <v>10880</v>
      </c>
      <c r="B1089" t="s">
        <v>2204</v>
      </c>
      <c r="C1089" t="s">
        <v>2381</v>
      </c>
      <c r="D1089" t="s">
        <v>2206</v>
      </c>
      <c r="E1089">
        <v>10880</v>
      </c>
      <c r="F1089">
        <v>30</v>
      </c>
      <c r="G1089">
        <v>687</v>
      </c>
      <c r="H1089">
        <v>10.6</v>
      </c>
      <c r="I1089">
        <v>1574</v>
      </c>
      <c r="J1089">
        <v>51.6</v>
      </c>
      <c r="K1089">
        <v>977</v>
      </c>
      <c r="L1089">
        <v>47.9</v>
      </c>
      <c r="M1089">
        <v>847</v>
      </c>
      <c r="N1089">
        <v>21</v>
      </c>
      <c r="O1089">
        <v>1843</v>
      </c>
      <c r="P1089" t="s">
        <v>94</v>
      </c>
      <c r="Q1089" s="1">
        <v>1217</v>
      </c>
      <c r="R1089">
        <v>1.6</v>
      </c>
      <c r="S1089" s="2">
        <v>0.03</v>
      </c>
      <c r="T1089" s="3">
        <v>2.3229166666666665</v>
      </c>
      <c r="U1089" s="2">
        <v>0.02</v>
      </c>
      <c r="V1089" t="s">
        <v>2381</v>
      </c>
      <c r="W1089" t="s">
        <v>253</v>
      </c>
      <c r="X1089" t="b">
        <v>0</v>
      </c>
      <c r="Y1089" t="b">
        <v>0</v>
      </c>
    </row>
    <row r="1090" spans="1:25">
      <c r="A1090">
        <v>10890</v>
      </c>
      <c r="B1090" t="s">
        <v>2204</v>
      </c>
      <c r="C1090" t="s">
        <v>2382</v>
      </c>
      <c r="D1090" t="s">
        <v>2206</v>
      </c>
      <c r="E1090">
        <v>10890</v>
      </c>
      <c r="F1090">
        <v>19.899999999999999</v>
      </c>
      <c r="G1090">
        <v>1380</v>
      </c>
      <c r="H1090">
        <v>14.4</v>
      </c>
      <c r="I1090">
        <v>1166</v>
      </c>
      <c r="J1090">
        <v>53.8</v>
      </c>
      <c r="K1090">
        <v>924</v>
      </c>
      <c r="L1090">
        <v>29.4</v>
      </c>
      <c r="M1090">
        <v>1197</v>
      </c>
      <c r="N1090">
        <v>57.4</v>
      </c>
      <c r="O1090">
        <v>635</v>
      </c>
      <c r="P1090" t="s">
        <v>150</v>
      </c>
      <c r="Q1090" s="1">
        <v>10279</v>
      </c>
      <c r="R1090">
        <v>12.8</v>
      </c>
      <c r="S1090" s="2">
        <v>0.02</v>
      </c>
      <c r="T1090" s="3">
        <v>2.6506944444444445</v>
      </c>
      <c r="U1090" s="2">
        <v>0.3</v>
      </c>
      <c r="V1090" t="s">
        <v>2382</v>
      </c>
      <c r="W1090" t="s">
        <v>2383</v>
      </c>
      <c r="X1090" t="b">
        <v>0</v>
      </c>
      <c r="Y1090" t="b">
        <v>0</v>
      </c>
    </row>
    <row r="1091" spans="1:25">
      <c r="A1091">
        <v>10900</v>
      </c>
      <c r="B1091" t="s">
        <v>2204</v>
      </c>
      <c r="C1091" t="s">
        <v>2384</v>
      </c>
      <c r="D1091" t="s">
        <v>2206</v>
      </c>
      <c r="E1091">
        <v>10900</v>
      </c>
      <c r="F1091">
        <v>35.1</v>
      </c>
      <c r="G1091">
        <v>458</v>
      </c>
      <c r="H1091">
        <v>9.6999999999999993</v>
      </c>
      <c r="I1091">
        <v>1689</v>
      </c>
      <c r="J1091">
        <v>52.5</v>
      </c>
      <c r="K1091">
        <v>953</v>
      </c>
      <c r="L1091">
        <v>21.6</v>
      </c>
      <c r="M1091">
        <v>1458</v>
      </c>
      <c r="N1091">
        <v>27.8</v>
      </c>
      <c r="O1091">
        <v>1588</v>
      </c>
      <c r="P1091" t="s">
        <v>528</v>
      </c>
      <c r="Q1091" s="1">
        <v>4968</v>
      </c>
      <c r="R1091">
        <v>12.1</v>
      </c>
      <c r="S1091" s="2">
        <v>0</v>
      </c>
      <c r="T1091" s="3">
        <v>2.2409722222222221</v>
      </c>
      <c r="U1091" s="2">
        <v>0.34</v>
      </c>
      <c r="V1091" t="s">
        <v>2384</v>
      </c>
      <c r="W1091" t="s">
        <v>2385</v>
      </c>
      <c r="X1091" t="b">
        <v>0</v>
      </c>
      <c r="Y1091" t="b">
        <v>0</v>
      </c>
    </row>
    <row r="1092" spans="1:25">
      <c r="A1092">
        <v>10910</v>
      </c>
      <c r="B1092" t="s">
        <v>2204</v>
      </c>
      <c r="C1092" t="s">
        <v>2386</v>
      </c>
      <c r="D1092" t="s">
        <v>2206</v>
      </c>
      <c r="E1092">
        <v>10910</v>
      </c>
      <c r="F1092">
        <v>32.700000000000003</v>
      </c>
      <c r="G1092">
        <v>560</v>
      </c>
      <c r="H1092">
        <v>11.8</v>
      </c>
      <c r="I1092">
        <v>1427</v>
      </c>
      <c r="J1092">
        <v>51.2</v>
      </c>
      <c r="K1092">
        <v>990</v>
      </c>
      <c r="L1092">
        <v>20.5</v>
      </c>
      <c r="M1092">
        <v>1512</v>
      </c>
      <c r="N1092">
        <v>25.6</v>
      </c>
      <c r="O1092">
        <v>1680</v>
      </c>
      <c r="P1092" t="s">
        <v>795</v>
      </c>
      <c r="Q1092" s="1">
        <v>5350</v>
      </c>
      <c r="R1092">
        <v>3.9</v>
      </c>
      <c r="S1092" s="2">
        <v>0.03</v>
      </c>
      <c r="U1092" s="2">
        <v>0.12</v>
      </c>
      <c r="V1092" t="s">
        <v>2386</v>
      </c>
      <c r="W1092" t="s">
        <v>2387</v>
      </c>
      <c r="X1092" t="b">
        <v>0</v>
      </c>
      <c r="Y1092" t="b">
        <v>0</v>
      </c>
    </row>
    <row r="1093" spans="1:25">
      <c r="A1093">
        <v>10920</v>
      </c>
      <c r="B1093" t="s">
        <v>2204</v>
      </c>
      <c r="C1093" t="s">
        <v>2388</v>
      </c>
      <c r="D1093" t="s">
        <v>2206</v>
      </c>
      <c r="E1093">
        <v>10920</v>
      </c>
      <c r="F1093">
        <v>22.2</v>
      </c>
      <c r="G1093">
        <v>1212</v>
      </c>
      <c r="H1093">
        <v>9.4</v>
      </c>
      <c r="I1093">
        <v>1735</v>
      </c>
      <c r="J1093">
        <v>28</v>
      </c>
      <c r="K1093">
        <v>1491</v>
      </c>
      <c r="L1093">
        <v>16.5</v>
      </c>
      <c r="M1093">
        <v>1809</v>
      </c>
      <c r="N1093">
        <v>32.9</v>
      </c>
      <c r="O1093">
        <v>1392</v>
      </c>
      <c r="P1093" t="s">
        <v>1123</v>
      </c>
      <c r="Q1093" s="1">
        <v>7744</v>
      </c>
      <c r="R1093">
        <v>10.8</v>
      </c>
      <c r="S1093" s="2">
        <v>0.11</v>
      </c>
      <c r="T1093" t="s">
        <v>796</v>
      </c>
      <c r="U1093" s="2">
        <v>0.53</v>
      </c>
      <c r="V1093" t="s">
        <v>2388</v>
      </c>
      <c r="W1093" t="s">
        <v>2389</v>
      </c>
      <c r="X1093" t="b">
        <v>0</v>
      </c>
      <c r="Y1093" t="b">
        <v>0</v>
      </c>
    </row>
    <row r="1094" spans="1:25">
      <c r="A1094">
        <v>10930</v>
      </c>
      <c r="B1094" t="s">
        <v>2204</v>
      </c>
      <c r="C1094" t="s">
        <v>2390</v>
      </c>
      <c r="D1094" t="s">
        <v>2206</v>
      </c>
      <c r="E1094">
        <v>10930</v>
      </c>
      <c r="F1094">
        <v>18.399999999999999</v>
      </c>
      <c r="G1094">
        <v>1517</v>
      </c>
      <c r="H1094">
        <v>11.8</v>
      </c>
      <c r="I1094">
        <v>1428</v>
      </c>
      <c r="J1094">
        <v>51.9</v>
      </c>
      <c r="K1094">
        <v>969</v>
      </c>
      <c r="L1094">
        <v>50.2</v>
      </c>
      <c r="M1094">
        <v>805</v>
      </c>
      <c r="N1094">
        <v>30.9</v>
      </c>
      <c r="O1094">
        <v>1470</v>
      </c>
      <c r="P1094" t="s">
        <v>94</v>
      </c>
      <c r="Q1094" s="1">
        <v>34545</v>
      </c>
      <c r="R1094">
        <v>17.7</v>
      </c>
      <c r="S1094" s="2">
        <v>0.02</v>
      </c>
      <c r="T1094" t="s">
        <v>324</v>
      </c>
      <c r="U1094" s="2">
        <v>0.18</v>
      </c>
      <c r="V1094" t="s">
        <v>2390</v>
      </c>
      <c r="W1094" t="s">
        <v>2391</v>
      </c>
      <c r="X1094" t="b">
        <v>0</v>
      </c>
      <c r="Y1094" t="b">
        <v>0</v>
      </c>
    </row>
    <row r="1095" spans="1:25">
      <c r="A1095">
        <v>10940</v>
      </c>
      <c r="B1095" t="s">
        <v>2204</v>
      </c>
      <c r="C1095" t="s">
        <v>2392</v>
      </c>
      <c r="D1095" t="s">
        <v>2206</v>
      </c>
      <c r="E1095">
        <v>10940</v>
      </c>
      <c r="F1095">
        <v>21.9</v>
      </c>
      <c r="G1095">
        <v>1239</v>
      </c>
      <c r="H1095">
        <v>14.2</v>
      </c>
      <c r="I1095">
        <v>1190</v>
      </c>
      <c r="J1095">
        <v>49</v>
      </c>
      <c r="K1095">
        <v>1041</v>
      </c>
      <c r="L1095">
        <v>20.8</v>
      </c>
      <c r="M1095">
        <v>1496</v>
      </c>
      <c r="N1095">
        <v>59.5</v>
      </c>
      <c r="O1095">
        <v>594</v>
      </c>
      <c r="P1095" t="s">
        <v>1102</v>
      </c>
      <c r="Q1095" s="1">
        <v>7055</v>
      </c>
      <c r="R1095">
        <v>43</v>
      </c>
      <c r="S1095" s="2">
        <v>0</v>
      </c>
      <c r="T1095" t="s">
        <v>796</v>
      </c>
      <c r="U1095" s="2">
        <v>0.31</v>
      </c>
      <c r="V1095" t="s">
        <v>2392</v>
      </c>
      <c r="W1095" t="s">
        <v>2393</v>
      </c>
      <c r="X1095" t="b">
        <v>0</v>
      </c>
      <c r="Y1095" t="b">
        <v>0</v>
      </c>
    </row>
    <row r="1096" spans="1:25">
      <c r="A1096">
        <v>10950</v>
      </c>
      <c r="B1096" t="s">
        <v>2204</v>
      </c>
      <c r="C1096" t="s">
        <v>2394</v>
      </c>
      <c r="D1096" t="s">
        <v>2206</v>
      </c>
      <c r="E1096">
        <v>10950</v>
      </c>
      <c r="F1096">
        <v>23.8</v>
      </c>
      <c r="G1096">
        <v>1093</v>
      </c>
      <c r="H1096">
        <v>10.7</v>
      </c>
      <c r="I1096">
        <v>1561</v>
      </c>
      <c r="J1096">
        <v>60</v>
      </c>
      <c r="K1096">
        <v>780</v>
      </c>
      <c r="L1096">
        <v>21.2</v>
      </c>
      <c r="M1096">
        <v>1476</v>
      </c>
      <c r="N1096">
        <v>31.8</v>
      </c>
      <c r="O1096">
        <v>1434</v>
      </c>
      <c r="P1096" t="s">
        <v>1839</v>
      </c>
      <c r="Q1096" s="1">
        <v>16543</v>
      </c>
      <c r="R1096">
        <v>13.7</v>
      </c>
      <c r="S1096" s="2">
        <v>0.01</v>
      </c>
      <c r="T1096" s="3">
        <v>2.6506944444444445</v>
      </c>
      <c r="U1096" s="2">
        <v>0.26</v>
      </c>
      <c r="V1096" t="s">
        <v>2394</v>
      </c>
      <c r="W1096" t="s">
        <v>2395</v>
      </c>
      <c r="X1096" t="b">
        <v>0</v>
      </c>
      <c r="Y1096" t="b">
        <v>0</v>
      </c>
    </row>
    <row r="1097" spans="1:25">
      <c r="A1097">
        <v>10960</v>
      </c>
      <c r="B1097" t="s">
        <v>2204</v>
      </c>
      <c r="C1097" t="s">
        <v>2396</v>
      </c>
      <c r="D1097" t="s">
        <v>2206</v>
      </c>
      <c r="E1097">
        <v>10960</v>
      </c>
      <c r="F1097">
        <v>27.5</v>
      </c>
      <c r="G1097">
        <v>843</v>
      </c>
      <c r="H1097">
        <v>13.6</v>
      </c>
      <c r="I1097">
        <v>1241</v>
      </c>
      <c r="J1097">
        <v>48.4</v>
      </c>
      <c r="K1097">
        <v>1049</v>
      </c>
      <c r="L1097">
        <v>44.7</v>
      </c>
      <c r="M1097">
        <v>900</v>
      </c>
      <c r="N1097">
        <v>26.3</v>
      </c>
      <c r="O1097">
        <v>1655</v>
      </c>
      <c r="P1097" t="s">
        <v>94</v>
      </c>
      <c r="Q1097" s="1">
        <v>5007</v>
      </c>
      <c r="R1097">
        <v>9</v>
      </c>
      <c r="S1097" s="2">
        <v>0.01</v>
      </c>
      <c r="U1097" s="2">
        <v>0.03</v>
      </c>
      <c r="V1097" t="s">
        <v>2396</v>
      </c>
      <c r="W1097" t="s">
        <v>2397</v>
      </c>
      <c r="X1097" t="b">
        <v>0</v>
      </c>
      <c r="Y1097" t="b">
        <v>0</v>
      </c>
    </row>
    <row r="1098" spans="1:25">
      <c r="A1098">
        <v>10970</v>
      </c>
      <c r="B1098" t="s">
        <v>2204</v>
      </c>
      <c r="C1098" t="s">
        <v>2398</v>
      </c>
      <c r="D1098" t="s">
        <v>2206</v>
      </c>
      <c r="E1098">
        <v>10970</v>
      </c>
      <c r="F1098">
        <v>19.5</v>
      </c>
      <c r="G1098">
        <v>1421</v>
      </c>
      <c r="H1098">
        <v>9.9</v>
      </c>
      <c r="I1098">
        <v>1654</v>
      </c>
      <c r="J1098">
        <v>55.5</v>
      </c>
      <c r="K1098">
        <v>878</v>
      </c>
      <c r="L1098">
        <v>28.9</v>
      </c>
      <c r="M1098">
        <v>1205</v>
      </c>
      <c r="N1098">
        <v>66.400000000000006</v>
      </c>
      <c r="O1098">
        <v>459</v>
      </c>
      <c r="P1098" t="s">
        <v>2399</v>
      </c>
      <c r="Q1098" s="1">
        <v>34147</v>
      </c>
      <c r="R1098">
        <v>14.7</v>
      </c>
      <c r="S1098" s="2">
        <v>0.13</v>
      </c>
      <c r="T1098" s="3">
        <v>3.0604166666666668</v>
      </c>
      <c r="U1098" s="2">
        <v>0.27</v>
      </c>
      <c r="V1098" t="s">
        <v>2398</v>
      </c>
      <c r="W1098" t="s">
        <v>2400</v>
      </c>
      <c r="X1098" t="b">
        <v>0</v>
      </c>
      <c r="Y1098" t="b">
        <v>0</v>
      </c>
    </row>
    <row r="1099" spans="1:25">
      <c r="A1099">
        <v>10980</v>
      </c>
      <c r="B1099" t="s">
        <v>2204</v>
      </c>
      <c r="C1099" t="s">
        <v>2401</v>
      </c>
      <c r="D1099" t="s">
        <v>2206</v>
      </c>
      <c r="E1099">
        <v>10980</v>
      </c>
      <c r="F1099">
        <v>16.2</v>
      </c>
      <c r="G1099">
        <v>1686</v>
      </c>
      <c r="H1099">
        <v>20.7</v>
      </c>
      <c r="I1099">
        <v>784</v>
      </c>
      <c r="J1099">
        <v>50.8</v>
      </c>
      <c r="K1099">
        <v>1001</v>
      </c>
      <c r="L1099">
        <v>52</v>
      </c>
      <c r="M1099">
        <v>773</v>
      </c>
      <c r="N1099">
        <v>47.2</v>
      </c>
      <c r="O1099">
        <v>885</v>
      </c>
      <c r="P1099" t="s">
        <v>1433</v>
      </c>
      <c r="Q1099" s="1">
        <v>71529</v>
      </c>
      <c r="R1099">
        <v>60.8</v>
      </c>
      <c r="S1099" s="2">
        <v>0.01</v>
      </c>
      <c r="T1099" t="s">
        <v>696</v>
      </c>
      <c r="U1099" s="2">
        <v>0.24</v>
      </c>
      <c r="V1099" t="s">
        <v>2401</v>
      </c>
      <c r="W1099" t="s">
        <v>2402</v>
      </c>
      <c r="X1099" t="b">
        <v>0</v>
      </c>
      <c r="Y1099" t="b">
        <v>0</v>
      </c>
    </row>
    <row r="1100" spans="1:25">
      <c r="A1100">
        <v>10990</v>
      </c>
      <c r="B1100" t="s">
        <v>2204</v>
      </c>
      <c r="C1100" t="s">
        <v>2403</v>
      </c>
      <c r="D1100" t="s">
        <v>2206</v>
      </c>
      <c r="E1100">
        <v>10990</v>
      </c>
      <c r="F1100">
        <v>14.6</v>
      </c>
      <c r="G1100">
        <v>1775</v>
      </c>
      <c r="H1100">
        <v>14.4</v>
      </c>
      <c r="I1100">
        <v>1167</v>
      </c>
      <c r="J1100">
        <v>65.5</v>
      </c>
      <c r="K1100">
        <v>666</v>
      </c>
      <c r="L1100">
        <v>20.9</v>
      </c>
      <c r="M1100">
        <v>1486</v>
      </c>
      <c r="N1100">
        <v>41.5</v>
      </c>
      <c r="O1100">
        <v>1068</v>
      </c>
      <c r="P1100" t="s">
        <v>1895</v>
      </c>
      <c r="Q1100" s="1">
        <v>41048</v>
      </c>
      <c r="R1100">
        <v>27.5</v>
      </c>
      <c r="S1100" s="2">
        <v>0</v>
      </c>
      <c r="T1100" s="3">
        <v>2.1590277777777778</v>
      </c>
      <c r="U1100" s="2">
        <v>0.25</v>
      </c>
      <c r="V1100" t="s">
        <v>2403</v>
      </c>
      <c r="W1100" t="s">
        <v>2404</v>
      </c>
      <c r="X1100" t="b">
        <v>0</v>
      </c>
      <c r="Y1100" t="b">
        <v>0</v>
      </c>
    </row>
    <row r="1101" spans="1:25">
      <c r="A1101">
        <v>11000</v>
      </c>
      <c r="B1101" t="s">
        <v>2204</v>
      </c>
      <c r="C1101" t="s">
        <v>2405</v>
      </c>
      <c r="D1101" t="s">
        <v>2206</v>
      </c>
      <c r="E1101">
        <v>11000</v>
      </c>
      <c r="F1101">
        <v>21.9</v>
      </c>
      <c r="G1101">
        <v>1240</v>
      </c>
      <c r="H1101">
        <v>15.8</v>
      </c>
      <c r="I1101">
        <v>1063</v>
      </c>
      <c r="J1101">
        <v>54.7</v>
      </c>
      <c r="K1101">
        <v>894</v>
      </c>
      <c r="L1101">
        <v>28.7</v>
      </c>
      <c r="M1101">
        <v>1212</v>
      </c>
      <c r="N1101">
        <v>50.7</v>
      </c>
      <c r="O1101">
        <v>782</v>
      </c>
      <c r="P1101" t="s">
        <v>386</v>
      </c>
      <c r="Q1101" s="1">
        <v>19228</v>
      </c>
      <c r="R1101">
        <v>13.3</v>
      </c>
      <c r="S1101" s="2">
        <v>0.05</v>
      </c>
      <c r="T1101" s="3">
        <v>2.4458333333333333</v>
      </c>
      <c r="U1101" s="2">
        <v>0.3</v>
      </c>
      <c r="V1101" t="s">
        <v>2405</v>
      </c>
      <c r="W1101" t="s">
        <v>2406</v>
      </c>
      <c r="X1101" t="b">
        <v>0</v>
      </c>
      <c r="Y1101" t="b">
        <v>0</v>
      </c>
    </row>
    <row r="1102" spans="1:25">
      <c r="A1102">
        <v>11010</v>
      </c>
      <c r="B1102" t="s">
        <v>2204</v>
      </c>
      <c r="C1102" t="s">
        <v>2407</v>
      </c>
      <c r="D1102" t="s">
        <v>2206</v>
      </c>
      <c r="E1102">
        <v>11010</v>
      </c>
      <c r="F1102">
        <v>19.8</v>
      </c>
      <c r="G1102">
        <v>1391</v>
      </c>
      <c r="H1102">
        <v>16.100000000000001</v>
      </c>
      <c r="I1102">
        <v>1042</v>
      </c>
      <c r="J1102">
        <v>45.6</v>
      </c>
      <c r="K1102">
        <v>1109</v>
      </c>
      <c r="L1102">
        <v>25.2</v>
      </c>
      <c r="M1102">
        <v>1333</v>
      </c>
      <c r="N1102">
        <v>42.1</v>
      </c>
      <c r="O1102">
        <v>1049</v>
      </c>
      <c r="P1102" t="s">
        <v>386</v>
      </c>
      <c r="Q1102" s="1">
        <v>15681</v>
      </c>
      <c r="R1102">
        <v>17</v>
      </c>
      <c r="S1102" s="2">
        <v>0.06</v>
      </c>
      <c r="T1102" s="3">
        <v>2.4048611111111109</v>
      </c>
      <c r="U1102" s="2">
        <v>0.27</v>
      </c>
      <c r="V1102" t="s">
        <v>2407</v>
      </c>
      <c r="W1102" t="s">
        <v>2408</v>
      </c>
      <c r="X1102" t="b">
        <v>0</v>
      </c>
      <c r="Y1102" t="b">
        <v>0</v>
      </c>
    </row>
    <row r="1103" spans="1:25">
      <c r="A1103">
        <v>11020</v>
      </c>
      <c r="B1103" t="s">
        <v>2204</v>
      </c>
      <c r="C1103" t="s">
        <v>2409</v>
      </c>
      <c r="D1103" t="s">
        <v>2206</v>
      </c>
      <c r="E1103">
        <v>11020</v>
      </c>
      <c r="F1103">
        <v>18.600000000000001</v>
      </c>
      <c r="G1103">
        <v>1494</v>
      </c>
      <c r="H1103">
        <v>27.1</v>
      </c>
      <c r="I1103">
        <v>539</v>
      </c>
      <c r="J1103">
        <v>40.299999999999997</v>
      </c>
      <c r="K1103">
        <v>1219</v>
      </c>
      <c r="L1103">
        <v>42.5</v>
      </c>
      <c r="M1103">
        <v>931</v>
      </c>
      <c r="N1103">
        <v>47.6</v>
      </c>
      <c r="O1103">
        <v>876</v>
      </c>
      <c r="P1103" t="s">
        <v>2410</v>
      </c>
      <c r="Q1103" s="1">
        <v>12125</v>
      </c>
      <c r="R1103">
        <v>30.2</v>
      </c>
      <c r="S1103" s="2">
        <v>7.0000000000000007E-2</v>
      </c>
      <c r="T1103" s="3">
        <v>2.8965277777777776</v>
      </c>
      <c r="U1103" s="2">
        <v>0.32</v>
      </c>
      <c r="V1103" t="s">
        <v>2409</v>
      </c>
      <c r="W1103" t="s">
        <v>2411</v>
      </c>
      <c r="X1103" t="b">
        <v>0</v>
      </c>
      <c r="Y1103" t="b">
        <v>0</v>
      </c>
    </row>
    <row r="1104" spans="1:25">
      <c r="A1104">
        <v>11030</v>
      </c>
      <c r="B1104" t="s">
        <v>2204</v>
      </c>
      <c r="C1104" t="s">
        <v>2412</v>
      </c>
      <c r="D1104" t="s">
        <v>2206</v>
      </c>
      <c r="E1104">
        <v>11030</v>
      </c>
      <c r="F1104">
        <v>23.2</v>
      </c>
      <c r="G1104">
        <v>1135</v>
      </c>
      <c r="H1104">
        <v>13.6</v>
      </c>
      <c r="I1104">
        <v>1242</v>
      </c>
      <c r="J1104">
        <v>46.7</v>
      </c>
      <c r="K1104">
        <v>1084</v>
      </c>
      <c r="L1104">
        <v>70.3</v>
      </c>
      <c r="M1104">
        <v>425</v>
      </c>
      <c r="N1104">
        <v>36.5</v>
      </c>
      <c r="O1104">
        <v>1260</v>
      </c>
      <c r="P1104" t="s">
        <v>386</v>
      </c>
      <c r="Q1104" s="1">
        <v>10410</v>
      </c>
      <c r="R1104">
        <v>12.1</v>
      </c>
      <c r="S1104" s="2">
        <v>0.04</v>
      </c>
      <c r="T1104" s="3">
        <v>2.2409722222222221</v>
      </c>
      <c r="U1104" s="2">
        <v>0.21</v>
      </c>
      <c r="V1104" t="s">
        <v>2412</v>
      </c>
      <c r="W1104" t="s">
        <v>2413</v>
      </c>
      <c r="X1104" t="b">
        <v>0</v>
      </c>
      <c r="Y1104" t="b">
        <v>0</v>
      </c>
    </row>
    <row r="1105" spans="1:25">
      <c r="A1105">
        <v>11040</v>
      </c>
      <c r="B1105" t="s">
        <v>2204</v>
      </c>
      <c r="C1105" t="s">
        <v>2414</v>
      </c>
      <c r="D1105" t="s">
        <v>2206</v>
      </c>
      <c r="E1105">
        <v>11040</v>
      </c>
      <c r="F1105">
        <v>27.2</v>
      </c>
      <c r="G1105">
        <v>865</v>
      </c>
      <c r="H1105">
        <v>11.1</v>
      </c>
      <c r="I1105">
        <v>1514</v>
      </c>
      <c r="J1105">
        <v>51.2</v>
      </c>
      <c r="K1105">
        <v>992</v>
      </c>
      <c r="L1105">
        <v>18.3</v>
      </c>
      <c r="M1105">
        <v>1646</v>
      </c>
      <c r="N1105">
        <v>25.7</v>
      </c>
      <c r="O1105">
        <v>1677</v>
      </c>
      <c r="P1105" t="s">
        <v>795</v>
      </c>
      <c r="Q1105" s="1">
        <v>8762</v>
      </c>
      <c r="R1105">
        <v>22.7</v>
      </c>
      <c r="S1105" s="2">
        <v>0.02</v>
      </c>
      <c r="T1105" s="3">
        <v>2.4048611111111109</v>
      </c>
      <c r="U1105" s="2">
        <v>0.3</v>
      </c>
      <c r="V1105" t="s">
        <v>2414</v>
      </c>
      <c r="W1105" t="s">
        <v>2415</v>
      </c>
      <c r="X1105" t="b">
        <v>0</v>
      </c>
      <c r="Y1105" t="b">
        <v>0</v>
      </c>
    </row>
    <row r="1106" spans="1:25">
      <c r="A1106">
        <v>11050</v>
      </c>
      <c r="B1106" t="s">
        <v>2204</v>
      </c>
      <c r="C1106" t="s">
        <v>2416</v>
      </c>
      <c r="D1106" t="s">
        <v>2206</v>
      </c>
      <c r="E1106">
        <v>11050</v>
      </c>
      <c r="F1106">
        <v>16.2</v>
      </c>
      <c r="G1106">
        <v>1689</v>
      </c>
      <c r="H1106">
        <v>14.6</v>
      </c>
      <c r="I1106">
        <v>1154</v>
      </c>
      <c r="J1106">
        <v>47.5</v>
      </c>
      <c r="K1106">
        <v>1072</v>
      </c>
      <c r="L1106">
        <v>39.6</v>
      </c>
      <c r="M1106">
        <v>989</v>
      </c>
      <c r="N1106">
        <v>54</v>
      </c>
      <c r="O1106">
        <v>694</v>
      </c>
      <c r="P1106" t="s">
        <v>1448</v>
      </c>
      <c r="Q1106" s="1">
        <v>14768</v>
      </c>
      <c r="R1106">
        <v>20.7</v>
      </c>
      <c r="S1106" s="2">
        <v>0.05</v>
      </c>
      <c r="T1106" s="3">
        <v>3.0194444444444444</v>
      </c>
      <c r="U1106" s="2">
        <v>0.15</v>
      </c>
      <c r="V1106" t="s">
        <v>2416</v>
      </c>
      <c r="W1106" t="s">
        <v>2417</v>
      </c>
      <c r="X1106" t="b">
        <v>0</v>
      </c>
      <c r="Y1106" t="b">
        <v>0</v>
      </c>
    </row>
    <row r="1107" spans="1:25">
      <c r="A1107">
        <v>11060</v>
      </c>
      <c r="B1107" t="s">
        <v>2204</v>
      </c>
      <c r="C1107" t="s">
        <v>2418</v>
      </c>
      <c r="D1107" t="s">
        <v>2206</v>
      </c>
      <c r="E1107">
        <v>11060</v>
      </c>
      <c r="F1107">
        <v>26.9</v>
      </c>
      <c r="G1107">
        <v>880</v>
      </c>
      <c r="H1107">
        <v>8.9</v>
      </c>
      <c r="I1107">
        <v>1814</v>
      </c>
      <c r="J1107">
        <v>53.8</v>
      </c>
      <c r="K1107">
        <v>925</v>
      </c>
      <c r="L1107">
        <v>17.600000000000001</v>
      </c>
      <c r="M1107">
        <v>1695</v>
      </c>
      <c r="N1107">
        <v>34.299999999999997</v>
      </c>
      <c r="O1107">
        <v>1346</v>
      </c>
      <c r="P1107" t="s">
        <v>528</v>
      </c>
      <c r="Q1107" s="1">
        <v>9968</v>
      </c>
      <c r="R1107">
        <v>12.6</v>
      </c>
      <c r="S1107" s="2">
        <v>0.08</v>
      </c>
      <c r="T1107" s="3">
        <v>1.83125</v>
      </c>
      <c r="U1107" s="2">
        <v>0.27</v>
      </c>
      <c r="V1107" t="s">
        <v>2418</v>
      </c>
      <c r="W1107" t="s">
        <v>2419</v>
      </c>
      <c r="X1107" t="b">
        <v>0</v>
      </c>
      <c r="Y1107" t="b">
        <v>0</v>
      </c>
    </row>
    <row r="1108" spans="1:25">
      <c r="A1108">
        <v>11070</v>
      </c>
      <c r="B1108" t="s">
        <v>2204</v>
      </c>
      <c r="C1108" t="s">
        <v>2420</v>
      </c>
      <c r="D1108" t="s">
        <v>2206</v>
      </c>
      <c r="E1108">
        <v>11070</v>
      </c>
      <c r="F1108">
        <v>21.5</v>
      </c>
      <c r="G1108">
        <v>1269</v>
      </c>
      <c r="H1108">
        <v>16</v>
      </c>
      <c r="I1108">
        <v>1048</v>
      </c>
      <c r="J1108">
        <v>43.2</v>
      </c>
      <c r="K1108">
        <v>1163</v>
      </c>
      <c r="L1108">
        <v>51.5</v>
      </c>
      <c r="M1108">
        <v>783</v>
      </c>
      <c r="N1108">
        <v>42.2</v>
      </c>
      <c r="O1108">
        <v>1047</v>
      </c>
      <c r="P1108" t="s">
        <v>386</v>
      </c>
      <c r="Q1108" s="1">
        <v>35595</v>
      </c>
      <c r="R1108">
        <v>13.3</v>
      </c>
      <c r="S1108" s="2">
        <v>0.06</v>
      </c>
      <c r="T1108" s="3">
        <v>2.2819444444444446</v>
      </c>
      <c r="U1108" s="2">
        <v>0.27</v>
      </c>
      <c r="V1108" t="s">
        <v>2420</v>
      </c>
      <c r="W1108" t="s">
        <v>2421</v>
      </c>
      <c r="X1108" t="b">
        <v>0</v>
      </c>
      <c r="Y1108" t="b">
        <v>0</v>
      </c>
    </row>
    <row r="1109" spans="1:25">
      <c r="A1109">
        <v>11080</v>
      </c>
      <c r="B1109" t="s">
        <v>2204</v>
      </c>
      <c r="C1109" t="s">
        <v>2422</v>
      </c>
      <c r="D1109" t="s">
        <v>2206</v>
      </c>
      <c r="E1109">
        <v>11080</v>
      </c>
      <c r="F1109">
        <v>29.9</v>
      </c>
      <c r="G1109">
        <v>696</v>
      </c>
      <c r="H1109">
        <v>19.3</v>
      </c>
      <c r="I1109">
        <v>850</v>
      </c>
      <c r="J1109">
        <v>22.9</v>
      </c>
      <c r="K1109">
        <v>1616</v>
      </c>
      <c r="L1109">
        <v>66.900000000000006</v>
      </c>
      <c r="M1109">
        <v>505</v>
      </c>
      <c r="N1109">
        <v>61</v>
      </c>
      <c r="O1109">
        <v>565</v>
      </c>
      <c r="P1109" t="s">
        <v>664</v>
      </c>
      <c r="Q1109" s="1">
        <v>12158</v>
      </c>
      <c r="R1109">
        <v>14.9</v>
      </c>
      <c r="S1109" s="2">
        <v>0.13</v>
      </c>
      <c r="T1109" s="3">
        <v>2.9784722222222224</v>
      </c>
      <c r="U1109" s="2">
        <v>0.28999999999999998</v>
      </c>
      <c r="V1109" t="s">
        <v>2422</v>
      </c>
      <c r="W1109" t="s">
        <v>2423</v>
      </c>
      <c r="X1109" t="b">
        <v>0</v>
      </c>
      <c r="Y1109" t="b">
        <v>0</v>
      </c>
    </row>
    <row r="1110" spans="1:25">
      <c r="A1110">
        <v>11090</v>
      </c>
      <c r="B1110" t="s">
        <v>2204</v>
      </c>
      <c r="C1110" t="s">
        <v>2424</v>
      </c>
      <c r="D1110" t="s">
        <v>2206</v>
      </c>
      <c r="E1110">
        <v>11090</v>
      </c>
      <c r="F1110">
        <v>12.1</v>
      </c>
      <c r="G1110">
        <v>1875</v>
      </c>
      <c r="H1110">
        <v>16.600000000000001</v>
      </c>
      <c r="I1110">
        <v>1002</v>
      </c>
      <c r="J1110">
        <v>55.7</v>
      </c>
      <c r="K1110">
        <v>871</v>
      </c>
      <c r="L1110">
        <v>17.5</v>
      </c>
      <c r="M1110">
        <v>1702</v>
      </c>
      <c r="N1110">
        <v>34</v>
      </c>
      <c r="O1110">
        <v>1358</v>
      </c>
      <c r="P1110" t="s">
        <v>795</v>
      </c>
      <c r="Q1110" s="1">
        <v>3452</v>
      </c>
      <c r="R1110">
        <v>23.6</v>
      </c>
      <c r="S1110" s="2">
        <v>0</v>
      </c>
      <c r="T1110" s="3">
        <v>2.3229166666666665</v>
      </c>
      <c r="U1110" s="2">
        <v>0.32</v>
      </c>
      <c r="V1110" t="s">
        <v>2424</v>
      </c>
      <c r="W1110" t="s">
        <v>2425</v>
      </c>
      <c r="X1110" t="b">
        <v>0</v>
      </c>
      <c r="Y1110" t="b">
        <v>0</v>
      </c>
    </row>
    <row r="1111" spans="1:25">
      <c r="A1111">
        <v>11100</v>
      </c>
      <c r="B1111" t="s">
        <v>2204</v>
      </c>
      <c r="C1111" t="s">
        <v>2426</v>
      </c>
      <c r="D1111" t="s">
        <v>2206</v>
      </c>
      <c r="E1111">
        <v>11100</v>
      </c>
      <c r="F1111">
        <v>27.5</v>
      </c>
      <c r="G1111">
        <v>844</v>
      </c>
      <c r="H1111">
        <v>18.899999999999999</v>
      </c>
      <c r="I1111">
        <v>871</v>
      </c>
      <c r="J1111">
        <v>39.1</v>
      </c>
      <c r="K1111">
        <v>1239</v>
      </c>
      <c r="L1111">
        <v>24.7</v>
      </c>
      <c r="M1111">
        <v>1345</v>
      </c>
      <c r="N1111">
        <v>32.1</v>
      </c>
      <c r="O1111">
        <v>1423</v>
      </c>
      <c r="P1111" t="s">
        <v>795</v>
      </c>
      <c r="Q1111" s="1">
        <v>13164</v>
      </c>
      <c r="R1111">
        <v>32.299999999999997</v>
      </c>
      <c r="S1111" s="2">
        <v>7.0000000000000007E-2</v>
      </c>
      <c r="T1111" s="3">
        <v>2.6097222222222221</v>
      </c>
      <c r="U1111" s="2">
        <v>0.34</v>
      </c>
      <c r="V1111" t="s">
        <v>2426</v>
      </c>
      <c r="W1111" t="s">
        <v>2427</v>
      </c>
      <c r="X1111" t="b">
        <v>0</v>
      </c>
      <c r="Y1111" t="b">
        <v>0</v>
      </c>
    </row>
    <row r="1112" spans="1:25">
      <c r="A1112">
        <v>11110</v>
      </c>
      <c r="B1112" t="s">
        <v>2204</v>
      </c>
      <c r="C1112" t="s">
        <v>2428</v>
      </c>
      <c r="D1112" t="s">
        <v>2206</v>
      </c>
      <c r="E1112">
        <v>11110</v>
      </c>
      <c r="F1112">
        <v>39</v>
      </c>
      <c r="G1112">
        <v>338</v>
      </c>
      <c r="H1112">
        <v>11.8</v>
      </c>
      <c r="I1112">
        <v>1429</v>
      </c>
      <c r="J1112">
        <v>40</v>
      </c>
      <c r="K1112">
        <v>1224</v>
      </c>
      <c r="L1112">
        <v>39.1</v>
      </c>
      <c r="M1112">
        <v>1006</v>
      </c>
      <c r="N1112">
        <v>29.9</v>
      </c>
      <c r="O1112">
        <v>1498</v>
      </c>
      <c r="P1112" t="s">
        <v>1543</v>
      </c>
      <c r="Q1112" s="1">
        <v>5705</v>
      </c>
      <c r="R1112">
        <v>13.1</v>
      </c>
      <c r="S1112" s="2">
        <v>0.08</v>
      </c>
      <c r="T1112" s="3">
        <v>3.2243055555555555</v>
      </c>
      <c r="U1112" s="2">
        <v>0.05</v>
      </c>
      <c r="V1112" t="s">
        <v>2428</v>
      </c>
      <c r="W1112" t="s">
        <v>2429</v>
      </c>
      <c r="X1112" t="b">
        <v>0</v>
      </c>
      <c r="Y1112" t="b">
        <v>0</v>
      </c>
    </row>
    <row r="1113" spans="1:25">
      <c r="A1113">
        <v>11120</v>
      </c>
      <c r="B1113" t="s">
        <v>2204</v>
      </c>
      <c r="C1113" t="s">
        <v>2430</v>
      </c>
      <c r="D1113" t="s">
        <v>2206</v>
      </c>
      <c r="E1113">
        <v>11120</v>
      </c>
      <c r="F1113">
        <v>28.7</v>
      </c>
      <c r="G1113">
        <v>758</v>
      </c>
      <c r="H1113">
        <v>10.6</v>
      </c>
      <c r="I1113">
        <v>1576</v>
      </c>
      <c r="J1113">
        <v>47.9</v>
      </c>
      <c r="K1113">
        <v>1063</v>
      </c>
      <c r="L1113">
        <v>39.6</v>
      </c>
      <c r="M1113">
        <v>990</v>
      </c>
      <c r="N1113">
        <v>43.8</v>
      </c>
      <c r="O1113">
        <v>997</v>
      </c>
      <c r="P1113" t="s">
        <v>1543</v>
      </c>
      <c r="Q1113" s="1">
        <v>6340</v>
      </c>
      <c r="R1113">
        <v>5.4</v>
      </c>
      <c r="S1113" s="2">
        <v>0.17</v>
      </c>
      <c r="T1113" s="3">
        <v>3.0604166666666668</v>
      </c>
      <c r="U1113" s="2">
        <v>7.0000000000000007E-2</v>
      </c>
      <c r="V1113" t="s">
        <v>2430</v>
      </c>
      <c r="W1113" t="s">
        <v>2431</v>
      </c>
      <c r="X1113" t="b">
        <v>0</v>
      </c>
      <c r="Y1113" t="b">
        <v>0</v>
      </c>
    </row>
    <row r="1114" spans="1:25">
      <c r="A1114">
        <v>11130</v>
      </c>
      <c r="B1114" t="s">
        <v>2204</v>
      </c>
      <c r="C1114" t="s">
        <v>2432</v>
      </c>
      <c r="D1114" t="s">
        <v>2206</v>
      </c>
      <c r="E1114">
        <v>11130</v>
      </c>
      <c r="F1114">
        <v>26.5</v>
      </c>
      <c r="G1114">
        <v>911</v>
      </c>
      <c r="H1114">
        <v>13.5</v>
      </c>
      <c r="I1114">
        <v>1255</v>
      </c>
      <c r="J1114">
        <v>43.6</v>
      </c>
      <c r="K1114">
        <v>1154</v>
      </c>
      <c r="L1114">
        <v>43.3</v>
      </c>
      <c r="M1114">
        <v>918</v>
      </c>
      <c r="N1114">
        <v>31</v>
      </c>
      <c r="O1114">
        <v>1467</v>
      </c>
      <c r="P1114" t="s">
        <v>1543</v>
      </c>
      <c r="Q1114" s="1">
        <v>10068</v>
      </c>
      <c r="R1114">
        <v>6.4</v>
      </c>
      <c r="S1114" s="2">
        <v>0.08</v>
      </c>
      <c r="T1114" s="3">
        <v>2.9784722222222224</v>
      </c>
      <c r="U1114" s="2">
        <v>0.05</v>
      </c>
      <c r="V1114" t="s">
        <v>2432</v>
      </c>
      <c r="W1114" t="s">
        <v>253</v>
      </c>
      <c r="X1114" t="b">
        <v>0</v>
      </c>
      <c r="Y1114" t="b">
        <v>0</v>
      </c>
    </row>
    <row r="1115" spans="1:25">
      <c r="A1115">
        <v>11140</v>
      </c>
      <c r="B1115" t="s">
        <v>2204</v>
      </c>
      <c r="C1115" t="s">
        <v>2433</v>
      </c>
      <c r="D1115" t="s">
        <v>2206</v>
      </c>
      <c r="E1115">
        <v>11140</v>
      </c>
      <c r="F1115">
        <v>17.100000000000001</v>
      </c>
      <c r="G1115">
        <v>1619</v>
      </c>
      <c r="H1115">
        <v>8.1</v>
      </c>
      <c r="I1115">
        <v>1875</v>
      </c>
      <c r="J1115">
        <v>55.6</v>
      </c>
      <c r="K1115">
        <v>876</v>
      </c>
      <c r="L1115">
        <v>16.899999999999999</v>
      </c>
      <c r="M1115">
        <v>1765</v>
      </c>
      <c r="N1115">
        <v>50</v>
      </c>
      <c r="O1115">
        <v>804</v>
      </c>
      <c r="P1115" t="s">
        <v>1102</v>
      </c>
      <c r="Q1115" s="1">
        <v>9704</v>
      </c>
      <c r="R1115">
        <v>19.899999999999999</v>
      </c>
      <c r="S1115" s="2">
        <v>0</v>
      </c>
      <c r="T1115">
        <v>0.92986111111111114</v>
      </c>
      <c r="U1115" s="2">
        <v>0.47</v>
      </c>
      <c r="V1115" t="s">
        <v>2433</v>
      </c>
      <c r="W1115" t="s">
        <v>2434</v>
      </c>
      <c r="X1115" t="b">
        <v>0</v>
      </c>
      <c r="Y1115" t="b">
        <v>0</v>
      </c>
    </row>
    <row r="1116" spans="1:25">
      <c r="A1116">
        <v>11150</v>
      </c>
      <c r="B1116" t="s">
        <v>2204</v>
      </c>
      <c r="C1116" t="s">
        <v>2435</v>
      </c>
      <c r="D1116" t="s">
        <v>2206</v>
      </c>
      <c r="E1116">
        <v>11150</v>
      </c>
      <c r="F1116">
        <v>20.399999999999999</v>
      </c>
      <c r="G1116">
        <v>1344</v>
      </c>
      <c r="H1116">
        <v>17.8</v>
      </c>
      <c r="I1116">
        <v>929</v>
      </c>
      <c r="J1116">
        <v>43.8</v>
      </c>
      <c r="K1116">
        <v>1146</v>
      </c>
      <c r="L1116">
        <v>70.7</v>
      </c>
      <c r="M1116">
        <v>414</v>
      </c>
      <c r="N1116">
        <v>41.2</v>
      </c>
      <c r="O1116">
        <v>1076</v>
      </c>
      <c r="P1116" t="s">
        <v>386</v>
      </c>
      <c r="Q1116" s="1">
        <v>12189</v>
      </c>
      <c r="R1116">
        <v>16.5</v>
      </c>
      <c r="S1116" s="2">
        <v>0.08</v>
      </c>
      <c r="T1116" s="3">
        <v>2.1180555555555554</v>
      </c>
      <c r="U1116" s="2">
        <v>0.2</v>
      </c>
      <c r="V1116" t="s">
        <v>2435</v>
      </c>
      <c r="W1116" t="s">
        <v>2436</v>
      </c>
      <c r="X1116" t="b">
        <v>0</v>
      </c>
      <c r="Y1116" t="b">
        <v>0</v>
      </c>
    </row>
    <row r="1117" spans="1:25">
      <c r="A1117">
        <v>11160</v>
      </c>
      <c r="B1117" t="s">
        <v>2204</v>
      </c>
      <c r="C1117" t="s">
        <v>2437</v>
      </c>
      <c r="D1117" t="s">
        <v>2206</v>
      </c>
      <c r="E1117">
        <v>11160</v>
      </c>
      <c r="F1117">
        <v>16.399999999999999</v>
      </c>
      <c r="G1117">
        <v>1672</v>
      </c>
      <c r="H1117">
        <v>25.1</v>
      </c>
      <c r="I1117">
        <v>607</v>
      </c>
      <c r="J1117">
        <v>43.4</v>
      </c>
      <c r="K1117">
        <v>1157</v>
      </c>
      <c r="L1117">
        <v>47.1</v>
      </c>
      <c r="M1117">
        <v>863</v>
      </c>
      <c r="N1117">
        <v>29.5</v>
      </c>
      <c r="O1117">
        <v>1522</v>
      </c>
      <c r="P1117" t="s">
        <v>389</v>
      </c>
      <c r="Q1117" s="1">
        <v>4415</v>
      </c>
      <c r="R1117">
        <v>18.600000000000001</v>
      </c>
      <c r="S1117" s="2">
        <v>0.02</v>
      </c>
      <c r="T1117" t="s">
        <v>162</v>
      </c>
      <c r="U1117" s="2">
        <v>0.37</v>
      </c>
      <c r="V1117" t="s">
        <v>2437</v>
      </c>
      <c r="W1117" t="s">
        <v>2438</v>
      </c>
      <c r="X1117" t="b">
        <v>0</v>
      </c>
      <c r="Y1117" t="b">
        <v>0</v>
      </c>
    </row>
    <row r="1118" spans="1:25">
      <c r="A1118">
        <v>11170</v>
      </c>
      <c r="B1118" t="s">
        <v>2204</v>
      </c>
      <c r="C1118" t="s">
        <v>2439</v>
      </c>
      <c r="D1118" t="s">
        <v>2206</v>
      </c>
      <c r="E1118">
        <v>11170</v>
      </c>
      <c r="F1118">
        <v>17.2</v>
      </c>
      <c r="G1118">
        <v>1614</v>
      </c>
      <c r="H1118">
        <v>9.5</v>
      </c>
      <c r="I1118">
        <v>1714</v>
      </c>
      <c r="J1118">
        <v>66</v>
      </c>
      <c r="K1118">
        <v>649</v>
      </c>
      <c r="L1118">
        <v>19.2</v>
      </c>
      <c r="M1118">
        <v>1576</v>
      </c>
      <c r="N1118">
        <v>49.6</v>
      </c>
      <c r="O1118">
        <v>817</v>
      </c>
      <c r="P1118" t="s">
        <v>1483</v>
      </c>
      <c r="Q1118" s="1">
        <v>75399</v>
      </c>
      <c r="R1118">
        <v>17.7</v>
      </c>
      <c r="S1118" s="2">
        <v>0.01</v>
      </c>
      <c r="T1118" s="3">
        <v>2.2819444444444446</v>
      </c>
      <c r="U1118" s="2">
        <v>0.23</v>
      </c>
      <c r="V1118" t="s">
        <v>2439</v>
      </c>
      <c r="W1118" t="s">
        <v>2440</v>
      </c>
      <c r="X1118" t="b">
        <v>0</v>
      </c>
      <c r="Y1118" t="b">
        <v>0</v>
      </c>
    </row>
    <row r="1119" spans="1:25">
      <c r="A1119">
        <v>11180</v>
      </c>
      <c r="B1119" t="s">
        <v>2204</v>
      </c>
      <c r="C1119" t="s">
        <v>2441</v>
      </c>
      <c r="D1119" t="s">
        <v>2206</v>
      </c>
      <c r="E1119">
        <v>11180</v>
      </c>
      <c r="F1119">
        <v>11.5</v>
      </c>
      <c r="G1119">
        <v>1890</v>
      </c>
      <c r="H1119">
        <v>9.4</v>
      </c>
      <c r="I1119">
        <v>1736</v>
      </c>
      <c r="J1119">
        <v>60</v>
      </c>
      <c r="K1119">
        <v>782</v>
      </c>
      <c r="L1119">
        <v>15.8</v>
      </c>
      <c r="M1119">
        <v>1887</v>
      </c>
      <c r="N1119">
        <v>48.6</v>
      </c>
      <c r="O1119">
        <v>849</v>
      </c>
      <c r="P1119" t="s">
        <v>1102</v>
      </c>
      <c r="Q1119" s="1">
        <v>8459</v>
      </c>
      <c r="R1119">
        <v>23.6</v>
      </c>
      <c r="S1119" s="2">
        <v>0</v>
      </c>
      <c r="T1119" s="3">
        <v>1.8722222222222222</v>
      </c>
      <c r="U1119" s="2">
        <v>0.37</v>
      </c>
      <c r="V1119" t="s">
        <v>2441</v>
      </c>
      <c r="W1119" t="s">
        <v>2442</v>
      </c>
      <c r="X1119" t="b">
        <v>0</v>
      </c>
      <c r="Y1119" t="b">
        <v>0</v>
      </c>
    </row>
    <row r="1120" spans="1:25">
      <c r="A1120">
        <v>11190</v>
      </c>
      <c r="B1120" t="s">
        <v>2204</v>
      </c>
      <c r="C1120" t="s">
        <v>2443</v>
      </c>
      <c r="D1120" t="s">
        <v>2206</v>
      </c>
      <c r="E1120">
        <v>11190</v>
      </c>
      <c r="F1120">
        <v>35.200000000000003</v>
      </c>
      <c r="G1120">
        <v>456</v>
      </c>
      <c r="H1120">
        <v>13.7</v>
      </c>
      <c r="I1120">
        <v>1232</v>
      </c>
      <c r="J1120">
        <v>31.6</v>
      </c>
      <c r="K1120">
        <v>1410</v>
      </c>
      <c r="L1120">
        <v>58.8</v>
      </c>
      <c r="M1120">
        <v>667</v>
      </c>
      <c r="N1120">
        <v>77.400000000000006</v>
      </c>
      <c r="O1120">
        <v>289</v>
      </c>
      <c r="P1120" t="s">
        <v>310</v>
      </c>
      <c r="Q1120" s="1">
        <v>2496</v>
      </c>
      <c r="R1120">
        <v>4.2</v>
      </c>
      <c r="S1120" s="2">
        <v>0.17</v>
      </c>
      <c r="T1120" t="s">
        <v>796</v>
      </c>
      <c r="U1120" s="2">
        <v>0.41</v>
      </c>
      <c r="V1120" t="s">
        <v>2443</v>
      </c>
      <c r="W1120" t="s">
        <v>2444</v>
      </c>
      <c r="X1120" t="b">
        <v>0</v>
      </c>
      <c r="Y1120" t="b">
        <v>0</v>
      </c>
    </row>
    <row r="1121" spans="1:25">
      <c r="A1121">
        <v>11200</v>
      </c>
      <c r="B1121" t="s">
        <v>2204</v>
      </c>
      <c r="C1121" t="s">
        <v>2445</v>
      </c>
      <c r="D1121" t="s">
        <v>2206</v>
      </c>
      <c r="E1121">
        <v>11200</v>
      </c>
      <c r="F1121">
        <v>18</v>
      </c>
      <c r="G1121">
        <v>1550</v>
      </c>
      <c r="H1121">
        <v>13.1</v>
      </c>
      <c r="I1121">
        <v>1292</v>
      </c>
      <c r="J1121">
        <v>55.3</v>
      </c>
      <c r="K1121">
        <v>883</v>
      </c>
      <c r="L1121">
        <v>23.5</v>
      </c>
      <c r="M1121">
        <v>1383</v>
      </c>
      <c r="N1121">
        <v>50.5</v>
      </c>
      <c r="O1121">
        <v>791</v>
      </c>
      <c r="P1121" t="s">
        <v>2446</v>
      </c>
      <c r="Q1121" s="1">
        <v>4833</v>
      </c>
      <c r="R1121">
        <v>14</v>
      </c>
      <c r="S1121" s="2">
        <v>0.02</v>
      </c>
      <c r="T1121" t="s">
        <v>51</v>
      </c>
      <c r="U1121" s="2">
        <v>0.04</v>
      </c>
      <c r="V1121" t="s">
        <v>2445</v>
      </c>
      <c r="W1121" t="s">
        <v>253</v>
      </c>
      <c r="X1121" t="b">
        <v>0</v>
      </c>
      <c r="Y1121" t="b">
        <v>0</v>
      </c>
    </row>
    <row r="1122" spans="1:25">
      <c r="A1122">
        <v>11210</v>
      </c>
      <c r="B1122" t="s">
        <v>2204</v>
      </c>
      <c r="C1122" t="s">
        <v>2447</v>
      </c>
      <c r="D1122" t="s">
        <v>2206</v>
      </c>
      <c r="E1122">
        <v>11210</v>
      </c>
      <c r="F1122">
        <v>30.4</v>
      </c>
      <c r="G1122">
        <v>672</v>
      </c>
      <c r="H1122">
        <v>17.5</v>
      </c>
      <c r="I1122">
        <v>943</v>
      </c>
      <c r="J1122">
        <v>32.6</v>
      </c>
      <c r="K1122">
        <v>1389</v>
      </c>
      <c r="L1122">
        <v>73.2</v>
      </c>
      <c r="M1122">
        <v>364</v>
      </c>
      <c r="N1122">
        <v>23.6</v>
      </c>
      <c r="O1122">
        <v>1758</v>
      </c>
      <c r="P1122" t="s">
        <v>94</v>
      </c>
      <c r="Q1122" s="1">
        <v>4540</v>
      </c>
      <c r="R1122">
        <v>7.4</v>
      </c>
      <c r="S1122" s="2">
        <v>0.03</v>
      </c>
      <c r="T1122" s="3">
        <v>2.2409722222222221</v>
      </c>
      <c r="U1122" s="2">
        <v>7.0000000000000007E-2</v>
      </c>
      <c r="V1122" t="s">
        <v>2447</v>
      </c>
      <c r="W1122" t="s">
        <v>2448</v>
      </c>
      <c r="X1122" t="b">
        <v>0</v>
      </c>
      <c r="Y1122" t="b">
        <v>0</v>
      </c>
    </row>
    <row r="1123" spans="1:25">
      <c r="A1123">
        <v>11220</v>
      </c>
      <c r="B1123" t="s">
        <v>2204</v>
      </c>
      <c r="C1123" t="s">
        <v>2449</v>
      </c>
      <c r="D1123" t="s">
        <v>2206</v>
      </c>
      <c r="E1123">
        <v>11220</v>
      </c>
      <c r="F1123">
        <v>13</v>
      </c>
      <c r="G1123">
        <v>1845</v>
      </c>
      <c r="H1123">
        <v>9.8000000000000007</v>
      </c>
      <c r="I1123">
        <v>1674</v>
      </c>
      <c r="J1123">
        <v>63.4</v>
      </c>
      <c r="K1123">
        <v>703</v>
      </c>
      <c r="L1123">
        <v>16.100000000000001</v>
      </c>
      <c r="M1123">
        <v>1855</v>
      </c>
      <c r="N1123">
        <v>76.099999999999994</v>
      </c>
      <c r="O1123">
        <v>313</v>
      </c>
      <c r="P1123" t="s">
        <v>534</v>
      </c>
      <c r="Q1123" s="1">
        <v>21759</v>
      </c>
      <c r="R1123">
        <v>18.2</v>
      </c>
      <c r="S1123" s="2">
        <v>0.02</v>
      </c>
      <c r="T1123" s="3">
        <v>2.6097222222222221</v>
      </c>
      <c r="U1123" s="2">
        <v>0.34</v>
      </c>
      <c r="V1123" t="s">
        <v>2449</v>
      </c>
      <c r="W1123" t="s">
        <v>2450</v>
      </c>
      <c r="X1123" t="b">
        <v>0</v>
      </c>
      <c r="Y1123" t="b">
        <v>0</v>
      </c>
    </row>
    <row r="1124" spans="1:25">
      <c r="A1124">
        <v>11230</v>
      </c>
      <c r="B1124" t="s">
        <v>2204</v>
      </c>
      <c r="C1124" t="s">
        <v>2451</v>
      </c>
      <c r="D1124" t="s">
        <v>2206</v>
      </c>
      <c r="E1124">
        <v>11230</v>
      </c>
      <c r="F1124">
        <v>30.8</v>
      </c>
      <c r="G1124">
        <v>651</v>
      </c>
      <c r="H1124">
        <v>24.9</v>
      </c>
      <c r="I1124">
        <v>619</v>
      </c>
      <c r="J1124">
        <v>29.7</v>
      </c>
      <c r="K1124">
        <v>1455</v>
      </c>
      <c r="L1124">
        <v>88.8</v>
      </c>
      <c r="M1124">
        <v>176</v>
      </c>
      <c r="N1124">
        <v>44.4</v>
      </c>
      <c r="O1124">
        <v>979</v>
      </c>
      <c r="P1124" t="s">
        <v>389</v>
      </c>
      <c r="Q1124" s="1">
        <v>11001</v>
      </c>
      <c r="R1124">
        <v>9.5</v>
      </c>
      <c r="S1124" s="2">
        <v>7.0000000000000007E-2</v>
      </c>
      <c r="T1124" t="s">
        <v>350</v>
      </c>
      <c r="U1124" s="2">
        <v>0.47</v>
      </c>
      <c r="V1124" t="s">
        <v>2451</v>
      </c>
      <c r="W1124" t="s">
        <v>2452</v>
      </c>
      <c r="X1124" t="b">
        <v>0</v>
      </c>
      <c r="Y1124" t="b">
        <v>0</v>
      </c>
    </row>
    <row r="1125" spans="1:25">
      <c r="A1125">
        <v>11240</v>
      </c>
      <c r="B1125" t="s">
        <v>2204</v>
      </c>
      <c r="C1125" t="s">
        <v>2453</v>
      </c>
      <c r="D1125" t="s">
        <v>2206</v>
      </c>
      <c r="E1125">
        <v>11240</v>
      </c>
      <c r="F1125">
        <v>27.6</v>
      </c>
      <c r="G1125">
        <v>835</v>
      </c>
      <c r="H1125">
        <v>27.8</v>
      </c>
      <c r="I1125">
        <v>519</v>
      </c>
      <c r="J1125">
        <v>24.8</v>
      </c>
      <c r="K1125">
        <v>1568</v>
      </c>
      <c r="L1125">
        <v>60.6</v>
      </c>
      <c r="M1125">
        <v>634</v>
      </c>
      <c r="N1125">
        <v>48.8</v>
      </c>
      <c r="O1125">
        <v>839</v>
      </c>
      <c r="P1125" t="s">
        <v>389</v>
      </c>
      <c r="Q1125" s="1">
        <v>12329</v>
      </c>
      <c r="R1125">
        <v>14.9</v>
      </c>
      <c r="S1125" s="2">
        <v>0.12</v>
      </c>
      <c r="T1125" s="3">
        <v>2.3638888888888889</v>
      </c>
      <c r="U1125" s="2">
        <v>0.25</v>
      </c>
      <c r="V1125" t="s">
        <v>2453</v>
      </c>
      <c r="W1125" t="s">
        <v>2454</v>
      </c>
      <c r="X1125" t="b">
        <v>0</v>
      </c>
      <c r="Y1125" t="b">
        <v>0</v>
      </c>
    </row>
    <row r="1126" spans="1:25">
      <c r="A1126">
        <v>11250</v>
      </c>
      <c r="B1126" t="s">
        <v>2204</v>
      </c>
      <c r="C1126" t="s">
        <v>2455</v>
      </c>
      <c r="D1126" t="s">
        <v>2206</v>
      </c>
      <c r="E1126">
        <v>11250</v>
      </c>
      <c r="F1126">
        <v>23.8</v>
      </c>
      <c r="G1126">
        <v>1094</v>
      </c>
      <c r="H1126">
        <v>25.2</v>
      </c>
      <c r="I1126">
        <v>604</v>
      </c>
      <c r="J1126">
        <v>33.799999999999997</v>
      </c>
      <c r="K1126">
        <v>1358</v>
      </c>
      <c r="L1126">
        <v>78.8</v>
      </c>
      <c r="M1126">
        <v>280</v>
      </c>
      <c r="N1126">
        <v>32.5</v>
      </c>
      <c r="O1126">
        <v>1406</v>
      </c>
      <c r="P1126" t="s">
        <v>389</v>
      </c>
      <c r="Q1126" s="1">
        <v>14394</v>
      </c>
      <c r="R1126">
        <v>15.5</v>
      </c>
      <c r="S1126" s="2">
        <v>0.06</v>
      </c>
      <c r="T1126" s="3">
        <v>1.7902777777777779</v>
      </c>
      <c r="U1126" s="2">
        <v>0.27</v>
      </c>
      <c r="V1126" t="s">
        <v>2456</v>
      </c>
      <c r="W1126" t="s">
        <v>2457</v>
      </c>
      <c r="X1126" t="b">
        <v>0</v>
      </c>
      <c r="Y1126" t="b">
        <v>0</v>
      </c>
    </row>
    <row r="1127" spans="1:25">
      <c r="A1127">
        <v>11260</v>
      </c>
      <c r="B1127" t="s">
        <v>2204</v>
      </c>
      <c r="C1127" t="s">
        <v>2458</v>
      </c>
      <c r="D1127" t="s">
        <v>2206</v>
      </c>
      <c r="E1127">
        <v>11260</v>
      </c>
      <c r="F1127">
        <v>12.5</v>
      </c>
      <c r="G1127">
        <v>1862</v>
      </c>
      <c r="H1127">
        <v>8.9</v>
      </c>
      <c r="I1127">
        <v>1815</v>
      </c>
      <c r="J1127">
        <v>60.2</v>
      </c>
      <c r="K1127">
        <v>776</v>
      </c>
      <c r="L1127">
        <v>19</v>
      </c>
      <c r="M1127">
        <v>1593</v>
      </c>
      <c r="N1127">
        <v>52.9</v>
      </c>
      <c r="O1127">
        <v>720</v>
      </c>
      <c r="P1127" t="s">
        <v>1102</v>
      </c>
      <c r="Q1127" s="1">
        <v>15188</v>
      </c>
      <c r="R1127">
        <v>24</v>
      </c>
      <c r="S1127" s="2">
        <v>0.03</v>
      </c>
      <c r="T1127" t="s">
        <v>1062</v>
      </c>
      <c r="U1127" s="2">
        <v>0.45</v>
      </c>
      <c r="V1127" t="s">
        <v>2458</v>
      </c>
      <c r="W1127" t="s">
        <v>2459</v>
      </c>
      <c r="X1127" t="b">
        <v>0</v>
      </c>
      <c r="Y1127" t="b">
        <v>0</v>
      </c>
    </row>
    <row r="1128" spans="1:25">
      <c r="A1128">
        <v>11270</v>
      </c>
      <c r="B1128" t="s">
        <v>2204</v>
      </c>
      <c r="C1128" t="s">
        <v>2460</v>
      </c>
      <c r="D1128" t="s">
        <v>2206</v>
      </c>
      <c r="E1128">
        <v>11270</v>
      </c>
      <c r="F1128">
        <v>25.1</v>
      </c>
      <c r="G1128">
        <v>994</v>
      </c>
      <c r="H1128">
        <v>13.6</v>
      </c>
      <c r="I1128">
        <v>1244</v>
      </c>
      <c r="J1128">
        <v>50.8</v>
      </c>
      <c r="K1128">
        <v>1002</v>
      </c>
      <c r="L1128">
        <v>18.399999999999999</v>
      </c>
      <c r="M1128">
        <v>1637</v>
      </c>
      <c r="N1128">
        <v>24.1</v>
      </c>
      <c r="O1128">
        <v>1739</v>
      </c>
      <c r="P1128" t="s">
        <v>528</v>
      </c>
      <c r="Q1128" s="1">
        <v>6643</v>
      </c>
      <c r="R1128">
        <v>19.8</v>
      </c>
      <c r="S1128" s="2">
        <v>0.05</v>
      </c>
      <c r="T1128">
        <v>0.92986111111111114</v>
      </c>
      <c r="U1128" s="2">
        <v>0.46</v>
      </c>
      <c r="V1128" t="s">
        <v>2460</v>
      </c>
      <c r="W1128" t="s">
        <v>2461</v>
      </c>
      <c r="X1128" t="b">
        <v>0</v>
      </c>
      <c r="Y1128" t="b">
        <v>0</v>
      </c>
    </row>
    <row r="1129" spans="1:25">
      <c r="A1129">
        <v>11280</v>
      </c>
      <c r="B1129" t="s">
        <v>2204</v>
      </c>
      <c r="C1129" t="s">
        <v>2462</v>
      </c>
      <c r="D1129" t="s">
        <v>2206</v>
      </c>
      <c r="E1129">
        <v>11280</v>
      </c>
      <c r="F1129">
        <v>37.200000000000003</v>
      </c>
      <c r="G1129">
        <v>386</v>
      </c>
      <c r="H1129">
        <v>14.1</v>
      </c>
      <c r="I1129">
        <v>1200</v>
      </c>
      <c r="J1129">
        <v>39</v>
      </c>
      <c r="K1129">
        <v>1245</v>
      </c>
      <c r="L1129">
        <v>21.4</v>
      </c>
      <c r="M1129">
        <v>1465</v>
      </c>
      <c r="N1129">
        <v>38.700000000000003</v>
      </c>
      <c r="O1129">
        <v>1164</v>
      </c>
      <c r="P1129" t="s">
        <v>895</v>
      </c>
      <c r="Q1129" s="1">
        <v>18828</v>
      </c>
      <c r="R1129">
        <v>12.8</v>
      </c>
      <c r="S1129" s="2">
        <v>0.13</v>
      </c>
      <c r="T1129" s="3">
        <v>2.2000000000000002</v>
      </c>
      <c r="U1129" s="2">
        <v>0.17</v>
      </c>
      <c r="V1129" t="s">
        <v>2462</v>
      </c>
      <c r="W1129" t="s">
        <v>2463</v>
      </c>
      <c r="X1129" t="b">
        <v>0</v>
      </c>
      <c r="Y1129" t="b">
        <v>0</v>
      </c>
    </row>
    <row r="1130" spans="1:25">
      <c r="A1130">
        <v>11290</v>
      </c>
      <c r="B1130" t="s">
        <v>2204</v>
      </c>
      <c r="C1130" t="s">
        <v>2464</v>
      </c>
      <c r="D1130" t="s">
        <v>2206</v>
      </c>
      <c r="E1130">
        <v>11290</v>
      </c>
      <c r="F1130">
        <v>23.8</v>
      </c>
      <c r="G1130">
        <v>1095</v>
      </c>
      <c r="H1130">
        <v>21.1</v>
      </c>
      <c r="I1130">
        <v>765</v>
      </c>
      <c r="J1130">
        <v>38</v>
      </c>
      <c r="K1130">
        <v>1259</v>
      </c>
      <c r="L1130">
        <v>30.8</v>
      </c>
      <c r="M1130">
        <v>1164</v>
      </c>
      <c r="N1130">
        <v>33.6</v>
      </c>
      <c r="O1130">
        <v>1370</v>
      </c>
      <c r="P1130" t="s">
        <v>1543</v>
      </c>
      <c r="Q1130" s="1">
        <v>18122</v>
      </c>
      <c r="R1130">
        <v>12</v>
      </c>
      <c r="S1130" s="2">
        <v>0.05</v>
      </c>
      <c r="T1130" s="3">
        <v>2.8145833333333332</v>
      </c>
      <c r="U1130" s="2">
        <v>0.22</v>
      </c>
      <c r="V1130" t="s">
        <v>2464</v>
      </c>
      <c r="W1130" t="s">
        <v>2465</v>
      </c>
      <c r="X1130" t="b">
        <v>0</v>
      </c>
      <c r="Y1130" t="b">
        <v>0</v>
      </c>
    </row>
    <row r="1131" spans="1:25">
      <c r="A1131">
        <v>11300</v>
      </c>
      <c r="B1131" t="s">
        <v>2204</v>
      </c>
      <c r="C1131" t="s">
        <v>2466</v>
      </c>
      <c r="D1131" t="s">
        <v>2206</v>
      </c>
      <c r="E1131">
        <v>11300</v>
      </c>
      <c r="F1131">
        <v>30.6</v>
      </c>
      <c r="G1131">
        <v>662</v>
      </c>
      <c r="H1131">
        <v>15</v>
      </c>
      <c r="I1131">
        <v>1124</v>
      </c>
      <c r="J1131">
        <v>41.8</v>
      </c>
      <c r="K1131">
        <v>1187</v>
      </c>
      <c r="L1131">
        <v>49.7</v>
      </c>
      <c r="M1131">
        <v>815</v>
      </c>
      <c r="N1131">
        <v>29</v>
      </c>
      <c r="O1131">
        <v>1541</v>
      </c>
      <c r="P1131" t="s">
        <v>94</v>
      </c>
      <c r="Q1131" s="1">
        <v>11942</v>
      </c>
      <c r="R1131">
        <v>7.2</v>
      </c>
      <c r="S1131" s="2">
        <v>0.03</v>
      </c>
      <c r="T1131" t="s">
        <v>40</v>
      </c>
      <c r="U1131" s="2">
        <v>0.19</v>
      </c>
      <c r="V1131" t="s">
        <v>2466</v>
      </c>
      <c r="W1131" t="s">
        <v>2467</v>
      </c>
      <c r="X1131" t="b">
        <v>0</v>
      </c>
      <c r="Y1131" t="b">
        <v>0</v>
      </c>
    </row>
    <row r="1132" spans="1:25">
      <c r="A1132">
        <v>11310</v>
      </c>
      <c r="B1132" t="s">
        <v>2204</v>
      </c>
      <c r="C1132" t="s">
        <v>2468</v>
      </c>
      <c r="D1132" t="s">
        <v>2206</v>
      </c>
      <c r="E1132">
        <v>11310</v>
      </c>
      <c r="F1132">
        <v>17.3</v>
      </c>
      <c r="G1132">
        <v>1610</v>
      </c>
      <c r="H1132">
        <v>13.3</v>
      </c>
      <c r="I1132">
        <v>1279</v>
      </c>
      <c r="J1132">
        <v>59.7</v>
      </c>
      <c r="K1132">
        <v>790</v>
      </c>
      <c r="L1132">
        <v>42.4</v>
      </c>
      <c r="M1132">
        <v>933</v>
      </c>
      <c r="N1132">
        <v>31.6</v>
      </c>
      <c r="O1132">
        <v>1445</v>
      </c>
      <c r="P1132" t="s">
        <v>1483</v>
      </c>
      <c r="Q1132" s="1">
        <v>3424</v>
      </c>
      <c r="R1132">
        <v>14.4</v>
      </c>
      <c r="S1132" s="2">
        <v>0.02</v>
      </c>
      <c r="T1132" t="s">
        <v>324</v>
      </c>
      <c r="U1132" s="2">
        <v>0.49</v>
      </c>
      <c r="V1132" t="s">
        <v>2468</v>
      </c>
      <c r="W1132" t="s">
        <v>2469</v>
      </c>
      <c r="X1132" t="b">
        <v>0</v>
      </c>
      <c r="Y1132" t="b">
        <v>0</v>
      </c>
    </row>
    <row r="1133" spans="1:25">
      <c r="A1133">
        <v>11320</v>
      </c>
      <c r="B1133" t="s">
        <v>2204</v>
      </c>
      <c r="C1133" t="s">
        <v>2470</v>
      </c>
      <c r="D1133" t="s">
        <v>2206</v>
      </c>
      <c r="E1133">
        <v>11320</v>
      </c>
      <c r="F1133">
        <v>28.5</v>
      </c>
      <c r="G1133">
        <v>776</v>
      </c>
      <c r="H1133">
        <v>10.7</v>
      </c>
      <c r="I1133">
        <v>1564</v>
      </c>
      <c r="J1133">
        <v>57.1</v>
      </c>
      <c r="K1133">
        <v>847</v>
      </c>
      <c r="L1133">
        <v>50.3</v>
      </c>
      <c r="M1133">
        <v>803</v>
      </c>
      <c r="N1133">
        <v>20.5</v>
      </c>
      <c r="O1133">
        <v>1853</v>
      </c>
      <c r="P1133" t="s">
        <v>94</v>
      </c>
      <c r="Q1133">
        <v>939</v>
      </c>
      <c r="R1133">
        <v>0.9</v>
      </c>
      <c r="S1133" s="2">
        <v>0</v>
      </c>
      <c r="T1133" t="s">
        <v>40</v>
      </c>
      <c r="U1133" s="2">
        <v>0.02</v>
      </c>
      <c r="V1133" t="s">
        <v>2470</v>
      </c>
      <c r="W1133" t="s">
        <v>1769</v>
      </c>
      <c r="X1133" t="b">
        <v>0</v>
      </c>
      <c r="Y1133" t="b">
        <v>0</v>
      </c>
    </row>
    <row r="1134" spans="1:25">
      <c r="A1134">
        <v>11330</v>
      </c>
      <c r="B1134" t="s">
        <v>2204</v>
      </c>
      <c r="C1134" t="s">
        <v>2471</v>
      </c>
      <c r="D1134" t="s">
        <v>2206</v>
      </c>
      <c r="E1134">
        <v>11330</v>
      </c>
      <c r="F1134">
        <v>24.4</v>
      </c>
      <c r="G1134">
        <v>1051</v>
      </c>
      <c r="H1134">
        <v>15.3</v>
      </c>
      <c r="I1134">
        <v>1097</v>
      </c>
      <c r="J1134">
        <v>51.5</v>
      </c>
      <c r="K1134">
        <v>982</v>
      </c>
      <c r="L1134">
        <v>35.299999999999997</v>
      </c>
      <c r="M1134">
        <v>1087</v>
      </c>
      <c r="N1134">
        <v>25</v>
      </c>
      <c r="O1134">
        <v>1710</v>
      </c>
      <c r="P1134" t="s">
        <v>54</v>
      </c>
      <c r="Q1134" s="1">
        <v>26059</v>
      </c>
      <c r="R1134">
        <v>13.3</v>
      </c>
      <c r="S1134" s="2">
        <v>0.01</v>
      </c>
      <c r="T1134" s="3">
        <v>2.2000000000000002</v>
      </c>
      <c r="U1134" s="2">
        <v>0.39</v>
      </c>
      <c r="V1134" t="s">
        <v>2471</v>
      </c>
      <c r="W1134" t="s">
        <v>2472</v>
      </c>
      <c r="X1134" t="b">
        <v>0</v>
      </c>
      <c r="Y1134" t="b">
        <v>0</v>
      </c>
    </row>
    <row r="1135" spans="1:25">
      <c r="A1135">
        <v>11340</v>
      </c>
      <c r="B1135" t="s">
        <v>2204</v>
      </c>
      <c r="C1135" t="s">
        <v>2473</v>
      </c>
      <c r="D1135" t="s">
        <v>2206</v>
      </c>
      <c r="E1135">
        <v>11340</v>
      </c>
      <c r="F1135">
        <v>25.5</v>
      </c>
      <c r="G1135">
        <v>973</v>
      </c>
      <c r="H1135">
        <v>15.9</v>
      </c>
      <c r="I1135">
        <v>1055</v>
      </c>
      <c r="J1135">
        <v>44.5</v>
      </c>
      <c r="K1135">
        <v>1136</v>
      </c>
      <c r="L1135">
        <v>47.7</v>
      </c>
      <c r="M1135">
        <v>852</v>
      </c>
      <c r="N1135">
        <v>39.4</v>
      </c>
      <c r="O1135">
        <v>1137</v>
      </c>
      <c r="P1135" t="s">
        <v>29</v>
      </c>
      <c r="Q1135" s="1">
        <v>15046</v>
      </c>
      <c r="R1135">
        <v>17.600000000000001</v>
      </c>
      <c r="S1135" s="2">
        <v>0.04</v>
      </c>
      <c r="T1135" s="3">
        <v>2.4458333333333333</v>
      </c>
      <c r="U1135" s="2">
        <v>0.22</v>
      </c>
      <c r="V1135" t="s">
        <v>2473</v>
      </c>
      <c r="W1135" t="s">
        <v>2474</v>
      </c>
      <c r="X1135" t="b">
        <v>0</v>
      </c>
      <c r="Y1135" t="b">
        <v>0</v>
      </c>
    </row>
    <row r="1136" spans="1:25">
      <c r="A1136">
        <v>11350</v>
      </c>
      <c r="B1136" t="s">
        <v>2204</v>
      </c>
      <c r="C1136" t="s">
        <v>2475</v>
      </c>
      <c r="D1136" t="s">
        <v>2206</v>
      </c>
      <c r="E1136">
        <v>11350</v>
      </c>
      <c r="F1136">
        <v>14.4</v>
      </c>
      <c r="G1136">
        <v>1783</v>
      </c>
      <c r="H1136">
        <v>16.399999999999999</v>
      </c>
      <c r="I1136">
        <v>1020</v>
      </c>
      <c r="J1136">
        <v>55.7</v>
      </c>
      <c r="K1136">
        <v>872</v>
      </c>
      <c r="L1136">
        <v>20.7</v>
      </c>
      <c r="M1136">
        <v>1502</v>
      </c>
      <c r="N1136">
        <v>42.6</v>
      </c>
      <c r="O1136">
        <v>1031</v>
      </c>
      <c r="P1136" t="s">
        <v>691</v>
      </c>
      <c r="Q1136" s="1">
        <v>10997</v>
      </c>
      <c r="R1136">
        <v>34.4</v>
      </c>
      <c r="S1136" s="2">
        <v>7.0000000000000007E-2</v>
      </c>
      <c r="T1136">
        <v>0.97083333333333333</v>
      </c>
      <c r="U1136" s="2">
        <v>0.42</v>
      </c>
      <c r="V1136" t="s">
        <v>2475</v>
      </c>
      <c r="W1136" t="s">
        <v>2476</v>
      </c>
      <c r="X1136" t="b">
        <v>0</v>
      </c>
      <c r="Y1136" t="b">
        <v>0</v>
      </c>
    </row>
    <row r="1137" spans="1:25">
      <c r="A1137">
        <v>11360</v>
      </c>
      <c r="B1137" t="s">
        <v>2204</v>
      </c>
      <c r="C1137" t="s">
        <v>2477</v>
      </c>
      <c r="D1137" t="s">
        <v>2206</v>
      </c>
      <c r="E1137">
        <v>11360</v>
      </c>
      <c r="F1137">
        <v>30.2</v>
      </c>
      <c r="G1137">
        <v>680</v>
      </c>
      <c r="H1137">
        <v>11.7</v>
      </c>
      <c r="I1137">
        <v>1446</v>
      </c>
      <c r="J1137">
        <v>54.8</v>
      </c>
      <c r="K1137">
        <v>893</v>
      </c>
      <c r="L1137">
        <v>46.8</v>
      </c>
      <c r="M1137">
        <v>869</v>
      </c>
      <c r="N1137">
        <v>22.5</v>
      </c>
      <c r="O1137">
        <v>1790</v>
      </c>
      <c r="P1137" t="s">
        <v>94</v>
      </c>
      <c r="Q1137" s="1">
        <v>1164</v>
      </c>
      <c r="R1137">
        <v>2.5</v>
      </c>
      <c r="S1137" s="2">
        <v>0.01</v>
      </c>
      <c r="T1137" s="3">
        <v>2.2000000000000002</v>
      </c>
      <c r="U1137" s="2">
        <v>0.05</v>
      </c>
      <c r="V1137" t="s">
        <v>2478</v>
      </c>
      <c r="W1137" t="s">
        <v>253</v>
      </c>
      <c r="X1137" t="b">
        <v>0</v>
      </c>
      <c r="Y1137" t="b">
        <v>0</v>
      </c>
    </row>
    <row r="1138" spans="1:25">
      <c r="A1138">
        <v>11370</v>
      </c>
      <c r="B1138" t="s">
        <v>2204</v>
      </c>
      <c r="C1138" t="s">
        <v>2479</v>
      </c>
      <c r="D1138" t="s">
        <v>2206</v>
      </c>
      <c r="E1138">
        <v>11370</v>
      </c>
      <c r="F1138">
        <v>39.1</v>
      </c>
      <c r="G1138">
        <v>333</v>
      </c>
      <c r="H1138">
        <v>16.5</v>
      </c>
      <c r="I1138">
        <v>1012</v>
      </c>
      <c r="J1138">
        <v>29.9</v>
      </c>
      <c r="K1138">
        <v>1447</v>
      </c>
      <c r="L1138">
        <v>32</v>
      </c>
      <c r="M1138">
        <v>1145</v>
      </c>
      <c r="N1138">
        <v>54.3</v>
      </c>
      <c r="O1138">
        <v>690</v>
      </c>
      <c r="P1138" t="s">
        <v>691</v>
      </c>
      <c r="Q1138" s="1">
        <v>16267</v>
      </c>
      <c r="R1138">
        <v>13.7</v>
      </c>
      <c r="S1138" s="2">
        <v>0.24</v>
      </c>
      <c r="T1138" s="3">
        <v>2.4868055555555557</v>
      </c>
      <c r="U1138" s="2">
        <v>0.14000000000000001</v>
      </c>
      <c r="V1138" t="s">
        <v>2479</v>
      </c>
      <c r="W1138" t="s">
        <v>2480</v>
      </c>
      <c r="X1138" t="b">
        <v>0</v>
      </c>
      <c r="Y1138" t="b">
        <v>0</v>
      </c>
    </row>
    <row r="1139" spans="1:25">
      <c r="A1139">
        <v>11380</v>
      </c>
      <c r="B1139" t="s">
        <v>2204</v>
      </c>
      <c r="C1139" t="s">
        <v>2481</v>
      </c>
      <c r="D1139" t="s">
        <v>2206</v>
      </c>
      <c r="E1139">
        <v>11380</v>
      </c>
      <c r="F1139">
        <v>18.399999999999999</v>
      </c>
      <c r="G1139">
        <v>1520</v>
      </c>
      <c r="H1139">
        <v>9.1999999999999993</v>
      </c>
      <c r="I1139">
        <v>1767</v>
      </c>
      <c r="J1139">
        <v>58.6</v>
      </c>
      <c r="K1139">
        <v>812</v>
      </c>
      <c r="L1139">
        <v>23.3</v>
      </c>
      <c r="M1139">
        <v>1388</v>
      </c>
      <c r="N1139">
        <v>39.799999999999997</v>
      </c>
      <c r="O1139">
        <v>1125</v>
      </c>
      <c r="P1139" t="s">
        <v>2275</v>
      </c>
      <c r="Q1139" s="1">
        <v>22336</v>
      </c>
      <c r="R1139">
        <v>13.9</v>
      </c>
      <c r="S1139" s="2">
        <v>0.01</v>
      </c>
      <c r="T1139" s="3">
        <v>2.7326388888888888</v>
      </c>
      <c r="U1139" s="2">
        <v>0.25</v>
      </c>
      <c r="V1139" t="s">
        <v>2481</v>
      </c>
      <c r="W1139" t="s">
        <v>2482</v>
      </c>
      <c r="X1139" t="b">
        <v>0</v>
      </c>
      <c r="Y1139" t="b">
        <v>0</v>
      </c>
    </row>
    <row r="1140" spans="1:25">
      <c r="A1140">
        <v>11390</v>
      </c>
      <c r="B1140" t="s">
        <v>2204</v>
      </c>
      <c r="C1140" t="s">
        <v>2483</v>
      </c>
      <c r="D1140" t="s">
        <v>2206</v>
      </c>
      <c r="E1140">
        <v>11390</v>
      </c>
      <c r="F1140">
        <v>16.899999999999999</v>
      </c>
      <c r="G1140">
        <v>1632</v>
      </c>
      <c r="H1140">
        <v>12.9</v>
      </c>
      <c r="I1140">
        <v>1313</v>
      </c>
      <c r="J1140">
        <v>53.3</v>
      </c>
      <c r="K1140">
        <v>940</v>
      </c>
      <c r="L1140">
        <v>29.8</v>
      </c>
      <c r="M1140">
        <v>1189</v>
      </c>
      <c r="N1140">
        <v>49.8</v>
      </c>
      <c r="O1140">
        <v>808</v>
      </c>
      <c r="P1140" t="s">
        <v>2484</v>
      </c>
      <c r="Q1140" s="1">
        <v>10503</v>
      </c>
      <c r="R1140">
        <v>15.6</v>
      </c>
      <c r="S1140" s="2">
        <v>0.01</v>
      </c>
      <c r="T1140" s="3">
        <v>2.7736111111111112</v>
      </c>
      <c r="U1140" s="2">
        <v>0.06</v>
      </c>
      <c r="V1140" t="s">
        <v>2483</v>
      </c>
      <c r="W1140" t="s">
        <v>2485</v>
      </c>
      <c r="X1140" t="b">
        <v>0</v>
      </c>
      <c r="Y1140" t="b">
        <v>0</v>
      </c>
    </row>
    <row r="1141" spans="1:25">
      <c r="A1141">
        <v>11400</v>
      </c>
      <c r="B1141" t="s">
        <v>2204</v>
      </c>
      <c r="C1141" t="s">
        <v>2486</v>
      </c>
      <c r="D1141" t="s">
        <v>2206</v>
      </c>
      <c r="E1141">
        <v>11400</v>
      </c>
      <c r="F1141">
        <v>19.399999999999999</v>
      </c>
      <c r="G1141">
        <v>1435</v>
      </c>
      <c r="H1141">
        <v>12.2</v>
      </c>
      <c r="I1141">
        <v>1392</v>
      </c>
      <c r="J1141">
        <v>61</v>
      </c>
      <c r="K1141">
        <v>756</v>
      </c>
      <c r="L1141">
        <v>17.399999999999999</v>
      </c>
      <c r="M1141">
        <v>1716</v>
      </c>
      <c r="N1141">
        <v>47.3</v>
      </c>
      <c r="O1141">
        <v>882</v>
      </c>
      <c r="P1141" t="s">
        <v>1102</v>
      </c>
      <c r="Q1141" s="1">
        <v>20494</v>
      </c>
      <c r="R1141">
        <v>42.7</v>
      </c>
      <c r="S1141" s="2">
        <v>0</v>
      </c>
      <c r="T1141">
        <v>0.80694444444444446</v>
      </c>
      <c r="U1141" s="2">
        <v>0.4</v>
      </c>
      <c r="V1141" t="s">
        <v>2486</v>
      </c>
      <c r="W1141" t="s">
        <v>2487</v>
      </c>
      <c r="X1141" t="b">
        <v>0</v>
      </c>
      <c r="Y1141" t="b">
        <v>0</v>
      </c>
    </row>
    <row r="1142" spans="1:25">
      <c r="A1142">
        <v>11410</v>
      </c>
      <c r="B1142" t="s">
        <v>2204</v>
      </c>
      <c r="C1142" t="s">
        <v>2488</v>
      </c>
      <c r="D1142" t="s">
        <v>2206</v>
      </c>
      <c r="E1142">
        <v>11410</v>
      </c>
      <c r="F1142">
        <v>25.9</v>
      </c>
      <c r="G1142">
        <v>947</v>
      </c>
      <c r="H1142">
        <v>12.9</v>
      </c>
      <c r="I1142">
        <v>1314</v>
      </c>
      <c r="J1142">
        <v>44.7</v>
      </c>
      <c r="K1142">
        <v>1128</v>
      </c>
      <c r="L1142">
        <v>20.6</v>
      </c>
      <c r="M1142">
        <v>1508</v>
      </c>
      <c r="N1142">
        <v>59</v>
      </c>
      <c r="O1142">
        <v>604</v>
      </c>
      <c r="P1142" t="s">
        <v>255</v>
      </c>
      <c r="Q1142" s="1">
        <v>12595</v>
      </c>
      <c r="R1142">
        <v>9.1</v>
      </c>
      <c r="S1142" s="2">
        <v>0.15</v>
      </c>
      <c r="T1142" s="3">
        <v>2.4048611111111109</v>
      </c>
      <c r="U1142" s="2">
        <v>0.27</v>
      </c>
      <c r="V1142" t="s">
        <v>2488</v>
      </c>
      <c r="W1142" t="s">
        <v>2489</v>
      </c>
      <c r="X1142" t="b">
        <v>0</v>
      </c>
      <c r="Y1142" t="b">
        <v>0</v>
      </c>
    </row>
    <row r="1143" spans="1:25">
      <c r="A1143">
        <v>11420</v>
      </c>
      <c r="B1143" t="s">
        <v>2204</v>
      </c>
      <c r="C1143" t="s">
        <v>2490</v>
      </c>
      <c r="D1143" t="s">
        <v>2206</v>
      </c>
      <c r="E1143">
        <v>11420</v>
      </c>
      <c r="F1143">
        <v>18.8</v>
      </c>
      <c r="G1143">
        <v>1482</v>
      </c>
      <c r="H1143">
        <v>11.3</v>
      </c>
      <c r="I1143">
        <v>1491</v>
      </c>
      <c r="J1143">
        <v>53.9</v>
      </c>
      <c r="K1143">
        <v>921</v>
      </c>
      <c r="L1143">
        <v>19.100000000000001</v>
      </c>
      <c r="M1143">
        <v>1584</v>
      </c>
      <c r="N1143">
        <v>47.8</v>
      </c>
      <c r="O1143">
        <v>872</v>
      </c>
      <c r="P1143" t="s">
        <v>1102</v>
      </c>
      <c r="Q1143" s="1">
        <v>12702</v>
      </c>
      <c r="R1143">
        <v>44.7</v>
      </c>
      <c r="S1143" s="2">
        <v>0</v>
      </c>
      <c r="T1143" t="s">
        <v>40</v>
      </c>
      <c r="U1143" s="2">
        <v>0.27</v>
      </c>
      <c r="V1143" t="s">
        <v>2490</v>
      </c>
      <c r="W1143" t="s">
        <v>2491</v>
      </c>
      <c r="X1143" t="b">
        <v>0</v>
      </c>
      <c r="Y1143" t="b">
        <v>0</v>
      </c>
    </row>
    <row r="1144" spans="1:25">
      <c r="A1144">
        <v>11430</v>
      </c>
      <c r="B1144" t="s">
        <v>2204</v>
      </c>
      <c r="C1144" t="s">
        <v>2492</v>
      </c>
      <c r="D1144" t="s">
        <v>2206</v>
      </c>
      <c r="E1144">
        <v>11430</v>
      </c>
      <c r="F1144">
        <v>33.5</v>
      </c>
      <c r="G1144">
        <v>522</v>
      </c>
      <c r="H1144">
        <v>18.399999999999999</v>
      </c>
      <c r="I1144">
        <v>898</v>
      </c>
      <c r="J1144">
        <v>38.299999999999997</v>
      </c>
      <c r="K1144">
        <v>1255</v>
      </c>
      <c r="L1144">
        <v>42.5</v>
      </c>
      <c r="M1144">
        <v>932</v>
      </c>
      <c r="N1144">
        <v>19.399999999999999</v>
      </c>
      <c r="O1144">
        <v>1882</v>
      </c>
      <c r="P1144" t="s">
        <v>528</v>
      </c>
      <c r="Q1144" s="1">
        <v>8187</v>
      </c>
      <c r="R1144">
        <v>21.5</v>
      </c>
      <c r="S1144" s="2">
        <v>0.01</v>
      </c>
      <c r="T1144" s="3">
        <v>1.9541666666666666</v>
      </c>
      <c r="U1144" s="2">
        <v>0.34</v>
      </c>
      <c r="V1144" t="s">
        <v>2492</v>
      </c>
      <c r="W1144" t="s">
        <v>2493</v>
      </c>
      <c r="X1144" t="b">
        <v>0</v>
      </c>
      <c r="Y1144" t="b">
        <v>0</v>
      </c>
    </row>
    <row r="1145" spans="1:25">
      <c r="A1145">
        <v>11440</v>
      </c>
      <c r="B1145" t="s">
        <v>2204</v>
      </c>
      <c r="C1145" t="s">
        <v>2494</v>
      </c>
      <c r="D1145" t="s">
        <v>2206</v>
      </c>
      <c r="E1145">
        <v>11440</v>
      </c>
      <c r="F1145">
        <v>32.9</v>
      </c>
      <c r="G1145">
        <v>550</v>
      </c>
      <c r="H1145">
        <v>16.899999999999999</v>
      </c>
      <c r="I1145">
        <v>979</v>
      </c>
      <c r="J1145">
        <v>42.3</v>
      </c>
      <c r="K1145">
        <v>1180</v>
      </c>
      <c r="L1145">
        <v>39.200000000000003</v>
      </c>
      <c r="M1145">
        <v>1003</v>
      </c>
      <c r="N1145">
        <v>35.1</v>
      </c>
      <c r="O1145">
        <v>1316</v>
      </c>
      <c r="P1145" t="s">
        <v>577</v>
      </c>
      <c r="Q1145" s="1">
        <v>12686</v>
      </c>
      <c r="R1145">
        <v>21.1</v>
      </c>
      <c r="S1145" s="2">
        <v>0.01</v>
      </c>
      <c r="T1145" s="3">
        <v>2.1590277777777778</v>
      </c>
      <c r="U1145" s="2">
        <v>0.19</v>
      </c>
      <c r="V1145" t="s">
        <v>2494</v>
      </c>
      <c r="W1145" t="s">
        <v>2495</v>
      </c>
      <c r="X1145" t="b">
        <v>0</v>
      </c>
      <c r="Y1145" t="b">
        <v>0</v>
      </c>
    </row>
    <row r="1146" spans="1:25">
      <c r="A1146">
        <v>11450</v>
      </c>
      <c r="B1146" t="s">
        <v>2204</v>
      </c>
      <c r="C1146" t="s">
        <v>2496</v>
      </c>
      <c r="D1146" t="s">
        <v>2206</v>
      </c>
      <c r="E1146">
        <v>11450</v>
      </c>
      <c r="F1146">
        <v>27.1</v>
      </c>
      <c r="G1146">
        <v>873</v>
      </c>
      <c r="H1146">
        <v>13.4</v>
      </c>
      <c r="I1146">
        <v>1272</v>
      </c>
      <c r="J1146">
        <v>41.2</v>
      </c>
      <c r="K1146">
        <v>1199</v>
      </c>
      <c r="L1146">
        <v>44.4</v>
      </c>
      <c r="M1146">
        <v>906</v>
      </c>
      <c r="N1146">
        <v>34.1</v>
      </c>
      <c r="O1146">
        <v>1355</v>
      </c>
      <c r="P1146" t="s">
        <v>1543</v>
      </c>
      <c r="Q1146" s="1">
        <v>7296</v>
      </c>
      <c r="R1146">
        <v>6</v>
      </c>
      <c r="S1146" s="2">
        <v>0.11</v>
      </c>
      <c r="T1146" s="3">
        <v>3.0604166666666668</v>
      </c>
      <c r="U1146" s="2">
        <v>0.06</v>
      </c>
      <c r="V1146" t="s">
        <v>2496</v>
      </c>
      <c r="W1146" t="s">
        <v>2497</v>
      </c>
      <c r="X1146" t="b">
        <v>0</v>
      </c>
      <c r="Y1146" t="b">
        <v>0</v>
      </c>
    </row>
    <row r="1147" spans="1:25">
      <c r="A1147">
        <v>11460</v>
      </c>
      <c r="B1147" t="s">
        <v>2204</v>
      </c>
      <c r="C1147" t="s">
        <v>2498</v>
      </c>
      <c r="D1147" t="s">
        <v>2206</v>
      </c>
      <c r="E1147">
        <v>11460</v>
      </c>
      <c r="F1147">
        <v>22.4</v>
      </c>
      <c r="G1147">
        <v>1196</v>
      </c>
      <c r="H1147">
        <v>14.3</v>
      </c>
      <c r="I1147">
        <v>1181</v>
      </c>
      <c r="J1147">
        <v>49.5</v>
      </c>
      <c r="K1147">
        <v>1029</v>
      </c>
      <c r="L1147">
        <v>38.299999999999997</v>
      </c>
      <c r="M1147">
        <v>1015</v>
      </c>
      <c r="N1147">
        <v>46.5</v>
      </c>
      <c r="O1147">
        <v>918</v>
      </c>
      <c r="P1147" t="s">
        <v>386</v>
      </c>
      <c r="Q1147" s="1">
        <v>8215</v>
      </c>
      <c r="R1147">
        <v>11.8</v>
      </c>
      <c r="S1147" s="2">
        <v>0.06</v>
      </c>
      <c r="T1147" s="3">
        <v>2.2000000000000002</v>
      </c>
      <c r="U1147" s="2">
        <v>0.3</v>
      </c>
      <c r="V1147" t="s">
        <v>2498</v>
      </c>
      <c r="W1147" t="s">
        <v>2499</v>
      </c>
      <c r="X1147" t="b">
        <v>0</v>
      </c>
      <c r="Y1147" t="b">
        <v>0</v>
      </c>
    </row>
    <row r="1148" spans="1:25">
      <c r="A1148">
        <v>11470</v>
      </c>
      <c r="B1148" t="s">
        <v>2204</v>
      </c>
      <c r="C1148" t="s">
        <v>2500</v>
      </c>
      <c r="D1148" t="s">
        <v>2206</v>
      </c>
      <c r="E1148">
        <v>11470</v>
      </c>
      <c r="F1148">
        <v>15.9</v>
      </c>
      <c r="G1148">
        <v>1707</v>
      </c>
      <c r="H1148">
        <v>9.3000000000000007</v>
      </c>
      <c r="I1148">
        <v>1751</v>
      </c>
      <c r="J1148">
        <v>59.3</v>
      </c>
      <c r="K1148">
        <v>800</v>
      </c>
      <c r="L1148">
        <v>17.600000000000001</v>
      </c>
      <c r="M1148">
        <v>1696</v>
      </c>
      <c r="N1148">
        <v>39.6</v>
      </c>
      <c r="O1148">
        <v>1132</v>
      </c>
      <c r="P1148" t="s">
        <v>1846</v>
      </c>
      <c r="Q1148" s="1">
        <v>22042</v>
      </c>
      <c r="R1148">
        <v>20.399999999999999</v>
      </c>
      <c r="S1148" s="2">
        <v>0</v>
      </c>
      <c r="T1148" t="s">
        <v>113</v>
      </c>
      <c r="U1148" s="2">
        <v>0.28000000000000003</v>
      </c>
      <c r="V1148" t="s">
        <v>2500</v>
      </c>
      <c r="W1148" t="s">
        <v>2501</v>
      </c>
      <c r="X1148" t="b">
        <v>0</v>
      </c>
      <c r="Y1148" t="b">
        <v>0</v>
      </c>
    </row>
    <row r="1149" spans="1:25">
      <c r="A1149">
        <v>11480</v>
      </c>
      <c r="B1149" t="s">
        <v>2204</v>
      </c>
      <c r="C1149" t="s">
        <v>2502</v>
      </c>
      <c r="D1149" t="s">
        <v>2206</v>
      </c>
      <c r="E1149">
        <v>11480</v>
      </c>
      <c r="F1149">
        <v>27.8</v>
      </c>
      <c r="G1149">
        <v>820</v>
      </c>
      <c r="H1149">
        <v>14</v>
      </c>
      <c r="I1149">
        <v>1208</v>
      </c>
      <c r="J1149">
        <v>43.2</v>
      </c>
      <c r="K1149">
        <v>1165</v>
      </c>
      <c r="L1149">
        <v>38.5</v>
      </c>
      <c r="M1149">
        <v>1013</v>
      </c>
      <c r="N1149">
        <v>26.5</v>
      </c>
      <c r="O1149">
        <v>1645</v>
      </c>
      <c r="P1149" t="s">
        <v>795</v>
      </c>
      <c r="Q1149" s="1">
        <v>10634</v>
      </c>
      <c r="R1149">
        <v>22.9</v>
      </c>
      <c r="S1149" s="2">
        <v>0.04</v>
      </c>
      <c r="T1149" s="3">
        <v>2.5277777777777777</v>
      </c>
      <c r="U1149" s="2">
        <v>0.35</v>
      </c>
      <c r="V1149" t="s">
        <v>2502</v>
      </c>
      <c r="W1149" t="s">
        <v>2503</v>
      </c>
      <c r="X1149" t="b">
        <v>0</v>
      </c>
      <c r="Y1149" t="b">
        <v>0</v>
      </c>
    </row>
    <row r="1150" spans="1:25">
      <c r="A1150">
        <v>11490</v>
      </c>
      <c r="B1150" t="s">
        <v>2204</v>
      </c>
      <c r="C1150" t="s">
        <v>2504</v>
      </c>
      <c r="D1150" t="s">
        <v>2206</v>
      </c>
      <c r="E1150">
        <v>11490</v>
      </c>
      <c r="F1150">
        <v>26.4</v>
      </c>
      <c r="G1150">
        <v>917</v>
      </c>
      <c r="H1150">
        <v>23.9</v>
      </c>
      <c r="I1150">
        <v>663</v>
      </c>
      <c r="J1150">
        <v>32</v>
      </c>
      <c r="K1150">
        <v>1402</v>
      </c>
      <c r="L1150">
        <v>46.4</v>
      </c>
      <c r="M1150">
        <v>875</v>
      </c>
      <c r="N1150">
        <v>57</v>
      </c>
      <c r="O1150">
        <v>643</v>
      </c>
      <c r="P1150" t="s">
        <v>2410</v>
      </c>
      <c r="Q1150" s="1">
        <v>10830</v>
      </c>
      <c r="R1150">
        <v>31.7</v>
      </c>
      <c r="S1150" s="2">
        <v>0.22</v>
      </c>
      <c r="T1150" t="s">
        <v>113</v>
      </c>
      <c r="U1150" s="2">
        <v>0.45</v>
      </c>
      <c r="V1150" t="s">
        <v>2504</v>
      </c>
      <c r="W1150" t="s">
        <v>2505</v>
      </c>
      <c r="X1150" t="b">
        <v>0</v>
      </c>
      <c r="Y1150" t="b">
        <v>0</v>
      </c>
    </row>
    <row r="1151" spans="1:25">
      <c r="A1151">
        <v>11500</v>
      </c>
      <c r="B1151" t="s">
        <v>2204</v>
      </c>
      <c r="C1151" t="s">
        <v>2506</v>
      </c>
      <c r="D1151" t="s">
        <v>2206</v>
      </c>
      <c r="E1151">
        <v>11500</v>
      </c>
      <c r="F1151">
        <v>14.2</v>
      </c>
      <c r="G1151">
        <v>1794</v>
      </c>
      <c r="H1151">
        <v>9.6</v>
      </c>
      <c r="I1151">
        <v>1703</v>
      </c>
      <c r="J1151">
        <v>67.099999999999994</v>
      </c>
      <c r="K1151">
        <v>621</v>
      </c>
      <c r="L1151">
        <v>16</v>
      </c>
      <c r="M1151">
        <v>1869</v>
      </c>
      <c r="N1151">
        <v>48.7</v>
      </c>
      <c r="O1151">
        <v>844</v>
      </c>
      <c r="P1151" t="s">
        <v>1102</v>
      </c>
      <c r="Q1151" s="1">
        <v>25073</v>
      </c>
      <c r="R1151">
        <v>18.399999999999999</v>
      </c>
      <c r="S1151" s="2">
        <v>0</v>
      </c>
      <c r="T1151" s="3">
        <v>2.1590277777777778</v>
      </c>
      <c r="U1151" s="2">
        <v>0.3</v>
      </c>
      <c r="V1151" t="s">
        <v>2506</v>
      </c>
      <c r="W1151" t="s">
        <v>2507</v>
      </c>
      <c r="X1151" t="b">
        <v>0</v>
      </c>
      <c r="Y1151" t="b">
        <v>0</v>
      </c>
    </row>
    <row r="1152" spans="1:25">
      <c r="A1152">
        <v>11510</v>
      </c>
      <c r="B1152" t="s">
        <v>2204</v>
      </c>
      <c r="C1152" t="s">
        <v>2508</v>
      </c>
      <c r="D1152" t="s">
        <v>2206</v>
      </c>
      <c r="E1152">
        <v>11510</v>
      </c>
      <c r="F1152">
        <v>26.6</v>
      </c>
      <c r="G1152">
        <v>904</v>
      </c>
      <c r="H1152">
        <v>12.4</v>
      </c>
      <c r="I1152">
        <v>1372</v>
      </c>
      <c r="J1152">
        <v>45.9</v>
      </c>
      <c r="K1152">
        <v>1102</v>
      </c>
      <c r="L1152">
        <v>30.8</v>
      </c>
      <c r="M1152">
        <v>1165</v>
      </c>
      <c r="N1152">
        <v>39</v>
      </c>
      <c r="O1152">
        <v>1152</v>
      </c>
      <c r="P1152" t="s">
        <v>29</v>
      </c>
      <c r="Q1152" s="1">
        <v>17693</v>
      </c>
      <c r="R1152">
        <v>14.5</v>
      </c>
      <c r="S1152" s="2">
        <v>0.03</v>
      </c>
      <c r="T1152" s="3">
        <v>2.0770833333333334</v>
      </c>
      <c r="U1152" s="2">
        <v>0.21</v>
      </c>
      <c r="V1152" t="s">
        <v>2508</v>
      </c>
      <c r="W1152" t="s">
        <v>2509</v>
      </c>
      <c r="X1152" t="b">
        <v>0</v>
      </c>
      <c r="Y1152" t="b">
        <v>0</v>
      </c>
    </row>
    <row r="1153" spans="1:25">
      <c r="A1153">
        <v>11520</v>
      </c>
      <c r="B1153" t="s">
        <v>2204</v>
      </c>
      <c r="C1153" t="s">
        <v>2510</v>
      </c>
      <c r="D1153" t="s">
        <v>2206</v>
      </c>
      <c r="E1153">
        <v>11520</v>
      </c>
      <c r="F1153">
        <v>20.6</v>
      </c>
      <c r="G1153">
        <v>1334</v>
      </c>
      <c r="H1153">
        <v>14.6</v>
      </c>
      <c r="I1153">
        <v>1157</v>
      </c>
      <c r="J1153">
        <v>57.4</v>
      </c>
      <c r="K1153">
        <v>836</v>
      </c>
      <c r="L1153">
        <v>37.9</v>
      </c>
      <c r="M1153">
        <v>1023</v>
      </c>
      <c r="N1153">
        <v>22.6</v>
      </c>
      <c r="O1153">
        <v>1789</v>
      </c>
      <c r="P1153" t="s">
        <v>795</v>
      </c>
      <c r="Q1153" s="1">
        <v>5354</v>
      </c>
      <c r="R1153">
        <v>27.2</v>
      </c>
      <c r="S1153" s="2">
        <v>0.01</v>
      </c>
      <c r="T1153" s="3">
        <v>1.83125</v>
      </c>
      <c r="U1153" s="2">
        <v>0.42</v>
      </c>
      <c r="V1153" t="s">
        <v>2510</v>
      </c>
      <c r="W1153" t="s">
        <v>2511</v>
      </c>
      <c r="X1153" t="b">
        <v>0</v>
      </c>
      <c r="Y1153" t="b">
        <v>0</v>
      </c>
    </row>
    <row r="1154" spans="1:25">
      <c r="A1154">
        <v>11530</v>
      </c>
      <c r="B1154" t="s">
        <v>2204</v>
      </c>
      <c r="C1154" t="s">
        <v>2512</v>
      </c>
      <c r="D1154" t="s">
        <v>2206</v>
      </c>
      <c r="E1154">
        <v>11530</v>
      </c>
      <c r="F1154">
        <v>22.3</v>
      </c>
      <c r="G1154">
        <v>1205</v>
      </c>
      <c r="H1154">
        <v>11.1</v>
      </c>
      <c r="I1154">
        <v>1516</v>
      </c>
      <c r="J1154">
        <v>48.9</v>
      </c>
      <c r="K1154">
        <v>1045</v>
      </c>
      <c r="L1154">
        <v>17.399999999999999</v>
      </c>
      <c r="M1154">
        <v>1717</v>
      </c>
      <c r="N1154">
        <v>67</v>
      </c>
      <c r="O1154">
        <v>447</v>
      </c>
      <c r="P1154" t="s">
        <v>2513</v>
      </c>
      <c r="Q1154" s="1">
        <v>7874</v>
      </c>
      <c r="R1154">
        <v>10.199999999999999</v>
      </c>
      <c r="S1154" s="2">
        <v>0.02</v>
      </c>
      <c r="T1154" s="3">
        <v>2.1180555555555554</v>
      </c>
      <c r="U1154" s="2">
        <v>0.32</v>
      </c>
      <c r="V1154" t="s">
        <v>2514</v>
      </c>
      <c r="W1154" t="s">
        <v>2515</v>
      </c>
      <c r="X1154" t="b">
        <v>0</v>
      </c>
      <c r="Y1154" t="b">
        <v>0</v>
      </c>
    </row>
    <row r="1155" spans="1:25">
      <c r="A1155">
        <v>11540</v>
      </c>
      <c r="B1155" t="s">
        <v>2204</v>
      </c>
      <c r="C1155" t="s">
        <v>2516</v>
      </c>
      <c r="D1155" t="s">
        <v>2206</v>
      </c>
      <c r="E1155">
        <v>11540</v>
      </c>
      <c r="F1155">
        <v>27.6</v>
      </c>
      <c r="G1155">
        <v>836</v>
      </c>
      <c r="H1155">
        <v>11.9</v>
      </c>
      <c r="I1155">
        <v>1419</v>
      </c>
      <c r="J1155">
        <v>50.5</v>
      </c>
      <c r="K1155">
        <v>1011</v>
      </c>
      <c r="L1155">
        <v>17.7</v>
      </c>
      <c r="M1155">
        <v>1690</v>
      </c>
      <c r="N1155">
        <v>48.1</v>
      </c>
      <c r="O1155">
        <v>867</v>
      </c>
      <c r="P1155" t="s">
        <v>1102</v>
      </c>
      <c r="Q1155" s="1">
        <v>19172</v>
      </c>
      <c r="R1155">
        <v>24.3</v>
      </c>
      <c r="S1155" s="2">
        <v>0</v>
      </c>
      <c r="T1155" s="3">
        <v>2.3229166666666665</v>
      </c>
      <c r="U1155" s="2">
        <v>0.31</v>
      </c>
      <c r="V1155" t="s">
        <v>2516</v>
      </c>
      <c r="W1155" t="s">
        <v>2517</v>
      </c>
      <c r="X1155" t="b">
        <v>0</v>
      </c>
      <c r="Y1155" t="b">
        <v>0</v>
      </c>
    </row>
    <row r="1156" spans="1:25">
      <c r="A1156">
        <v>11550</v>
      </c>
      <c r="B1156" t="s">
        <v>2204</v>
      </c>
      <c r="C1156" t="s">
        <v>2518</v>
      </c>
      <c r="D1156" t="s">
        <v>2206</v>
      </c>
      <c r="E1156">
        <v>11550</v>
      </c>
      <c r="F1156">
        <v>30.7</v>
      </c>
      <c r="G1156">
        <v>655</v>
      </c>
      <c r="H1156">
        <v>12.8</v>
      </c>
      <c r="I1156">
        <v>1329</v>
      </c>
      <c r="J1156">
        <v>50.7</v>
      </c>
      <c r="K1156">
        <v>1004</v>
      </c>
      <c r="L1156">
        <v>18.399999999999999</v>
      </c>
      <c r="M1156">
        <v>1640</v>
      </c>
      <c r="N1156">
        <v>22.4</v>
      </c>
      <c r="O1156">
        <v>1794</v>
      </c>
      <c r="P1156" t="s">
        <v>795</v>
      </c>
      <c r="Q1156" s="1">
        <v>14404</v>
      </c>
      <c r="R1156">
        <v>15.1</v>
      </c>
      <c r="S1156" s="2">
        <v>0.01</v>
      </c>
      <c r="T1156" s="3">
        <v>2.3229166666666665</v>
      </c>
      <c r="U1156" s="2">
        <v>0.39</v>
      </c>
      <c r="V1156" t="s">
        <v>2518</v>
      </c>
      <c r="W1156" t="s">
        <v>2519</v>
      </c>
      <c r="X1156" t="b">
        <v>0</v>
      </c>
      <c r="Y1156" t="b">
        <v>0</v>
      </c>
    </row>
    <row r="1157" spans="1:25">
      <c r="A1157">
        <v>11560</v>
      </c>
      <c r="B1157" t="s">
        <v>2204</v>
      </c>
      <c r="C1157" t="s">
        <v>2520</v>
      </c>
      <c r="D1157" t="s">
        <v>2206</v>
      </c>
      <c r="E1157">
        <v>11560</v>
      </c>
      <c r="F1157">
        <v>33.700000000000003</v>
      </c>
      <c r="G1157">
        <v>511</v>
      </c>
      <c r="H1157">
        <v>13.9</v>
      </c>
      <c r="I1157">
        <v>1216</v>
      </c>
      <c r="J1157">
        <v>40.5</v>
      </c>
      <c r="K1157">
        <v>1216</v>
      </c>
      <c r="L1157">
        <v>34.5</v>
      </c>
      <c r="M1157">
        <v>1102</v>
      </c>
      <c r="N1157">
        <v>44.7</v>
      </c>
      <c r="O1157">
        <v>970</v>
      </c>
      <c r="P1157" t="s">
        <v>2171</v>
      </c>
      <c r="Q1157" s="1">
        <v>30597</v>
      </c>
      <c r="R1157">
        <v>12.6</v>
      </c>
      <c r="S1157" s="2">
        <v>0.03</v>
      </c>
      <c r="T1157" s="3">
        <v>2.7326388888888888</v>
      </c>
      <c r="U1157" s="2">
        <v>0.38</v>
      </c>
      <c r="V1157" t="s">
        <v>2520</v>
      </c>
      <c r="W1157" t="s">
        <v>2521</v>
      </c>
      <c r="X1157" t="b">
        <v>0</v>
      </c>
      <c r="Y1157" t="b">
        <v>0</v>
      </c>
    </row>
    <row r="1158" spans="1:25">
      <c r="A1158">
        <v>11570</v>
      </c>
      <c r="B1158" t="s">
        <v>2204</v>
      </c>
      <c r="C1158" t="s">
        <v>2522</v>
      </c>
      <c r="D1158" t="s">
        <v>2206</v>
      </c>
      <c r="E1158">
        <v>11570</v>
      </c>
      <c r="F1158">
        <v>29.6</v>
      </c>
      <c r="G1158">
        <v>716</v>
      </c>
      <c r="H1158">
        <v>19.3</v>
      </c>
      <c r="I1158">
        <v>853</v>
      </c>
      <c r="J1158">
        <v>34.5</v>
      </c>
      <c r="K1158">
        <v>1337</v>
      </c>
      <c r="L1158">
        <v>51.8</v>
      </c>
      <c r="M1158">
        <v>779</v>
      </c>
      <c r="N1158">
        <v>27.2</v>
      </c>
      <c r="O1158">
        <v>1610</v>
      </c>
      <c r="P1158" t="s">
        <v>795</v>
      </c>
      <c r="Q1158" s="1">
        <v>15142</v>
      </c>
      <c r="R1158">
        <v>25.2</v>
      </c>
      <c r="S1158" s="2">
        <v>0.05</v>
      </c>
      <c r="U1158" s="2">
        <v>0.34</v>
      </c>
      <c r="V1158" t="s">
        <v>2522</v>
      </c>
      <c r="W1158" t="s">
        <v>2523</v>
      </c>
      <c r="X1158" t="b">
        <v>0</v>
      </c>
      <c r="Y1158" t="b">
        <v>0</v>
      </c>
    </row>
    <row r="1159" spans="1:25">
      <c r="A1159">
        <v>11580</v>
      </c>
      <c r="B1159" t="s">
        <v>2204</v>
      </c>
      <c r="C1159" t="s">
        <v>2524</v>
      </c>
      <c r="D1159" t="s">
        <v>2206</v>
      </c>
      <c r="E1159">
        <v>11580</v>
      </c>
      <c r="F1159">
        <v>19.399999999999999</v>
      </c>
      <c r="G1159">
        <v>1437</v>
      </c>
      <c r="H1159">
        <v>13.5</v>
      </c>
      <c r="I1159">
        <v>1256</v>
      </c>
      <c r="J1159">
        <v>55.8</v>
      </c>
      <c r="K1159">
        <v>868</v>
      </c>
      <c r="L1159">
        <v>17.899999999999999</v>
      </c>
      <c r="M1159">
        <v>1679</v>
      </c>
      <c r="N1159">
        <v>22.1</v>
      </c>
      <c r="O1159">
        <v>1807</v>
      </c>
      <c r="P1159" t="s">
        <v>795</v>
      </c>
      <c r="Q1159" s="1">
        <v>7198</v>
      </c>
      <c r="R1159">
        <v>20.3</v>
      </c>
      <c r="S1159" s="2">
        <v>0</v>
      </c>
      <c r="T1159" s="3">
        <v>2.3638888888888889</v>
      </c>
      <c r="U1159" s="2">
        <v>0.32</v>
      </c>
      <c r="V1159" t="s">
        <v>2524</v>
      </c>
      <c r="W1159" t="s">
        <v>2525</v>
      </c>
      <c r="X1159" t="b">
        <v>0</v>
      </c>
      <c r="Y1159" t="b">
        <v>0</v>
      </c>
    </row>
    <row r="1160" spans="1:25">
      <c r="A1160">
        <v>11590</v>
      </c>
      <c r="B1160" t="s">
        <v>2204</v>
      </c>
      <c r="C1160" t="s">
        <v>2526</v>
      </c>
      <c r="D1160" t="s">
        <v>2206</v>
      </c>
      <c r="E1160">
        <v>11590</v>
      </c>
      <c r="F1160">
        <v>28.3</v>
      </c>
      <c r="G1160">
        <v>791</v>
      </c>
      <c r="H1160">
        <v>17.2</v>
      </c>
      <c r="I1160">
        <v>957</v>
      </c>
      <c r="J1160">
        <v>52.4</v>
      </c>
      <c r="K1160">
        <v>956</v>
      </c>
      <c r="L1160">
        <v>18.7</v>
      </c>
      <c r="M1160">
        <v>1614</v>
      </c>
      <c r="N1160">
        <v>32.4</v>
      </c>
      <c r="O1160">
        <v>1410</v>
      </c>
      <c r="P1160" t="s">
        <v>795</v>
      </c>
      <c r="Q1160" s="1">
        <v>8326</v>
      </c>
      <c r="R1160">
        <v>20.7</v>
      </c>
      <c r="S1160" s="2">
        <v>0.01</v>
      </c>
      <c r="T1160" s="3">
        <v>1.9541666666666666</v>
      </c>
      <c r="U1160" s="2">
        <v>0.51</v>
      </c>
      <c r="V1160" t="s">
        <v>2526</v>
      </c>
      <c r="W1160" t="s">
        <v>2527</v>
      </c>
      <c r="X1160" t="b">
        <v>0</v>
      </c>
      <c r="Y1160" t="b">
        <v>0</v>
      </c>
    </row>
    <row r="1161" spans="1:25">
      <c r="A1161">
        <v>11600</v>
      </c>
      <c r="B1161" t="s">
        <v>2204</v>
      </c>
      <c r="C1161" t="s">
        <v>2528</v>
      </c>
      <c r="D1161" t="s">
        <v>2206</v>
      </c>
      <c r="E1161">
        <v>11600</v>
      </c>
      <c r="F1161">
        <v>16.8</v>
      </c>
      <c r="G1161">
        <v>1648</v>
      </c>
      <c r="H1161">
        <v>12.8</v>
      </c>
      <c r="I1161">
        <v>1330</v>
      </c>
      <c r="J1161">
        <v>51.8</v>
      </c>
      <c r="K1161">
        <v>974</v>
      </c>
      <c r="L1161">
        <v>37.4</v>
      </c>
      <c r="M1161">
        <v>1032</v>
      </c>
      <c r="N1161">
        <v>36</v>
      </c>
      <c r="O1161">
        <v>1280</v>
      </c>
      <c r="P1161" t="s">
        <v>54</v>
      </c>
      <c r="Q1161" s="1">
        <v>23263</v>
      </c>
      <c r="R1161">
        <v>16.7</v>
      </c>
      <c r="S1161" s="2">
        <v>0.02</v>
      </c>
      <c r="T1161" s="3">
        <v>1.9131944444444444</v>
      </c>
      <c r="U1161" s="2">
        <v>0.5</v>
      </c>
      <c r="V1161" t="s">
        <v>2528</v>
      </c>
      <c r="W1161" t="s">
        <v>2529</v>
      </c>
      <c r="X1161" t="b">
        <v>0</v>
      </c>
      <c r="Y1161" t="b">
        <v>0</v>
      </c>
    </row>
    <row r="1162" spans="1:25">
      <c r="A1162">
        <v>11610</v>
      </c>
      <c r="B1162" t="s">
        <v>2204</v>
      </c>
      <c r="C1162" t="s">
        <v>2530</v>
      </c>
      <c r="D1162" t="s">
        <v>2206</v>
      </c>
      <c r="E1162">
        <v>11610</v>
      </c>
      <c r="F1162">
        <v>26.8</v>
      </c>
      <c r="G1162">
        <v>886</v>
      </c>
      <c r="H1162">
        <v>18</v>
      </c>
      <c r="I1162">
        <v>920</v>
      </c>
      <c r="J1162">
        <v>34.6</v>
      </c>
      <c r="K1162">
        <v>1335</v>
      </c>
      <c r="L1162">
        <v>63.1</v>
      </c>
      <c r="M1162">
        <v>587</v>
      </c>
      <c r="N1162">
        <v>32.6</v>
      </c>
      <c r="O1162">
        <v>1401</v>
      </c>
      <c r="P1162" t="s">
        <v>94</v>
      </c>
      <c r="Q1162" s="1">
        <v>10602</v>
      </c>
      <c r="R1162">
        <v>10.4</v>
      </c>
      <c r="S1162" s="2">
        <v>0.03</v>
      </c>
      <c r="T1162" t="s">
        <v>324</v>
      </c>
      <c r="U1162" s="2">
        <v>0.25</v>
      </c>
      <c r="V1162" t="s">
        <v>2531</v>
      </c>
      <c r="W1162" t="s">
        <v>2532</v>
      </c>
      <c r="X1162" t="b">
        <v>0</v>
      </c>
      <c r="Y1162" t="b">
        <v>0</v>
      </c>
    </row>
    <row r="1163" spans="1:25">
      <c r="A1163">
        <v>11620</v>
      </c>
      <c r="B1163" t="s">
        <v>2204</v>
      </c>
      <c r="C1163" t="s">
        <v>2533</v>
      </c>
      <c r="D1163" t="s">
        <v>2206</v>
      </c>
      <c r="E1163">
        <v>11620</v>
      </c>
      <c r="F1163">
        <v>30.4</v>
      </c>
      <c r="G1163">
        <v>673</v>
      </c>
      <c r="H1163">
        <v>24.2</v>
      </c>
      <c r="I1163">
        <v>644</v>
      </c>
      <c r="J1163">
        <v>26.9</v>
      </c>
      <c r="K1163">
        <v>1522</v>
      </c>
      <c r="L1163">
        <v>55.3</v>
      </c>
      <c r="M1163">
        <v>720</v>
      </c>
      <c r="N1163">
        <v>59.5</v>
      </c>
      <c r="O1163">
        <v>596</v>
      </c>
      <c r="P1163" t="s">
        <v>255</v>
      </c>
      <c r="Q1163" s="1">
        <v>9401</v>
      </c>
      <c r="R1163">
        <v>18.3</v>
      </c>
      <c r="S1163" s="2">
        <v>0.13</v>
      </c>
      <c r="T1163" s="3">
        <v>2.1590277777777778</v>
      </c>
      <c r="U1163" s="2">
        <v>0.42</v>
      </c>
      <c r="V1163" t="s">
        <v>2533</v>
      </c>
      <c r="W1163" t="s">
        <v>2534</v>
      </c>
      <c r="X1163" t="b">
        <v>0</v>
      </c>
      <c r="Y1163" t="b">
        <v>0</v>
      </c>
    </row>
    <row r="1164" spans="1:25">
      <c r="A1164">
        <v>11630</v>
      </c>
      <c r="B1164" t="s">
        <v>2204</v>
      </c>
      <c r="C1164" t="s">
        <v>2535</v>
      </c>
      <c r="D1164" t="s">
        <v>2206</v>
      </c>
      <c r="E1164">
        <v>11630</v>
      </c>
      <c r="F1164">
        <v>26.6</v>
      </c>
      <c r="G1164">
        <v>905</v>
      </c>
      <c r="H1164">
        <v>11.3</v>
      </c>
      <c r="I1164">
        <v>1494</v>
      </c>
      <c r="J1164">
        <v>50.6</v>
      </c>
      <c r="K1164">
        <v>1008</v>
      </c>
      <c r="L1164">
        <v>16.899999999999999</v>
      </c>
      <c r="M1164">
        <v>1770</v>
      </c>
      <c r="N1164">
        <v>25.3</v>
      </c>
      <c r="O1164">
        <v>1694</v>
      </c>
      <c r="P1164" t="s">
        <v>2536</v>
      </c>
      <c r="Q1164" s="1">
        <v>95994</v>
      </c>
      <c r="R1164">
        <v>55.6</v>
      </c>
      <c r="S1164" s="2">
        <v>0.01</v>
      </c>
      <c r="T1164" s="3">
        <v>2.1590277777777778</v>
      </c>
      <c r="U1164" s="2">
        <v>0.4</v>
      </c>
      <c r="V1164" t="s">
        <v>2535</v>
      </c>
      <c r="W1164" t="s">
        <v>2537</v>
      </c>
      <c r="X1164" t="b">
        <v>0</v>
      </c>
      <c r="Y1164" t="b">
        <v>0</v>
      </c>
    </row>
    <row r="1165" spans="1:25">
      <c r="A1165">
        <v>11640</v>
      </c>
      <c r="B1165" t="s">
        <v>2204</v>
      </c>
      <c r="C1165" t="s">
        <v>2538</v>
      </c>
      <c r="D1165" t="s">
        <v>2206</v>
      </c>
      <c r="E1165">
        <v>11640</v>
      </c>
      <c r="F1165">
        <v>33.6</v>
      </c>
      <c r="G1165">
        <v>518</v>
      </c>
      <c r="H1165">
        <v>19.899999999999999</v>
      </c>
      <c r="I1165">
        <v>821</v>
      </c>
      <c r="J1165">
        <v>33.6</v>
      </c>
      <c r="K1165">
        <v>1365</v>
      </c>
      <c r="L1165">
        <v>27.9</v>
      </c>
      <c r="M1165">
        <v>1240</v>
      </c>
      <c r="N1165">
        <v>34.9</v>
      </c>
      <c r="O1165">
        <v>1325</v>
      </c>
      <c r="P1165" t="s">
        <v>795</v>
      </c>
      <c r="Q1165" s="1">
        <v>1725</v>
      </c>
      <c r="R1165">
        <v>10.8</v>
      </c>
      <c r="S1165" s="2">
        <v>0.02</v>
      </c>
      <c r="T1165" s="3">
        <v>2.9375</v>
      </c>
      <c r="U1165" s="2">
        <v>0.04</v>
      </c>
      <c r="V1165" t="s">
        <v>2538</v>
      </c>
      <c r="W1165" t="s">
        <v>2539</v>
      </c>
      <c r="X1165" t="b">
        <v>0</v>
      </c>
      <c r="Y1165" t="b">
        <v>0</v>
      </c>
    </row>
    <row r="1166" spans="1:25">
      <c r="A1166">
        <v>11650</v>
      </c>
      <c r="B1166" t="s">
        <v>2204</v>
      </c>
      <c r="C1166" t="s">
        <v>2540</v>
      </c>
      <c r="D1166" t="s">
        <v>2206</v>
      </c>
      <c r="E1166">
        <v>11650</v>
      </c>
      <c r="F1166">
        <v>24.7</v>
      </c>
      <c r="G1166">
        <v>1032</v>
      </c>
      <c r="H1166">
        <v>19.3</v>
      </c>
      <c r="I1166">
        <v>854</v>
      </c>
      <c r="J1166">
        <v>50.5</v>
      </c>
      <c r="K1166">
        <v>1012</v>
      </c>
      <c r="L1166">
        <v>26</v>
      </c>
      <c r="M1166">
        <v>1302</v>
      </c>
      <c r="N1166">
        <v>41.4</v>
      </c>
      <c r="O1166">
        <v>1072</v>
      </c>
      <c r="P1166" t="s">
        <v>421</v>
      </c>
      <c r="Q1166" s="1">
        <v>198816</v>
      </c>
      <c r="R1166">
        <v>114.2</v>
      </c>
      <c r="S1166" s="2">
        <v>0.03</v>
      </c>
      <c r="T1166" s="3">
        <v>3.1013888888888888</v>
      </c>
      <c r="U1166" s="2">
        <v>0.27</v>
      </c>
      <c r="V1166" t="s">
        <v>2540</v>
      </c>
      <c r="W1166" t="s">
        <v>2541</v>
      </c>
      <c r="X1166" t="b">
        <v>0</v>
      </c>
      <c r="Y1166" t="b">
        <v>0</v>
      </c>
    </row>
    <row r="1167" spans="1:25">
      <c r="A1167">
        <v>11660</v>
      </c>
      <c r="B1167" t="s">
        <v>2204</v>
      </c>
      <c r="C1167" t="s">
        <v>2542</v>
      </c>
      <c r="D1167" t="s">
        <v>2206</v>
      </c>
      <c r="E1167">
        <v>11660</v>
      </c>
      <c r="F1167">
        <v>21.4</v>
      </c>
      <c r="G1167">
        <v>1278</v>
      </c>
      <c r="H1167">
        <v>18.2</v>
      </c>
      <c r="I1167">
        <v>912</v>
      </c>
      <c r="J1167">
        <v>51</v>
      </c>
      <c r="K1167">
        <v>997</v>
      </c>
      <c r="L1167">
        <v>19.5</v>
      </c>
      <c r="M1167">
        <v>1563</v>
      </c>
      <c r="N1167">
        <v>53</v>
      </c>
      <c r="O1167">
        <v>716</v>
      </c>
      <c r="P1167" t="s">
        <v>984</v>
      </c>
      <c r="Q1167" s="1">
        <v>9131</v>
      </c>
      <c r="R1167">
        <v>14.6</v>
      </c>
      <c r="S1167" s="2">
        <v>7.0000000000000007E-2</v>
      </c>
      <c r="T1167" s="3">
        <v>2.9375</v>
      </c>
      <c r="U1167" s="2">
        <v>0.19</v>
      </c>
      <c r="V1167" t="s">
        <v>2542</v>
      </c>
      <c r="W1167" t="s">
        <v>2543</v>
      </c>
      <c r="X1167" t="b">
        <v>0</v>
      </c>
      <c r="Y1167" t="b">
        <v>0</v>
      </c>
    </row>
    <row r="1168" spans="1:25">
      <c r="A1168">
        <v>11670</v>
      </c>
      <c r="B1168" t="s">
        <v>2204</v>
      </c>
      <c r="C1168" t="s">
        <v>2544</v>
      </c>
      <c r="D1168" t="s">
        <v>2206</v>
      </c>
      <c r="E1168">
        <v>11670</v>
      </c>
      <c r="F1168">
        <v>34.5</v>
      </c>
      <c r="G1168">
        <v>478</v>
      </c>
      <c r="H1168">
        <v>15.9</v>
      </c>
      <c r="I1168">
        <v>1056</v>
      </c>
      <c r="J1168">
        <v>33.6</v>
      </c>
      <c r="K1168">
        <v>1366</v>
      </c>
      <c r="L1168">
        <v>36</v>
      </c>
      <c r="M1168">
        <v>1077</v>
      </c>
      <c r="N1168">
        <v>29.6</v>
      </c>
      <c r="O1168">
        <v>1515</v>
      </c>
      <c r="P1168" t="s">
        <v>29</v>
      </c>
      <c r="Q1168" s="1">
        <v>6909</v>
      </c>
      <c r="R1168">
        <v>16</v>
      </c>
      <c r="S1168" s="2">
        <v>0.03</v>
      </c>
      <c r="T1168" s="3">
        <v>2.6506944444444445</v>
      </c>
      <c r="U1168" s="2">
        <v>0.15</v>
      </c>
      <c r="V1168" t="s">
        <v>2544</v>
      </c>
      <c r="W1168" t="s">
        <v>2545</v>
      </c>
      <c r="X1168" t="b">
        <v>0</v>
      </c>
      <c r="Y1168" t="b">
        <v>0</v>
      </c>
    </row>
    <row r="1169" spans="1:25">
      <c r="A1169">
        <v>11680</v>
      </c>
      <c r="B1169" t="s">
        <v>2204</v>
      </c>
      <c r="C1169" t="s">
        <v>2546</v>
      </c>
      <c r="D1169" t="s">
        <v>2206</v>
      </c>
      <c r="E1169">
        <v>11680</v>
      </c>
      <c r="F1169">
        <v>14.1</v>
      </c>
      <c r="G1169">
        <v>1800</v>
      </c>
      <c r="H1169">
        <v>17.600000000000001</v>
      </c>
      <c r="I1169">
        <v>939</v>
      </c>
      <c r="J1169">
        <v>53.5</v>
      </c>
      <c r="K1169">
        <v>936</v>
      </c>
      <c r="L1169">
        <v>43</v>
      </c>
      <c r="M1169">
        <v>924</v>
      </c>
      <c r="N1169">
        <v>62.9</v>
      </c>
      <c r="O1169">
        <v>521</v>
      </c>
      <c r="P1169" t="s">
        <v>2547</v>
      </c>
      <c r="Q1169" s="1">
        <v>12622</v>
      </c>
      <c r="R1169">
        <v>36.9</v>
      </c>
      <c r="S1169" s="2">
        <v>0.01</v>
      </c>
      <c r="T1169" s="3">
        <v>2.4868055555555557</v>
      </c>
      <c r="U1169" s="2">
        <v>0.3</v>
      </c>
      <c r="V1169" t="s">
        <v>2546</v>
      </c>
      <c r="W1169" t="s">
        <v>2548</v>
      </c>
      <c r="X1169" t="b">
        <v>0</v>
      </c>
      <c r="Y1169" t="b">
        <v>0</v>
      </c>
    </row>
    <row r="1170" spans="1:25">
      <c r="A1170">
        <v>11690</v>
      </c>
      <c r="B1170" t="s">
        <v>2204</v>
      </c>
      <c r="C1170" t="s">
        <v>2549</v>
      </c>
      <c r="D1170" t="s">
        <v>2206</v>
      </c>
      <c r="E1170">
        <v>11690</v>
      </c>
      <c r="F1170">
        <v>18.3</v>
      </c>
      <c r="G1170">
        <v>1532</v>
      </c>
      <c r="H1170">
        <v>11.8</v>
      </c>
      <c r="I1170">
        <v>1432</v>
      </c>
      <c r="J1170">
        <v>42</v>
      </c>
      <c r="K1170">
        <v>1184</v>
      </c>
      <c r="L1170">
        <v>56.5</v>
      </c>
      <c r="M1170">
        <v>712</v>
      </c>
      <c r="N1170">
        <v>77.2</v>
      </c>
      <c r="O1170">
        <v>295</v>
      </c>
      <c r="P1170" t="s">
        <v>26</v>
      </c>
      <c r="Q1170" s="1">
        <v>15780</v>
      </c>
      <c r="R1170">
        <v>16</v>
      </c>
      <c r="S1170" s="2">
        <v>0.21</v>
      </c>
      <c r="T1170" s="3">
        <v>2.2409722222222221</v>
      </c>
      <c r="U1170" s="2">
        <v>0.26</v>
      </c>
      <c r="V1170" t="s">
        <v>2549</v>
      </c>
      <c r="W1170" t="s">
        <v>2550</v>
      </c>
      <c r="X1170" t="b">
        <v>0</v>
      </c>
      <c r="Y1170" t="b">
        <v>0</v>
      </c>
    </row>
    <row r="1171" spans="1:25">
      <c r="A1171">
        <v>11700</v>
      </c>
      <c r="B1171" t="s">
        <v>2204</v>
      </c>
      <c r="C1171" t="s">
        <v>2551</v>
      </c>
      <c r="D1171" t="s">
        <v>2206</v>
      </c>
      <c r="E1171">
        <v>11700</v>
      </c>
      <c r="F1171">
        <v>17.899999999999999</v>
      </c>
      <c r="G1171">
        <v>1560</v>
      </c>
      <c r="H1171">
        <v>11.5</v>
      </c>
      <c r="I1171">
        <v>1473</v>
      </c>
      <c r="J1171">
        <v>48</v>
      </c>
      <c r="K1171">
        <v>1062</v>
      </c>
      <c r="L1171">
        <v>21.5</v>
      </c>
      <c r="M1171">
        <v>1463</v>
      </c>
      <c r="N1171">
        <v>64.8</v>
      </c>
      <c r="O1171">
        <v>490</v>
      </c>
      <c r="P1171" t="s">
        <v>26</v>
      </c>
      <c r="Q1171" s="1">
        <v>11085</v>
      </c>
      <c r="R1171">
        <v>17.600000000000001</v>
      </c>
      <c r="S1171" s="2">
        <v>0.12</v>
      </c>
      <c r="T1171" s="3">
        <v>2.036111111111111</v>
      </c>
      <c r="U1171" s="2">
        <v>0.24</v>
      </c>
      <c r="V1171" t="s">
        <v>2551</v>
      </c>
      <c r="W1171" t="s">
        <v>2552</v>
      </c>
      <c r="X1171" t="b">
        <v>0</v>
      </c>
      <c r="Y1171" t="b">
        <v>0</v>
      </c>
    </row>
    <row r="1172" spans="1:25">
      <c r="A1172">
        <v>11710</v>
      </c>
      <c r="B1172" t="s">
        <v>2204</v>
      </c>
      <c r="C1172" t="s">
        <v>2553</v>
      </c>
      <c r="D1172" t="s">
        <v>2206</v>
      </c>
      <c r="E1172">
        <v>11710</v>
      </c>
      <c r="F1172">
        <v>13</v>
      </c>
      <c r="G1172">
        <v>1847</v>
      </c>
      <c r="H1172">
        <v>8.3000000000000007</v>
      </c>
      <c r="I1172">
        <v>1867</v>
      </c>
      <c r="J1172">
        <v>70.900000000000006</v>
      </c>
      <c r="K1172">
        <v>542</v>
      </c>
      <c r="L1172">
        <v>24.4</v>
      </c>
      <c r="M1172">
        <v>1357</v>
      </c>
      <c r="N1172">
        <v>48.9</v>
      </c>
      <c r="O1172">
        <v>835</v>
      </c>
      <c r="P1172" t="s">
        <v>1483</v>
      </c>
      <c r="Q1172" s="1">
        <v>17744</v>
      </c>
      <c r="R1172">
        <v>20.3</v>
      </c>
      <c r="S1172" s="2">
        <v>0.02</v>
      </c>
      <c r="T1172" s="3">
        <v>2.2819444444444446</v>
      </c>
      <c r="U1172" s="2">
        <v>0.43</v>
      </c>
      <c r="V1172" t="s">
        <v>2553</v>
      </c>
      <c r="W1172" t="s">
        <v>2554</v>
      </c>
      <c r="X1172" t="b">
        <v>0</v>
      </c>
      <c r="Y1172" t="b">
        <v>0</v>
      </c>
    </row>
    <row r="1173" spans="1:25">
      <c r="A1173">
        <v>11720</v>
      </c>
      <c r="B1173" t="s">
        <v>2204</v>
      </c>
      <c r="C1173" t="s">
        <v>2555</v>
      </c>
      <c r="D1173" t="s">
        <v>2206</v>
      </c>
      <c r="E1173">
        <v>11720</v>
      </c>
      <c r="F1173">
        <v>19.7</v>
      </c>
      <c r="G1173">
        <v>1405</v>
      </c>
      <c r="H1173">
        <v>8.8000000000000007</v>
      </c>
      <c r="I1173">
        <v>1825</v>
      </c>
      <c r="J1173">
        <v>57.6</v>
      </c>
      <c r="K1173">
        <v>831</v>
      </c>
      <c r="L1173">
        <v>28.3</v>
      </c>
      <c r="M1173">
        <v>1229</v>
      </c>
      <c r="N1173">
        <v>50.6</v>
      </c>
      <c r="O1173">
        <v>789</v>
      </c>
      <c r="P1173" t="s">
        <v>1483</v>
      </c>
      <c r="Q1173" s="1">
        <v>45981</v>
      </c>
      <c r="R1173">
        <v>13.1</v>
      </c>
      <c r="S1173" s="2">
        <v>0.01</v>
      </c>
      <c r="T1173" s="3">
        <v>2.2000000000000002</v>
      </c>
      <c r="U1173" s="2">
        <v>0.2</v>
      </c>
      <c r="V1173" t="s">
        <v>2555</v>
      </c>
      <c r="W1173" t="s">
        <v>2556</v>
      </c>
      <c r="X1173" t="b">
        <v>0</v>
      </c>
      <c r="Y1173" t="b">
        <v>0</v>
      </c>
    </row>
    <row r="1174" spans="1:25">
      <c r="A1174">
        <v>11730</v>
      </c>
      <c r="B1174" t="s">
        <v>2204</v>
      </c>
      <c r="C1174" t="s">
        <v>2557</v>
      </c>
      <c r="D1174" t="s">
        <v>2206</v>
      </c>
      <c r="E1174">
        <v>11730</v>
      </c>
      <c r="F1174">
        <v>12.8</v>
      </c>
      <c r="G1174">
        <v>1856</v>
      </c>
      <c r="H1174">
        <v>16.399999999999999</v>
      </c>
      <c r="I1174">
        <v>1023</v>
      </c>
      <c r="J1174">
        <v>53</v>
      </c>
      <c r="K1174">
        <v>945</v>
      </c>
      <c r="L1174">
        <v>16.2</v>
      </c>
      <c r="M1174">
        <v>1845</v>
      </c>
      <c r="N1174">
        <v>52.7</v>
      </c>
      <c r="O1174">
        <v>723</v>
      </c>
      <c r="P1174" t="s">
        <v>1543</v>
      </c>
      <c r="Q1174" s="1">
        <v>15863</v>
      </c>
      <c r="R1174">
        <v>39</v>
      </c>
      <c r="S1174" s="2">
        <v>7.0000000000000007E-2</v>
      </c>
      <c r="T1174" s="3">
        <v>3.2243055555555555</v>
      </c>
      <c r="U1174" s="2">
        <v>0.13</v>
      </c>
      <c r="V1174" t="s">
        <v>2557</v>
      </c>
      <c r="W1174" t="s">
        <v>2558</v>
      </c>
      <c r="X1174" t="b">
        <v>0</v>
      </c>
      <c r="Y1174" t="b">
        <v>0</v>
      </c>
    </row>
    <row r="1175" spans="1:25">
      <c r="A1175">
        <v>11740</v>
      </c>
      <c r="B1175" t="s">
        <v>2204</v>
      </c>
      <c r="C1175" t="s">
        <v>2559</v>
      </c>
      <c r="D1175" t="s">
        <v>2206</v>
      </c>
      <c r="E1175">
        <v>11740</v>
      </c>
      <c r="F1175">
        <v>22.1</v>
      </c>
      <c r="G1175">
        <v>1227</v>
      </c>
      <c r="H1175">
        <v>12.1</v>
      </c>
      <c r="I1175">
        <v>1404</v>
      </c>
      <c r="J1175">
        <v>62.7</v>
      </c>
      <c r="K1175">
        <v>714</v>
      </c>
      <c r="L1175">
        <v>18</v>
      </c>
      <c r="M1175">
        <v>1672</v>
      </c>
      <c r="N1175">
        <v>40.799999999999997</v>
      </c>
      <c r="O1175">
        <v>1092</v>
      </c>
      <c r="P1175" t="s">
        <v>528</v>
      </c>
      <c r="Q1175" s="1">
        <v>16408</v>
      </c>
      <c r="R1175">
        <v>13</v>
      </c>
      <c r="S1175" s="2">
        <v>0.06</v>
      </c>
      <c r="T1175" s="3">
        <v>2.036111111111111</v>
      </c>
      <c r="U1175" s="2">
        <v>0.32</v>
      </c>
      <c r="V1175" t="s">
        <v>2559</v>
      </c>
      <c r="W1175" t="s">
        <v>2560</v>
      </c>
      <c r="X1175" t="b">
        <v>0</v>
      </c>
      <c r="Y1175" t="b">
        <v>0</v>
      </c>
    </row>
    <row r="1176" spans="1:25">
      <c r="A1176">
        <v>11750</v>
      </c>
      <c r="B1176" t="s">
        <v>2204</v>
      </c>
      <c r="C1176" t="s">
        <v>2561</v>
      </c>
      <c r="D1176" t="s">
        <v>2206</v>
      </c>
      <c r="E1176">
        <v>11750</v>
      </c>
      <c r="F1176">
        <v>29.9</v>
      </c>
      <c r="G1176">
        <v>698</v>
      </c>
      <c r="H1176">
        <v>15.8</v>
      </c>
      <c r="I1176">
        <v>1064</v>
      </c>
      <c r="J1176">
        <v>40.5</v>
      </c>
      <c r="K1176">
        <v>1217</v>
      </c>
      <c r="L1176">
        <v>48.1</v>
      </c>
      <c r="M1176">
        <v>841</v>
      </c>
      <c r="N1176">
        <v>57.8</v>
      </c>
      <c r="O1176">
        <v>628</v>
      </c>
      <c r="P1176" t="s">
        <v>691</v>
      </c>
      <c r="Q1176" s="1">
        <v>20050</v>
      </c>
      <c r="R1176">
        <v>12.3</v>
      </c>
      <c r="S1176" s="2">
        <v>0.2</v>
      </c>
      <c r="T1176" s="3">
        <v>2.3638888888888889</v>
      </c>
      <c r="U1176" s="2">
        <v>0.23</v>
      </c>
      <c r="V1176" t="s">
        <v>2561</v>
      </c>
      <c r="W1176" t="s">
        <v>2562</v>
      </c>
      <c r="X1176" t="b">
        <v>0</v>
      </c>
      <c r="Y1176" t="b">
        <v>0</v>
      </c>
    </row>
    <row r="1177" spans="1:25">
      <c r="A1177">
        <v>11760</v>
      </c>
      <c r="B1177" t="s">
        <v>2204</v>
      </c>
      <c r="C1177" t="s">
        <v>2563</v>
      </c>
      <c r="D1177" t="s">
        <v>2206</v>
      </c>
      <c r="E1177">
        <v>11760</v>
      </c>
      <c r="F1177">
        <v>14.4</v>
      </c>
      <c r="G1177">
        <v>1784</v>
      </c>
      <c r="H1177">
        <v>10.199999999999999</v>
      </c>
      <c r="I1177">
        <v>1629</v>
      </c>
      <c r="J1177">
        <v>54.2</v>
      </c>
      <c r="K1177">
        <v>912</v>
      </c>
      <c r="L1177">
        <v>18.5</v>
      </c>
      <c r="M1177">
        <v>1630</v>
      </c>
      <c r="N1177">
        <v>76</v>
      </c>
      <c r="O1177">
        <v>315</v>
      </c>
      <c r="P1177" t="s">
        <v>534</v>
      </c>
      <c r="Q1177" s="1">
        <v>61471</v>
      </c>
      <c r="R1177">
        <v>24.4</v>
      </c>
      <c r="S1177" s="2">
        <v>0.02</v>
      </c>
      <c r="T1177" s="3">
        <v>2.5687500000000001</v>
      </c>
      <c r="U1177" s="2">
        <v>0.31</v>
      </c>
      <c r="V1177" t="s">
        <v>2563</v>
      </c>
      <c r="W1177" t="s">
        <v>2564</v>
      </c>
      <c r="X1177" t="b">
        <v>0</v>
      </c>
      <c r="Y1177" t="b">
        <v>0</v>
      </c>
    </row>
    <row r="1178" spans="1:25">
      <c r="A1178">
        <v>11770</v>
      </c>
      <c r="B1178" t="s">
        <v>2204</v>
      </c>
      <c r="C1178" t="s">
        <v>2565</v>
      </c>
      <c r="D1178" t="s">
        <v>2206</v>
      </c>
      <c r="E1178">
        <v>11770</v>
      </c>
      <c r="F1178">
        <v>24.8</v>
      </c>
      <c r="G1178">
        <v>1023</v>
      </c>
      <c r="H1178">
        <v>23</v>
      </c>
      <c r="I1178">
        <v>689</v>
      </c>
      <c r="J1178">
        <v>42.6</v>
      </c>
      <c r="K1178">
        <v>1177</v>
      </c>
      <c r="L1178">
        <v>22.1</v>
      </c>
      <c r="M1178">
        <v>1437</v>
      </c>
      <c r="N1178">
        <v>59.3</v>
      </c>
      <c r="O1178">
        <v>599</v>
      </c>
      <c r="P1178" t="s">
        <v>813</v>
      </c>
      <c r="Q1178" s="1">
        <v>4509</v>
      </c>
      <c r="R1178">
        <v>9.9</v>
      </c>
      <c r="S1178" s="2">
        <v>0.14000000000000001</v>
      </c>
      <c r="T1178" s="3">
        <v>2.9784722222222224</v>
      </c>
      <c r="U1178" s="2">
        <v>0.21</v>
      </c>
      <c r="V1178" t="s">
        <v>2565</v>
      </c>
      <c r="W1178" t="s">
        <v>2566</v>
      </c>
      <c r="X1178" t="b">
        <v>0</v>
      </c>
      <c r="Y1178" t="b">
        <v>0</v>
      </c>
    </row>
    <row r="1179" spans="1:25">
      <c r="A1179">
        <v>11780</v>
      </c>
      <c r="B1179" t="s">
        <v>2204</v>
      </c>
      <c r="C1179" t="s">
        <v>2567</v>
      </c>
      <c r="D1179" t="s">
        <v>2206</v>
      </c>
      <c r="E1179">
        <v>11780</v>
      </c>
      <c r="F1179">
        <v>20.399999999999999</v>
      </c>
      <c r="G1179">
        <v>1345</v>
      </c>
      <c r="H1179">
        <v>9.1</v>
      </c>
      <c r="I1179">
        <v>1788</v>
      </c>
      <c r="J1179">
        <v>62.6</v>
      </c>
      <c r="K1179">
        <v>718</v>
      </c>
      <c r="L1179">
        <v>20</v>
      </c>
      <c r="M1179">
        <v>1535</v>
      </c>
      <c r="N1179">
        <v>47.8</v>
      </c>
      <c r="O1179">
        <v>873</v>
      </c>
      <c r="P1179" t="s">
        <v>1483</v>
      </c>
      <c r="Q1179" s="1">
        <v>123577</v>
      </c>
      <c r="R1179">
        <v>17.3</v>
      </c>
      <c r="S1179" s="2">
        <v>0.01</v>
      </c>
      <c r="T1179" s="3">
        <v>2.4048611111111109</v>
      </c>
      <c r="U1179" s="2">
        <v>0.26</v>
      </c>
      <c r="V1179" t="s">
        <v>2567</v>
      </c>
      <c r="W1179" t="s">
        <v>2568</v>
      </c>
      <c r="X1179" t="b">
        <v>0</v>
      </c>
      <c r="Y1179" t="b">
        <v>0</v>
      </c>
    </row>
    <row r="1180" spans="1:25">
      <c r="A1180">
        <v>11790</v>
      </c>
      <c r="B1180" t="s">
        <v>2204</v>
      </c>
      <c r="C1180" t="s">
        <v>2569</v>
      </c>
      <c r="D1180" t="s">
        <v>2206</v>
      </c>
      <c r="E1180">
        <v>11790</v>
      </c>
      <c r="F1180">
        <v>25.1</v>
      </c>
      <c r="G1180">
        <v>999</v>
      </c>
      <c r="H1180">
        <v>12.7</v>
      </c>
      <c r="I1180">
        <v>1340</v>
      </c>
      <c r="J1180">
        <v>42.9</v>
      </c>
      <c r="K1180">
        <v>1171</v>
      </c>
      <c r="L1180">
        <v>36.299999999999997</v>
      </c>
      <c r="M1180">
        <v>1068</v>
      </c>
      <c r="N1180">
        <v>40.700000000000003</v>
      </c>
      <c r="O1180">
        <v>1095</v>
      </c>
      <c r="P1180" t="s">
        <v>386</v>
      </c>
      <c r="Q1180" s="1">
        <v>4549</v>
      </c>
      <c r="R1180">
        <v>10.1</v>
      </c>
      <c r="S1180" s="2">
        <v>0.08</v>
      </c>
      <c r="T1180" t="s">
        <v>336</v>
      </c>
      <c r="U1180" s="2">
        <v>0.46</v>
      </c>
      <c r="V1180" t="s">
        <v>2569</v>
      </c>
      <c r="W1180" t="s">
        <v>2570</v>
      </c>
      <c r="X1180" t="b">
        <v>0</v>
      </c>
      <c r="Y1180" t="b">
        <v>0</v>
      </c>
    </row>
    <row r="1181" spans="1:25">
      <c r="A1181">
        <v>11800</v>
      </c>
      <c r="B1181" t="s">
        <v>2204</v>
      </c>
      <c r="C1181" t="s">
        <v>2571</v>
      </c>
      <c r="D1181" t="s">
        <v>2206</v>
      </c>
      <c r="E1181">
        <v>11800</v>
      </c>
      <c r="F1181">
        <v>19.100000000000001</v>
      </c>
      <c r="G1181">
        <v>1462</v>
      </c>
      <c r="H1181">
        <v>13.1</v>
      </c>
      <c r="I1181">
        <v>1295</v>
      </c>
      <c r="J1181">
        <v>45.6</v>
      </c>
      <c r="K1181">
        <v>1110</v>
      </c>
      <c r="L1181">
        <v>66</v>
      </c>
      <c r="M1181">
        <v>529</v>
      </c>
      <c r="N1181">
        <v>64.900000000000006</v>
      </c>
      <c r="O1181">
        <v>487</v>
      </c>
      <c r="P1181" t="s">
        <v>343</v>
      </c>
      <c r="Q1181" s="1">
        <v>20801</v>
      </c>
      <c r="R1181">
        <v>18.7</v>
      </c>
      <c r="S1181" s="2">
        <v>0.18</v>
      </c>
      <c r="T1181" s="3">
        <v>1.8722222222222222</v>
      </c>
      <c r="U1181" s="2">
        <v>0.35</v>
      </c>
      <c r="V1181" t="s">
        <v>2571</v>
      </c>
      <c r="W1181" t="s">
        <v>2572</v>
      </c>
      <c r="X1181" t="b">
        <v>0</v>
      </c>
      <c r="Y1181" t="b">
        <v>0</v>
      </c>
    </row>
    <row r="1182" spans="1:25">
      <c r="A1182">
        <v>11810</v>
      </c>
      <c r="B1182" t="s">
        <v>2204</v>
      </c>
      <c r="C1182" t="s">
        <v>2573</v>
      </c>
      <c r="D1182" t="s">
        <v>2206</v>
      </c>
      <c r="E1182">
        <v>11810</v>
      </c>
      <c r="F1182">
        <v>31.5</v>
      </c>
      <c r="G1182">
        <v>619</v>
      </c>
      <c r="H1182">
        <v>11.9</v>
      </c>
      <c r="I1182">
        <v>1420</v>
      </c>
      <c r="J1182">
        <v>29.1</v>
      </c>
      <c r="K1182">
        <v>1469</v>
      </c>
      <c r="L1182">
        <v>42</v>
      </c>
      <c r="M1182">
        <v>939</v>
      </c>
      <c r="N1182">
        <v>74.8</v>
      </c>
      <c r="O1182">
        <v>334</v>
      </c>
      <c r="P1182" t="s">
        <v>125</v>
      </c>
      <c r="Q1182" s="1">
        <v>3174</v>
      </c>
      <c r="R1182">
        <v>20.100000000000001</v>
      </c>
      <c r="S1182" s="2">
        <v>0.22</v>
      </c>
      <c r="T1182" t="s">
        <v>162</v>
      </c>
      <c r="U1182" s="2">
        <v>0.4</v>
      </c>
      <c r="V1182" t="s">
        <v>2573</v>
      </c>
      <c r="W1182" t="s">
        <v>1827</v>
      </c>
      <c r="X1182" t="b">
        <v>0</v>
      </c>
      <c r="Y1182" t="b">
        <v>0</v>
      </c>
    </row>
    <row r="1183" spans="1:25">
      <c r="A1183">
        <v>11820</v>
      </c>
      <c r="B1183" t="s">
        <v>2204</v>
      </c>
      <c r="C1183" t="s">
        <v>2574</v>
      </c>
      <c r="D1183" t="s">
        <v>2206</v>
      </c>
      <c r="E1183">
        <v>11820</v>
      </c>
      <c r="F1183">
        <v>19.600000000000001</v>
      </c>
      <c r="G1183">
        <v>1416</v>
      </c>
      <c r="H1183">
        <v>13.1</v>
      </c>
      <c r="I1183">
        <v>1296</v>
      </c>
      <c r="J1183">
        <v>52.7</v>
      </c>
      <c r="K1183">
        <v>951</v>
      </c>
      <c r="L1183">
        <v>19.7</v>
      </c>
      <c r="M1183">
        <v>1552</v>
      </c>
      <c r="N1183">
        <v>81</v>
      </c>
      <c r="O1183">
        <v>242</v>
      </c>
      <c r="P1183" t="s">
        <v>26</v>
      </c>
      <c r="Q1183" s="1">
        <v>14085</v>
      </c>
      <c r="R1183">
        <v>19.399999999999999</v>
      </c>
      <c r="S1183" s="2">
        <v>0.25</v>
      </c>
      <c r="T1183" s="3">
        <v>2.4048611111111109</v>
      </c>
      <c r="U1183" s="2">
        <v>0.28000000000000003</v>
      </c>
      <c r="V1183" t="s">
        <v>2574</v>
      </c>
      <c r="W1183" t="s">
        <v>2575</v>
      </c>
      <c r="X1183" t="b">
        <v>0</v>
      </c>
      <c r="Y1183" t="b">
        <v>0</v>
      </c>
    </row>
    <row r="1184" spans="1:25">
      <c r="A1184">
        <v>11830</v>
      </c>
      <c r="B1184" t="s">
        <v>2204</v>
      </c>
      <c r="C1184" t="s">
        <v>2576</v>
      </c>
      <c r="D1184" t="s">
        <v>2206</v>
      </c>
      <c r="E1184">
        <v>11830</v>
      </c>
      <c r="F1184">
        <v>17.8</v>
      </c>
      <c r="G1184">
        <v>1574</v>
      </c>
      <c r="H1184">
        <v>16</v>
      </c>
      <c r="I1184">
        <v>1051</v>
      </c>
      <c r="J1184">
        <v>47.8</v>
      </c>
      <c r="K1184">
        <v>1065</v>
      </c>
      <c r="L1184">
        <v>31.6</v>
      </c>
      <c r="M1184">
        <v>1148</v>
      </c>
      <c r="N1184">
        <v>43.9</v>
      </c>
      <c r="O1184">
        <v>996</v>
      </c>
      <c r="P1184" t="s">
        <v>29</v>
      </c>
      <c r="Q1184" s="1">
        <v>30895</v>
      </c>
      <c r="R1184">
        <v>20</v>
      </c>
      <c r="S1184" s="2">
        <v>0.01</v>
      </c>
      <c r="T1184" s="3">
        <v>2.5277777777777777</v>
      </c>
      <c r="U1184" s="2">
        <v>0.24</v>
      </c>
      <c r="V1184" t="s">
        <v>2576</v>
      </c>
      <c r="W1184" t="s">
        <v>2577</v>
      </c>
      <c r="X1184" t="b">
        <v>0</v>
      </c>
      <c r="Y1184" t="b">
        <v>0</v>
      </c>
    </row>
    <row r="1185" spans="1:25">
      <c r="A1185">
        <v>11840</v>
      </c>
      <c r="B1185" t="s">
        <v>2204</v>
      </c>
      <c r="C1185" t="s">
        <v>2578</v>
      </c>
      <c r="D1185" t="s">
        <v>2206</v>
      </c>
      <c r="E1185">
        <v>11840</v>
      </c>
      <c r="F1185">
        <v>17.899999999999999</v>
      </c>
      <c r="G1185">
        <v>1562</v>
      </c>
      <c r="H1185">
        <v>14.3</v>
      </c>
      <c r="I1185">
        <v>1183</v>
      </c>
      <c r="J1185">
        <v>48.2</v>
      </c>
      <c r="K1185">
        <v>1053</v>
      </c>
      <c r="L1185">
        <v>48.8</v>
      </c>
      <c r="M1185">
        <v>829</v>
      </c>
      <c r="N1185">
        <v>40.5</v>
      </c>
      <c r="O1185">
        <v>1104</v>
      </c>
      <c r="P1185" t="s">
        <v>895</v>
      </c>
      <c r="Q1185" s="1">
        <v>4771</v>
      </c>
      <c r="R1185">
        <v>14.3</v>
      </c>
      <c r="S1185" s="2">
        <v>0.01</v>
      </c>
      <c r="T1185" s="3">
        <v>1.9951388888888888</v>
      </c>
      <c r="U1185" s="2">
        <v>0.41</v>
      </c>
      <c r="V1185" t="s">
        <v>2578</v>
      </c>
      <c r="W1185" t="s">
        <v>2579</v>
      </c>
      <c r="X1185" t="b">
        <v>0</v>
      </c>
      <c r="Y1185" t="b">
        <v>0</v>
      </c>
    </row>
    <row r="1186" spans="1:25">
      <c r="A1186">
        <v>11850</v>
      </c>
      <c r="B1186" t="s">
        <v>2204</v>
      </c>
      <c r="C1186" t="s">
        <v>2580</v>
      </c>
      <c r="D1186" t="s">
        <v>2206</v>
      </c>
      <c r="E1186">
        <v>11850</v>
      </c>
      <c r="F1186">
        <v>29.8</v>
      </c>
      <c r="G1186">
        <v>702</v>
      </c>
      <c r="H1186">
        <v>16.2</v>
      </c>
      <c r="I1186">
        <v>1038</v>
      </c>
      <c r="J1186">
        <v>39.200000000000003</v>
      </c>
      <c r="K1186">
        <v>1236</v>
      </c>
      <c r="L1186">
        <v>48</v>
      </c>
      <c r="M1186">
        <v>846</v>
      </c>
      <c r="N1186">
        <v>36.5</v>
      </c>
      <c r="O1186">
        <v>1261</v>
      </c>
      <c r="P1186" t="s">
        <v>94</v>
      </c>
      <c r="Q1186" s="1">
        <v>8903</v>
      </c>
      <c r="R1186">
        <v>10.9</v>
      </c>
      <c r="S1186" s="2">
        <v>7.0000000000000007E-2</v>
      </c>
      <c r="T1186" t="s">
        <v>501</v>
      </c>
      <c r="U1186" s="2">
        <v>0.39</v>
      </c>
      <c r="V1186" t="s">
        <v>2580</v>
      </c>
      <c r="W1186" t="s">
        <v>2581</v>
      </c>
      <c r="X1186" t="b">
        <v>0</v>
      </c>
      <c r="Y1186" t="b">
        <v>0</v>
      </c>
    </row>
    <row r="1187" spans="1:25">
      <c r="A1187">
        <v>11860</v>
      </c>
      <c r="B1187" t="s">
        <v>2204</v>
      </c>
      <c r="C1187" t="s">
        <v>2582</v>
      </c>
      <c r="D1187" t="s">
        <v>2206</v>
      </c>
      <c r="E1187">
        <v>11860</v>
      </c>
      <c r="F1187">
        <v>28.7</v>
      </c>
      <c r="G1187">
        <v>760</v>
      </c>
      <c r="H1187">
        <v>24</v>
      </c>
      <c r="I1187">
        <v>655</v>
      </c>
      <c r="J1187">
        <v>24.7</v>
      </c>
      <c r="K1187">
        <v>1570</v>
      </c>
      <c r="L1187">
        <v>89.8</v>
      </c>
      <c r="M1187">
        <v>170</v>
      </c>
      <c r="N1187">
        <v>43.5</v>
      </c>
      <c r="O1187">
        <v>1003</v>
      </c>
      <c r="P1187" t="s">
        <v>94</v>
      </c>
      <c r="Q1187" s="1">
        <v>2034</v>
      </c>
      <c r="R1187">
        <v>10.8</v>
      </c>
      <c r="S1187" s="2">
        <v>0.15</v>
      </c>
      <c r="T1187">
        <v>0.6020833333333333</v>
      </c>
      <c r="U1187" s="2">
        <v>0.39</v>
      </c>
      <c r="V1187" t="s">
        <v>2582</v>
      </c>
      <c r="W1187" t="s">
        <v>2583</v>
      </c>
      <c r="X1187" t="b">
        <v>0</v>
      </c>
      <c r="Y1187" t="b">
        <v>0</v>
      </c>
    </row>
    <row r="1188" spans="1:25">
      <c r="A1188">
        <v>11870</v>
      </c>
      <c r="B1188" t="s">
        <v>2204</v>
      </c>
      <c r="C1188" t="s">
        <v>2584</v>
      </c>
      <c r="D1188" t="s">
        <v>2206</v>
      </c>
      <c r="E1188">
        <v>11870</v>
      </c>
      <c r="F1188">
        <v>28.7</v>
      </c>
      <c r="G1188">
        <v>761</v>
      </c>
      <c r="H1188">
        <v>16.2</v>
      </c>
      <c r="I1188">
        <v>1039</v>
      </c>
      <c r="J1188">
        <v>38.4</v>
      </c>
      <c r="K1188">
        <v>1252</v>
      </c>
      <c r="L1188">
        <v>57.2</v>
      </c>
      <c r="M1188">
        <v>702</v>
      </c>
      <c r="N1188">
        <v>33.200000000000003</v>
      </c>
      <c r="O1188">
        <v>1385</v>
      </c>
      <c r="P1188" t="s">
        <v>94</v>
      </c>
      <c r="Q1188">
        <v>503</v>
      </c>
      <c r="R1188">
        <v>9.6999999999999993</v>
      </c>
      <c r="S1188" s="2">
        <v>0.01</v>
      </c>
      <c r="T1188">
        <v>0.3972222222222222</v>
      </c>
      <c r="U1188" s="2">
        <v>0.39</v>
      </c>
      <c r="V1188" t="s">
        <v>2584</v>
      </c>
      <c r="W1188" t="s">
        <v>2585</v>
      </c>
      <c r="X1188" t="b">
        <v>0</v>
      </c>
      <c r="Y1188" t="b">
        <v>0</v>
      </c>
    </row>
    <row r="1189" spans="1:25">
      <c r="A1189">
        <v>11880</v>
      </c>
      <c r="B1189" t="s">
        <v>2204</v>
      </c>
      <c r="C1189" t="s">
        <v>2586</v>
      </c>
      <c r="D1189" t="s">
        <v>2206</v>
      </c>
      <c r="E1189">
        <v>11880</v>
      </c>
      <c r="F1189">
        <v>16.8</v>
      </c>
      <c r="G1189">
        <v>1649</v>
      </c>
      <c r="H1189">
        <v>17.100000000000001</v>
      </c>
      <c r="I1189">
        <v>969</v>
      </c>
      <c r="J1189">
        <v>48.1</v>
      </c>
      <c r="K1189">
        <v>1059</v>
      </c>
      <c r="L1189">
        <v>53.6</v>
      </c>
      <c r="M1189">
        <v>743</v>
      </c>
      <c r="N1189">
        <v>45.3</v>
      </c>
      <c r="O1189">
        <v>956</v>
      </c>
      <c r="P1189" t="s">
        <v>664</v>
      </c>
      <c r="Q1189" s="1">
        <v>19080</v>
      </c>
      <c r="R1189">
        <v>17.2</v>
      </c>
      <c r="S1189" s="2">
        <v>0.09</v>
      </c>
      <c r="T1189" s="3">
        <v>2.1590277777777778</v>
      </c>
      <c r="U1189" s="2">
        <v>0.37</v>
      </c>
      <c r="V1189" t="s">
        <v>2586</v>
      </c>
      <c r="W1189" t="s">
        <v>2587</v>
      </c>
      <c r="X1189" t="b">
        <v>0</v>
      </c>
      <c r="Y1189" t="b">
        <v>0</v>
      </c>
    </row>
    <row r="1190" spans="1:25">
      <c r="A1190">
        <v>11890</v>
      </c>
      <c r="B1190" t="s">
        <v>2204</v>
      </c>
      <c r="C1190" t="s">
        <v>2588</v>
      </c>
      <c r="D1190" t="s">
        <v>2206</v>
      </c>
      <c r="E1190">
        <v>11890</v>
      </c>
      <c r="F1190">
        <v>19.100000000000001</v>
      </c>
      <c r="G1190">
        <v>1463</v>
      </c>
      <c r="H1190">
        <v>18.7</v>
      </c>
      <c r="I1190">
        <v>886</v>
      </c>
      <c r="J1190">
        <v>47.6</v>
      </c>
      <c r="K1190">
        <v>1071</v>
      </c>
      <c r="L1190">
        <v>30.1</v>
      </c>
      <c r="M1190">
        <v>1181</v>
      </c>
      <c r="N1190">
        <v>49.7</v>
      </c>
      <c r="O1190">
        <v>815</v>
      </c>
      <c r="P1190" t="s">
        <v>664</v>
      </c>
      <c r="Q1190" s="1">
        <v>10143</v>
      </c>
      <c r="R1190">
        <v>16.8</v>
      </c>
      <c r="S1190" s="2">
        <v>0.05</v>
      </c>
      <c r="T1190" s="3">
        <v>2.8965277777777776</v>
      </c>
      <c r="U1190" s="2">
        <v>0.34</v>
      </c>
      <c r="V1190" t="s">
        <v>2588</v>
      </c>
      <c r="W1190" t="s">
        <v>2589</v>
      </c>
      <c r="X1190" t="b">
        <v>0</v>
      </c>
      <c r="Y1190" t="b">
        <v>0</v>
      </c>
    </row>
    <row r="1191" spans="1:25">
      <c r="A1191">
        <v>11900</v>
      </c>
      <c r="B1191" t="s">
        <v>2204</v>
      </c>
      <c r="C1191" t="s">
        <v>2590</v>
      </c>
      <c r="D1191" t="s">
        <v>2206</v>
      </c>
      <c r="E1191">
        <v>11900</v>
      </c>
      <c r="F1191">
        <v>24.9</v>
      </c>
      <c r="G1191">
        <v>1013</v>
      </c>
      <c r="H1191">
        <v>25.9</v>
      </c>
      <c r="I1191">
        <v>577</v>
      </c>
      <c r="J1191">
        <v>34.700000000000003</v>
      </c>
      <c r="K1191">
        <v>1333</v>
      </c>
      <c r="L1191">
        <v>50.6</v>
      </c>
      <c r="M1191">
        <v>801</v>
      </c>
      <c r="N1191">
        <v>59.8</v>
      </c>
      <c r="O1191">
        <v>589</v>
      </c>
      <c r="P1191" t="s">
        <v>255</v>
      </c>
      <c r="Q1191" s="1">
        <v>26883</v>
      </c>
      <c r="R1191">
        <v>14</v>
      </c>
      <c r="S1191" s="2">
        <v>0.16</v>
      </c>
      <c r="T1191" s="3">
        <v>2.1180555555555554</v>
      </c>
      <c r="U1191" s="2">
        <v>0.43</v>
      </c>
      <c r="V1191" t="s">
        <v>2590</v>
      </c>
      <c r="W1191" t="s">
        <v>2591</v>
      </c>
      <c r="X1191" t="b">
        <v>0</v>
      </c>
      <c r="Y1191" t="b">
        <v>0</v>
      </c>
    </row>
    <row r="1192" spans="1:25">
      <c r="A1192">
        <v>11910</v>
      </c>
      <c r="B1192" t="s">
        <v>2204</v>
      </c>
      <c r="C1192" t="s">
        <v>2592</v>
      </c>
      <c r="D1192" t="s">
        <v>2206</v>
      </c>
      <c r="E1192">
        <v>11910</v>
      </c>
      <c r="F1192">
        <v>15.8</v>
      </c>
      <c r="G1192">
        <v>1715</v>
      </c>
      <c r="H1192">
        <v>17.8</v>
      </c>
      <c r="I1192">
        <v>933</v>
      </c>
      <c r="J1192">
        <v>52.2</v>
      </c>
      <c r="K1192">
        <v>960</v>
      </c>
      <c r="L1192">
        <v>33.1</v>
      </c>
      <c r="M1192">
        <v>1128</v>
      </c>
      <c r="N1192">
        <v>52.5</v>
      </c>
      <c r="O1192">
        <v>729</v>
      </c>
      <c r="P1192" t="s">
        <v>397</v>
      </c>
      <c r="Q1192" s="1">
        <v>15779</v>
      </c>
      <c r="R1192">
        <v>39</v>
      </c>
      <c r="S1192" s="2">
        <v>0.06</v>
      </c>
      <c r="T1192" s="3">
        <v>2.6506944444444445</v>
      </c>
      <c r="U1192" s="2">
        <v>0.27</v>
      </c>
      <c r="V1192" t="s">
        <v>2592</v>
      </c>
      <c r="W1192" t="s">
        <v>2593</v>
      </c>
      <c r="X1192" t="b">
        <v>0</v>
      </c>
      <c r="Y1192" t="b">
        <v>0</v>
      </c>
    </row>
    <row r="1193" spans="1:25">
      <c r="A1193">
        <v>11920</v>
      </c>
      <c r="B1193" t="s">
        <v>2204</v>
      </c>
      <c r="C1193" t="s">
        <v>2594</v>
      </c>
      <c r="D1193" t="s">
        <v>2206</v>
      </c>
      <c r="E1193">
        <v>11920</v>
      </c>
      <c r="F1193">
        <v>11.4</v>
      </c>
      <c r="G1193">
        <v>1892</v>
      </c>
      <c r="H1193">
        <v>16.8</v>
      </c>
      <c r="I1193">
        <v>988</v>
      </c>
      <c r="J1193">
        <v>59.9</v>
      </c>
      <c r="K1193">
        <v>788</v>
      </c>
      <c r="L1193">
        <v>16.600000000000001</v>
      </c>
      <c r="M1193">
        <v>1804</v>
      </c>
      <c r="N1193">
        <v>27.7</v>
      </c>
      <c r="O1193">
        <v>1596</v>
      </c>
      <c r="P1193" t="s">
        <v>795</v>
      </c>
      <c r="Q1193" s="1">
        <v>3193</v>
      </c>
      <c r="R1193">
        <v>30.7</v>
      </c>
      <c r="S1193" s="2">
        <v>0</v>
      </c>
      <c r="T1193" t="s">
        <v>105</v>
      </c>
      <c r="U1193" s="2">
        <v>0.49</v>
      </c>
      <c r="V1193" t="s">
        <v>2594</v>
      </c>
      <c r="W1193" t="s">
        <v>2595</v>
      </c>
      <c r="X1193" t="b">
        <v>0</v>
      </c>
      <c r="Y1193" t="b">
        <v>0</v>
      </c>
    </row>
    <row r="1194" spans="1:25">
      <c r="A1194">
        <v>11930</v>
      </c>
      <c r="B1194" t="s">
        <v>2204</v>
      </c>
      <c r="C1194" t="s">
        <v>2596</v>
      </c>
      <c r="D1194" t="s">
        <v>2206</v>
      </c>
      <c r="E1194">
        <v>11930</v>
      </c>
      <c r="F1194">
        <v>19.899999999999999</v>
      </c>
      <c r="G1194">
        <v>1384</v>
      </c>
      <c r="H1194">
        <v>9.1</v>
      </c>
      <c r="I1194">
        <v>1790</v>
      </c>
      <c r="J1194">
        <v>54.5</v>
      </c>
      <c r="K1194">
        <v>901</v>
      </c>
      <c r="L1194">
        <v>23.8</v>
      </c>
      <c r="M1194">
        <v>1376</v>
      </c>
      <c r="N1194">
        <v>40</v>
      </c>
      <c r="O1194">
        <v>1119</v>
      </c>
      <c r="P1194" t="s">
        <v>1853</v>
      </c>
      <c r="Q1194" s="1">
        <v>5501</v>
      </c>
      <c r="R1194">
        <v>17.7</v>
      </c>
      <c r="S1194" s="2">
        <v>7.0000000000000007E-2</v>
      </c>
      <c r="T1194" s="3">
        <v>2.2409722222222221</v>
      </c>
      <c r="U1194" s="2">
        <v>0.18</v>
      </c>
      <c r="V1194" t="s">
        <v>2596</v>
      </c>
      <c r="W1194" t="s">
        <v>2597</v>
      </c>
      <c r="X1194" t="b">
        <v>0</v>
      </c>
      <c r="Y1194" t="b">
        <v>0</v>
      </c>
    </row>
    <row r="1195" spans="1:25">
      <c r="A1195">
        <v>11940</v>
      </c>
      <c r="B1195" t="s">
        <v>2204</v>
      </c>
      <c r="C1195" t="s">
        <v>2598</v>
      </c>
      <c r="D1195" t="s">
        <v>2206</v>
      </c>
      <c r="E1195">
        <v>11940</v>
      </c>
      <c r="F1195">
        <v>33.799999999999997</v>
      </c>
      <c r="G1195">
        <v>508</v>
      </c>
      <c r="H1195">
        <v>12.7</v>
      </c>
      <c r="I1195">
        <v>1342</v>
      </c>
      <c r="J1195">
        <v>49.5</v>
      </c>
      <c r="K1195">
        <v>1031</v>
      </c>
      <c r="L1195">
        <v>59.1</v>
      </c>
      <c r="M1195">
        <v>662</v>
      </c>
      <c r="N1195">
        <v>19.600000000000001</v>
      </c>
      <c r="O1195">
        <v>1881</v>
      </c>
      <c r="P1195" t="s">
        <v>94</v>
      </c>
      <c r="Q1195" s="1">
        <v>1810</v>
      </c>
      <c r="R1195">
        <v>4.3</v>
      </c>
      <c r="S1195" s="2">
        <v>0</v>
      </c>
      <c r="T1195" s="3">
        <v>1.9131944444444444</v>
      </c>
      <c r="U1195" s="2">
        <v>0.03</v>
      </c>
      <c r="V1195" t="s">
        <v>2598</v>
      </c>
      <c r="W1195" t="s">
        <v>253</v>
      </c>
      <c r="X1195" t="b">
        <v>0</v>
      </c>
      <c r="Y1195" t="b">
        <v>0</v>
      </c>
    </row>
    <row r="1196" spans="1:25">
      <c r="A1196">
        <v>11950</v>
      </c>
      <c r="B1196" t="s">
        <v>2204</v>
      </c>
      <c r="C1196" t="s">
        <v>2599</v>
      </c>
      <c r="D1196" t="s">
        <v>2206</v>
      </c>
      <c r="E1196">
        <v>11950</v>
      </c>
      <c r="F1196">
        <v>24</v>
      </c>
      <c r="G1196">
        <v>1084</v>
      </c>
      <c r="H1196">
        <v>17.100000000000001</v>
      </c>
      <c r="I1196">
        <v>971</v>
      </c>
      <c r="J1196">
        <v>39.200000000000003</v>
      </c>
      <c r="K1196">
        <v>1237</v>
      </c>
      <c r="L1196">
        <v>39.299999999999997</v>
      </c>
      <c r="M1196">
        <v>999</v>
      </c>
      <c r="N1196">
        <v>43.1</v>
      </c>
      <c r="O1196">
        <v>1021</v>
      </c>
      <c r="P1196" t="s">
        <v>29</v>
      </c>
      <c r="Q1196" s="1">
        <v>16486</v>
      </c>
      <c r="R1196">
        <v>21.3</v>
      </c>
      <c r="S1196" s="2">
        <v>0.08</v>
      </c>
      <c r="T1196" s="3">
        <v>2.2409722222222221</v>
      </c>
      <c r="U1196" s="2">
        <v>0.28000000000000003</v>
      </c>
      <c r="V1196" t="s">
        <v>2599</v>
      </c>
      <c r="W1196" t="s">
        <v>2600</v>
      </c>
      <c r="X1196" t="b">
        <v>0</v>
      </c>
      <c r="Y1196" t="b">
        <v>0</v>
      </c>
    </row>
    <row r="1197" spans="1:25">
      <c r="A1197">
        <v>11960</v>
      </c>
      <c r="B1197" t="s">
        <v>2204</v>
      </c>
      <c r="C1197" t="s">
        <v>2601</v>
      </c>
      <c r="D1197" t="s">
        <v>2206</v>
      </c>
      <c r="E1197">
        <v>11960</v>
      </c>
      <c r="F1197">
        <v>19.7</v>
      </c>
      <c r="G1197">
        <v>1406</v>
      </c>
      <c r="H1197">
        <v>11.8</v>
      </c>
      <c r="I1197">
        <v>1434</v>
      </c>
      <c r="J1197">
        <v>51.9</v>
      </c>
      <c r="K1197">
        <v>971</v>
      </c>
      <c r="L1197">
        <v>31.5</v>
      </c>
      <c r="M1197">
        <v>1151</v>
      </c>
      <c r="N1197">
        <v>47.3</v>
      </c>
      <c r="O1197">
        <v>884</v>
      </c>
      <c r="P1197" t="s">
        <v>2602</v>
      </c>
      <c r="Q1197" s="1">
        <v>39257</v>
      </c>
      <c r="R1197">
        <v>16.3</v>
      </c>
      <c r="S1197" s="2">
        <v>0.01</v>
      </c>
      <c r="T1197" s="3">
        <v>2.8555555555555556</v>
      </c>
      <c r="U1197" s="2">
        <v>0.2</v>
      </c>
      <c r="V1197" t="s">
        <v>2601</v>
      </c>
      <c r="W1197" t="s">
        <v>2603</v>
      </c>
      <c r="X1197" t="b">
        <v>0</v>
      </c>
      <c r="Y1197" t="b">
        <v>0</v>
      </c>
    </row>
    <row r="1198" spans="1:25">
      <c r="A1198">
        <v>11970</v>
      </c>
      <c r="B1198" t="s">
        <v>2204</v>
      </c>
      <c r="C1198" t="s">
        <v>2604</v>
      </c>
      <c r="D1198" t="s">
        <v>2206</v>
      </c>
      <c r="E1198">
        <v>11970</v>
      </c>
      <c r="F1198">
        <v>19.7</v>
      </c>
      <c r="G1198">
        <v>1407</v>
      </c>
      <c r="H1198">
        <v>9.6999999999999993</v>
      </c>
      <c r="I1198">
        <v>1694</v>
      </c>
      <c r="J1198">
        <v>47.8</v>
      </c>
      <c r="K1198">
        <v>1066</v>
      </c>
      <c r="L1198">
        <v>16.2</v>
      </c>
      <c r="M1198">
        <v>1847</v>
      </c>
      <c r="N1198">
        <v>91.7</v>
      </c>
      <c r="O1198">
        <v>104</v>
      </c>
      <c r="P1198" t="s">
        <v>26</v>
      </c>
      <c r="Q1198" s="1">
        <v>9835</v>
      </c>
      <c r="R1198">
        <v>12.9</v>
      </c>
      <c r="S1198" s="2">
        <v>0.45</v>
      </c>
      <c r="T1198" s="3">
        <v>2.4868055555555557</v>
      </c>
      <c r="U1198" s="2">
        <v>0.28999999999999998</v>
      </c>
      <c r="V1198" t="s">
        <v>2604</v>
      </c>
      <c r="W1198" t="s">
        <v>2605</v>
      </c>
      <c r="X1198" t="b">
        <v>0</v>
      </c>
      <c r="Y1198" t="b">
        <v>0</v>
      </c>
    </row>
    <row r="1199" spans="1:25">
      <c r="A1199">
        <v>11980</v>
      </c>
      <c r="B1199" t="s">
        <v>2204</v>
      </c>
      <c r="C1199" t="s">
        <v>2606</v>
      </c>
      <c r="D1199" t="s">
        <v>2206</v>
      </c>
      <c r="E1199">
        <v>11980</v>
      </c>
      <c r="F1199">
        <v>18.899999999999999</v>
      </c>
      <c r="G1199">
        <v>1475</v>
      </c>
      <c r="H1199">
        <v>16.3</v>
      </c>
      <c r="I1199">
        <v>1031</v>
      </c>
      <c r="J1199">
        <v>50.5</v>
      </c>
      <c r="K1199">
        <v>1013</v>
      </c>
      <c r="L1199">
        <v>16</v>
      </c>
      <c r="M1199">
        <v>1871</v>
      </c>
      <c r="N1199">
        <v>59.8</v>
      </c>
      <c r="O1199">
        <v>590</v>
      </c>
      <c r="P1199" t="s">
        <v>26</v>
      </c>
      <c r="Q1199" s="1">
        <v>7495</v>
      </c>
      <c r="R1199">
        <v>17.399999999999999</v>
      </c>
      <c r="S1199" s="2">
        <v>0.1</v>
      </c>
      <c r="T1199" s="3">
        <v>2.7326388888888888</v>
      </c>
      <c r="U1199" s="2">
        <v>0.12</v>
      </c>
      <c r="V1199" t="s">
        <v>2606</v>
      </c>
      <c r="W1199" t="s">
        <v>2607</v>
      </c>
      <c r="X1199" t="b">
        <v>0</v>
      </c>
      <c r="Y1199" t="b">
        <v>0</v>
      </c>
    </row>
    <row r="1200" spans="1:25">
      <c r="A1200">
        <v>11990</v>
      </c>
      <c r="B1200" t="s">
        <v>2204</v>
      </c>
      <c r="C1200" t="s">
        <v>2608</v>
      </c>
      <c r="D1200" t="s">
        <v>2206</v>
      </c>
      <c r="E1200">
        <v>11990</v>
      </c>
      <c r="F1200">
        <v>24.3</v>
      </c>
      <c r="G1200">
        <v>1063</v>
      </c>
      <c r="H1200">
        <v>25.9</v>
      </c>
      <c r="I1200">
        <v>578</v>
      </c>
      <c r="J1200">
        <v>35.9</v>
      </c>
      <c r="K1200">
        <v>1306</v>
      </c>
      <c r="L1200">
        <v>25.6</v>
      </c>
      <c r="M1200">
        <v>1315</v>
      </c>
      <c r="N1200">
        <v>44.1</v>
      </c>
      <c r="O1200">
        <v>989</v>
      </c>
      <c r="P1200" t="s">
        <v>1543</v>
      </c>
      <c r="Q1200" s="1">
        <v>17787</v>
      </c>
      <c r="R1200">
        <v>15.1</v>
      </c>
      <c r="S1200" s="2">
        <v>7.0000000000000007E-2</v>
      </c>
      <c r="T1200" s="3">
        <v>2.8145833333333332</v>
      </c>
      <c r="U1200" s="2">
        <v>0.3</v>
      </c>
      <c r="V1200" t="s">
        <v>2608</v>
      </c>
      <c r="W1200" t="s">
        <v>2609</v>
      </c>
      <c r="X1200" t="b">
        <v>0</v>
      </c>
      <c r="Y1200" t="b">
        <v>0</v>
      </c>
    </row>
    <row r="1201" spans="1:25">
      <c r="A1201">
        <v>12000</v>
      </c>
      <c r="B1201" t="s">
        <v>2204</v>
      </c>
      <c r="C1201" t="s">
        <v>2610</v>
      </c>
      <c r="D1201" t="s">
        <v>2206</v>
      </c>
      <c r="E1201">
        <v>12000</v>
      </c>
      <c r="F1201">
        <v>25.3</v>
      </c>
      <c r="G1201">
        <v>986</v>
      </c>
      <c r="H1201">
        <v>17.3</v>
      </c>
      <c r="I1201">
        <v>952</v>
      </c>
      <c r="J1201">
        <v>44.7</v>
      </c>
      <c r="K1201">
        <v>1130</v>
      </c>
      <c r="L1201">
        <v>39.4</v>
      </c>
      <c r="M1201">
        <v>998</v>
      </c>
      <c r="N1201">
        <v>36.1</v>
      </c>
      <c r="O1201">
        <v>1276</v>
      </c>
      <c r="P1201" t="s">
        <v>795</v>
      </c>
      <c r="Q1201" s="1">
        <v>14204</v>
      </c>
      <c r="R1201">
        <v>29.7</v>
      </c>
      <c r="S1201" s="2">
        <v>0.03</v>
      </c>
      <c r="T1201" s="3">
        <v>2.4048611111111109</v>
      </c>
      <c r="U1201" s="2">
        <v>0.42</v>
      </c>
      <c r="V1201" t="s">
        <v>2610</v>
      </c>
      <c r="W1201" t="s">
        <v>2611</v>
      </c>
      <c r="X1201" t="b">
        <v>0</v>
      </c>
      <c r="Y1201" t="b">
        <v>0</v>
      </c>
    </row>
    <row r="1202" spans="1:25">
      <c r="A1202">
        <v>12010</v>
      </c>
      <c r="B1202" t="s">
        <v>2204</v>
      </c>
      <c r="C1202" t="s">
        <v>2612</v>
      </c>
      <c r="D1202" t="s">
        <v>2206</v>
      </c>
      <c r="E1202">
        <v>12010</v>
      </c>
      <c r="F1202">
        <v>26</v>
      </c>
      <c r="G1202">
        <v>942</v>
      </c>
      <c r="H1202">
        <v>15.9</v>
      </c>
      <c r="I1202">
        <v>1059</v>
      </c>
      <c r="J1202">
        <v>44.7</v>
      </c>
      <c r="K1202">
        <v>1131</v>
      </c>
      <c r="L1202">
        <v>59.7</v>
      </c>
      <c r="M1202">
        <v>653</v>
      </c>
      <c r="N1202">
        <v>31.2</v>
      </c>
      <c r="O1202">
        <v>1458</v>
      </c>
      <c r="P1202" t="s">
        <v>2613</v>
      </c>
      <c r="Q1202" s="1">
        <v>58474</v>
      </c>
      <c r="R1202">
        <v>14.8</v>
      </c>
      <c r="S1202" s="2">
        <v>0.03</v>
      </c>
      <c r="T1202" s="3">
        <v>2.5277777777777777</v>
      </c>
      <c r="U1202" s="2">
        <v>0.28999999999999998</v>
      </c>
      <c r="V1202" t="s">
        <v>2612</v>
      </c>
      <c r="W1202" t="s">
        <v>2614</v>
      </c>
      <c r="X1202" t="b">
        <v>0</v>
      </c>
      <c r="Y1202" t="b">
        <v>0</v>
      </c>
    </row>
    <row r="1203" spans="1:25">
      <c r="A1203">
        <v>12020</v>
      </c>
      <c r="B1203" t="s">
        <v>2204</v>
      </c>
      <c r="C1203" t="s">
        <v>2615</v>
      </c>
      <c r="D1203" t="s">
        <v>2206</v>
      </c>
      <c r="E1203">
        <v>12020</v>
      </c>
      <c r="F1203">
        <v>25.8</v>
      </c>
      <c r="G1203">
        <v>956</v>
      </c>
      <c r="H1203">
        <v>17.3</v>
      </c>
      <c r="I1203">
        <v>953</v>
      </c>
      <c r="J1203">
        <v>53.9</v>
      </c>
      <c r="K1203">
        <v>922</v>
      </c>
      <c r="L1203">
        <v>20.5</v>
      </c>
      <c r="M1203">
        <v>1515</v>
      </c>
      <c r="N1203">
        <v>37.700000000000003</v>
      </c>
      <c r="O1203">
        <v>1215</v>
      </c>
      <c r="P1203" t="s">
        <v>1483</v>
      </c>
      <c r="Q1203" s="1">
        <v>1052</v>
      </c>
      <c r="R1203">
        <v>9.8000000000000007</v>
      </c>
      <c r="S1203" s="2">
        <v>0</v>
      </c>
      <c r="T1203" s="3">
        <v>2.036111111111111</v>
      </c>
      <c r="U1203" s="2">
        <v>0.34</v>
      </c>
      <c r="V1203" t="s">
        <v>2615</v>
      </c>
      <c r="W1203" t="s">
        <v>2616</v>
      </c>
      <c r="X1203" t="b">
        <v>0</v>
      </c>
      <c r="Y1203" t="b">
        <v>0</v>
      </c>
    </row>
    <row r="1204" spans="1:25">
      <c r="A1204">
        <v>12030</v>
      </c>
      <c r="B1204" t="s">
        <v>2204</v>
      </c>
      <c r="C1204" t="s">
        <v>2617</v>
      </c>
      <c r="D1204" t="s">
        <v>2206</v>
      </c>
      <c r="E1204">
        <v>12030</v>
      </c>
      <c r="F1204">
        <v>14</v>
      </c>
      <c r="G1204">
        <v>1806</v>
      </c>
      <c r="H1204">
        <v>13.3</v>
      </c>
      <c r="I1204">
        <v>1284</v>
      </c>
      <c r="J1204">
        <v>67</v>
      </c>
      <c r="K1204">
        <v>623</v>
      </c>
      <c r="L1204">
        <v>37.5</v>
      </c>
      <c r="M1204">
        <v>1030</v>
      </c>
      <c r="N1204">
        <v>30.5</v>
      </c>
      <c r="O1204">
        <v>1481</v>
      </c>
      <c r="P1204" t="s">
        <v>54</v>
      </c>
      <c r="Q1204" s="1">
        <v>18214</v>
      </c>
      <c r="R1204">
        <v>22.5</v>
      </c>
      <c r="S1204" s="2">
        <v>0.03</v>
      </c>
      <c r="T1204" s="3">
        <v>2.6506944444444445</v>
      </c>
      <c r="U1204" s="2">
        <v>0.3</v>
      </c>
      <c r="V1204" t="s">
        <v>2617</v>
      </c>
      <c r="W1204" t="s">
        <v>2618</v>
      </c>
      <c r="X1204" t="b">
        <v>0</v>
      </c>
      <c r="Y1204" t="b">
        <v>0</v>
      </c>
    </row>
    <row r="1205" spans="1:25">
      <c r="A1205">
        <v>12040</v>
      </c>
      <c r="B1205" t="s">
        <v>2204</v>
      </c>
      <c r="C1205" t="s">
        <v>2619</v>
      </c>
      <c r="D1205" t="s">
        <v>2206</v>
      </c>
      <c r="E1205">
        <v>12040</v>
      </c>
      <c r="F1205">
        <v>27.7</v>
      </c>
      <c r="G1205">
        <v>829</v>
      </c>
      <c r="H1205">
        <v>18</v>
      </c>
      <c r="I1205">
        <v>923</v>
      </c>
      <c r="J1205">
        <v>48.2</v>
      </c>
      <c r="K1205">
        <v>1054</v>
      </c>
      <c r="L1205">
        <v>30.6</v>
      </c>
      <c r="M1205">
        <v>1170</v>
      </c>
      <c r="N1205">
        <v>31.8</v>
      </c>
      <c r="O1205">
        <v>1437</v>
      </c>
      <c r="P1205" t="s">
        <v>2278</v>
      </c>
      <c r="Q1205" s="1">
        <v>7154</v>
      </c>
      <c r="R1205">
        <v>14</v>
      </c>
      <c r="S1205" s="2">
        <v>0.03</v>
      </c>
      <c r="T1205" t="s">
        <v>324</v>
      </c>
      <c r="U1205" s="2">
        <v>0.48</v>
      </c>
      <c r="V1205" t="s">
        <v>2619</v>
      </c>
      <c r="W1205" t="s">
        <v>2620</v>
      </c>
      <c r="X1205" t="b">
        <v>0</v>
      </c>
      <c r="Y1205" t="b">
        <v>0</v>
      </c>
    </row>
    <row r="1206" spans="1:25">
      <c r="A1206">
        <v>12050</v>
      </c>
      <c r="B1206" t="s">
        <v>2621</v>
      </c>
      <c r="C1206" t="s">
        <v>2622</v>
      </c>
      <c r="D1206" t="s">
        <v>2623</v>
      </c>
      <c r="E1206">
        <v>12050</v>
      </c>
      <c r="F1206">
        <v>44.8</v>
      </c>
      <c r="G1206">
        <v>206</v>
      </c>
      <c r="H1206">
        <v>9.6</v>
      </c>
      <c r="I1206">
        <v>1695</v>
      </c>
      <c r="J1206">
        <v>21.2</v>
      </c>
      <c r="K1206">
        <v>1657</v>
      </c>
      <c r="L1206">
        <v>26</v>
      </c>
      <c r="M1206">
        <v>1300</v>
      </c>
      <c r="N1206">
        <v>29.2</v>
      </c>
      <c r="O1206">
        <v>1531</v>
      </c>
      <c r="P1206" t="s">
        <v>528</v>
      </c>
      <c r="Q1206" s="1">
        <v>5771</v>
      </c>
      <c r="R1206">
        <v>7.3</v>
      </c>
      <c r="S1206" s="2">
        <v>7.0000000000000007E-2</v>
      </c>
      <c r="T1206" t="s">
        <v>324</v>
      </c>
      <c r="U1206" s="2">
        <v>0.35</v>
      </c>
      <c r="V1206" t="s">
        <v>2622</v>
      </c>
      <c r="W1206" t="s">
        <v>2624</v>
      </c>
      <c r="X1206" t="b">
        <v>0</v>
      </c>
      <c r="Y1206" t="b">
        <v>0</v>
      </c>
    </row>
    <row r="1207" spans="1:25">
      <c r="A1207">
        <v>12060</v>
      </c>
      <c r="B1207" t="s">
        <v>2621</v>
      </c>
      <c r="C1207" t="s">
        <v>2625</v>
      </c>
      <c r="D1207" t="s">
        <v>2623</v>
      </c>
      <c r="E1207">
        <v>12060</v>
      </c>
      <c r="F1207">
        <v>14.8</v>
      </c>
      <c r="G1207">
        <v>1765</v>
      </c>
      <c r="H1207">
        <v>17.399999999999999</v>
      </c>
      <c r="I1207">
        <v>946</v>
      </c>
      <c r="J1207">
        <v>39.200000000000003</v>
      </c>
      <c r="K1207">
        <v>1234</v>
      </c>
      <c r="L1207">
        <v>17.100000000000001</v>
      </c>
      <c r="M1207">
        <v>1743</v>
      </c>
      <c r="N1207">
        <v>64.099999999999994</v>
      </c>
      <c r="O1207">
        <v>501</v>
      </c>
      <c r="P1207" t="s">
        <v>1093</v>
      </c>
      <c r="Q1207" s="1">
        <v>10606</v>
      </c>
      <c r="R1207">
        <v>25</v>
      </c>
      <c r="S1207" s="2">
        <v>0.05</v>
      </c>
      <c r="T1207" t="s">
        <v>696</v>
      </c>
      <c r="U1207" s="2">
        <v>0.35</v>
      </c>
      <c r="V1207" t="s">
        <v>2625</v>
      </c>
      <c r="W1207" t="s">
        <v>2626</v>
      </c>
      <c r="X1207" t="b">
        <v>0</v>
      </c>
      <c r="Y1207" t="b">
        <v>0</v>
      </c>
    </row>
    <row r="1208" spans="1:25">
      <c r="A1208">
        <v>12070</v>
      </c>
      <c r="B1208" t="s">
        <v>2621</v>
      </c>
      <c r="C1208" t="s">
        <v>2627</v>
      </c>
      <c r="D1208" t="s">
        <v>2623</v>
      </c>
      <c r="E1208">
        <v>12070</v>
      </c>
      <c r="F1208">
        <v>15.6</v>
      </c>
      <c r="G1208">
        <v>1720</v>
      </c>
      <c r="H1208">
        <v>10.199999999999999</v>
      </c>
      <c r="I1208">
        <v>1622</v>
      </c>
      <c r="J1208">
        <v>36.5</v>
      </c>
      <c r="K1208">
        <v>1290</v>
      </c>
      <c r="L1208">
        <v>22.3</v>
      </c>
      <c r="M1208">
        <v>1426</v>
      </c>
      <c r="N1208">
        <v>48.1</v>
      </c>
      <c r="O1208">
        <v>865</v>
      </c>
      <c r="P1208" t="s">
        <v>1102</v>
      </c>
      <c r="Q1208" s="1">
        <v>11262</v>
      </c>
      <c r="R1208">
        <v>35.299999999999997</v>
      </c>
      <c r="S1208" s="2">
        <v>0.01</v>
      </c>
      <c r="T1208">
        <v>0.43819444444444444</v>
      </c>
      <c r="U1208" s="2">
        <v>0.24</v>
      </c>
      <c r="V1208" t="s">
        <v>2627</v>
      </c>
      <c r="W1208" t="s">
        <v>2628</v>
      </c>
      <c r="X1208" t="b">
        <v>0</v>
      </c>
      <c r="Y1208" t="b">
        <v>0</v>
      </c>
    </row>
    <row r="1209" spans="1:25">
      <c r="A1209">
        <v>12080</v>
      </c>
      <c r="B1209" t="s">
        <v>2621</v>
      </c>
      <c r="C1209" t="s">
        <v>2629</v>
      </c>
      <c r="D1209" t="s">
        <v>2623</v>
      </c>
      <c r="E1209">
        <v>12080</v>
      </c>
      <c r="F1209">
        <v>28.5</v>
      </c>
      <c r="G1209">
        <v>770</v>
      </c>
      <c r="H1209">
        <v>12.5</v>
      </c>
      <c r="I1209">
        <v>1358</v>
      </c>
      <c r="J1209">
        <v>31.9</v>
      </c>
      <c r="K1209">
        <v>1403</v>
      </c>
      <c r="L1209">
        <v>19.100000000000001</v>
      </c>
      <c r="M1209">
        <v>1579</v>
      </c>
      <c r="N1209">
        <v>57.3</v>
      </c>
      <c r="O1209">
        <v>637</v>
      </c>
      <c r="P1209" t="s">
        <v>1955</v>
      </c>
      <c r="Q1209" s="1">
        <v>28816</v>
      </c>
      <c r="R1209">
        <v>7.2</v>
      </c>
      <c r="S1209" s="2">
        <v>0.03</v>
      </c>
      <c r="T1209" s="3">
        <v>2.8145833333333332</v>
      </c>
      <c r="U1209" s="2">
        <v>0.11</v>
      </c>
      <c r="V1209" t="s">
        <v>2629</v>
      </c>
      <c r="W1209" t="s">
        <v>2630</v>
      </c>
      <c r="X1209" t="b">
        <v>0</v>
      </c>
      <c r="Y1209" t="b">
        <v>0</v>
      </c>
    </row>
    <row r="1210" spans="1:25">
      <c r="A1210">
        <v>12090</v>
      </c>
      <c r="B1210" t="s">
        <v>2621</v>
      </c>
      <c r="C1210" t="s">
        <v>2631</v>
      </c>
      <c r="D1210" t="s">
        <v>2623</v>
      </c>
      <c r="E1210">
        <v>12090</v>
      </c>
      <c r="F1210">
        <v>24.8</v>
      </c>
      <c r="G1210">
        <v>1014</v>
      </c>
      <c r="H1210">
        <v>11.1</v>
      </c>
      <c r="I1210">
        <v>1509</v>
      </c>
      <c r="J1210">
        <v>27.1</v>
      </c>
      <c r="K1210">
        <v>1517</v>
      </c>
      <c r="L1210">
        <v>25.3</v>
      </c>
      <c r="M1210">
        <v>1325</v>
      </c>
      <c r="N1210">
        <v>72.5</v>
      </c>
      <c r="O1210">
        <v>371</v>
      </c>
      <c r="P1210" t="s">
        <v>1306</v>
      </c>
      <c r="Q1210" s="1">
        <v>24303</v>
      </c>
      <c r="R1210">
        <v>5.9</v>
      </c>
      <c r="S1210" s="2">
        <v>0.1</v>
      </c>
      <c r="T1210" s="3">
        <v>2.4868055555555557</v>
      </c>
      <c r="U1210" s="2">
        <v>0.37</v>
      </c>
      <c r="V1210" t="s">
        <v>2631</v>
      </c>
      <c r="W1210" t="s">
        <v>2632</v>
      </c>
      <c r="X1210" t="b">
        <v>0</v>
      </c>
      <c r="Y1210" t="b">
        <v>0</v>
      </c>
    </row>
    <row r="1211" spans="1:25">
      <c r="A1211">
        <v>12100</v>
      </c>
      <c r="B1211" t="s">
        <v>2621</v>
      </c>
      <c r="C1211" t="s">
        <v>2633</v>
      </c>
      <c r="D1211" t="s">
        <v>2623</v>
      </c>
      <c r="E1211">
        <v>12100</v>
      </c>
      <c r="F1211">
        <v>29.1</v>
      </c>
      <c r="G1211">
        <v>739</v>
      </c>
      <c r="H1211">
        <v>14.2</v>
      </c>
      <c r="I1211">
        <v>1185</v>
      </c>
      <c r="J1211">
        <v>28.5</v>
      </c>
      <c r="K1211">
        <v>1484</v>
      </c>
      <c r="L1211">
        <v>19</v>
      </c>
      <c r="M1211">
        <v>1586</v>
      </c>
      <c r="N1211">
        <v>32.4</v>
      </c>
      <c r="O1211">
        <v>1407</v>
      </c>
      <c r="P1211" t="s">
        <v>795</v>
      </c>
      <c r="Q1211" s="1">
        <v>15113</v>
      </c>
      <c r="R1211">
        <v>29.7</v>
      </c>
      <c r="S1211" s="2">
        <v>0.03</v>
      </c>
      <c r="T1211" s="3">
        <v>2.4048611111111109</v>
      </c>
      <c r="U1211" s="2">
        <v>0.19</v>
      </c>
      <c r="V1211" t="s">
        <v>2633</v>
      </c>
      <c r="W1211" t="s">
        <v>2634</v>
      </c>
      <c r="X1211" t="b">
        <v>0</v>
      </c>
      <c r="Y1211" t="b">
        <v>0</v>
      </c>
    </row>
    <row r="1212" spans="1:25">
      <c r="A1212">
        <v>12110</v>
      </c>
      <c r="B1212" t="s">
        <v>2621</v>
      </c>
      <c r="C1212" t="s">
        <v>2635</v>
      </c>
      <c r="D1212" t="s">
        <v>2623</v>
      </c>
      <c r="E1212">
        <v>12110</v>
      </c>
      <c r="F1212">
        <v>27.9</v>
      </c>
      <c r="G1212">
        <v>810</v>
      </c>
      <c r="H1212">
        <v>8.6999999999999993</v>
      </c>
      <c r="I1212">
        <v>1826</v>
      </c>
      <c r="J1212">
        <v>34.1</v>
      </c>
      <c r="K1212">
        <v>1348</v>
      </c>
      <c r="L1212">
        <v>16.600000000000001</v>
      </c>
      <c r="M1212">
        <v>1792</v>
      </c>
      <c r="N1212">
        <v>25.4</v>
      </c>
      <c r="O1212">
        <v>1686</v>
      </c>
      <c r="P1212" t="s">
        <v>2157</v>
      </c>
      <c r="Q1212" s="1">
        <v>6714</v>
      </c>
      <c r="R1212">
        <v>5.9</v>
      </c>
      <c r="S1212" s="2">
        <v>0</v>
      </c>
      <c r="T1212" s="3">
        <v>2.3229166666666665</v>
      </c>
      <c r="U1212" s="2">
        <v>0.39</v>
      </c>
      <c r="V1212" t="s">
        <v>2635</v>
      </c>
      <c r="W1212" t="s">
        <v>2636</v>
      </c>
      <c r="X1212" t="b">
        <v>0</v>
      </c>
      <c r="Y1212" t="b">
        <v>0</v>
      </c>
    </row>
    <row r="1213" spans="1:25">
      <c r="A1213">
        <v>12120</v>
      </c>
      <c r="B1213" t="s">
        <v>2621</v>
      </c>
      <c r="C1213" t="s">
        <v>2637</v>
      </c>
      <c r="D1213" t="s">
        <v>2623</v>
      </c>
      <c r="E1213">
        <v>12120</v>
      </c>
      <c r="F1213">
        <v>18.5</v>
      </c>
      <c r="G1213">
        <v>1501</v>
      </c>
      <c r="H1213">
        <v>7.8</v>
      </c>
      <c r="I1213">
        <v>1889</v>
      </c>
      <c r="J1213">
        <v>55</v>
      </c>
      <c r="K1213">
        <v>888</v>
      </c>
      <c r="L1213">
        <v>16.7</v>
      </c>
      <c r="M1213">
        <v>1781</v>
      </c>
      <c r="N1213">
        <v>26.3</v>
      </c>
      <c r="O1213">
        <v>1653</v>
      </c>
      <c r="P1213" t="s">
        <v>2157</v>
      </c>
      <c r="Q1213" s="1">
        <v>24322</v>
      </c>
      <c r="R1213">
        <v>16.399999999999999</v>
      </c>
      <c r="S1213" s="2">
        <v>0</v>
      </c>
      <c r="T1213" s="3">
        <v>2.3229166666666665</v>
      </c>
      <c r="U1213" s="2">
        <v>0.35</v>
      </c>
      <c r="V1213" t="s">
        <v>2637</v>
      </c>
      <c r="W1213" t="s">
        <v>2638</v>
      </c>
      <c r="X1213" t="b">
        <v>0</v>
      </c>
      <c r="Y1213" t="b">
        <v>0</v>
      </c>
    </row>
    <row r="1214" spans="1:25">
      <c r="A1214">
        <v>12130</v>
      </c>
      <c r="B1214" t="s">
        <v>2621</v>
      </c>
      <c r="C1214" t="s">
        <v>2639</v>
      </c>
      <c r="D1214" t="s">
        <v>2623</v>
      </c>
      <c r="E1214">
        <v>12130</v>
      </c>
      <c r="F1214">
        <v>22.3</v>
      </c>
      <c r="G1214">
        <v>1200</v>
      </c>
      <c r="H1214">
        <v>11.8</v>
      </c>
      <c r="I1214">
        <v>1422</v>
      </c>
      <c r="J1214">
        <v>41.2</v>
      </c>
      <c r="K1214">
        <v>1197</v>
      </c>
      <c r="L1214">
        <v>22</v>
      </c>
      <c r="M1214">
        <v>1438</v>
      </c>
      <c r="N1214">
        <v>32.700000000000003</v>
      </c>
      <c r="O1214">
        <v>1397</v>
      </c>
      <c r="P1214" t="s">
        <v>895</v>
      </c>
      <c r="Q1214" s="1">
        <v>21491</v>
      </c>
      <c r="R1214">
        <v>17</v>
      </c>
      <c r="S1214" s="2">
        <v>0.08</v>
      </c>
      <c r="T1214" s="3">
        <v>2.2409722222222221</v>
      </c>
      <c r="U1214" s="2">
        <v>0.22</v>
      </c>
      <c r="V1214" t="s">
        <v>2639</v>
      </c>
      <c r="W1214" t="s">
        <v>2640</v>
      </c>
      <c r="X1214" t="b">
        <v>0</v>
      </c>
      <c r="Y1214" t="b">
        <v>0</v>
      </c>
    </row>
    <row r="1215" spans="1:25">
      <c r="A1215">
        <v>12140</v>
      </c>
      <c r="B1215" t="s">
        <v>2621</v>
      </c>
      <c r="C1215" t="s">
        <v>2641</v>
      </c>
      <c r="D1215" t="s">
        <v>2623</v>
      </c>
      <c r="E1215">
        <v>12140</v>
      </c>
      <c r="F1215">
        <v>20.6</v>
      </c>
      <c r="G1215">
        <v>1327</v>
      </c>
      <c r="H1215">
        <v>15.7</v>
      </c>
      <c r="I1215">
        <v>1067</v>
      </c>
      <c r="J1215">
        <v>30.1</v>
      </c>
      <c r="K1215">
        <v>1443</v>
      </c>
      <c r="L1215">
        <v>17.2</v>
      </c>
      <c r="M1215">
        <v>1733</v>
      </c>
      <c r="N1215">
        <v>50</v>
      </c>
      <c r="O1215">
        <v>802</v>
      </c>
      <c r="P1215" t="s">
        <v>1093</v>
      </c>
      <c r="Q1215" s="1">
        <v>9711</v>
      </c>
      <c r="R1215">
        <v>17.899999999999999</v>
      </c>
      <c r="S1215" s="2">
        <v>0.02</v>
      </c>
      <c r="T1215" s="3">
        <v>2.7736111111111112</v>
      </c>
      <c r="U1215" s="2">
        <v>0.2</v>
      </c>
      <c r="V1215" t="s">
        <v>2641</v>
      </c>
      <c r="W1215" t="s">
        <v>2642</v>
      </c>
      <c r="X1215" t="b">
        <v>0</v>
      </c>
      <c r="Y1215" t="b">
        <v>0</v>
      </c>
    </row>
    <row r="1216" spans="1:25">
      <c r="A1216">
        <v>12150</v>
      </c>
      <c r="B1216" t="s">
        <v>2621</v>
      </c>
      <c r="C1216" t="s">
        <v>2643</v>
      </c>
      <c r="D1216" t="s">
        <v>2623</v>
      </c>
      <c r="E1216">
        <v>12150</v>
      </c>
      <c r="F1216">
        <v>16.899999999999999</v>
      </c>
      <c r="G1216">
        <v>1630</v>
      </c>
      <c r="H1216">
        <v>9.4</v>
      </c>
      <c r="I1216">
        <v>1722</v>
      </c>
      <c r="J1216">
        <v>51.7</v>
      </c>
      <c r="K1216">
        <v>975</v>
      </c>
      <c r="L1216">
        <v>17.2</v>
      </c>
      <c r="M1216">
        <v>1734</v>
      </c>
      <c r="N1216">
        <v>53.2</v>
      </c>
      <c r="O1216">
        <v>705</v>
      </c>
      <c r="P1216" t="s">
        <v>1093</v>
      </c>
      <c r="Q1216" s="1">
        <v>8563</v>
      </c>
      <c r="R1216">
        <v>15.9</v>
      </c>
      <c r="S1216" s="2">
        <v>0.02</v>
      </c>
      <c r="T1216" s="3">
        <v>2.3229166666666665</v>
      </c>
      <c r="U1216" s="2">
        <v>0.32</v>
      </c>
      <c r="V1216" t="s">
        <v>2643</v>
      </c>
      <c r="W1216" t="s">
        <v>2644</v>
      </c>
      <c r="X1216" t="b">
        <v>0</v>
      </c>
      <c r="Y1216" t="b">
        <v>0</v>
      </c>
    </row>
    <row r="1217" spans="1:25">
      <c r="A1217">
        <v>12160</v>
      </c>
      <c r="B1217" t="s">
        <v>2621</v>
      </c>
      <c r="C1217" t="s">
        <v>2645</v>
      </c>
      <c r="D1217" t="s">
        <v>2623</v>
      </c>
      <c r="E1217">
        <v>12160</v>
      </c>
      <c r="F1217">
        <v>17.7</v>
      </c>
      <c r="G1217">
        <v>1579</v>
      </c>
      <c r="H1217">
        <v>20.3</v>
      </c>
      <c r="I1217">
        <v>797</v>
      </c>
      <c r="J1217">
        <v>33.5</v>
      </c>
      <c r="K1217">
        <v>1368</v>
      </c>
      <c r="L1217">
        <v>37</v>
      </c>
      <c r="M1217">
        <v>1048</v>
      </c>
      <c r="N1217">
        <v>40.9</v>
      </c>
      <c r="O1217">
        <v>1085</v>
      </c>
      <c r="P1217" t="s">
        <v>1820</v>
      </c>
      <c r="Q1217" s="1">
        <v>38087</v>
      </c>
      <c r="R1217">
        <v>21.1</v>
      </c>
      <c r="S1217" s="2">
        <v>0</v>
      </c>
      <c r="T1217" s="3">
        <v>2.1590277777777778</v>
      </c>
      <c r="U1217" s="2">
        <v>0.24</v>
      </c>
      <c r="V1217" t="s">
        <v>2645</v>
      </c>
      <c r="W1217" t="s">
        <v>2646</v>
      </c>
      <c r="X1217" t="b">
        <v>0</v>
      </c>
      <c r="Y1217" t="b">
        <v>0</v>
      </c>
    </row>
    <row r="1218" spans="1:25">
      <c r="A1218">
        <v>12170</v>
      </c>
      <c r="B1218" t="s">
        <v>2621</v>
      </c>
      <c r="C1218" t="s">
        <v>2647</v>
      </c>
      <c r="D1218" t="s">
        <v>2623</v>
      </c>
      <c r="E1218">
        <v>12170</v>
      </c>
      <c r="F1218">
        <v>28.1</v>
      </c>
      <c r="G1218">
        <v>802</v>
      </c>
      <c r="H1218">
        <v>12.3</v>
      </c>
      <c r="I1218">
        <v>1374</v>
      </c>
      <c r="J1218">
        <v>32.9</v>
      </c>
      <c r="K1218">
        <v>1379</v>
      </c>
      <c r="L1218">
        <v>22.6</v>
      </c>
      <c r="M1218">
        <v>1414</v>
      </c>
      <c r="N1218">
        <v>53.3</v>
      </c>
      <c r="O1218">
        <v>704</v>
      </c>
      <c r="P1218" t="s">
        <v>1483</v>
      </c>
      <c r="Q1218" s="1">
        <v>37942</v>
      </c>
      <c r="R1218">
        <v>13.9</v>
      </c>
      <c r="S1218" s="2">
        <v>0.1</v>
      </c>
      <c r="T1218" t="s">
        <v>324</v>
      </c>
      <c r="U1218" s="2">
        <v>0.44</v>
      </c>
      <c r="V1218" t="s">
        <v>2647</v>
      </c>
      <c r="W1218" t="s">
        <v>2648</v>
      </c>
      <c r="X1218" t="b">
        <v>0</v>
      </c>
      <c r="Y1218" t="b">
        <v>0</v>
      </c>
    </row>
    <row r="1219" spans="1:25">
      <c r="A1219">
        <v>12180</v>
      </c>
      <c r="B1219" t="s">
        <v>2621</v>
      </c>
      <c r="C1219" t="s">
        <v>2649</v>
      </c>
      <c r="D1219" t="s">
        <v>2623</v>
      </c>
      <c r="E1219">
        <v>12180</v>
      </c>
      <c r="F1219">
        <v>15.6</v>
      </c>
      <c r="G1219">
        <v>1721</v>
      </c>
      <c r="H1219">
        <v>18.899999999999999</v>
      </c>
      <c r="I1219">
        <v>868</v>
      </c>
      <c r="J1219">
        <v>37</v>
      </c>
      <c r="K1219">
        <v>1279</v>
      </c>
      <c r="L1219">
        <v>25.9</v>
      </c>
      <c r="M1219">
        <v>1304</v>
      </c>
      <c r="N1219">
        <v>30.9</v>
      </c>
      <c r="O1219">
        <v>1469</v>
      </c>
      <c r="P1219" t="s">
        <v>588</v>
      </c>
      <c r="Q1219" s="1">
        <v>14234</v>
      </c>
      <c r="R1219">
        <v>21.4</v>
      </c>
      <c r="S1219" s="2">
        <v>0</v>
      </c>
      <c r="T1219" s="3">
        <v>2.036111111111111</v>
      </c>
      <c r="U1219" s="2">
        <v>0.28999999999999998</v>
      </c>
      <c r="V1219" t="s">
        <v>2649</v>
      </c>
      <c r="W1219" t="s">
        <v>2650</v>
      </c>
      <c r="X1219" t="b">
        <v>0</v>
      </c>
      <c r="Y1219" t="b">
        <v>0</v>
      </c>
    </row>
    <row r="1220" spans="1:25">
      <c r="A1220">
        <v>12190</v>
      </c>
      <c r="B1220" t="s">
        <v>2621</v>
      </c>
      <c r="C1220" t="s">
        <v>2651</v>
      </c>
      <c r="D1220" t="s">
        <v>2623</v>
      </c>
      <c r="E1220">
        <v>12190</v>
      </c>
      <c r="F1220">
        <v>16.100000000000001</v>
      </c>
      <c r="G1220">
        <v>1691</v>
      </c>
      <c r="H1220">
        <v>10.8</v>
      </c>
      <c r="I1220">
        <v>1544</v>
      </c>
      <c r="J1220">
        <v>48</v>
      </c>
      <c r="K1220">
        <v>1060</v>
      </c>
      <c r="L1220">
        <v>22.2</v>
      </c>
      <c r="M1220">
        <v>1432</v>
      </c>
      <c r="N1220">
        <v>52.9</v>
      </c>
      <c r="O1220">
        <v>717</v>
      </c>
      <c r="P1220" t="s">
        <v>1483</v>
      </c>
      <c r="Q1220" s="1">
        <v>99610</v>
      </c>
      <c r="R1220">
        <v>22.1</v>
      </c>
      <c r="S1220" s="2">
        <v>0.01</v>
      </c>
      <c r="T1220" t="s">
        <v>696</v>
      </c>
      <c r="U1220" s="2">
        <v>0.23</v>
      </c>
      <c r="V1220" t="s">
        <v>2651</v>
      </c>
      <c r="W1220" t="s">
        <v>2652</v>
      </c>
      <c r="X1220" t="b">
        <v>0</v>
      </c>
      <c r="Y1220" t="b">
        <v>0</v>
      </c>
    </row>
    <row r="1221" spans="1:25">
      <c r="A1221">
        <v>12200</v>
      </c>
      <c r="B1221" t="s">
        <v>2621</v>
      </c>
      <c r="C1221" t="s">
        <v>2653</v>
      </c>
      <c r="D1221" t="s">
        <v>2623</v>
      </c>
      <c r="E1221">
        <v>12200</v>
      </c>
      <c r="F1221">
        <v>19.100000000000001</v>
      </c>
      <c r="G1221">
        <v>1457</v>
      </c>
      <c r="H1221">
        <v>16.7</v>
      </c>
      <c r="I1221">
        <v>989</v>
      </c>
      <c r="J1221">
        <v>45</v>
      </c>
      <c r="K1221">
        <v>1120</v>
      </c>
      <c r="L1221">
        <v>24.5</v>
      </c>
      <c r="M1221">
        <v>1352</v>
      </c>
      <c r="N1221">
        <v>25.5</v>
      </c>
      <c r="O1221">
        <v>1682</v>
      </c>
      <c r="P1221" t="s">
        <v>895</v>
      </c>
      <c r="Q1221" s="1">
        <v>58922</v>
      </c>
      <c r="R1221">
        <v>31</v>
      </c>
      <c r="S1221" s="2">
        <v>0.04</v>
      </c>
      <c r="T1221" s="3">
        <v>2.1180555555555554</v>
      </c>
      <c r="U1221" s="2">
        <v>0.21</v>
      </c>
      <c r="V1221" t="s">
        <v>2653</v>
      </c>
      <c r="W1221" t="s">
        <v>2654</v>
      </c>
      <c r="X1221" t="b">
        <v>0</v>
      </c>
      <c r="Y1221" t="b">
        <v>0</v>
      </c>
    </row>
    <row r="1222" spans="1:25">
      <c r="A1222">
        <v>12210</v>
      </c>
      <c r="B1222" t="s">
        <v>2621</v>
      </c>
      <c r="C1222" t="s">
        <v>2655</v>
      </c>
      <c r="D1222" t="s">
        <v>2623</v>
      </c>
      <c r="E1222">
        <v>12210</v>
      </c>
      <c r="F1222">
        <v>18.399999999999999</v>
      </c>
      <c r="G1222">
        <v>1514</v>
      </c>
      <c r="H1222">
        <v>9.6999999999999993</v>
      </c>
      <c r="I1222">
        <v>1682</v>
      </c>
      <c r="J1222">
        <v>38.4</v>
      </c>
      <c r="K1222">
        <v>1251</v>
      </c>
      <c r="L1222">
        <v>36.700000000000003</v>
      </c>
      <c r="M1222">
        <v>1054</v>
      </c>
      <c r="N1222">
        <v>45.3</v>
      </c>
      <c r="O1222">
        <v>954</v>
      </c>
      <c r="P1222" t="s">
        <v>895</v>
      </c>
      <c r="Q1222" s="1">
        <v>9302</v>
      </c>
      <c r="R1222">
        <v>13.5</v>
      </c>
      <c r="S1222" s="2">
        <v>7.0000000000000007E-2</v>
      </c>
      <c r="T1222" s="3">
        <v>1.8722222222222222</v>
      </c>
      <c r="U1222" s="2">
        <v>0.33</v>
      </c>
      <c r="V1222" t="s">
        <v>2656</v>
      </c>
      <c r="W1222" t="s">
        <v>2657</v>
      </c>
      <c r="X1222" t="b">
        <v>0</v>
      </c>
      <c r="Y1222" t="b">
        <v>0</v>
      </c>
    </row>
    <row r="1223" spans="1:25">
      <c r="A1223">
        <v>12220</v>
      </c>
      <c r="B1223" t="s">
        <v>2621</v>
      </c>
      <c r="C1223" t="s">
        <v>2658</v>
      </c>
      <c r="D1223" t="s">
        <v>2623</v>
      </c>
      <c r="E1223">
        <v>12220</v>
      </c>
      <c r="F1223">
        <v>17.3</v>
      </c>
      <c r="G1223">
        <v>1605</v>
      </c>
      <c r="H1223">
        <v>14.7</v>
      </c>
      <c r="I1223">
        <v>1143</v>
      </c>
      <c r="J1223">
        <v>30.2</v>
      </c>
      <c r="K1223">
        <v>1438</v>
      </c>
      <c r="L1223">
        <v>30.9</v>
      </c>
      <c r="M1223">
        <v>1159</v>
      </c>
      <c r="N1223">
        <v>51.4</v>
      </c>
      <c r="O1223">
        <v>758</v>
      </c>
      <c r="P1223" t="s">
        <v>1093</v>
      </c>
      <c r="Q1223" s="1">
        <v>18594</v>
      </c>
      <c r="R1223">
        <v>16.399999999999999</v>
      </c>
      <c r="S1223" s="2">
        <v>0.01</v>
      </c>
      <c r="T1223" s="3">
        <v>2.2819444444444446</v>
      </c>
      <c r="U1223" s="2">
        <v>0.22</v>
      </c>
      <c r="V1223" t="s">
        <v>2658</v>
      </c>
      <c r="W1223" t="s">
        <v>2659</v>
      </c>
      <c r="X1223" t="b">
        <v>0</v>
      </c>
      <c r="Y1223" t="b">
        <v>0</v>
      </c>
    </row>
    <row r="1224" spans="1:25">
      <c r="A1224">
        <v>12230</v>
      </c>
      <c r="B1224" t="s">
        <v>2621</v>
      </c>
      <c r="C1224" t="s">
        <v>2660</v>
      </c>
      <c r="D1224" t="s">
        <v>2623</v>
      </c>
      <c r="E1224">
        <v>12230</v>
      </c>
      <c r="F1224">
        <v>13.5</v>
      </c>
      <c r="G1224">
        <v>1819</v>
      </c>
      <c r="H1224">
        <v>12.1</v>
      </c>
      <c r="I1224">
        <v>1398</v>
      </c>
      <c r="J1224">
        <v>46.7</v>
      </c>
      <c r="K1224">
        <v>1083</v>
      </c>
      <c r="L1224">
        <v>15.9</v>
      </c>
      <c r="M1224">
        <v>1873</v>
      </c>
      <c r="N1224">
        <v>30.2</v>
      </c>
      <c r="O1224">
        <v>1492</v>
      </c>
      <c r="P1224" t="s">
        <v>1613</v>
      </c>
      <c r="Q1224" s="1">
        <v>74001</v>
      </c>
      <c r="R1224">
        <v>21.8</v>
      </c>
      <c r="S1224" s="2">
        <v>0.01</v>
      </c>
      <c r="T1224" s="3">
        <v>2.3638888888888889</v>
      </c>
      <c r="U1224" s="2">
        <v>0.27</v>
      </c>
      <c r="V1224" t="s">
        <v>2661</v>
      </c>
      <c r="W1224" t="s">
        <v>2662</v>
      </c>
      <c r="X1224" t="b">
        <v>0</v>
      </c>
      <c r="Y1224" t="b">
        <v>0</v>
      </c>
    </row>
    <row r="1225" spans="1:25">
      <c r="A1225">
        <v>12240</v>
      </c>
      <c r="B1225" t="s">
        <v>2621</v>
      </c>
      <c r="C1225" t="s">
        <v>2663</v>
      </c>
      <c r="D1225" t="s">
        <v>2623</v>
      </c>
      <c r="E1225">
        <v>12240</v>
      </c>
      <c r="F1225">
        <v>21.4</v>
      </c>
      <c r="G1225">
        <v>1275</v>
      </c>
      <c r="H1225">
        <v>8.1999999999999993</v>
      </c>
      <c r="I1225">
        <v>1868</v>
      </c>
      <c r="J1225">
        <v>47.3</v>
      </c>
      <c r="K1225">
        <v>1074</v>
      </c>
      <c r="L1225">
        <v>30.3</v>
      </c>
      <c r="M1225">
        <v>1174</v>
      </c>
      <c r="N1225">
        <v>21.4</v>
      </c>
      <c r="O1225">
        <v>1828</v>
      </c>
      <c r="P1225" t="s">
        <v>2157</v>
      </c>
      <c r="Q1225" s="1">
        <v>30973</v>
      </c>
      <c r="R1225">
        <v>14.9</v>
      </c>
      <c r="S1225" s="2">
        <v>0</v>
      </c>
      <c r="T1225" s="3">
        <v>2.4868055555555557</v>
      </c>
      <c r="U1225" s="2">
        <v>0.37</v>
      </c>
      <c r="V1225" t="s">
        <v>2663</v>
      </c>
      <c r="W1225" t="s">
        <v>2664</v>
      </c>
      <c r="X1225" t="b">
        <v>0</v>
      </c>
      <c r="Y1225" t="b">
        <v>0</v>
      </c>
    </row>
    <row r="1226" spans="1:25">
      <c r="A1226">
        <v>12250</v>
      </c>
      <c r="B1226" t="s">
        <v>2621</v>
      </c>
      <c r="C1226" t="s">
        <v>2665</v>
      </c>
      <c r="D1226" t="s">
        <v>2623</v>
      </c>
      <c r="E1226">
        <v>12250</v>
      </c>
      <c r="F1226">
        <v>34.6</v>
      </c>
      <c r="G1226">
        <v>474</v>
      </c>
      <c r="H1226">
        <v>11.7</v>
      </c>
      <c r="I1226">
        <v>1435</v>
      </c>
      <c r="J1226">
        <v>31.4</v>
      </c>
      <c r="K1226">
        <v>1413</v>
      </c>
      <c r="L1226">
        <v>23.8</v>
      </c>
      <c r="M1226">
        <v>1375</v>
      </c>
      <c r="N1226">
        <v>25.6</v>
      </c>
      <c r="O1226">
        <v>1679</v>
      </c>
      <c r="P1226" t="s">
        <v>528</v>
      </c>
      <c r="Q1226" s="1">
        <v>9873</v>
      </c>
      <c r="R1226">
        <v>16.8</v>
      </c>
      <c r="S1226" s="2">
        <v>0.04</v>
      </c>
      <c r="T1226" s="3">
        <v>4.1256944444444441</v>
      </c>
      <c r="U1226" s="2">
        <v>0.36</v>
      </c>
      <c r="V1226" t="s">
        <v>2665</v>
      </c>
      <c r="W1226" t="s">
        <v>2666</v>
      </c>
      <c r="X1226" t="b">
        <v>0</v>
      </c>
      <c r="Y1226" t="b">
        <v>0</v>
      </c>
    </row>
    <row r="1227" spans="1:25">
      <c r="A1227">
        <v>12260</v>
      </c>
      <c r="B1227" t="s">
        <v>2621</v>
      </c>
      <c r="C1227" t="s">
        <v>2667</v>
      </c>
      <c r="D1227" t="s">
        <v>2623</v>
      </c>
      <c r="E1227">
        <v>12260</v>
      </c>
      <c r="F1227">
        <v>23.7</v>
      </c>
      <c r="G1227">
        <v>1098</v>
      </c>
      <c r="H1227">
        <v>17.100000000000001</v>
      </c>
      <c r="I1227">
        <v>961</v>
      </c>
      <c r="J1227">
        <v>29.2</v>
      </c>
      <c r="K1227">
        <v>1461</v>
      </c>
      <c r="L1227">
        <v>29.4</v>
      </c>
      <c r="M1227">
        <v>1196</v>
      </c>
      <c r="N1227">
        <v>38.5</v>
      </c>
      <c r="O1227">
        <v>1170</v>
      </c>
      <c r="P1227" t="s">
        <v>1955</v>
      </c>
      <c r="Q1227" s="1">
        <v>27774</v>
      </c>
      <c r="R1227">
        <v>15.3</v>
      </c>
      <c r="S1227" s="2">
        <v>0.03</v>
      </c>
      <c r="T1227" s="3">
        <v>1.83125</v>
      </c>
      <c r="U1227" s="2">
        <v>0.45</v>
      </c>
      <c r="V1227" t="s">
        <v>2667</v>
      </c>
      <c r="W1227" t="s">
        <v>2668</v>
      </c>
      <c r="X1227" t="b">
        <v>0</v>
      </c>
      <c r="Y1227" t="b">
        <v>0</v>
      </c>
    </row>
    <row r="1228" spans="1:25">
      <c r="A1228">
        <v>12270</v>
      </c>
      <c r="B1228" t="s">
        <v>2621</v>
      </c>
      <c r="C1228" t="s">
        <v>2669</v>
      </c>
      <c r="D1228" t="s">
        <v>2623</v>
      </c>
      <c r="E1228">
        <v>12270</v>
      </c>
      <c r="F1228">
        <v>17.399999999999999</v>
      </c>
      <c r="G1228">
        <v>1597</v>
      </c>
      <c r="H1228">
        <v>9.6999999999999993</v>
      </c>
      <c r="I1228">
        <v>1684</v>
      </c>
      <c r="J1228">
        <v>43.2</v>
      </c>
      <c r="K1228">
        <v>1160</v>
      </c>
      <c r="L1228">
        <v>16.8</v>
      </c>
      <c r="M1228">
        <v>1771</v>
      </c>
      <c r="N1228">
        <v>49</v>
      </c>
      <c r="O1228">
        <v>829</v>
      </c>
      <c r="P1228" t="s">
        <v>1895</v>
      </c>
      <c r="Q1228" s="1">
        <v>43027</v>
      </c>
      <c r="R1228">
        <v>25.4</v>
      </c>
      <c r="S1228" s="2">
        <v>0</v>
      </c>
      <c r="T1228" t="s">
        <v>350</v>
      </c>
      <c r="U1228" s="2">
        <v>0.27</v>
      </c>
      <c r="V1228" t="s">
        <v>2669</v>
      </c>
      <c r="W1228" t="s">
        <v>2670</v>
      </c>
      <c r="X1228" t="b">
        <v>0</v>
      </c>
      <c r="Y1228" t="b">
        <v>0</v>
      </c>
    </row>
    <row r="1229" spans="1:25">
      <c r="A1229">
        <v>12280</v>
      </c>
      <c r="B1229" t="s">
        <v>2621</v>
      </c>
      <c r="C1229" t="s">
        <v>2671</v>
      </c>
      <c r="D1229" t="s">
        <v>2623</v>
      </c>
      <c r="E1229">
        <v>12280</v>
      </c>
      <c r="F1229">
        <v>25.5</v>
      </c>
      <c r="G1229">
        <v>970</v>
      </c>
      <c r="H1229">
        <v>11.5</v>
      </c>
      <c r="I1229">
        <v>1459</v>
      </c>
      <c r="J1229">
        <v>17</v>
      </c>
      <c r="K1229">
        <v>1733</v>
      </c>
      <c r="L1229">
        <v>55.4</v>
      </c>
      <c r="M1229">
        <v>719</v>
      </c>
      <c r="N1229">
        <v>66.8</v>
      </c>
      <c r="O1229">
        <v>450</v>
      </c>
      <c r="P1229" t="s">
        <v>2672</v>
      </c>
      <c r="Q1229" s="1">
        <v>23030</v>
      </c>
      <c r="R1229">
        <v>7.6</v>
      </c>
      <c r="S1229" s="2">
        <v>0.19</v>
      </c>
      <c r="T1229" s="3">
        <v>2.6097222222222221</v>
      </c>
      <c r="U1229" s="2">
        <v>0.41</v>
      </c>
      <c r="V1229" t="s">
        <v>2671</v>
      </c>
      <c r="W1229" t="s">
        <v>2673</v>
      </c>
      <c r="X1229" t="b">
        <v>0</v>
      </c>
      <c r="Y1229" t="b">
        <v>0</v>
      </c>
    </row>
    <row r="1230" spans="1:25">
      <c r="A1230">
        <v>12290</v>
      </c>
      <c r="B1230" t="s">
        <v>2621</v>
      </c>
      <c r="C1230" t="s">
        <v>2674</v>
      </c>
      <c r="D1230" t="s">
        <v>2623</v>
      </c>
      <c r="E1230">
        <v>12290</v>
      </c>
      <c r="F1230">
        <v>30.4</v>
      </c>
      <c r="G1230">
        <v>670</v>
      </c>
      <c r="H1230">
        <v>11.9</v>
      </c>
      <c r="I1230">
        <v>1414</v>
      </c>
      <c r="J1230">
        <v>26.9</v>
      </c>
      <c r="K1230">
        <v>1520</v>
      </c>
      <c r="L1230">
        <v>21.6</v>
      </c>
      <c r="M1230">
        <v>1456</v>
      </c>
      <c r="N1230">
        <v>27.2</v>
      </c>
      <c r="O1230">
        <v>1608</v>
      </c>
      <c r="P1230" t="s">
        <v>895</v>
      </c>
      <c r="Q1230" s="1">
        <v>3622</v>
      </c>
      <c r="R1230">
        <v>11.8</v>
      </c>
      <c r="S1230" s="2">
        <v>0.05</v>
      </c>
      <c r="T1230" s="3">
        <v>3.0194444444444444</v>
      </c>
      <c r="U1230" s="2">
        <v>0.06</v>
      </c>
      <c r="V1230" t="s">
        <v>2674</v>
      </c>
      <c r="W1230" t="s">
        <v>2675</v>
      </c>
      <c r="X1230" t="b">
        <v>0</v>
      </c>
      <c r="Y1230" t="b">
        <v>0</v>
      </c>
    </row>
    <row r="1231" spans="1:25">
      <c r="A1231">
        <v>12300</v>
      </c>
      <c r="B1231" t="s">
        <v>2621</v>
      </c>
      <c r="C1231" t="s">
        <v>2676</v>
      </c>
      <c r="D1231" t="s">
        <v>2623</v>
      </c>
      <c r="E1231">
        <v>12300</v>
      </c>
      <c r="F1231">
        <v>20</v>
      </c>
      <c r="G1231">
        <v>1373</v>
      </c>
      <c r="H1231">
        <v>17.2</v>
      </c>
      <c r="I1231">
        <v>954</v>
      </c>
      <c r="J1231">
        <v>37.5</v>
      </c>
      <c r="K1231">
        <v>1269</v>
      </c>
      <c r="L1231">
        <v>25.1</v>
      </c>
      <c r="M1231">
        <v>1335</v>
      </c>
      <c r="N1231">
        <v>34.1</v>
      </c>
      <c r="O1231">
        <v>1350</v>
      </c>
      <c r="P1231" t="s">
        <v>1955</v>
      </c>
      <c r="Q1231" s="1">
        <v>15185</v>
      </c>
      <c r="R1231">
        <v>14.2</v>
      </c>
      <c r="S1231" s="2">
        <v>0.04</v>
      </c>
      <c r="T1231" s="3">
        <v>1.83125</v>
      </c>
      <c r="U1231" s="2">
        <v>0.31</v>
      </c>
      <c r="V1231" t="s">
        <v>2676</v>
      </c>
      <c r="W1231" t="s">
        <v>2677</v>
      </c>
      <c r="X1231" t="b">
        <v>0</v>
      </c>
      <c r="Y1231" t="b">
        <v>0</v>
      </c>
    </row>
    <row r="1232" spans="1:25">
      <c r="A1232">
        <v>12310</v>
      </c>
      <c r="B1232" t="s">
        <v>2621</v>
      </c>
      <c r="C1232" t="s">
        <v>2678</v>
      </c>
      <c r="D1232" t="s">
        <v>2623</v>
      </c>
      <c r="E1232">
        <v>12310</v>
      </c>
      <c r="F1232">
        <v>16.8</v>
      </c>
      <c r="G1232">
        <v>1639</v>
      </c>
      <c r="H1232">
        <v>14.2</v>
      </c>
      <c r="I1232">
        <v>1186</v>
      </c>
      <c r="J1232">
        <v>46.5</v>
      </c>
      <c r="K1232">
        <v>1085</v>
      </c>
      <c r="L1232">
        <v>19.899999999999999</v>
      </c>
      <c r="M1232">
        <v>1537</v>
      </c>
      <c r="N1232">
        <v>58.4</v>
      </c>
      <c r="O1232">
        <v>615</v>
      </c>
      <c r="P1232" t="s">
        <v>2679</v>
      </c>
      <c r="Q1232" s="1">
        <v>15370</v>
      </c>
      <c r="R1232">
        <v>21.8</v>
      </c>
      <c r="S1232" s="2">
        <v>0.04</v>
      </c>
      <c r="T1232" s="3">
        <v>2.4868055555555557</v>
      </c>
      <c r="U1232" s="2">
        <v>0.2</v>
      </c>
      <c r="V1232" t="s">
        <v>2678</v>
      </c>
      <c r="W1232" t="s">
        <v>2680</v>
      </c>
      <c r="X1232" t="b">
        <v>0</v>
      </c>
      <c r="Y1232" t="b">
        <v>0</v>
      </c>
    </row>
    <row r="1233" spans="1:25">
      <c r="A1233">
        <v>12320</v>
      </c>
      <c r="B1233" t="s">
        <v>2621</v>
      </c>
      <c r="C1233" t="s">
        <v>2681</v>
      </c>
      <c r="D1233" t="s">
        <v>2623</v>
      </c>
      <c r="E1233">
        <v>12320</v>
      </c>
      <c r="F1233">
        <v>25.5</v>
      </c>
      <c r="G1233">
        <v>971</v>
      </c>
      <c r="H1233">
        <v>11</v>
      </c>
      <c r="I1233">
        <v>1520</v>
      </c>
      <c r="J1233">
        <v>35.1</v>
      </c>
      <c r="K1233">
        <v>1323</v>
      </c>
      <c r="L1233">
        <v>16.600000000000001</v>
      </c>
      <c r="M1233">
        <v>1793</v>
      </c>
      <c r="N1233">
        <v>77</v>
      </c>
      <c r="O1233">
        <v>297</v>
      </c>
      <c r="P1233" t="s">
        <v>2679</v>
      </c>
      <c r="Q1233" s="1">
        <v>1992</v>
      </c>
      <c r="R1233">
        <v>8.8000000000000007</v>
      </c>
      <c r="S1233" s="2">
        <v>0.08</v>
      </c>
      <c r="T1233" t="s">
        <v>51</v>
      </c>
      <c r="U1233" s="2">
        <v>0.44</v>
      </c>
      <c r="V1233" t="s">
        <v>2681</v>
      </c>
      <c r="W1233" t="s">
        <v>2682</v>
      </c>
      <c r="X1233" t="b">
        <v>0</v>
      </c>
      <c r="Y1233" t="b">
        <v>0</v>
      </c>
    </row>
    <row r="1234" spans="1:25">
      <c r="A1234">
        <v>12330</v>
      </c>
      <c r="B1234" t="s">
        <v>2621</v>
      </c>
      <c r="C1234" t="s">
        <v>2683</v>
      </c>
      <c r="D1234" t="s">
        <v>2623</v>
      </c>
      <c r="E1234">
        <v>12330</v>
      </c>
      <c r="F1234">
        <v>13.1</v>
      </c>
      <c r="G1234">
        <v>1839</v>
      </c>
      <c r="H1234">
        <v>13.5</v>
      </c>
      <c r="I1234">
        <v>1248</v>
      </c>
      <c r="J1234">
        <v>42.6</v>
      </c>
      <c r="K1234">
        <v>1175</v>
      </c>
      <c r="L1234">
        <v>21.2</v>
      </c>
      <c r="M1234">
        <v>1471</v>
      </c>
      <c r="N1234">
        <v>64.5</v>
      </c>
      <c r="O1234">
        <v>494</v>
      </c>
      <c r="P1234" t="s">
        <v>992</v>
      </c>
      <c r="Q1234" s="1">
        <v>9626</v>
      </c>
      <c r="R1234">
        <v>20.6</v>
      </c>
      <c r="S1234" s="2">
        <v>0.34</v>
      </c>
      <c r="T1234" s="3">
        <v>2.2409722222222221</v>
      </c>
      <c r="U1234" s="2">
        <v>0.26</v>
      </c>
      <c r="V1234" t="s">
        <v>2683</v>
      </c>
      <c r="W1234" t="s">
        <v>2684</v>
      </c>
      <c r="X1234" t="b">
        <v>0</v>
      </c>
      <c r="Y1234" t="b">
        <v>0</v>
      </c>
    </row>
    <row r="1235" spans="1:25">
      <c r="A1235">
        <v>12340</v>
      </c>
      <c r="B1235" t="s">
        <v>2621</v>
      </c>
      <c r="C1235" t="s">
        <v>2685</v>
      </c>
      <c r="D1235" t="s">
        <v>2623</v>
      </c>
      <c r="E1235">
        <v>12340</v>
      </c>
      <c r="F1235">
        <v>32.6</v>
      </c>
      <c r="G1235">
        <v>564</v>
      </c>
      <c r="H1235">
        <v>14.9</v>
      </c>
      <c r="I1235">
        <v>1131</v>
      </c>
      <c r="J1235">
        <v>28.7</v>
      </c>
      <c r="K1235">
        <v>1481</v>
      </c>
      <c r="L1235">
        <v>27.7</v>
      </c>
      <c r="M1235">
        <v>1243</v>
      </c>
      <c r="N1235">
        <v>36.9</v>
      </c>
      <c r="O1235">
        <v>1247</v>
      </c>
      <c r="P1235" t="s">
        <v>577</v>
      </c>
      <c r="Q1235" s="1">
        <v>46097</v>
      </c>
      <c r="R1235">
        <v>13.6</v>
      </c>
      <c r="S1235" s="2">
        <v>0.01</v>
      </c>
      <c r="T1235" s="3">
        <v>2.2000000000000002</v>
      </c>
      <c r="U1235" s="2">
        <v>0.26</v>
      </c>
      <c r="V1235" t="s">
        <v>2685</v>
      </c>
      <c r="W1235" t="s">
        <v>2686</v>
      </c>
      <c r="X1235" t="b">
        <v>0</v>
      </c>
      <c r="Y1235" t="b">
        <v>0</v>
      </c>
    </row>
    <row r="1236" spans="1:25">
      <c r="A1236">
        <v>12350</v>
      </c>
      <c r="B1236" t="s">
        <v>2621</v>
      </c>
      <c r="C1236" t="s">
        <v>2687</v>
      </c>
      <c r="D1236" t="s">
        <v>2623</v>
      </c>
      <c r="E1236">
        <v>12350</v>
      </c>
      <c r="F1236">
        <v>17.5</v>
      </c>
      <c r="G1236">
        <v>1594</v>
      </c>
      <c r="H1236">
        <v>9.5</v>
      </c>
      <c r="I1236">
        <v>1709</v>
      </c>
      <c r="J1236">
        <v>47.7</v>
      </c>
      <c r="K1236">
        <v>1067</v>
      </c>
      <c r="L1236">
        <v>16.3</v>
      </c>
      <c r="M1236">
        <v>1825</v>
      </c>
      <c r="N1236">
        <v>36.9</v>
      </c>
      <c r="O1236">
        <v>1248</v>
      </c>
      <c r="P1236" t="s">
        <v>1483</v>
      </c>
      <c r="Q1236" s="1">
        <v>10648</v>
      </c>
      <c r="R1236">
        <v>14.8</v>
      </c>
      <c r="S1236" s="2">
        <v>0.03</v>
      </c>
      <c r="T1236" s="3">
        <v>1.9951388888888888</v>
      </c>
      <c r="U1236" s="2">
        <v>0.4</v>
      </c>
      <c r="V1236" t="s">
        <v>2687</v>
      </c>
      <c r="W1236" t="s">
        <v>2688</v>
      </c>
      <c r="X1236" t="b">
        <v>0</v>
      </c>
      <c r="Y1236" t="b">
        <v>0</v>
      </c>
    </row>
    <row r="1237" spans="1:25">
      <c r="A1237">
        <v>12360</v>
      </c>
      <c r="B1237" t="s">
        <v>2621</v>
      </c>
      <c r="C1237" t="s">
        <v>2689</v>
      </c>
      <c r="D1237" t="s">
        <v>2623</v>
      </c>
      <c r="E1237">
        <v>12360</v>
      </c>
      <c r="F1237">
        <v>18.600000000000001</v>
      </c>
      <c r="G1237">
        <v>1490</v>
      </c>
      <c r="H1237">
        <v>9.9</v>
      </c>
      <c r="I1237">
        <v>1647</v>
      </c>
      <c r="J1237">
        <v>43.6</v>
      </c>
      <c r="K1237">
        <v>1149</v>
      </c>
      <c r="L1237">
        <v>17.399999999999999</v>
      </c>
      <c r="M1237">
        <v>1710</v>
      </c>
      <c r="N1237">
        <v>24.6</v>
      </c>
      <c r="O1237">
        <v>1721</v>
      </c>
      <c r="P1237" t="s">
        <v>528</v>
      </c>
      <c r="Q1237" s="1">
        <v>7805</v>
      </c>
      <c r="R1237">
        <v>18.3</v>
      </c>
      <c r="S1237" s="2">
        <v>0</v>
      </c>
      <c r="T1237" t="s">
        <v>145</v>
      </c>
      <c r="U1237" s="2">
        <v>0.36</v>
      </c>
      <c r="V1237" t="s">
        <v>2689</v>
      </c>
      <c r="W1237" t="s">
        <v>2690</v>
      </c>
      <c r="X1237" t="b">
        <v>0</v>
      </c>
      <c r="Y1237" t="b">
        <v>0</v>
      </c>
    </row>
    <row r="1238" spans="1:25">
      <c r="A1238">
        <v>12370</v>
      </c>
      <c r="B1238" t="s">
        <v>2621</v>
      </c>
      <c r="C1238" t="s">
        <v>2691</v>
      </c>
      <c r="D1238" t="s">
        <v>2623</v>
      </c>
      <c r="E1238">
        <v>12370</v>
      </c>
      <c r="F1238">
        <v>22.3</v>
      </c>
      <c r="G1238">
        <v>1202</v>
      </c>
      <c r="H1238">
        <v>16.5</v>
      </c>
      <c r="I1238">
        <v>1006</v>
      </c>
      <c r="J1238">
        <v>42.8</v>
      </c>
      <c r="K1238">
        <v>1172</v>
      </c>
      <c r="L1238">
        <v>21.1</v>
      </c>
      <c r="M1238">
        <v>1477</v>
      </c>
      <c r="N1238">
        <v>25.3</v>
      </c>
      <c r="O1238">
        <v>1691</v>
      </c>
      <c r="P1238" t="s">
        <v>795</v>
      </c>
      <c r="Q1238" s="1">
        <v>11153</v>
      </c>
      <c r="R1238">
        <v>24.1</v>
      </c>
      <c r="S1238" s="2">
        <v>0.01</v>
      </c>
      <c r="T1238" s="3">
        <v>2.4868055555555557</v>
      </c>
      <c r="U1238" s="2">
        <v>0.35</v>
      </c>
      <c r="V1238" t="s">
        <v>2691</v>
      </c>
      <c r="W1238" t="s">
        <v>2692</v>
      </c>
      <c r="X1238" t="b">
        <v>0</v>
      </c>
      <c r="Y1238" t="b">
        <v>0</v>
      </c>
    </row>
    <row r="1239" spans="1:25">
      <c r="A1239">
        <v>12380</v>
      </c>
      <c r="B1239" t="s">
        <v>2621</v>
      </c>
      <c r="C1239" t="s">
        <v>2693</v>
      </c>
      <c r="D1239" t="s">
        <v>2623</v>
      </c>
      <c r="E1239">
        <v>12380</v>
      </c>
      <c r="F1239">
        <v>22.2</v>
      </c>
      <c r="G1239">
        <v>1209</v>
      </c>
      <c r="H1239">
        <v>18.3</v>
      </c>
      <c r="I1239">
        <v>900</v>
      </c>
      <c r="J1239">
        <v>35.799999999999997</v>
      </c>
      <c r="K1239">
        <v>1307</v>
      </c>
      <c r="L1239">
        <v>59.3</v>
      </c>
      <c r="M1239">
        <v>657</v>
      </c>
      <c r="N1239">
        <v>37.6</v>
      </c>
      <c r="O1239">
        <v>1216</v>
      </c>
      <c r="P1239" t="s">
        <v>691</v>
      </c>
      <c r="Q1239" s="1">
        <v>18621</v>
      </c>
      <c r="R1239">
        <v>16.899999999999999</v>
      </c>
      <c r="S1239" s="2">
        <v>0.13</v>
      </c>
      <c r="T1239" t="s">
        <v>145</v>
      </c>
      <c r="U1239" s="2">
        <v>0.5</v>
      </c>
      <c r="V1239" t="s">
        <v>2693</v>
      </c>
      <c r="W1239" t="s">
        <v>2694</v>
      </c>
      <c r="X1239" t="b">
        <v>0</v>
      </c>
      <c r="Y1239" t="b">
        <v>0</v>
      </c>
    </row>
    <row r="1240" spans="1:25">
      <c r="A1240">
        <v>12390</v>
      </c>
      <c r="B1240" t="s">
        <v>2621</v>
      </c>
      <c r="C1240" t="s">
        <v>2695</v>
      </c>
      <c r="D1240" t="s">
        <v>2623</v>
      </c>
      <c r="E1240">
        <v>12390</v>
      </c>
      <c r="F1240">
        <v>22.1</v>
      </c>
      <c r="G1240">
        <v>1222</v>
      </c>
      <c r="H1240">
        <v>14.7</v>
      </c>
      <c r="I1240">
        <v>1144</v>
      </c>
      <c r="J1240">
        <v>41.7</v>
      </c>
      <c r="K1240">
        <v>1190</v>
      </c>
      <c r="L1240">
        <v>39.700000000000003</v>
      </c>
      <c r="M1240">
        <v>985</v>
      </c>
      <c r="N1240">
        <v>38</v>
      </c>
      <c r="O1240">
        <v>1196</v>
      </c>
      <c r="P1240" t="s">
        <v>386</v>
      </c>
      <c r="Q1240" s="1">
        <v>7764</v>
      </c>
      <c r="R1240">
        <v>13.5</v>
      </c>
      <c r="S1240" s="2">
        <v>0.05</v>
      </c>
      <c r="T1240" s="3">
        <v>2.3229166666666665</v>
      </c>
      <c r="U1240" s="2">
        <v>0.31</v>
      </c>
      <c r="V1240" t="s">
        <v>2695</v>
      </c>
      <c r="W1240" t="s">
        <v>2696</v>
      </c>
      <c r="X1240" t="b">
        <v>0</v>
      </c>
      <c r="Y1240" t="b">
        <v>0</v>
      </c>
    </row>
    <row r="1241" spans="1:25">
      <c r="A1241">
        <v>12400</v>
      </c>
      <c r="B1241" t="s">
        <v>2621</v>
      </c>
      <c r="C1241" t="s">
        <v>2697</v>
      </c>
      <c r="D1241" t="s">
        <v>2623</v>
      </c>
      <c r="E1241">
        <v>12400</v>
      </c>
      <c r="F1241">
        <v>20.3</v>
      </c>
      <c r="G1241">
        <v>1348</v>
      </c>
      <c r="H1241">
        <v>12.8</v>
      </c>
      <c r="I1241">
        <v>1321</v>
      </c>
      <c r="J1241">
        <v>34.799999999999997</v>
      </c>
      <c r="K1241">
        <v>1332</v>
      </c>
      <c r="L1241">
        <v>41.3</v>
      </c>
      <c r="M1241">
        <v>950</v>
      </c>
      <c r="N1241">
        <v>78.7</v>
      </c>
      <c r="O1241">
        <v>273</v>
      </c>
      <c r="P1241" t="s">
        <v>26</v>
      </c>
      <c r="Q1241" s="1">
        <v>9665</v>
      </c>
      <c r="R1241">
        <v>18.100000000000001</v>
      </c>
      <c r="S1241" s="2">
        <v>0.2</v>
      </c>
      <c r="T1241" s="3">
        <v>2.2819444444444446</v>
      </c>
      <c r="U1241" s="2">
        <v>0.2</v>
      </c>
      <c r="V1241" t="s">
        <v>2697</v>
      </c>
      <c r="W1241" t="s">
        <v>2698</v>
      </c>
      <c r="X1241" t="b">
        <v>0</v>
      </c>
      <c r="Y1241" t="b">
        <v>0</v>
      </c>
    </row>
    <row r="1242" spans="1:25">
      <c r="A1242">
        <v>12410</v>
      </c>
      <c r="B1242" t="s">
        <v>2621</v>
      </c>
      <c r="C1242" t="s">
        <v>2699</v>
      </c>
      <c r="D1242" t="s">
        <v>2623</v>
      </c>
      <c r="E1242">
        <v>12410</v>
      </c>
      <c r="F1242">
        <v>13.8</v>
      </c>
      <c r="G1242">
        <v>1812</v>
      </c>
      <c r="H1242">
        <v>9.1</v>
      </c>
      <c r="I1242">
        <v>1776</v>
      </c>
      <c r="J1242">
        <v>56.8</v>
      </c>
      <c r="K1242">
        <v>853</v>
      </c>
      <c r="L1242">
        <v>17.2</v>
      </c>
      <c r="M1242">
        <v>1735</v>
      </c>
      <c r="N1242">
        <v>41.2</v>
      </c>
      <c r="O1242">
        <v>1074</v>
      </c>
      <c r="P1242" t="s">
        <v>1820</v>
      </c>
      <c r="Q1242" s="1">
        <v>21749</v>
      </c>
      <c r="R1242">
        <v>21.3</v>
      </c>
      <c r="S1242" s="2">
        <v>0.01</v>
      </c>
      <c r="T1242" s="3">
        <v>2.4868055555555557</v>
      </c>
      <c r="U1242" s="2">
        <v>0.23</v>
      </c>
      <c r="V1242" t="s">
        <v>2699</v>
      </c>
      <c r="W1242" t="s">
        <v>2700</v>
      </c>
      <c r="X1242" t="b">
        <v>0</v>
      </c>
      <c r="Y1242" t="b">
        <v>0</v>
      </c>
    </row>
    <row r="1243" spans="1:25">
      <c r="A1243">
        <v>12420</v>
      </c>
      <c r="B1243" t="s">
        <v>2621</v>
      </c>
      <c r="C1243" t="s">
        <v>2701</v>
      </c>
      <c r="D1243" t="s">
        <v>2623</v>
      </c>
      <c r="E1243">
        <v>12420</v>
      </c>
      <c r="F1243">
        <v>23.8</v>
      </c>
      <c r="G1243">
        <v>1090</v>
      </c>
      <c r="H1243">
        <v>9.9</v>
      </c>
      <c r="I1243">
        <v>1648</v>
      </c>
      <c r="J1243">
        <v>31.2</v>
      </c>
      <c r="K1243">
        <v>1419</v>
      </c>
      <c r="L1243">
        <v>20.7</v>
      </c>
      <c r="M1243">
        <v>1499</v>
      </c>
      <c r="N1243">
        <v>44.4</v>
      </c>
      <c r="O1243">
        <v>977</v>
      </c>
      <c r="P1243" t="s">
        <v>2171</v>
      </c>
      <c r="Q1243" s="1">
        <v>29691</v>
      </c>
      <c r="R1243">
        <v>10.1</v>
      </c>
      <c r="S1243" s="2">
        <v>0.01</v>
      </c>
      <c r="T1243" s="3">
        <v>2.6506944444444445</v>
      </c>
      <c r="U1243" s="2">
        <v>0.37</v>
      </c>
      <c r="V1243" t="s">
        <v>2701</v>
      </c>
      <c r="W1243" t="s">
        <v>2702</v>
      </c>
      <c r="X1243" t="b">
        <v>0</v>
      </c>
      <c r="Y1243" t="b">
        <v>0</v>
      </c>
    </row>
    <row r="1244" spans="1:25">
      <c r="A1244">
        <v>12430</v>
      </c>
      <c r="B1244" t="s">
        <v>2621</v>
      </c>
      <c r="C1244" t="s">
        <v>2703</v>
      </c>
      <c r="D1244" t="s">
        <v>2623</v>
      </c>
      <c r="E1244">
        <v>12430</v>
      </c>
      <c r="F1244">
        <v>16.7</v>
      </c>
      <c r="G1244">
        <v>1651</v>
      </c>
      <c r="H1244">
        <v>14.3</v>
      </c>
      <c r="I1244">
        <v>1176</v>
      </c>
      <c r="J1244">
        <v>33.9</v>
      </c>
      <c r="K1244">
        <v>1353</v>
      </c>
      <c r="L1244">
        <v>25.3</v>
      </c>
      <c r="M1244">
        <v>1328</v>
      </c>
      <c r="N1244">
        <v>54.2</v>
      </c>
      <c r="O1244">
        <v>691</v>
      </c>
      <c r="P1244" t="s">
        <v>386</v>
      </c>
      <c r="Q1244" s="1">
        <v>13125</v>
      </c>
      <c r="R1244">
        <v>19.5</v>
      </c>
      <c r="S1244" s="2">
        <v>0.15</v>
      </c>
      <c r="T1244" s="3">
        <v>2.2409722222222221</v>
      </c>
      <c r="U1244" s="2">
        <v>0.2</v>
      </c>
      <c r="V1244" t="s">
        <v>2703</v>
      </c>
      <c r="W1244" t="s">
        <v>2704</v>
      </c>
      <c r="X1244" t="b">
        <v>0</v>
      </c>
      <c r="Y1244" t="b">
        <v>0</v>
      </c>
    </row>
    <row r="1245" spans="1:25">
      <c r="A1245">
        <v>12440</v>
      </c>
      <c r="B1245" t="s">
        <v>2621</v>
      </c>
      <c r="C1245" t="s">
        <v>2705</v>
      </c>
      <c r="D1245" t="s">
        <v>2623</v>
      </c>
      <c r="E1245">
        <v>12440</v>
      </c>
      <c r="F1245">
        <v>15.1</v>
      </c>
      <c r="G1245">
        <v>1749</v>
      </c>
      <c r="H1245">
        <v>17</v>
      </c>
      <c r="I1245">
        <v>973</v>
      </c>
      <c r="J1245">
        <v>37.200000000000003</v>
      </c>
      <c r="K1245">
        <v>1273</v>
      </c>
      <c r="L1245">
        <v>34.9</v>
      </c>
      <c r="M1245">
        <v>1093</v>
      </c>
      <c r="N1245">
        <v>20.3</v>
      </c>
      <c r="O1245">
        <v>1859</v>
      </c>
      <c r="P1245" t="s">
        <v>389</v>
      </c>
      <c r="Q1245" s="1">
        <v>6397</v>
      </c>
      <c r="R1245">
        <v>25.6</v>
      </c>
      <c r="S1245" s="2">
        <v>0.01</v>
      </c>
      <c r="T1245" s="3">
        <v>3.7159722222222222</v>
      </c>
      <c r="U1245" s="2">
        <v>0.08</v>
      </c>
      <c r="V1245" t="s">
        <v>2705</v>
      </c>
      <c r="W1245" t="s">
        <v>2706</v>
      </c>
      <c r="X1245" t="b">
        <v>0</v>
      </c>
      <c r="Y1245" t="b">
        <v>0</v>
      </c>
    </row>
    <row r="1246" spans="1:25">
      <c r="A1246">
        <v>12450</v>
      </c>
      <c r="B1246" t="s">
        <v>2621</v>
      </c>
      <c r="C1246" t="s">
        <v>2707</v>
      </c>
      <c r="D1246" t="s">
        <v>2623</v>
      </c>
      <c r="E1246">
        <v>12450</v>
      </c>
      <c r="F1246">
        <v>18.5</v>
      </c>
      <c r="G1246">
        <v>1504</v>
      </c>
      <c r="H1246">
        <v>13</v>
      </c>
      <c r="I1246">
        <v>1300</v>
      </c>
      <c r="J1246">
        <v>30.3</v>
      </c>
      <c r="K1246">
        <v>1435</v>
      </c>
      <c r="L1246">
        <v>19.8</v>
      </c>
      <c r="M1246">
        <v>1542</v>
      </c>
      <c r="N1246">
        <v>64.900000000000006</v>
      </c>
      <c r="O1246">
        <v>486</v>
      </c>
      <c r="P1246" t="s">
        <v>26</v>
      </c>
      <c r="Q1246" s="1">
        <v>10860</v>
      </c>
      <c r="R1246">
        <v>18.899999999999999</v>
      </c>
      <c r="S1246" s="2">
        <v>0.17</v>
      </c>
      <c r="T1246" s="3">
        <v>2.8555555555555556</v>
      </c>
      <c r="U1246" s="2">
        <v>0.2</v>
      </c>
      <c r="V1246" t="s">
        <v>2707</v>
      </c>
      <c r="W1246" t="s">
        <v>2708</v>
      </c>
      <c r="X1246" t="b">
        <v>0</v>
      </c>
      <c r="Y1246" t="b">
        <v>0</v>
      </c>
    </row>
    <row r="1247" spans="1:25">
      <c r="A1247">
        <v>12460</v>
      </c>
      <c r="B1247" t="s">
        <v>2621</v>
      </c>
      <c r="C1247" t="s">
        <v>2709</v>
      </c>
      <c r="D1247" t="s">
        <v>2623</v>
      </c>
      <c r="E1247">
        <v>12460</v>
      </c>
      <c r="F1247">
        <v>20.9</v>
      </c>
      <c r="G1247">
        <v>1305</v>
      </c>
      <c r="H1247">
        <v>20.8</v>
      </c>
      <c r="I1247">
        <v>781</v>
      </c>
      <c r="J1247">
        <v>25</v>
      </c>
      <c r="K1247">
        <v>1563</v>
      </c>
      <c r="L1247">
        <v>71.900000000000006</v>
      </c>
      <c r="M1247">
        <v>389</v>
      </c>
      <c r="N1247">
        <v>36</v>
      </c>
      <c r="O1247">
        <v>1278</v>
      </c>
      <c r="P1247" t="s">
        <v>181</v>
      </c>
      <c r="Q1247" s="1">
        <v>20247</v>
      </c>
      <c r="R1247">
        <v>24.5</v>
      </c>
      <c r="S1247" s="2">
        <v>0.03</v>
      </c>
      <c r="T1247" s="3">
        <v>2.036111111111111</v>
      </c>
      <c r="U1247" s="2">
        <v>0.27</v>
      </c>
      <c r="V1247" t="s">
        <v>2709</v>
      </c>
      <c r="W1247" t="s">
        <v>2710</v>
      </c>
      <c r="X1247" t="b">
        <v>0</v>
      </c>
      <c r="Y1247" t="b">
        <v>0</v>
      </c>
    </row>
    <row r="1248" spans="1:25">
      <c r="A1248">
        <v>12470</v>
      </c>
      <c r="B1248" t="s">
        <v>2621</v>
      </c>
      <c r="C1248" t="s">
        <v>2711</v>
      </c>
      <c r="D1248" t="s">
        <v>2623</v>
      </c>
      <c r="E1248">
        <v>12470</v>
      </c>
      <c r="F1248">
        <v>14.6</v>
      </c>
      <c r="G1248">
        <v>1773</v>
      </c>
      <c r="H1248">
        <v>9.9</v>
      </c>
      <c r="I1248">
        <v>1649</v>
      </c>
      <c r="J1248">
        <v>44.4</v>
      </c>
      <c r="K1248">
        <v>1137</v>
      </c>
      <c r="L1248">
        <v>15.9</v>
      </c>
      <c r="M1248">
        <v>1876</v>
      </c>
      <c r="N1248">
        <v>25.4</v>
      </c>
      <c r="O1248">
        <v>1687</v>
      </c>
      <c r="P1248" t="s">
        <v>528</v>
      </c>
      <c r="Q1248" s="1">
        <v>27720</v>
      </c>
      <c r="R1248">
        <v>20.7</v>
      </c>
      <c r="S1248" s="2">
        <v>0.02</v>
      </c>
      <c r="T1248" s="3">
        <v>1.9541666666666666</v>
      </c>
      <c r="U1248" s="2">
        <v>0.33</v>
      </c>
      <c r="V1248" t="s">
        <v>2711</v>
      </c>
      <c r="W1248" t="s">
        <v>2712</v>
      </c>
      <c r="X1248" t="b">
        <v>0</v>
      </c>
      <c r="Y1248" t="b">
        <v>0</v>
      </c>
    </row>
    <row r="1249" spans="1:25">
      <c r="A1249">
        <v>12480</v>
      </c>
      <c r="B1249" t="s">
        <v>2621</v>
      </c>
      <c r="C1249" t="s">
        <v>2713</v>
      </c>
      <c r="D1249" t="s">
        <v>2623</v>
      </c>
      <c r="E1249">
        <v>12480</v>
      </c>
      <c r="F1249">
        <v>26.5</v>
      </c>
      <c r="G1249">
        <v>909</v>
      </c>
      <c r="H1249">
        <v>21.2</v>
      </c>
      <c r="I1249">
        <v>760</v>
      </c>
      <c r="J1249">
        <v>29.9</v>
      </c>
      <c r="K1249">
        <v>1446</v>
      </c>
      <c r="L1249">
        <v>50.6</v>
      </c>
      <c r="M1249">
        <v>800</v>
      </c>
      <c r="N1249">
        <v>29.6</v>
      </c>
      <c r="O1249">
        <v>1513</v>
      </c>
      <c r="P1249" t="s">
        <v>181</v>
      </c>
      <c r="Q1249" s="1">
        <v>17075</v>
      </c>
      <c r="R1249">
        <v>14</v>
      </c>
      <c r="S1249" s="2">
        <v>0.05</v>
      </c>
      <c r="T1249" s="3">
        <v>1.8722222222222222</v>
      </c>
      <c r="U1249" s="2">
        <v>0.25</v>
      </c>
      <c r="V1249" t="s">
        <v>2714</v>
      </c>
      <c r="W1249" t="s">
        <v>2715</v>
      </c>
      <c r="X1249" t="b">
        <v>0</v>
      </c>
      <c r="Y1249" t="b">
        <v>0</v>
      </c>
    </row>
    <row r="1250" spans="1:25">
      <c r="A1250">
        <v>12490</v>
      </c>
      <c r="B1250" t="s">
        <v>2621</v>
      </c>
      <c r="C1250" t="s">
        <v>2716</v>
      </c>
      <c r="D1250" t="s">
        <v>2623</v>
      </c>
      <c r="E1250">
        <v>12490</v>
      </c>
      <c r="F1250">
        <v>18.899999999999999</v>
      </c>
      <c r="G1250">
        <v>1471</v>
      </c>
      <c r="H1250">
        <v>20</v>
      </c>
      <c r="I1250">
        <v>812</v>
      </c>
      <c r="J1250">
        <v>27</v>
      </c>
      <c r="K1250">
        <v>1518</v>
      </c>
      <c r="L1250">
        <v>48.9</v>
      </c>
      <c r="M1250">
        <v>825</v>
      </c>
      <c r="N1250">
        <v>21.4</v>
      </c>
      <c r="O1250">
        <v>1829</v>
      </c>
      <c r="P1250" t="s">
        <v>389</v>
      </c>
      <c r="Q1250" s="1">
        <v>7052</v>
      </c>
      <c r="R1250">
        <v>17.2</v>
      </c>
      <c r="S1250" s="2">
        <v>0.04</v>
      </c>
      <c r="T1250" s="3">
        <v>2.6916666666666669</v>
      </c>
      <c r="U1250" s="2">
        <v>0.05</v>
      </c>
      <c r="V1250" t="s">
        <v>2716</v>
      </c>
      <c r="W1250" t="s">
        <v>2717</v>
      </c>
      <c r="X1250" t="b">
        <v>0</v>
      </c>
      <c r="Y1250" t="b">
        <v>0</v>
      </c>
    </row>
    <row r="1251" spans="1:25">
      <c r="A1251">
        <v>12500</v>
      </c>
      <c r="B1251" t="s">
        <v>2621</v>
      </c>
      <c r="C1251" t="s">
        <v>2718</v>
      </c>
      <c r="D1251" t="s">
        <v>2623</v>
      </c>
      <c r="E1251">
        <v>12500</v>
      </c>
      <c r="F1251">
        <v>37.6</v>
      </c>
      <c r="G1251">
        <v>369</v>
      </c>
      <c r="H1251">
        <v>20</v>
      </c>
      <c r="I1251">
        <v>813</v>
      </c>
      <c r="J1251">
        <v>25.4</v>
      </c>
      <c r="K1251">
        <v>1554</v>
      </c>
      <c r="L1251">
        <v>45.6</v>
      </c>
      <c r="M1251">
        <v>885</v>
      </c>
      <c r="N1251">
        <v>20.2</v>
      </c>
      <c r="O1251">
        <v>1864</v>
      </c>
      <c r="P1251" t="s">
        <v>528</v>
      </c>
      <c r="Q1251" s="1">
        <v>4136</v>
      </c>
      <c r="R1251">
        <v>16.2</v>
      </c>
      <c r="S1251" s="2">
        <v>0.01</v>
      </c>
      <c r="T1251" s="3">
        <v>2.5277777777777777</v>
      </c>
      <c r="U1251" s="2">
        <v>0.41</v>
      </c>
      <c r="V1251" t="s">
        <v>2718</v>
      </c>
      <c r="W1251" t="s">
        <v>2719</v>
      </c>
      <c r="X1251" t="b">
        <v>0</v>
      </c>
      <c r="Y1251" t="b">
        <v>0</v>
      </c>
    </row>
    <row r="1252" spans="1:25">
      <c r="A1252">
        <v>12510</v>
      </c>
      <c r="B1252" t="s">
        <v>2621</v>
      </c>
      <c r="C1252" t="s">
        <v>2720</v>
      </c>
      <c r="D1252" t="s">
        <v>2623</v>
      </c>
      <c r="E1252">
        <v>12510</v>
      </c>
      <c r="F1252">
        <v>17.3</v>
      </c>
      <c r="G1252">
        <v>1607</v>
      </c>
      <c r="H1252">
        <v>16.399999999999999</v>
      </c>
      <c r="I1252">
        <v>1014</v>
      </c>
      <c r="J1252">
        <v>38.200000000000003</v>
      </c>
      <c r="K1252">
        <v>1257</v>
      </c>
      <c r="L1252">
        <v>44.6</v>
      </c>
      <c r="M1252">
        <v>902</v>
      </c>
      <c r="N1252">
        <v>52</v>
      </c>
      <c r="O1252">
        <v>738</v>
      </c>
      <c r="P1252" t="s">
        <v>1093</v>
      </c>
      <c r="Q1252" s="1">
        <v>30174</v>
      </c>
      <c r="R1252">
        <v>18.2</v>
      </c>
      <c r="S1252" s="2">
        <v>0.02</v>
      </c>
      <c r="T1252" s="3">
        <v>2.2409722222222221</v>
      </c>
      <c r="U1252" s="2">
        <v>0.28999999999999998</v>
      </c>
      <c r="V1252" t="s">
        <v>2720</v>
      </c>
      <c r="W1252" t="s">
        <v>2721</v>
      </c>
      <c r="X1252" t="b">
        <v>0</v>
      </c>
      <c r="Y1252" t="b">
        <v>0</v>
      </c>
    </row>
    <row r="1253" spans="1:25">
      <c r="A1253">
        <v>12520</v>
      </c>
      <c r="B1253" t="s">
        <v>2621</v>
      </c>
      <c r="C1253" t="s">
        <v>2722</v>
      </c>
      <c r="D1253" t="s">
        <v>2623</v>
      </c>
      <c r="E1253">
        <v>12520</v>
      </c>
      <c r="F1253">
        <v>19.3</v>
      </c>
      <c r="G1253">
        <v>1441</v>
      </c>
      <c r="H1253">
        <v>9.1</v>
      </c>
      <c r="I1253">
        <v>1778</v>
      </c>
      <c r="J1253">
        <v>43</v>
      </c>
      <c r="K1253">
        <v>1168</v>
      </c>
      <c r="L1253">
        <v>19.5</v>
      </c>
      <c r="M1253">
        <v>1559</v>
      </c>
      <c r="N1253">
        <v>46.7</v>
      </c>
      <c r="O1253">
        <v>904</v>
      </c>
      <c r="P1253" t="s">
        <v>2723</v>
      </c>
      <c r="Q1253" s="1">
        <v>34884</v>
      </c>
      <c r="R1253">
        <v>14.8</v>
      </c>
      <c r="S1253" s="2">
        <v>0.02</v>
      </c>
      <c r="T1253" s="3">
        <v>2.2409722222222221</v>
      </c>
      <c r="U1253" s="2">
        <v>0.22</v>
      </c>
      <c r="V1253" t="s">
        <v>2722</v>
      </c>
      <c r="W1253" t="s">
        <v>2724</v>
      </c>
      <c r="X1253" t="b">
        <v>0</v>
      </c>
      <c r="Y1253" t="b">
        <v>0</v>
      </c>
    </row>
    <row r="1254" spans="1:25">
      <c r="A1254">
        <v>12530</v>
      </c>
      <c r="B1254" t="s">
        <v>2621</v>
      </c>
      <c r="C1254" t="s">
        <v>2725</v>
      </c>
      <c r="D1254" t="s">
        <v>2623</v>
      </c>
      <c r="E1254">
        <v>12530</v>
      </c>
      <c r="F1254">
        <v>23.8</v>
      </c>
      <c r="G1254">
        <v>1091</v>
      </c>
      <c r="H1254">
        <v>23.4</v>
      </c>
      <c r="I1254">
        <v>672</v>
      </c>
      <c r="J1254">
        <v>26.2</v>
      </c>
      <c r="K1254">
        <v>1538</v>
      </c>
      <c r="L1254">
        <v>26.7</v>
      </c>
      <c r="M1254">
        <v>1271</v>
      </c>
      <c r="N1254">
        <v>28.9</v>
      </c>
      <c r="O1254">
        <v>1547</v>
      </c>
      <c r="P1254" t="s">
        <v>895</v>
      </c>
      <c r="Q1254" s="1">
        <v>35424</v>
      </c>
      <c r="R1254">
        <v>15.4</v>
      </c>
      <c r="S1254" s="2">
        <v>0.04</v>
      </c>
      <c r="T1254" s="3">
        <v>1.9131944444444444</v>
      </c>
      <c r="U1254" s="2">
        <v>0.25</v>
      </c>
      <c r="V1254" t="s">
        <v>2725</v>
      </c>
      <c r="W1254" t="s">
        <v>2726</v>
      </c>
      <c r="X1254" t="b">
        <v>0</v>
      </c>
      <c r="Y1254" t="b">
        <v>0</v>
      </c>
    </row>
    <row r="1255" spans="1:25">
      <c r="A1255">
        <v>12540</v>
      </c>
      <c r="B1255" t="s">
        <v>2621</v>
      </c>
      <c r="C1255" t="s">
        <v>2727</v>
      </c>
      <c r="D1255" t="s">
        <v>2623</v>
      </c>
      <c r="E1255">
        <v>12540</v>
      </c>
      <c r="F1255">
        <v>22.9</v>
      </c>
      <c r="G1255">
        <v>1157</v>
      </c>
      <c r="H1255">
        <v>13.5</v>
      </c>
      <c r="I1255">
        <v>1250</v>
      </c>
      <c r="J1255">
        <v>27.2</v>
      </c>
      <c r="K1255">
        <v>1515</v>
      </c>
      <c r="L1255">
        <v>26.4</v>
      </c>
      <c r="M1255">
        <v>1284</v>
      </c>
      <c r="N1255">
        <v>51.3</v>
      </c>
      <c r="O1255">
        <v>761</v>
      </c>
      <c r="P1255" t="s">
        <v>1820</v>
      </c>
      <c r="Q1255" s="1">
        <v>9977</v>
      </c>
      <c r="R1255">
        <v>10.5</v>
      </c>
      <c r="S1255" s="2">
        <v>0.02</v>
      </c>
      <c r="T1255" s="3">
        <v>2.4048611111111109</v>
      </c>
      <c r="U1255" s="2">
        <v>0.1</v>
      </c>
      <c r="V1255" t="s">
        <v>2727</v>
      </c>
      <c r="W1255" t="s">
        <v>2728</v>
      </c>
      <c r="X1255" t="b">
        <v>0</v>
      </c>
      <c r="Y1255" t="b">
        <v>0</v>
      </c>
    </row>
    <row r="1256" spans="1:25">
      <c r="A1256">
        <v>12550</v>
      </c>
      <c r="B1256" t="s">
        <v>2621</v>
      </c>
      <c r="C1256" t="s">
        <v>2729</v>
      </c>
      <c r="D1256" t="s">
        <v>2623</v>
      </c>
      <c r="E1256">
        <v>12550</v>
      </c>
      <c r="F1256">
        <v>26.6</v>
      </c>
      <c r="G1256">
        <v>902</v>
      </c>
      <c r="H1256">
        <v>8.1999999999999993</v>
      </c>
      <c r="I1256">
        <v>1869</v>
      </c>
      <c r="J1256">
        <v>44.3</v>
      </c>
      <c r="K1256">
        <v>1142</v>
      </c>
      <c r="L1256">
        <v>20.5</v>
      </c>
      <c r="M1256">
        <v>1509</v>
      </c>
      <c r="N1256">
        <v>28.3</v>
      </c>
      <c r="O1256">
        <v>1569</v>
      </c>
      <c r="P1256" t="s">
        <v>2157</v>
      </c>
      <c r="Q1256" s="1">
        <v>29461</v>
      </c>
      <c r="R1256">
        <v>17.899999999999999</v>
      </c>
      <c r="S1256" s="2">
        <v>0</v>
      </c>
      <c r="T1256" s="3">
        <v>2.2819444444444446</v>
      </c>
      <c r="U1256" s="2">
        <v>0.42</v>
      </c>
      <c r="V1256" t="s">
        <v>2729</v>
      </c>
      <c r="W1256" t="s">
        <v>2730</v>
      </c>
      <c r="X1256" t="b">
        <v>0</v>
      </c>
      <c r="Y1256" t="b">
        <v>0</v>
      </c>
    </row>
    <row r="1257" spans="1:25">
      <c r="A1257">
        <v>12560</v>
      </c>
      <c r="B1257" t="s">
        <v>2621</v>
      </c>
      <c r="C1257" t="s">
        <v>2731</v>
      </c>
      <c r="D1257" t="s">
        <v>2623</v>
      </c>
      <c r="E1257">
        <v>12560</v>
      </c>
      <c r="F1257">
        <v>19.399999999999999</v>
      </c>
      <c r="G1257">
        <v>1430</v>
      </c>
      <c r="H1257">
        <v>18.2</v>
      </c>
      <c r="I1257">
        <v>908</v>
      </c>
      <c r="J1257">
        <v>25.5</v>
      </c>
      <c r="K1257">
        <v>1551</v>
      </c>
      <c r="L1257">
        <v>67.099999999999994</v>
      </c>
      <c r="M1257">
        <v>497</v>
      </c>
      <c r="N1257">
        <v>25.5</v>
      </c>
      <c r="O1257">
        <v>1683</v>
      </c>
      <c r="P1257" t="s">
        <v>895</v>
      </c>
      <c r="Q1257" s="1">
        <v>56667</v>
      </c>
      <c r="R1257">
        <v>23.7</v>
      </c>
      <c r="S1257" s="2">
        <v>0.03</v>
      </c>
      <c r="T1257" s="3">
        <v>1.9541666666666666</v>
      </c>
      <c r="U1257" s="2">
        <v>0.23</v>
      </c>
      <c r="V1257" t="s">
        <v>2731</v>
      </c>
      <c r="W1257" t="s">
        <v>2732</v>
      </c>
      <c r="X1257" t="b">
        <v>0</v>
      </c>
      <c r="Y1257" t="b">
        <v>0</v>
      </c>
    </row>
    <row r="1258" spans="1:25">
      <c r="A1258">
        <v>12570</v>
      </c>
      <c r="B1258" t="s">
        <v>2621</v>
      </c>
      <c r="C1258" t="s">
        <v>2733</v>
      </c>
      <c r="D1258" t="s">
        <v>2623</v>
      </c>
      <c r="E1258">
        <v>12570</v>
      </c>
      <c r="F1258">
        <v>24.2</v>
      </c>
      <c r="G1258">
        <v>1068</v>
      </c>
      <c r="H1258">
        <v>10</v>
      </c>
      <c r="I1258">
        <v>1641</v>
      </c>
      <c r="J1258">
        <v>46.5</v>
      </c>
      <c r="K1258">
        <v>1086</v>
      </c>
      <c r="L1258">
        <v>18.7</v>
      </c>
      <c r="M1258">
        <v>1610</v>
      </c>
      <c r="N1258">
        <v>43.2</v>
      </c>
      <c r="O1258">
        <v>1009</v>
      </c>
      <c r="P1258" t="s">
        <v>1102</v>
      </c>
      <c r="Q1258" s="1">
        <v>11555</v>
      </c>
      <c r="R1258">
        <v>7.7</v>
      </c>
      <c r="S1258" s="2">
        <v>0.03</v>
      </c>
      <c r="T1258" s="3">
        <v>2.6506944444444445</v>
      </c>
      <c r="U1258" s="2">
        <v>0.04</v>
      </c>
      <c r="V1258" t="s">
        <v>2733</v>
      </c>
      <c r="W1258" t="s">
        <v>2734</v>
      </c>
      <c r="X1258" t="b">
        <v>0</v>
      </c>
      <c r="Y1258" t="b">
        <v>0</v>
      </c>
    </row>
    <row r="1259" spans="1:25">
      <c r="A1259">
        <v>12580</v>
      </c>
      <c r="B1259" t="s">
        <v>2621</v>
      </c>
      <c r="C1259" t="s">
        <v>2735</v>
      </c>
      <c r="D1259" t="s">
        <v>2623</v>
      </c>
      <c r="E1259">
        <v>12580</v>
      </c>
      <c r="F1259">
        <v>15.5</v>
      </c>
      <c r="G1259">
        <v>1730</v>
      </c>
      <c r="H1259">
        <v>19.899999999999999</v>
      </c>
      <c r="I1259">
        <v>817</v>
      </c>
      <c r="J1259">
        <v>44.7</v>
      </c>
      <c r="K1259">
        <v>1125</v>
      </c>
      <c r="L1259">
        <v>50.7</v>
      </c>
      <c r="M1259">
        <v>797</v>
      </c>
      <c r="N1259">
        <v>30.2</v>
      </c>
      <c r="O1259">
        <v>1493</v>
      </c>
      <c r="P1259" t="s">
        <v>895</v>
      </c>
      <c r="Q1259" s="1">
        <v>21641</v>
      </c>
      <c r="R1259">
        <v>33.4</v>
      </c>
      <c r="S1259" s="2">
        <v>0.09</v>
      </c>
      <c r="T1259" s="3">
        <v>1.8722222222222222</v>
      </c>
      <c r="U1259" s="2">
        <v>0.23</v>
      </c>
      <c r="V1259" t="s">
        <v>2735</v>
      </c>
      <c r="W1259" t="s">
        <v>2736</v>
      </c>
      <c r="X1259" t="b">
        <v>0</v>
      </c>
      <c r="Y1259" t="b">
        <v>0</v>
      </c>
    </row>
    <row r="1260" spans="1:25">
      <c r="A1260">
        <v>12590</v>
      </c>
      <c r="B1260" t="s">
        <v>2621</v>
      </c>
      <c r="C1260" t="s">
        <v>2737</v>
      </c>
      <c r="D1260" t="s">
        <v>2623</v>
      </c>
      <c r="E1260">
        <v>12590</v>
      </c>
      <c r="F1260">
        <v>10.1</v>
      </c>
      <c r="G1260">
        <v>1902</v>
      </c>
      <c r="H1260">
        <v>9.4</v>
      </c>
      <c r="I1260">
        <v>1728</v>
      </c>
      <c r="J1260">
        <v>56.7</v>
      </c>
      <c r="K1260">
        <v>854</v>
      </c>
      <c r="L1260">
        <v>16.600000000000001</v>
      </c>
      <c r="M1260">
        <v>1794</v>
      </c>
      <c r="N1260">
        <v>51.1</v>
      </c>
      <c r="O1260">
        <v>769</v>
      </c>
      <c r="P1260" t="s">
        <v>2738</v>
      </c>
      <c r="Q1260" s="1">
        <v>48306</v>
      </c>
      <c r="R1260">
        <v>28.7</v>
      </c>
      <c r="S1260" s="2">
        <v>0</v>
      </c>
      <c r="T1260" s="3">
        <v>1.7493055555555554</v>
      </c>
      <c r="U1260" s="2">
        <v>0.18</v>
      </c>
      <c r="V1260" t="s">
        <v>2737</v>
      </c>
      <c r="W1260" t="s">
        <v>2739</v>
      </c>
      <c r="X1260" t="b">
        <v>0</v>
      </c>
      <c r="Y1260" t="b">
        <v>0</v>
      </c>
    </row>
    <row r="1261" spans="1:25">
      <c r="A1261">
        <v>12600</v>
      </c>
      <c r="B1261" t="s">
        <v>2621</v>
      </c>
      <c r="C1261" t="s">
        <v>2740</v>
      </c>
      <c r="D1261" t="s">
        <v>2623</v>
      </c>
      <c r="E1261">
        <v>12600</v>
      </c>
      <c r="F1261">
        <v>11.4</v>
      </c>
      <c r="G1261">
        <v>1891</v>
      </c>
      <c r="H1261">
        <v>9.1</v>
      </c>
      <c r="I1261">
        <v>1779</v>
      </c>
      <c r="J1261">
        <v>56.9</v>
      </c>
      <c r="K1261">
        <v>849</v>
      </c>
      <c r="L1261">
        <v>15.9</v>
      </c>
      <c r="M1261">
        <v>1877</v>
      </c>
      <c r="N1261">
        <v>50.5</v>
      </c>
      <c r="O1261">
        <v>790</v>
      </c>
      <c r="P1261" t="s">
        <v>1102</v>
      </c>
      <c r="Q1261" s="1">
        <v>26664</v>
      </c>
      <c r="R1261">
        <v>30.6</v>
      </c>
      <c r="S1261" s="2">
        <v>0</v>
      </c>
      <c r="T1261" s="3">
        <v>2.2409722222222221</v>
      </c>
      <c r="U1261" s="2">
        <v>0.35</v>
      </c>
      <c r="V1261" t="s">
        <v>2740</v>
      </c>
      <c r="W1261" t="s">
        <v>2741</v>
      </c>
      <c r="X1261" t="b">
        <v>0</v>
      </c>
      <c r="Y1261" t="b">
        <v>0</v>
      </c>
    </row>
    <row r="1262" spans="1:25">
      <c r="A1262">
        <v>12610</v>
      </c>
      <c r="B1262" t="s">
        <v>2621</v>
      </c>
      <c r="C1262" t="s">
        <v>2742</v>
      </c>
      <c r="D1262" t="s">
        <v>2623</v>
      </c>
      <c r="E1262">
        <v>12610</v>
      </c>
      <c r="F1262">
        <v>32.700000000000003</v>
      </c>
      <c r="G1262">
        <v>559</v>
      </c>
      <c r="H1262">
        <v>16.7</v>
      </c>
      <c r="I1262">
        <v>991</v>
      </c>
      <c r="J1262">
        <v>30.4</v>
      </c>
      <c r="K1262">
        <v>1433</v>
      </c>
      <c r="L1262">
        <v>63.4</v>
      </c>
      <c r="M1262">
        <v>580</v>
      </c>
      <c r="N1262">
        <v>25.7</v>
      </c>
      <c r="O1262">
        <v>1675</v>
      </c>
      <c r="P1262" t="s">
        <v>895</v>
      </c>
      <c r="Q1262" s="1">
        <v>31178</v>
      </c>
      <c r="R1262">
        <v>20.3</v>
      </c>
      <c r="S1262" s="2">
        <v>0.04</v>
      </c>
      <c r="T1262" s="3">
        <v>2.2819444444444446</v>
      </c>
      <c r="U1262" s="2">
        <v>0.21</v>
      </c>
      <c r="V1262" t="s">
        <v>2742</v>
      </c>
      <c r="W1262" t="s">
        <v>2743</v>
      </c>
      <c r="X1262" t="b">
        <v>0</v>
      </c>
      <c r="Y1262" t="b">
        <v>0</v>
      </c>
    </row>
    <row r="1263" spans="1:25">
      <c r="A1263">
        <v>12620</v>
      </c>
      <c r="B1263" t="s">
        <v>2621</v>
      </c>
      <c r="C1263" t="s">
        <v>2744</v>
      </c>
      <c r="D1263" t="s">
        <v>2623</v>
      </c>
      <c r="E1263">
        <v>12620</v>
      </c>
      <c r="F1263">
        <v>24.3</v>
      </c>
      <c r="G1263">
        <v>1055</v>
      </c>
      <c r="H1263">
        <v>14.9</v>
      </c>
      <c r="I1263">
        <v>1134</v>
      </c>
      <c r="J1263">
        <v>27.9</v>
      </c>
      <c r="K1263">
        <v>1493</v>
      </c>
      <c r="L1263">
        <v>54</v>
      </c>
      <c r="M1263">
        <v>739</v>
      </c>
      <c r="N1263">
        <v>32.1</v>
      </c>
      <c r="O1263">
        <v>1421</v>
      </c>
      <c r="P1263" t="s">
        <v>94</v>
      </c>
      <c r="Q1263" s="1">
        <v>9101</v>
      </c>
      <c r="R1263">
        <v>11.3</v>
      </c>
      <c r="S1263" s="2">
        <v>0.02</v>
      </c>
      <c r="T1263" t="s">
        <v>501</v>
      </c>
      <c r="U1263" s="2">
        <v>0.25</v>
      </c>
      <c r="V1263" t="s">
        <v>2744</v>
      </c>
      <c r="W1263" t="s">
        <v>2745</v>
      </c>
      <c r="X1263" t="b">
        <v>0</v>
      </c>
      <c r="Y1263" t="b">
        <v>0</v>
      </c>
    </row>
    <row r="1264" spans="1:25">
      <c r="A1264">
        <v>12630</v>
      </c>
      <c r="B1264" t="s">
        <v>2621</v>
      </c>
      <c r="C1264" t="s">
        <v>2746</v>
      </c>
      <c r="D1264" t="s">
        <v>2623</v>
      </c>
      <c r="E1264">
        <v>12630</v>
      </c>
      <c r="F1264">
        <v>22.3</v>
      </c>
      <c r="G1264">
        <v>1203</v>
      </c>
      <c r="H1264">
        <v>22.7</v>
      </c>
      <c r="I1264">
        <v>699</v>
      </c>
      <c r="J1264">
        <v>28.4</v>
      </c>
      <c r="K1264">
        <v>1488</v>
      </c>
      <c r="L1264">
        <v>65.900000000000006</v>
      </c>
      <c r="M1264">
        <v>530</v>
      </c>
      <c r="N1264">
        <v>37.5</v>
      </c>
      <c r="O1264">
        <v>1220</v>
      </c>
      <c r="P1264" t="s">
        <v>94</v>
      </c>
      <c r="Q1264" s="1">
        <v>4659</v>
      </c>
      <c r="R1264">
        <v>15.5</v>
      </c>
      <c r="S1264" s="2">
        <v>0.05</v>
      </c>
      <c r="T1264">
        <v>0.56111111111111112</v>
      </c>
      <c r="U1264" s="2">
        <v>0.48</v>
      </c>
      <c r="V1264" t="s">
        <v>2746</v>
      </c>
      <c r="W1264" t="s">
        <v>2747</v>
      </c>
      <c r="X1264" t="b">
        <v>0</v>
      </c>
      <c r="Y1264" t="b">
        <v>0</v>
      </c>
    </row>
    <row r="1265" spans="1:25">
      <c r="A1265">
        <v>12640</v>
      </c>
      <c r="B1265" t="s">
        <v>2621</v>
      </c>
      <c r="C1265" t="s">
        <v>2748</v>
      </c>
      <c r="D1265" t="s">
        <v>2623</v>
      </c>
      <c r="E1265">
        <v>12640</v>
      </c>
      <c r="F1265">
        <v>20.9</v>
      </c>
      <c r="G1265">
        <v>1307</v>
      </c>
      <c r="H1265">
        <v>16.100000000000001</v>
      </c>
      <c r="I1265">
        <v>1041</v>
      </c>
      <c r="J1265">
        <v>36.1</v>
      </c>
      <c r="K1265">
        <v>1300</v>
      </c>
      <c r="L1265">
        <v>57</v>
      </c>
      <c r="M1265">
        <v>704</v>
      </c>
      <c r="N1265">
        <v>29.3</v>
      </c>
      <c r="O1265">
        <v>1528</v>
      </c>
      <c r="P1265" t="s">
        <v>895</v>
      </c>
      <c r="Q1265" s="1">
        <v>51907</v>
      </c>
      <c r="R1265">
        <v>37.200000000000003</v>
      </c>
      <c r="S1265" s="2">
        <v>0.06</v>
      </c>
      <c r="T1265" s="3">
        <v>1.9541666666666666</v>
      </c>
      <c r="U1265" s="2">
        <v>0.23</v>
      </c>
      <c r="V1265" t="s">
        <v>2748</v>
      </c>
      <c r="W1265" t="s">
        <v>2749</v>
      </c>
      <c r="X1265" t="b">
        <v>0</v>
      </c>
      <c r="Y1265" t="b">
        <v>0</v>
      </c>
    </row>
    <row r="1266" spans="1:25">
      <c r="A1266">
        <v>12650</v>
      </c>
      <c r="B1266" t="s">
        <v>2621</v>
      </c>
      <c r="C1266" t="s">
        <v>2750</v>
      </c>
      <c r="D1266" t="s">
        <v>2623</v>
      </c>
      <c r="E1266">
        <v>12650</v>
      </c>
      <c r="F1266">
        <v>20.399999999999999</v>
      </c>
      <c r="G1266">
        <v>1343</v>
      </c>
      <c r="H1266">
        <v>9.5</v>
      </c>
      <c r="I1266">
        <v>1711</v>
      </c>
      <c r="J1266">
        <v>32.299999999999997</v>
      </c>
      <c r="K1266">
        <v>1394</v>
      </c>
      <c r="L1266">
        <v>18.3</v>
      </c>
      <c r="M1266">
        <v>1643</v>
      </c>
      <c r="N1266">
        <v>56.4</v>
      </c>
      <c r="O1266">
        <v>656</v>
      </c>
      <c r="P1266" t="s">
        <v>2513</v>
      </c>
      <c r="Q1266" s="1">
        <v>10271</v>
      </c>
      <c r="R1266">
        <v>10.4</v>
      </c>
      <c r="S1266" s="2">
        <v>0.01</v>
      </c>
      <c r="T1266" t="s">
        <v>501</v>
      </c>
      <c r="U1266" s="2">
        <v>0.38</v>
      </c>
      <c r="V1266" t="s">
        <v>2750</v>
      </c>
      <c r="W1266" t="s">
        <v>2751</v>
      </c>
      <c r="X1266" t="b">
        <v>0</v>
      </c>
      <c r="Y1266" t="b">
        <v>0</v>
      </c>
    </row>
    <row r="1267" spans="1:25">
      <c r="A1267">
        <v>12660</v>
      </c>
      <c r="B1267" t="s">
        <v>2621</v>
      </c>
      <c r="C1267" t="s">
        <v>2752</v>
      </c>
      <c r="D1267" t="s">
        <v>2623</v>
      </c>
      <c r="E1267">
        <v>12660</v>
      </c>
      <c r="F1267">
        <v>31.8</v>
      </c>
      <c r="G1267">
        <v>595</v>
      </c>
      <c r="H1267">
        <v>13.5</v>
      </c>
      <c r="I1267">
        <v>1251</v>
      </c>
      <c r="J1267">
        <v>24.6</v>
      </c>
      <c r="K1267">
        <v>1572</v>
      </c>
      <c r="L1267">
        <v>26.3</v>
      </c>
      <c r="M1267">
        <v>1286</v>
      </c>
      <c r="N1267">
        <v>30.4</v>
      </c>
      <c r="O1267">
        <v>1485</v>
      </c>
      <c r="P1267" t="s">
        <v>577</v>
      </c>
      <c r="Q1267" s="1">
        <v>22879</v>
      </c>
      <c r="R1267">
        <v>9.4</v>
      </c>
      <c r="S1267" s="2">
        <v>0</v>
      </c>
      <c r="T1267" s="3">
        <v>2.3638888888888889</v>
      </c>
      <c r="U1267" s="2">
        <v>0.24</v>
      </c>
      <c r="V1267" t="s">
        <v>2752</v>
      </c>
      <c r="W1267" t="s">
        <v>2753</v>
      </c>
      <c r="X1267" t="b">
        <v>0</v>
      </c>
      <c r="Y1267" t="b">
        <v>0</v>
      </c>
    </row>
    <row r="1268" spans="1:25">
      <c r="A1268">
        <v>12670</v>
      </c>
      <c r="B1268" t="s">
        <v>2621</v>
      </c>
      <c r="C1268" t="s">
        <v>2754</v>
      </c>
      <c r="D1268" t="s">
        <v>2623</v>
      </c>
      <c r="E1268">
        <v>12670</v>
      </c>
      <c r="F1268">
        <v>31.5</v>
      </c>
      <c r="G1268">
        <v>613</v>
      </c>
      <c r="H1268">
        <v>19.600000000000001</v>
      </c>
      <c r="I1268">
        <v>833</v>
      </c>
      <c r="J1268">
        <v>21</v>
      </c>
      <c r="K1268">
        <v>1659</v>
      </c>
      <c r="L1268">
        <v>26.6</v>
      </c>
      <c r="M1268">
        <v>1276</v>
      </c>
      <c r="N1268">
        <v>62.7</v>
      </c>
      <c r="O1268">
        <v>528</v>
      </c>
      <c r="P1268" t="s">
        <v>255</v>
      </c>
      <c r="Q1268" s="1">
        <v>15631</v>
      </c>
      <c r="R1268">
        <v>12.9</v>
      </c>
      <c r="S1268" s="2">
        <v>0.21</v>
      </c>
      <c r="T1268" s="3">
        <v>2.4868055555555557</v>
      </c>
      <c r="U1268" s="2">
        <v>0.35</v>
      </c>
      <c r="V1268" t="s">
        <v>2754</v>
      </c>
      <c r="W1268" t="s">
        <v>2755</v>
      </c>
      <c r="X1268" t="b">
        <v>0</v>
      </c>
      <c r="Y1268" t="b">
        <v>0</v>
      </c>
    </row>
    <row r="1269" spans="1:25">
      <c r="A1269">
        <v>12680</v>
      </c>
      <c r="B1269" t="s">
        <v>2621</v>
      </c>
      <c r="C1269" t="s">
        <v>2756</v>
      </c>
      <c r="D1269" t="s">
        <v>2623</v>
      </c>
      <c r="E1269">
        <v>12680</v>
      </c>
      <c r="F1269">
        <v>16.8</v>
      </c>
      <c r="G1269">
        <v>1641</v>
      </c>
      <c r="H1269">
        <v>17.600000000000001</v>
      </c>
      <c r="I1269">
        <v>937</v>
      </c>
      <c r="J1269">
        <v>41.1</v>
      </c>
      <c r="K1269">
        <v>1201</v>
      </c>
      <c r="L1269">
        <v>26.6</v>
      </c>
      <c r="M1269">
        <v>1277</v>
      </c>
      <c r="N1269">
        <v>45.9</v>
      </c>
      <c r="O1269">
        <v>935</v>
      </c>
      <c r="P1269" t="s">
        <v>577</v>
      </c>
      <c r="Q1269" s="1">
        <v>18805</v>
      </c>
      <c r="R1269">
        <v>25.3</v>
      </c>
      <c r="S1269" s="2">
        <v>0.01</v>
      </c>
      <c r="T1269" t="s">
        <v>40</v>
      </c>
      <c r="U1269" s="2">
        <v>0.38</v>
      </c>
      <c r="V1269" t="s">
        <v>2756</v>
      </c>
      <c r="W1269" t="s">
        <v>2757</v>
      </c>
      <c r="X1269" t="b">
        <v>0</v>
      </c>
      <c r="Y1269" t="b">
        <v>0</v>
      </c>
    </row>
    <row r="1270" spans="1:25">
      <c r="A1270">
        <v>12690</v>
      </c>
      <c r="B1270" t="s">
        <v>2621</v>
      </c>
      <c r="C1270" t="s">
        <v>2758</v>
      </c>
      <c r="D1270" t="s">
        <v>2623</v>
      </c>
      <c r="E1270">
        <v>12690</v>
      </c>
      <c r="F1270">
        <v>27.5</v>
      </c>
      <c r="G1270">
        <v>842</v>
      </c>
      <c r="H1270">
        <v>12.3</v>
      </c>
      <c r="I1270">
        <v>1376</v>
      </c>
      <c r="J1270">
        <v>30.5</v>
      </c>
      <c r="K1270">
        <v>1428</v>
      </c>
      <c r="L1270">
        <v>19.7</v>
      </c>
      <c r="M1270">
        <v>1547</v>
      </c>
      <c r="N1270">
        <v>28.4</v>
      </c>
      <c r="O1270">
        <v>1563</v>
      </c>
      <c r="P1270" t="s">
        <v>577</v>
      </c>
      <c r="Q1270" s="1">
        <v>51291</v>
      </c>
      <c r="R1270">
        <v>19.899999999999999</v>
      </c>
      <c r="S1270" s="2">
        <v>0</v>
      </c>
      <c r="T1270" s="3">
        <v>1.7493055555555554</v>
      </c>
      <c r="U1270" s="2">
        <v>0.22</v>
      </c>
      <c r="V1270" t="s">
        <v>2758</v>
      </c>
      <c r="W1270" t="s">
        <v>2759</v>
      </c>
      <c r="X1270" t="b">
        <v>0</v>
      </c>
      <c r="Y1270" t="b">
        <v>0</v>
      </c>
    </row>
    <row r="1271" spans="1:25">
      <c r="A1271">
        <v>12700</v>
      </c>
      <c r="B1271" t="s">
        <v>2621</v>
      </c>
      <c r="C1271" t="s">
        <v>2760</v>
      </c>
      <c r="D1271" t="s">
        <v>2623</v>
      </c>
      <c r="E1271">
        <v>12700</v>
      </c>
      <c r="F1271">
        <v>24.2</v>
      </c>
      <c r="G1271">
        <v>1069</v>
      </c>
      <c r="H1271">
        <v>16.600000000000001</v>
      </c>
      <c r="I1271">
        <v>1001</v>
      </c>
      <c r="J1271">
        <v>24.6</v>
      </c>
      <c r="K1271">
        <v>1573</v>
      </c>
      <c r="L1271">
        <v>44.5</v>
      </c>
      <c r="M1271">
        <v>903</v>
      </c>
      <c r="N1271">
        <v>27.2</v>
      </c>
      <c r="O1271">
        <v>1609</v>
      </c>
      <c r="P1271" t="s">
        <v>577</v>
      </c>
      <c r="Q1271" s="1">
        <v>40899</v>
      </c>
      <c r="R1271">
        <v>19.8</v>
      </c>
      <c r="S1271" s="2">
        <v>0.01</v>
      </c>
      <c r="T1271" s="3">
        <v>1.8722222222222222</v>
      </c>
      <c r="U1271" s="2">
        <v>0.24</v>
      </c>
      <c r="V1271" t="s">
        <v>2760</v>
      </c>
      <c r="W1271" t="s">
        <v>2761</v>
      </c>
      <c r="X1271" t="b">
        <v>0</v>
      </c>
      <c r="Y1271" t="b">
        <v>0</v>
      </c>
    </row>
    <row r="1272" spans="1:25">
      <c r="A1272">
        <v>12710</v>
      </c>
      <c r="B1272" t="s">
        <v>2621</v>
      </c>
      <c r="C1272" t="s">
        <v>2762</v>
      </c>
      <c r="D1272" t="s">
        <v>2623</v>
      </c>
      <c r="E1272">
        <v>12710</v>
      </c>
      <c r="F1272">
        <v>24.7</v>
      </c>
      <c r="G1272">
        <v>1027</v>
      </c>
      <c r="H1272">
        <v>15.7</v>
      </c>
      <c r="I1272">
        <v>1069</v>
      </c>
      <c r="J1272">
        <v>25.1</v>
      </c>
      <c r="K1272">
        <v>1560</v>
      </c>
      <c r="L1272">
        <v>47.3</v>
      </c>
      <c r="M1272">
        <v>859</v>
      </c>
      <c r="N1272">
        <v>28.8</v>
      </c>
      <c r="O1272">
        <v>1550</v>
      </c>
      <c r="P1272" t="s">
        <v>577</v>
      </c>
      <c r="Q1272" s="1">
        <v>24728</v>
      </c>
      <c r="R1272">
        <v>13.3</v>
      </c>
      <c r="S1272" s="2">
        <v>0.01</v>
      </c>
      <c r="T1272" s="3">
        <v>2.3229166666666665</v>
      </c>
      <c r="U1272" s="2">
        <v>0.28000000000000003</v>
      </c>
      <c r="V1272" t="s">
        <v>2762</v>
      </c>
      <c r="W1272" t="s">
        <v>2763</v>
      </c>
      <c r="X1272" t="b">
        <v>0</v>
      </c>
      <c r="Y1272" t="b">
        <v>0</v>
      </c>
    </row>
    <row r="1273" spans="1:25">
      <c r="A1273">
        <v>12720</v>
      </c>
      <c r="B1273" t="s">
        <v>2621</v>
      </c>
      <c r="C1273" t="s">
        <v>2764</v>
      </c>
      <c r="D1273" t="s">
        <v>2623</v>
      </c>
      <c r="E1273">
        <v>12720</v>
      </c>
      <c r="F1273">
        <v>30</v>
      </c>
      <c r="G1273">
        <v>686</v>
      </c>
      <c r="H1273">
        <v>13.8</v>
      </c>
      <c r="I1273">
        <v>1226</v>
      </c>
      <c r="J1273">
        <v>26.2</v>
      </c>
      <c r="K1273">
        <v>1539</v>
      </c>
      <c r="L1273">
        <v>30.8</v>
      </c>
      <c r="M1273">
        <v>1162</v>
      </c>
      <c r="N1273">
        <v>27.7</v>
      </c>
      <c r="O1273">
        <v>1591</v>
      </c>
      <c r="P1273" t="s">
        <v>577</v>
      </c>
      <c r="Q1273" s="1">
        <v>25332</v>
      </c>
      <c r="R1273">
        <v>13.3</v>
      </c>
      <c r="S1273" s="2">
        <v>0.01</v>
      </c>
      <c r="T1273" s="3">
        <v>2.1180555555555554</v>
      </c>
      <c r="U1273" s="2">
        <v>0.22</v>
      </c>
      <c r="V1273" t="s">
        <v>2764</v>
      </c>
      <c r="W1273" t="s">
        <v>2765</v>
      </c>
      <c r="X1273" t="b">
        <v>0</v>
      </c>
      <c r="Y1273" t="b">
        <v>0</v>
      </c>
    </row>
    <row r="1274" spans="1:25">
      <c r="A1274">
        <v>12730</v>
      </c>
      <c r="B1274" t="s">
        <v>2621</v>
      </c>
      <c r="C1274" t="s">
        <v>2766</v>
      </c>
      <c r="D1274" t="s">
        <v>2623</v>
      </c>
      <c r="E1274">
        <v>12730</v>
      </c>
      <c r="F1274">
        <v>27</v>
      </c>
      <c r="G1274">
        <v>876</v>
      </c>
      <c r="H1274">
        <v>16.8</v>
      </c>
      <c r="I1274">
        <v>983</v>
      </c>
      <c r="J1274">
        <v>26.6</v>
      </c>
      <c r="K1274">
        <v>1525</v>
      </c>
      <c r="L1274">
        <v>29.3</v>
      </c>
      <c r="M1274">
        <v>1198</v>
      </c>
      <c r="N1274">
        <v>26.5</v>
      </c>
      <c r="O1274">
        <v>1639</v>
      </c>
      <c r="P1274" t="s">
        <v>577</v>
      </c>
      <c r="Q1274" s="1">
        <v>14733</v>
      </c>
      <c r="R1274">
        <v>18.3</v>
      </c>
      <c r="S1274" s="2">
        <v>0.01</v>
      </c>
      <c r="T1274" s="3">
        <v>2.2000000000000002</v>
      </c>
      <c r="U1274" s="2">
        <v>0.28999999999999998</v>
      </c>
      <c r="V1274" t="s">
        <v>2766</v>
      </c>
      <c r="W1274" t="s">
        <v>2767</v>
      </c>
      <c r="X1274" t="b">
        <v>0</v>
      </c>
      <c r="Y1274" t="b">
        <v>0</v>
      </c>
    </row>
    <row r="1275" spans="1:25">
      <c r="A1275">
        <v>12740</v>
      </c>
      <c r="B1275" t="s">
        <v>2621</v>
      </c>
      <c r="C1275" t="s">
        <v>2768</v>
      </c>
      <c r="D1275" t="s">
        <v>2623</v>
      </c>
      <c r="E1275">
        <v>12740</v>
      </c>
      <c r="F1275">
        <v>28.4</v>
      </c>
      <c r="G1275">
        <v>782</v>
      </c>
      <c r="H1275">
        <v>16.399999999999999</v>
      </c>
      <c r="I1275">
        <v>1015</v>
      </c>
      <c r="J1275">
        <v>29.1</v>
      </c>
      <c r="K1275">
        <v>1466</v>
      </c>
      <c r="L1275">
        <v>49.2</v>
      </c>
      <c r="M1275">
        <v>824</v>
      </c>
      <c r="N1275">
        <v>27.6</v>
      </c>
      <c r="O1275">
        <v>1599</v>
      </c>
      <c r="P1275" t="s">
        <v>577</v>
      </c>
      <c r="Q1275" s="1">
        <v>39031</v>
      </c>
      <c r="R1275">
        <v>15.6</v>
      </c>
      <c r="S1275" s="2">
        <v>0.01</v>
      </c>
      <c r="T1275" s="3">
        <v>2.3638888888888889</v>
      </c>
      <c r="U1275" s="2">
        <v>0.24</v>
      </c>
      <c r="V1275" t="s">
        <v>2768</v>
      </c>
      <c r="W1275" t="s">
        <v>2769</v>
      </c>
      <c r="X1275" t="b">
        <v>0</v>
      </c>
      <c r="Y1275" t="b">
        <v>0</v>
      </c>
    </row>
    <row r="1276" spans="1:25">
      <c r="A1276">
        <v>12750</v>
      </c>
      <c r="B1276" t="s">
        <v>2621</v>
      </c>
      <c r="C1276" t="s">
        <v>2770</v>
      </c>
      <c r="D1276" t="s">
        <v>2623</v>
      </c>
      <c r="E1276">
        <v>12750</v>
      </c>
      <c r="F1276">
        <v>30.7</v>
      </c>
      <c r="G1276">
        <v>653</v>
      </c>
      <c r="H1276">
        <v>13.3</v>
      </c>
      <c r="I1276">
        <v>1278</v>
      </c>
      <c r="J1276">
        <v>25.1</v>
      </c>
      <c r="K1276">
        <v>1561</v>
      </c>
      <c r="L1276">
        <v>40.200000000000003</v>
      </c>
      <c r="M1276">
        <v>977</v>
      </c>
      <c r="N1276">
        <v>25.7</v>
      </c>
      <c r="O1276">
        <v>1676</v>
      </c>
      <c r="P1276" t="s">
        <v>577</v>
      </c>
      <c r="Q1276" s="1">
        <v>34549</v>
      </c>
      <c r="R1276">
        <v>12.8</v>
      </c>
      <c r="S1276" s="2">
        <v>0</v>
      </c>
      <c r="T1276" s="3">
        <v>2.1590277777777778</v>
      </c>
      <c r="U1276" s="2">
        <v>0.26</v>
      </c>
      <c r="V1276" t="s">
        <v>2770</v>
      </c>
      <c r="W1276" t="s">
        <v>2771</v>
      </c>
      <c r="X1276" t="b">
        <v>0</v>
      </c>
      <c r="Y1276" t="b">
        <v>0</v>
      </c>
    </row>
    <row r="1277" spans="1:25">
      <c r="A1277">
        <v>12760</v>
      </c>
      <c r="B1277" t="s">
        <v>2621</v>
      </c>
      <c r="C1277" t="s">
        <v>2772</v>
      </c>
      <c r="D1277" t="s">
        <v>2623</v>
      </c>
      <c r="E1277">
        <v>12760</v>
      </c>
      <c r="F1277">
        <v>25.3</v>
      </c>
      <c r="G1277">
        <v>981</v>
      </c>
      <c r="H1277">
        <v>11.3</v>
      </c>
      <c r="I1277">
        <v>1484</v>
      </c>
      <c r="J1277">
        <v>30.6</v>
      </c>
      <c r="K1277">
        <v>1426</v>
      </c>
      <c r="L1277">
        <v>24.8</v>
      </c>
      <c r="M1277">
        <v>1343</v>
      </c>
      <c r="N1277">
        <v>31.3</v>
      </c>
      <c r="O1277">
        <v>1452</v>
      </c>
      <c r="P1277" t="s">
        <v>577</v>
      </c>
      <c r="Q1277" s="1">
        <v>42906</v>
      </c>
      <c r="R1277">
        <v>16.7</v>
      </c>
      <c r="S1277" s="2">
        <v>0</v>
      </c>
      <c r="T1277" t="s">
        <v>658</v>
      </c>
      <c r="U1277" s="2">
        <v>0.28000000000000003</v>
      </c>
      <c r="V1277" t="s">
        <v>2772</v>
      </c>
      <c r="W1277" t="s">
        <v>2773</v>
      </c>
      <c r="X1277" t="b">
        <v>0</v>
      </c>
      <c r="Y1277" t="b">
        <v>0</v>
      </c>
    </row>
    <row r="1278" spans="1:25">
      <c r="A1278">
        <v>12770</v>
      </c>
      <c r="B1278" t="s">
        <v>2621</v>
      </c>
      <c r="C1278" t="s">
        <v>2774</v>
      </c>
      <c r="D1278" t="s">
        <v>2623</v>
      </c>
      <c r="E1278">
        <v>12770</v>
      </c>
      <c r="F1278">
        <v>31.5</v>
      </c>
      <c r="G1278">
        <v>614</v>
      </c>
      <c r="H1278">
        <v>13</v>
      </c>
      <c r="I1278">
        <v>1301</v>
      </c>
      <c r="J1278">
        <v>36.799999999999997</v>
      </c>
      <c r="K1278">
        <v>1283</v>
      </c>
      <c r="L1278">
        <v>24.1</v>
      </c>
      <c r="M1278">
        <v>1365</v>
      </c>
      <c r="N1278">
        <v>25</v>
      </c>
      <c r="O1278">
        <v>1705</v>
      </c>
      <c r="P1278" t="s">
        <v>577</v>
      </c>
      <c r="Q1278" s="1">
        <v>28741</v>
      </c>
      <c r="R1278">
        <v>14.6</v>
      </c>
      <c r="S1278" s="2">
        <v>0.01</v>
      </c>
      <c r="T1278" s="3">
        <v>2.2819444444444446</v>
      </c>
      <c r="U1278" s="2">
        <v>0.27</v>
      </c>
      <c r="V1278" t="s">
        <v>2774</v>
      </c>
      <c r="W1278" t="s">
        <v>2775</v>
      </c>
      <c r="X1278" t="b">
        <v>0</v>
      </c>
      <c r="Y1278" t="b">
        <v>0</v>
      </c>
    </row>
    <row r="1279" spans="1:25">
      <c r="A1279">
        <v>12780</v>
      </c>
      <c r="B1279" t="s">
        <v>2621</v>
      </c>
      <c r="C1279" t="s">
        <v>2776</v>
      </c>
      <c r="D1279" t="s">
        <v>2623</v>
      </c>
      <c r="E1279">
        <v>12780</v>
      </c>
      <c r="F1279">
        <v>23.3</v>
      </c>
      <c r="G1279">
        <v>1130</v>
      </c>
      <c r="H1279">
        <v>12.7</v>
      </c>
      <c r="I1279">
        <v>1335</v>
      </c>
      <c r="J1279">
        <v>36.1</v>
      </c>
      <c r="K1279">
        <v>1301</v>
      </c>
      <c r="L1279">
        <v>29.8</v>
      </c>
      <c r="M1279">
        <v>1188</v>
      </c>
      <c r="N1279">
        <v>24.4</v>
      </c>
      <c r="O1279">
        <v>1726</v>
      </c>
      <c r="P1279" t="s">
        <v>577</v>
      </c>
      <c r="Q1279" s="1">
        <v>25700</v>
      </c>
      <c r="R1279">
        <v>14.1</v>
      </c>
      <c r="S1279" s="2">
        <v>0.01</v>
      </c>
      <c r="T1279" s="3">
        <v>2.2000000000000002</v>
      </c>
      <c r="U1279" s="2">
        <v>0.25</v>
      </c>
      <c r="V1279" t="s">
        <v>2776</v>
      </c>
      <c r="W1279" t="s">
        <v>2777</v>
      </c>
      <c r="X1279" t="b">
        <v>0</v>
      </c>
      <c r="Y1279" t="b">
        <v>0</v>
      </c>
    </row>
    <row r="1280" spans="1:25">
      <c r="A1280">
        <v>12790</v>
      </c>
      <c r="B1280" t="s">
        <v>2621</v>
      </c>
      <c r="C1280" t="s">
        <v>2778</v>
      </c>
      <c r="D1280" t="s">
        <v>2623</v>
      </c>
      <c r="E1280">
        <v>12790</v>
      </c>
      <c r="F1280">
        <v>32.200000000000003</v>
      </c>
      <c r="G1280">
        <v>580</v>
      </c>
      <c r="H1280">
        <v>14.5</v>
      </c>
      <c r="I1280">
        <v>1161</v>
      </c>
      <c r="J1280">
        <v>23</v>
      </c>
      <c r="K1280">
        <v>1611</v>
      </c>
      <c r="L1280">
        <v>26.6</v>
      </c>
      <c r="M1280">
        <v>1278</v>
      </c>
      <c r="N1280">
        <v>24.5</v>
      </c>
      <c r="O1280">
        <v>1723</v>
      </c>
      <c r="P1280" t="s">
        <v>577</v>
      </c>
      <c r="Q1280" s="1">
        <v>17866</v>
      </c>
      <c r="R1280">
        <v>9.6999999999999993</v>
      </c>
      <c r="S1280" s="2">
        <v>0.02</v>
      </c>
      <c r="T1280" s="3">
        <v>2.3229166666666665</v>
      </c>
      <c r="U1280" s="2">
        <v>0.25</v>
      </c>
      <c r="V1280" t="s">
        <v>2778</v>
      </c>
      <c r="W1280" t="s">
        <v>2779</v>
      </c>
      <c r="X1280" t="b">
        <v>0</v>
      </c>
      <c r="Y1280" t="b">
        <v>0</v>
      </c>
    </row>
    <row r="1281" spans="1:25">
      <c r="A1281">
        <v>12800</v>
      </c>
      <c r="B1281" t="s">
        <v>2621</v>
      </c>
      <c r="C1281" t="s">
        <v>2780</v>
      </c>
      <c r="D1281" t="s">
        <v>2623</v>
      </c>
      <c r="E1281">
        <v>12800</v>
      </c>
      <c r="F1281">
        <v>12.3</v>
      </c>
      <c r="G1281">
        <v>1870</v>
      </c>
      <c r="H1281">
        <v>10.8</v>
      </c>
      <c r="I1281">
        <v>1548</v>
      </c>
      <c r="J1281">
        <v>36.200000000000003</v>
      </c>
      <c r="K1281">
        <v>1298</v>
      </c>
      <c r="L1281">
        <v>32.299999999999997</v>
      </c>
      <c r="M1281">
        <v>1137</v>
      </c>
      <c r="N1281">
        <v>56.9</v>
      </c>
      <c r="O1281">
        <v>644</v>
      </c>
      <c r="P1281" t="s">
        <v>1093</v>
      </c>
      <c r="Q1281" s="1">
        <v>22812</v>
      </c>
      <c r="R1281">
        <v>29.7</v>
      </c>
      <c r="S1281" s="2">
        <v>0.03</v>
      </c>
      <c r="T1281" t="s">
        <v>1062</v>
      </c>
      <c r="U1281" s="2">
        <v>0.5</v>
      </c>
      <c r="V1281" t="s">
        <v>2780</v>
      </c>
      <c r="W1281" t="s">
        <v>2781</v>
      </c>
      <c r="X1281" t="b">
        <v>0</v>
      </c>
      <c r="Y1281" t="b">
        <v>0</v>
      </c>
    </row>
    <row r="1282" spans="1:25">
      <c r="A1282">
        <v>12810</v>
      </c>
      <c r="B1282" t="s">
        <v>2621</v>
      </c>
      <c r="C1282" t="s">
        <v>2782</v>
      </c>
      <c r="D1282" t="s">
        <v>2623</v>
      </c>
      <c r="E1282">
        <v>12810</v>
      </c>
      <c r="F1282">
        <v>18.399999999999999</v>
      </c>
      <c r="G1282">
        <v>1515</v>
      </c>
      <c r="H1282">
        <v>18.899999999999999</v>
      </c>
      <c r="I1282">
        <v>869</v>
      </c>
      <c r="J1282">
        <v>25.5</v>
      </c>
      <c r="K1282">
        <v>1552</v>
      </c>
      <c r="L1282">
        <v>40.9</v>
      </c>
      <c r="M1282">
        <v>956</v>
      </c>
      <c r="N1282">
        <v>37.700000000000003</v>
      </c>
      <c r="O1282">
        <v>1211</v>
      </c>
      <c r="P1282" t="s">
        <v>389</v>
      </c>
      <c r="Q1282" s="1">
        <v>19770</v>
      </c>
      <c r="R1282">
        <v>23.3</v>
      </c>
      <c r="S1282" s="2">
        <v>7.0000000000000007E-2</v>
      </c>
      <c r="T1282" t="s">
        <v>658</v>
      </c>
      <c r="U1282" s="2">
        <v>0.39</v>
      </c>
      <c r="V1282" t="s">
        <v>2782</v>
      </c>
      <c r="W1282" t="s">
        <v>2783</v>
      </c>
      <c r="X1282" t="b">
        <v>0</v>
      </c>
      <c r="Y1282" t="b">
        <v>0</v>
      </c>
    </row>
    <row r="1283" spans="1:25">
      <c r="A1283">
        <v>12820</v>
      </c>
      <c r="B1283" t="s">
        <v>2621</v>
      </c>
      <c r="C1283" t="s">
        <v>2784</v>
      </c>
      <c r="D1283" t="s">
        <v>2623</v>
      </c>
      <c r="E1283">
        <v>12820</v>
      </c>
      <c r="F1283">
        <v>17.2</v>
      </c>
      <c r="G1283">
        <v>1612</v>
      </c>
      <c r="H1283">
        <v>8.5</v>
      </c>
      <c r="I1283">
        <v>1852</v>
      </c>
      <c r="J1283">
        <v>50.6</v>
      </c>
      <c r="K1283">
        <v>1007</v>
      </c>
      <c r="L1283">
        <v>17.7</v>
      </c>
      <c r="M1283">
        <v>1687</v>
      </c>
      <c r="N1283">
        <v>39.6</v>
      </c>
      <c r="O1283">
        <v>1131</v>
      </c>
      <c r="P1283" t="s">
        <v>2290</v>
      </c>
      <c r="Q1283" s="1">
        <v>34779</v>
      </c>
      <c r="R1283">
        <v>22.8</v>
      </c>
      <c r="S1283" s="2">
        <v>0.01</v>
      </c>
      <c r="T1283" s="3">
        <v>2.5277777777777777</v>
      </c>
      <c r="U1283" s="2">
        <v>0.4</v>
      </c>
      <c r="V1283" t="s">
        <v>2784</v>
      </c>
      <c r="W1283" t="s">
        <v>2785</v>
      </c>
      <c r="X1283" t="b">
        <v>0</v>
      </c>
      <c r="Y1283" t="b">
        <v>0</v>
      </c>
    </row>
    <row r="1284" spans="1:25">
      <c r="A1284">
        <v>12830</v>
      </c>
      <c r="B1284" t="s">
        <v>2621</v>
      </c>
      <c r="C1284" t="s">
        <v>2786</v>
      </c>
      <c r="D1284" t="s">
        <v>2623</v>
      </c>
      <c r="E1284">
        <v>12830</v>
      </c>
      <c r="F1284">
        <v>17.600000000000001</v>
      </c>
      <c r="G1284">
        <v>1584</v>
      </c>
      <c r="H1284">
        <v>12.3</v>
      </c>
      <c r="I1284">
        <v>1377</v>
      </c>
      <c r="J1284">
        <v>32.700000000000003</v>
      </c>
      <c r="K1284">
        <v>1383</v>
      </c>
      <c r="L1284">
        <v>22.8</v>
      </c>
      <c r="M1284">
        <v>1408</v>
      </c>
      <c r="N1284">
        <v>51.3</v>
      </c>
      <c r="O1284">
        <v>763</v>
      </c>
      <c r="P1284" t="s">
        <v>1093</v>
      </c>
      <c r="Q1284" s="1">
        <v>12157</v>
      </c>
      <c r="R1284">
        <v>23.2</v>
      </c>
      <c r="S1284" s="2">
        <v>0.01</v>
      </c>
      <c r="T1284" s="3">
        <v>2.1590277777777778</v>
      </c>
      <c r="U1284" s="2">
        <v>0.21</v>
      </c>
      <c r="V1284" t="s">
        <v>2786</v>
      </c>
      <c r="W1284" t="s">
        <v>2787</v>
      </c>
      <c r="X1284" t="b">
        <v>0</v>
      </c>
      <c r="Y1284" t="b">
        <v>0</v>
      </c>
    </row>
    <row r="1285" spans="1:25">
      <c r="A1285">
        <v>12840</v>
      </c>
      <c r="B1285" t="s">
        <v>2621</v>
      </c>
      <c r="C1285" t="s">
        <v>2788</v>
      </c>
      <c r="D1285" t="s">
        <v>2623</v>
      </c>
      <c r="E1285">
        <v>12840</v>
      </c>
      <c r="F1285">
        <v>30.9</v>
      </c>
      <c r="G1285">
        <v>644</v>
      </c>
      <c r="H1285">
        <v>19.8</v>
      </c>
      <c r="I1285">
        <v>826</v>
      </c>
      <c r="J1285">
        <v>21.7</v>
      </c>
      <c r="K1285">
        <v>1644</v>
      </c>
      <c r="L1285">
        <v>52.8</v>
      </c>
      <c r="M1285">
        <v>757</v>
      </c>
      <c r="N1285">
        <v>45.8</v>
      </c>
      <c r="O1285">
        <v>937</v>
      </c>
      <c r="P1285" t="s">
        <v>1955</v>
      </c>
      <c r="Q1285" s="1">
        <v>39209</v>
      </c>
      <c r="R1285">
        <v>8.1999999999999993</v>
      </c>
      <c r="S1285" s="2">
        <v>0.06</v>
      </c>
      <c r="T1285" s="3">
        <v>2.3638888888888889</v>
      </c>
      <c r="U1285" s="2">
        <v>0.27</v>
      </c>
      <c r="V1285" t="s">
        <v>2788</v>
      </c>
      <c r="W1285" t="s">
        <v>2789</v>
      </c>
      <c r="X1285" t="b">
        <v>0</v>
      </c>
      <c r="Y1285" t="b">
        <v>0</v>
      </c>
    </row>
    <row r="1286" spans="1:25">
      <c r="A1286">
        <v>12850</v>
      </c>
      <c r="B1286" t="s">
        <v>2621</v>
      </c>
      <c r="C1286" t="s">
        <v>2790</v>
      </c>
      <c r="D1286" t="s">
        <v>2623</v>
      </c>
      <c r="E1286">
        <v>12850</v>
      </c>
      <c r="F1286">
        <v>25.6</v>
      </c>
      <c r="G1286">
        <v>966</v>
      </c>
      <c r="H1286">
        <v>19</v>
      </c>
      <c r="I1286">
        <v>862</v>
      </c>
      <c r="J1286">
        <v>32.700000000000003</v>
      </c>
      <c r="K1286">
        <v>1384</v>
      </c>
      <c r="L1286">
        <v>60.3</v>
      </c>
      <c r="M1286">
        <v>639</v>
      </c>
      <c r="N1286">
        <v>21.7</v>
      </c>
      <c r="O1286">
        <v>1820</v>
      </c>
      <c r="P1286" t="s">
        <v>895</v>
      </c>
      <c r="Q1286" s="1">
        <v>41736</v>
      </c>
      <c r="R1286">
        <v>17</v>
      </c>
      <c r="S1286" s="2">
        <v>0.03</v>
      </c>
      <c r="T1286" s="3">
        <v>2.1590277777777778</v>
      </c>
      <c r="U1286" s="2">
        <v>0.24</v>
      </c>
      <c r="V1286" t="s">
        <v>2790</v>
      </c>
      <c r="W1286" t="s">
        <v>2791</v>
      </c>
      <c r="X1286" t="b">
        <v>0</v>
      </c>
      <c r="Y1286" t="b">
        <v>0</v>
      </c>
    </row>
    <row r="1287" spans="1:25">
      <c r="A1287">
        <v>12860</v>
      </c>
      <c r="B1287" t="s">
        <v>2621</v>
      </c>
      <c r="C1287" t="s">
        <v>2792</v>
      </c>
      <c r="D1287" t="s">
        <v>2623</v>
      </c>
      <c r="E1287">
        <v>12860</v>
      </c>
      <c r="F1287">
        <v>23.6</v>
      </c>
      <c r="G1287">
        <v>1104</v>
      </c>
      <c r="H1287">
        <v>14.8</v>
      </c>
      <c r="I1287">
        <v>1138</v>
      </c>
      <c r="J1287">
        <v>30.8</v>
      </c>
      <c r="K1287">
        <v>1425</v>
      </c>
      <c r="L1287">
        <v>21.7</v>
      </c>
      <c r="M1287">
        <v>1454</v>
      </c>
      <c r="N1287">
        <v>35.1</v>
      </c>
      <c r="O1287">
        <v>1313</v>
      </c>
      <c r="P1287" t="s">
        <v>1543</v>
      </c>
      <c r="Q1287" s="1">
        <v>18961</v>
      </c>
      <c r="R1287">
        <v>12</v>
      </c>
      <c r="S1287" s="2">
        <v>0.02</v>
      </c>
      <c r="T1287" s="3">
        <v>2.7326388888888888</v>
      </c>
      <c r="U1287" s="2">
        <v>0.27</v>
      </c>
      <c r="V1287" t="s">
        <v>2792</v>
      </c>
      <c r="W1287" t="s">
        <v>2793</v>
      </c>
      <c r="X1287" t="b">
        <v>0</v>
      </c>
      <c r="Y1287" t="b">
        <v>0</v>
      </c>
    </row>
    <row r="1288" spans="1:25">
      <c r="A1288">
        <v>12870</v>
      </c>
      <c r="B1288" t="s">
        <v>2621</v>
      </c>
      <c r="C1288" t="s">
        <v>2794</v>
      </c>
      <c r="D1288" t="s">
        <v>2623</v>
      </c>
      <c r="E1288">
        <v>12870</v>
      </c>
      <c r="F1288">
        <v>22.6</v>
      </c>
      <c r="G1288">
        <v>1177</v>
      </c>
      <c r="H1288">
        <v>13.8</v>
      </c>
      <c r="I1288">
        <v>1227</v>
      </c>
      <c r="J1288">
        <v>37.6</v>
      </c>
      <c r="K1288">
        <v>1266</v>
      </c>
      <c r="L1288">
        <v>35</v>
      </c>
      <c r="M1288">
        <v>1091</v>
      </c>
      <c r="N1288">
        <v>29.2</v>
      </c>
      <c r="O1288">
        <v>1532</v>
      </c>
      <c r="P1288" t="s">
        <v>895</v>
      </c>
      <c r="Q1288" s="1">
        <v>7234</v>
      </c>
      <c r="R1288">
        <v>24.5</v>
      </c>
      <c r="S1288" s="2">
        <v>0.02</v>
      </c>
      <c r="T1288" s="3">
        <v>1.83125</v>
      </c>
      <c r="U1288" s="2">
        <v>0.42</v>
      </c>
      <c r="V1288" t="s">
        <v>2794</v>
      </c>
      <c r="W1288" t="s">
        <v>2795</v>
      </c>
      <c r="X1288" t="b">
        <v>0</v>
      </c>
      <c r="Y1288" t="b">
        <v>0</v>
      </c>
    </row>
    <row r="1289" spans="1:25">
      <c r="A1289">
        <v>12880</v>
      </c>
      <c r="B1289" t="s">
        <v>2621</v>
      </c>
      <c r="C1289" t="s">
        <v>2796</v>
      </c>
      <c r="D1289" t="s">
        <v>2623</v>
      </c>
      <c r="E1289">
        <v>12880</v>
      </c>
      <c r="F1289">
        <v>17.8</v>
      </c>
      <c r="G1289">
        <v>1566</v>
      </c>
      <c r="H1289">
        <v>11.3</v>
      </c>
      <c r="I1289">
        <v>1485</v>
      </c>
      <c r="J1289">
        <v>36.4</v>
      </c>
      <c r="K1289">
        <v>1296</v>
      </c>
      <c r="L1289">
        <v>16.8</v>
      </c>
      <c r="M1289">
        <v>1773</v>
      </c>
      <c r="N1289">
        <v>36.1</v>
      </c>
      <c r="O1289">
        <v>1271</v>
      </c>
      <c r="P1289" t="s">
        <v>1853</v>
      </c>
      <c r="Q1289" s="1">
        <v>9258</v>
      </c>
      <c r="R1289">
        <v>17</v>
      </c>
      <c r="S1289" s="2">
        <v>0.13</v>
      </c>
      <c r="T1289" s="3">
        <v>2.6916666666666669</v>
      </c>
      <c r="U1289" s="2">
        <v>0.15</v>
      </c>
      <c r="V1289" t="s">
        <v>2796</v>
      </c>
      <c r="W1289" t="s">
        <v>2797</v>
      </c>
      <c r="X1289" t="b">
        <v>0</v>
      </c>
      <c r="Y1289" t="b">
        <v>0</v>
      </c>
    </row>
    <row r="1290" spans="1:25">
      <c r="A1290">
        <v>12890</v>
      </c>
      <c r="B1290" t="s">
        <v>2621</v>
      </c>
      <c r="C1290" t="s">
        <v>2798</v>
      </c>
      <c r="D1290" t="s">
        <v>2623</v>
      </c>
      <c r="E1290">
        <v>12890</v>
      </c>
      <c r="F1290">
        <v>18.399999999999999</v>
      </c>
      <c r="G1290">
        <v>1516</v>
      </c>
      <c r="H1290">
        <v>11.6</v>
      </c>
      <c r="I1290">
        <v>1453</v>
      </c>
      <c r="J1290">
        <v>43.2</v>
      </c>
      <c r="K1290">
        <v>1162</v>
      </c>
      <c r="L1290">
        <v>41.6</v>
      </c>
      <c r="M1290">
        <v>947</v>
      </c>
      <c r="N1290">
        <v>34.799999999999997</v>
      </c>
      <c r="O1290">
        <v>1329</v>
      </c>
      <c r="P1290" t="s">
        <v>29</v>
      </c>
      <c r="Q1290" s="1">
        <v>22852</v>
      </c>
      <c r="R1290">
        <v>18</v>
      </c>
      <c r="S1290" s="2">
        <v>0.03</v>
      </c>
      <c r="T1290" s="3">
        <v>2.4868055555555557</v>
      </c>
      <c r="U1290" s="2">
        <v>0.27</v>
      </c>
      <c r="V1290" t="s">
        <v>2798</v>
      </c>
      <c r="W1290" t="s">
        <v>2799</v>
      </c>
      <c r="X1290" t="b">
        <v>0</v>
      </c>
      <c r="Y1290" t="b">
        <v>0</v>
      </c>
    </row>
    <row r="1291" spans="1:25">
      <c r="A1291">
        <v>12900</v>
      </c>
      <c r="B1291" t="s">
        <v>2621</v>
      </c>
      <c r="C1291" t="s">
        <v>2800</v>
      </c>
      <c r="D1291" t="s">
        <v>2623</v>
      </c>
      <c r="E1291">
        <v>12900</v>
      </c>
      <c r="F1291">
        <v>17.8</v>
      </c>
      <c r="G1291">
        <v>1567</v>
      </c>
      <c r="H1291">
        <v>11.4</v>
      </c>
      <c r="I1291">
        <v>1477</v>
      </c>
      <c r="J1291">
        <v>40.6</v>
      </c>
      <c r="K1291">
        <v>1213</v>
      </c>
      <c r="L1291">
        <v>19.5</v>
      </c>
      <c r="M1291">
        <v>1560</v>
      </c>
      <c r="N1291">
        <v>69.099999999999994</v>
      </c>
      <c r="O1291">
        <v>419</v>
      </c>
      <c r="P1291" t="s">
        <v>1554</v>
      </c>
      <c r="Q1291" s="1">
        <v>4255</v>
      </c>
      <c r="R1291">
        <v>12.8</v>
      </c>
      <c r="S1291" s="2">
        <v>0.11</v>
      </c>
      <c r="T1291" t="s">
        <v>696</v>
      </c>
      <c r="U1291" s="2">
        <v>0.44</v>
      </c>
      <c r="V1291" t="s">
        <v>2800</v>
      </c>
      <c r="W1291" t="s">
        <v>2801</v>
      </c>
      <c r="X1291" t="b">
        <v>0</v>
      </c>
      <c r="Y1291" t="b">
        <v>0</v>
      </c>
    </row>
    <row r="1292" spans="1:25">
      <c r="A1292">
        <v>12910</v>
      </c>
      <c r="B1292" t="s">
        <v>2621</v>
      </c>
      <c r="C1292" t="s">
        <v>2802</v>
      </c>
      <c r="D1292" t="s">
        <v>2623</v>
      </c>
      <c r="E1292">
        <v>12910</v>
      </c>
      <c r="F1292">
        <v>21</v>
      </c>
      <c r="G1292">
        <v>1300</v>
      </c>
      <c r="H1292">
        <v>11.5</v>
      </c>
      <c r="I1292">
        <v>1462</v>
      </c>
      <c r="J1292">
        <v>37.200000000000003</v>
      </c>
      <c r="K1292">
        <v>1274</v>
      </c>
      <c r="L1292">
        <v>20.3</v>
      </c>
      <c r="M1292">
        <v>1518</v>
      </c>
      <c r="N1292">
        <v>51.2</v>
      </c>
      <c r="O1292">
        <v>767</v>
      </c>
      <c r="P1292" t="s">
        <v>1102</v>
      </c>
      <c r="Q1292" s="1">
        <v>11709</v>
      </c>
      <c r="R1292">
        <v>17.600000000000001</v>
      </c>
      <c r="S1292" s="2">
        <v>0</v>
      </c>
      <c r="T1292" s="3">
        <v>1.8722222222222222</v>
      </c>
      <c r="U1292" s="2">
        <v>0.41</v>
      </c>
      <c r="V1292" t="s">
        <v>2802</v>
      </c>
      <c r="W1292" t="s">
        <v>2803</v>
      </c>
      <c r="X1292" t="b">
        <v>0</v>
      </c>
      <c r="Y1292" t="b">
        <v>0</v>
      </c>
    </row>
    <row r="1293" spans="1:25">
      <c r="A1293">
        <v>12920</v>
      </c>
      <c r="B1293" t="s">
        <v>2621</v>
      </c>
      <c r="C1293" t="s">
        <v>2804</v>
      </c>
      <c r="D1293" t="s">
        <v>2623</v>
      </c>
      <c r="E1293">
        <v>12920</v>
      </c>
      <c r="F1293">
        <v>21.2</v>
      </c>
      <c r="G1293">
        <v>1287</v>
      </c>
      <c r="H1293">
        <v>17.5</v>
      </c>
      <c r="I1293">
        <v>942</v>
      </c>
      <c r="J1293">
        <v>46.2</v>
      </c>
      <c r="K1293">
        <v>1091</v>
      </c>
      <c r="L1293">
        <v>27.9</v>
      </c>
      <c r="M1293">
        <v>1238</v>
      </c>
      <c r="N1293">
        <v>23.4</v>
      </c>
      <c r="O1293">
        <v>1764</v>
      </c>
      <c r="P1293" t="s">
        <v>795</v>
      </c>
      <c r="Q1293" s="1">
        <v>19023</v>
      </c>
      <c r="R1293">
        <v>34.299999999999997</v>
      </c>
      <c r="S1293" s="2">
        <v>0.01</v>
      </c>
      <c r="T1293" s="3">
        <v>2.4458333333333333</v>
      </c>
      <c r="U1293" s="2">
        <v>0.35</v>
      </c>
      <c r="V1293" t="s">
        <v>2804</v>
      </c>
      <c r="W1293" t="s">
        <v>2805</v>
      </c>
      <c r="X1293" t="b">
        <v>0</v>
      </c>
      <c r="Y1293" t="b">
        <v>0</v>
      </c>
    </row>
    <row r="1294" spans="1:25">
      <c r="A1294">
        <v>12930</v>
      </c>
      <c r="B1294" t="s">
        <v>2621</v>
      </c>
      <c r="C1294" t="s">
        <v>2806</v>
      </c>
      <c r="D1294" t="s">
        <v>2623</v>
      </c>
      <c r="E1294">
        <v>12930</v>
      </c>
      <c r="F1294">
        <v>28.6</v>
      </c>
      <c r="G1294">
        <v>766</v>
      </c>
      <c r="H1294">
        <v>14.2</v>
      </c>
      <c r="I1294">
        <v>1188</v>
      </c>
      <c r="J1294">
        <v>20.7</v>
      </c>
      <c r="K1294">
        <v>1666</v>
      </c>
      <c r="L1294">
        <v>57.4</v>
      </c>
      <c r="M1294">
        <v>696</v>
      </c>
      <c r="N1294">
        <v>26.7</v>
      </c>
      <c r="O1294">
        <v>1632</v>
      </c>
      <c r="P1294" t="s">
        <v>94</v>
      </c>
      <c r="Q1294" s="1">
        <v>6248</v>
      </c>
      <c r="R1294">
        <v>7.6</v>
      </c>
      <c r="S1294" s="2">
        <v>0.04</v>
      </c>
      <c r="T1294" t="s">
        <v>40</v>
      </c>
      <c r="U1294" s="2">
        <v>0.19</v>
      </c>
      <c r="V1294" t="s">
        <v>2806</v>
      </c>
      <c r="W1294" t="s">
        <v>2807</v>
      </c>
      <c r="X1294" t="b">
        <v>0</v>
      </c>
      <c r="Y1294" t="b">
        <v>0</v>
      </c>
    </row>
    <row r="1295" spans="1:25">
      <c r="A1295">
        <v>12940</v>
      </c>
      <c r="B1295" t="s">
        <v>2621</v>
      </c>
      <c r="C1295" t="s">
        <v>2808</v>
      </c>
      <c r="D1295" t="s">
        <v>2623</v>
      </c>
      <c r="E1295">
        <v>12940</v>
      </c>
      <c r="F1295">
        <v>27.8</v>
      </c>
      <c r="G1295">
        <v>816</v>
      </c>
      <c r="H1295">
        <v>8.9</v>
      </c>
      <c r="I1295">
        <v>1809</v>
      </c>
      <c r="J1295">
        <v>40.799999999999997</v>
      </c>
      <c r="K1295">
        <v>1207</v>
      </c>
      <c r="L1295">
        <v>27.2</v>
      </c>
      <c r="M1295">
        <v>1256</v>
      </c>
      <c r="N1295">
        <v>18.2</v>
      </c>
      <c r="O1295">
        <v>1898</v>
      </c>
      <c r="P1295" t="s">
        <v>528</v>
      </c>
      <c r="Q1295" s="1">
        <v>6445</v>
      </c>
      <c r="R1295">
        <v>19.600000000000001</v>
      </c>
      <c r="S1295" s="2">
        <v>0</v>
      </c>
      <c r="T1295" s="3">
        <v>1.9541666666666666</v>
      </c>
      <c r="U1295" s="2">
        <v>0.4</v>
      </c>
      <c r="V1295" t="s">
        <v>2808</v>
      </c>
      <c r="W1295" t="s">
        <v>2809</v>
      </c>
      <c r="X1295" t="b">
        <v>0</v>
      </c>
      <c r="Y1295" t="b">
        <v>0</v>
      </c>
    </row>
    <row r="1296" spans="1:25">
      <c r="A1296">
        <v>12950</v>
      </c>
      <c r="B1296" t="s">
        <v>2621</v>
      </c>
      <c r="C1296" t="s">
        <v>2810</v>
      </c>
      <c r="D1296" t="s">
        <v>2623</v>
      </c>
      <c r="E1296">
        <v>12950</v>
      </c>
      <c r="F1296">
        <v>26.2</v>
      </c>
      <c r="G1296">
        <v>929</v>
      </c>
      <c r="H1296">
        <v>18</v>
      </c>
      <c r="I1296">
        <v>918</v>
      </c>
      <c r="J1296">
        <v>32.6</v>
      </c>
      <c r="K1296">
        <v>1387</v>
      </c>
      <c r="L1296">
        <v>65.099999999999994</v>
      </c>
      <c r="M1296">
        <v>544</v>
      </c>
      <c r="N1296">
        <v>26.7</v>
      </c>
      <c r="O1296">
        <v>1633</v>
      </c>
      <c r="P1296" t="s">
        <v>181</v>
      </c>
      <c r="Q1296" s="1">
        <v>16536</v>
      </c>
      <c r="R1296">
        <v>12.5</v>
      </c>
      <c r="S1296" s="2">
        <v>0.02</v>
      </c>
      <c r="T1296" s="3">
        <v>1.9131944444444444</v>
      </c>
      <c r="U1296" s="2">
        <v>0.23</v>
      </c>
      <c r="V1296" t="s">
        <v>2810</v>
      </c>
      <c r="W1296" t="s">
        <v>2811</v>
      </c>
      <c r="X1296" t="b">
        <v>0</v>
      </c>
      <c r="Y1296" t="b">
        <v>0</v>
      </c>
    </row>
    <row r="1297" spans="1:25">
      <c r="A1297">
        <v>12960</v>
      </c>
      <c r="B1297" t="s">
        <v>2621</v>
      </c>
      <c r="C1297" t="s">
        <v>2812</v>
      </c>
      <c r="D1297" t="s">
        <v>2623</v>
      </c>
      <c r="E1297">
        <v>12960</v>
      </c>
      <c r="F1297">
        <v>25.2</v>
      </c>
      <c r="G1297">
        <v>988</v>
      </c>
      <c r="H1297">
        <v>19.8</v>
      </c>
      <c r="I1297">
        <v>827</v>
      </c>
      <c r="J1297">
        <v>31.8</v>
      </c>
      <c r="K1297">
        <v>1405</v>
      </c>
      <c r="L1297">
        <v>60.6</v>
      </c>
      <c r="M1297">
        <v>632</v>
      </c>
      <c r="N1297">
        <v>23.4</v>
      </c>
      <c r="O1297">
        <v>1765</v>
      </c>
      <c r="P1297" t="s">
        <v>181</v>
      </c>
      <c r="Q1297" s="1">
        <v>8369</v>
      </c>
      <c r="R1297">
        <v>9.3000000000000007</v>
      </c>
      <c r="S1297" s="2">
        <v>0.04</v>
      </c>
      <c r="U1297" s="2">
        <v>0.09</v>
      </c>
      <c r="V1297" t="s">
        <v>2812</v>
      </c>
      <c r="W1297" t="s">
        <v>2813</v>
      </c>
      <c r="X1297" t="b">
        <v>0</v>
      </c>
      <c r="Y1297" t="b">
        <v>0</v>
      </c>
    </row>
    <row r="1298" spans="1:25">
      <c r="A1298">
        <v>12970</v>
      </c>
      <c r="B1298" t="s">
        <v>2621</v>
      </c>
      <c r="C1298" t="s">
        <v>2814</v>
      </c>
      <c r="D1298" t="s">
        <v>2623</v>
      </c>
      <c r="E1298">
        <v>12970</v>
      </c>
      <c r="F1298">
        <v>15</v>
      </c>
      <c r="G1298">
        <v>1750</v>
      </c>
      <c r="H1298">
        <v>16.8</v>
      </c>
      <c r="I1298">
        <v>984</v>
      </c>
      <c r="J1298">
        <v>40.200000000000003</v>
      </c>
      <c r="K1298">
        <v>1220</v>
      </c>
      <c r="L1298">
        <v>27.9</v>
      </c>
      <c r="M1298">
        <v>1239</v>
      </c>
      <c r="N1298">
        <v>66.7</v>
      </c>
      <c r="O1298">
        <v>452</v>
      </c>
      <c r="P1298" t="s">
        <v>150</v>
      </c>
      <c r="Q1298" s="1">
        <v>6048</v>
      </c>
      <c r="R1298">
        <v>20</v>
      </c>
      <c r="S1298" s="2">
        <v>0.06</v>
      </c>
      <c r="T1298" s="3">
        <v>2.5277777777777777</v>
      </c>
      <c r="U1298" s="2">
        <v>0.28999999999999998</v>
      </c>
      <c r="V1298" t="s">
        <v>2814</v>
      </c>
      <c r="W1298" t="s">
        <v>2815</v>
      </c>
      <c r="X1298" t="b">
        <v>0</v>
      </c>
      <c r="Y1298" t="b">
        <v>0</v>
      </c>
    </row>
    <row r="1299" spans="1:25">
      <c r="A1299">
        <v>12980</v>
      </c>
      <c r="B1299" t="s">
        <v>2621</v>
      </c>
      <c r="C1299" t="s">
        <v>2816</v>
      </c>
      <c r="D1299" t="s">
        <v>2623</v>
      </c>
      <c r="E1299">
        <v>12980</v>
      </c>
      <c r="F1299">
        <v>13.2</v>
      </c>
      <c r="G1299">
        <v>1836</v>
      </c>
      <c r="H1299">
        <v>14.2</v>
      </c>
      <c r="I1299">
        <v>1189</v>
      </c>
      <c r="J1299">
        <v>40.6</v>
      </c>
      <c r="K1299">
        <v>1214</v>
      </c>
      <c r="L1299">
        <v>25.4</v>
      </c>
      <c r="M1299">
        <v>1321</v>
      </c>
      <c r="N1299">
        <v>53.1</v>
      </c>
      <c r="O1299">
        <v>708</v>
      </c>
      <c r="P1299" t="s">
        <v>1554</v>
      </c>
      <c r="Q1299" s="1">
        <v>17665</v>
      </c>
      <c r="R1299">
        <v>23</v>
      </c>
      <c r="S1299" s="2">
        <v>7.0000000000000007E-2</v>
      </c>
      <c r="T1299" s="3">
        <v>2.6506944444444445</v>
      </c>
      <c r="U1299" s="2">
        <v>0.3</v>
      </c>
      <c r="V1299" t="s">
        <v>2816</v>
      </c>
      <c r="W1299" t="s">
        <v>2817</v>
      </c>
      <c r="X1299" t="b">
        <v>0</v>
      </c>
      <c r="Y1299" t="b">
        <v>0</v>
      </c>
    </row>
    <row r="1300" spans="1:25">
      <c r="A1300">
        <v>12990</v>
      </c>
      <c r="B1300" t="s">
        <v>2621</v>
      </c>
      <c r="C1300" t="s">
        <v>2818</v>
      </c>
      <c r="D1300" t="s">
        <v>2623</v>
      </c>
      <c r="E1300">
        <v>12990</v>
      </c>
      <c r="F1300">
        <v>19.5</v>
      </c>
      <c r="G1300">
        <v>1419</v>
      </c>
      <c r="H1300">
        <v>9.1999999999999993</v>
      </c>
      <c r="I1300">
        <v>1758</v>
      </c>
      <c r="J1300">
        <v>39.9</v>
      </c>
      <c r="K1300">
        <v>1225</v>
      </c>
      <c r="L1300">
        <v>24.6</v>
      </c>
      <c r="M1300">
        <v>1348</v>
      </c>
      <c r="N1300">
        <v>28.2</v>
      </c>
      <c r="O1300">
        <v>1571</v>
      </c>
      <c r="P1300" t="s">
        <v>2536</v>
      </c>
      <c r="Q1300" s="1">
        <v>125790</v>
      </c>
      <c r="R1300">
        <v>35.700000000000003</v>
      </c>
      <c r="S1300" s="2">
        <v>0.02</v>
      </c>
      <c r="T1300" s="3">
        <v>2.2819444444444446</v>
      </c>
      <c r="U1300" s="2">
        <v>0.4</v>
      </c>
      <c r="V1300" t="s">
        <v>2818</v>
      </c>
      <c r="W1300" t="s">
        <v>2819</v>
      </c>
      <c r="X1300" t="b">
        <v>0</v>
      </c>
      <c r="Y1300" t="b">
        <v>0</v>
      </c>
    </row>
    <row r="1301" spans="1:25">
      <c r="A1301">
        <v>13000</v>
      </c>
      <c r="B1301" t="s">
        <v>2621</v>
      </c>
      <c r="C1301" t="s">
        <v>2820</v>
      </c>
      <c r="D1301" t="s">
        <v>2623</v>
      </c>
      <c r="E1301">
        <v>13000</v>
      </c>
      <c r="F1301">
        <v>15.8</v>
      </c>
      <c r="G1301">
        <v>1709</v>
      </c>
      <c r="H1301">
        <v>8.6999999999999993</v>
      </c>
      <c r="I1301">
        <v>1829</v>
      </c>
      <c r="J1301">
        <v>36.6</v>
      </c>
      <c r="K1301">
        <v>1288</v>
      </c>
      <c r="L1301">
        <v>57.8</v>
      </c>
      <c r="M1301">
        <v>687</v>
      </c>
      <c r="N1301">
        <v>70.3</v>
      </c>
      <c r="O1301">
        <v>404</v>
      </c>
      <c r="P1301" t="s">
        <v>125</v>
      </c>
      <c r="Q1301" s="1">
        <v>13422</v>
      </c>
      <c r="R1301">
        <v>27.9</v>
      </c>
      <c r="S1301" s="2">
        <v>0.12</v>
      </c>
      <c r="T1301" s="3">
        <v>1.9951388888888888</v>
      </c>
      <c r="U1301" s="2">
        <v>0.37</v>
      </c>
      <c r="V1301" t="s">
        <v>2820</v>
      </c>
      <c r="W1301" t="s">
        <v>2821</v>
      </c>
      <c r="X1301" t="b">
        <v>0</v>
      </c>
      <c r="Y1301" t="b">
        <v>0</v>
      </c>
    </row>
    <row r="1302" spans="1:25">
      <c r="A1302">
        <v>13010</v>
      </c>
      <c r="B1302" t="s">
        <v>2621</v>
      </c>
      <c r="C1302" t="s">
        <v>2822</v>
      </c>
      <c r="D1302" t="s">
        <v>2623</v>
      </c>
      <c r="E1302">
        <v>13010</v>
      </c>
      <c r="F1302">
        <v>16.2</v>
      </c>
      <c r="G1302">
        <v>1684</v>
      </c>
      <c r="H1302">
        <v>8.9</v>
      </c>
      <c r="I1302">
        <v>1810</v>
      </c>
      <c r="J1302">
        <v>38.799999999999997</v>
      </c>
      <c r="K1302">
        <v>1246</v>
      </c>
      <c r="L1302">
        <v>19.899999999999999</v>
      </c>
      <c r="M1302">
        <v>1538</v>
      </c>
      <c r="N1302">
        <v>47.6</v>
      </c>
      <c r="O1302">
        <v>875</v>
      </c>
      <c r="P1302" t="s">
        <v>1483</v>
      </c>
      <c r="Q1302" s="1">
        <v>124886</v>
      </c>
      <c r="R1302">
        <v>22.4</v>
      </c>
      <c r="S1302" s="2">
        <v>0.02</v>
      </c>
      <c r="T1302" s="3">
        <v>2.2819444444444446</v>
      </c>
      <c r="U1302" s="2">
        <v>0.33</v>
      </c>
      <c r="V1302" t="s">
        <v>2822</v>
      </c>
      <c r="W1302" t="s">
        <v>2823</v>
      </c>
      <c r="X1302" t="b">
        <v>0</v>
      </c>
      <c r="Y1302" t="b">
        <v>0</v>
      </c>
    </row>
    <row r="1303" spans="1:25">
      <c r="A1303">
        <v>13020</v>
      </c>
      <c r="B1303" t="s">
        <v>2621</v>
      </c>
      <c r="C1303" t="s">
        <v>2824</v>
      </c>
      <c r="D1303" t="s">
        <v>2623</v>
      </c>
      <c r="E1303">
        <v>13020</v>
      </c>
      <c r="F1303">
        <v>24.6</v>
      </c>
      <c r="G1303">
        <v>1036</v>
      </c>
      <c r="H1303">
        <v>14.1</v>
      </c>
      <c r="I1303">
        <v>1193</v>
      </c>
      <c r="J1303">
        <v>37.6</v>
      </c>
      <c r="K1303">
        <v>1267</v>
      </c>
      <c r="L1303">
        <v>22.8</v>
      </c>
      <c r="M1303">
        <v>1409</v>
      </c>
      <c r="N1303">
        <v>26.4</v>
      </c>
      <c r="O1303">
        <v>1649</v>
      </c>
      <c r="P1303" t="s">
        <v>795</v>
      </c>
      <c r="Q1303" s="1">
        <v>5338</v>
      </c>
      <c r="R1303">
        <v>24.4</v>
      </c>
      <c r="S1303" s="2">
        <v>0</v>
      </c>
      <c r="T1303" s="3">
        <v>2.4458333333333333</v>
      </c>
      <c r="U1303" s="2">
        <v>0.31</v>
      </c>
      <c r="V1303" t="s">
        <v>2824</v>
      </c>
      <c r="W1303" t="s">
        <v>2825</v>
      </c>
      <c r="X1303" t="b">
        <v>0</v>
      </c>
      <c r="Y1303" t="b">
        <v>0</v>
      </c>
    </row>
    <row r="1304" spans="1:25">
      <c r="A1304">
        <v>13030</v>
      </c>
      <c r="B1304" t="s">
        <v>2621</v>
      </c>
      <c r="C1304" t="s">
        <v>2826</v>
      </c>
      <c r="D1304" t="s">
        <v>2623</v>
      </c>
      <c r="E1304">
        <v>13030</v>
      </c>
      <c r="F1304">
        <v>19.7</v>
      </c>
      <c r="G1304">
        <v>1401</v>
      </c>
      <c r="H1304">
        <v>15.2</v>
      </c>
      <c r="I1304">
        <v>1107</v>
      </c>
      <c r="J1304">
        <v>40.799999999999997</v>
      </c>
      <c r="K1304">
        <v>1208</v>
      </c>
      <c r="L1304">
        <v>23.5</v>
      </c>
      <c r="M1304">
        <v>1382</v>
      </c>
      <c r="N1304">
        <v>60.4</v>
      </c>
      <c r="O1304">
        <v>576</v>
      </c>
      <c r="P1304" t="s">
        <v>984</v>
      </c>
      <c r="Q1304" s="1">
        <v>6334</v>
      </c>
      <c r="R1304">
        <v>12.8</v>
      </c>
      <c r="S1304" s="2">
        <v>0.03</v>
      </c>
      <c r="T1304" s="3">
        <v>2.6916666666666669</v>
      </c>
      <c r="U1304" s="2">
        <v>0.26</v>
      </c>
      <c r="V1304" t="s">
        <v>2826</v>
      </c>
      <c r="W1304" t="s">
        <v>2827</v>
      </c>
      <c r="X1304" t="b">
        <v>0</v>
      </c>
      <c r="Y1304" t="b">
        <v>0</v>
      </c>
    </row>
    <row r="1305" spans="1:25">
      <c r="A1305">
        <v>13040</v>
      </c>
      <c r="B1305" t="s">
        <v>2621</v>
      </c>
      <c r="C1305" t="s">
        <v>2828</v>
      </c>
      <c r="D1305" t="s">
        <v>2623</v>
      </c>
      <c r="E1305">
        <v>13040</v>
      </c>
      <c r="F1305">
        <v>25.8</v>
      </c>
      <c r="G1305">
        <v>951</v>
      </c>
      <c r="H1305">
        <v>11.6</v>
      </c>
      <c r="I1305">
        <v>1454</v>
      </c>
      <c r="J1305">
        <v>32.5</v>
      </c>
      <c r="K1305">
        <v>1392</v>
      </c>
      <c r="L1305">
        <v>23</v>
      </c>
      <c r="M1305">
        <v>1402</v>
      </c>
      <c r="N1305">
        <v>62.3</v>
      </c>
      <c r="O1305">
        <v>537</v>
      </c>
      <c r="P1305" t="s">
        <v>691</v>
      </c>
      <c r="Q1305" s="1">
        <v>10252</v>
      </c>
      <c r="R1305">
        <v>11.6</v>
      </c>
      <c r="S1305" s="2">
        <v>0.16</v>
      </c>
      <c r="T1305" s="3">
        <v>2.2409722222222221</v>
      </c>
      <c r="U1305" s="2">
        <v>0.26</v>
      </c>
      <c r="V1305" t="s">
        <v>2828</v>
      </c>
      <c r="W1305" t="s">
        <v>2829</v>
      </c>
      <c r="X1305" t="b">
        <v>0</v>
      </c>
      <c r="Y1305" t="b">
        <v>0</v>
      </c>
    </row>
    <row r="1306" spans="1:25">
      <c r="A1306">
        <v>13050</v>
      </c>
      <c r="B1306" t="s">
        <v>2621</v>
      </c>
      <c r="C1306" t="s">
        <v>2830</v>
      </c>
      <c r="D1306" t="s">
        <v>2623</v>
      </c>
      <c r="E1306">
        <v>13050</v>
      </c>
      <c r="F1306">
        <v>29</v>
      </c>
      <c r="G1306">
        <v>745</v>
      </c>
      <c r="H1306">
        <v>13.5</v>
      </c>
      <c r="I1306">
        <v>1252</v>
      </c>
      <c r="J1306">
        <v>36.5</v>
      </c>
      <c r="K1306">
        <v>1291</v>
      </c>
      <c r="L1306">
        <v>53.1</v>
      </c>
      <c r="M1306">
        <v>750</v>
      </c>
      <c r="N1306">
        <v>19.2</v>
      </c>
      <c r="O1306">
        <v>1884</v>
      </c>
      <c r="P1306" t="s">
        <v>94</v>
      </c>
      <c r="Q1306" s="1">
        <v>2603</v>
      </c>
      <c r="R1306">
        <v>4.5999999999999996</v>
      </c>
      <c r="S1306" s="2">
        <v>0.01</v>
      </c>
      <c r="T1306" s="3">
        <v>2.4868055555555557</v>
      </c>
      <c r="U1306" t="s">
        <v>1292</v>
      </c>
      <c r="V1306" t="s">
        <v>2830</v>
      </c>
      <c r="W1306" t="s">
        <v>1199</v>
      </c>
      <c r="X1306" t="b">
        <v>0</v>
      </c>
      <c r="Y1306" t="b">
        <v>0</v>
      </c>
    </row>
    <row r="1307" spans="1:25">
      <c r="A1307">
        <v>13060</v>
      </c>
      <c r="B1307" t="s">
        <v>2621</v>
      </c>
      <c r="C1307" t="s">
        <v>2831</v>
      </c>
      <c r="D1307" t="s">
        <v>2623</v>
      </c>
      <c r="E1307">
        <v>13060</v>
      </c>
      <c r="F1307">
        <v>24.6</v>
      </c>
      <c r="G1307">
        <v>1037</v>
      </c>
      <c r="H1307">
        <v>13</v>
      </c>
      <c r="I1307">
        <v>1303</v>
      </c>
      <c r="J1307">
        <v>44.8</v>
      </c>
      <c r="K1307">
        <v>1123</v>
      </c>
      <c r="L1307">
        <v>18.7</v>
      </c>
      <c r="M1307">
        <v>1612</v>
      </c>
      <c r="N1307">
        <v>28.5</v>
      </c>
      <c r="O1307">
        <v>1562</v>
      </c>
      <c r="P1307" t="s">
        <v>2536</v>
      </c>
      <c r="Q1307" s="1">
        <v>66964</v>
      </c>
      <c r="R1307">
        <v>88.7</v>
      </c>
      <c r="S1307" s="2">
        <v>0.03</v>
      </c>
      <c r="T1307" s="3">
        <v>2.2000000000000002</v>
      </c>
      <c r="U1307" s="2">
        <v>0.4</v>
      </c>
      <c r="V1307" t="s">
        <v>2831</v>
      </c>
      <c r="W1307" t="s">
        <v>2832</v>
      </c>
      <c r="X1307" t="b">
        <v>0</v>
      </c>
      <c r="Y1307" t="b">
        <v>0</v>
      </c>
    </row>
    <row r="1308" spans="1:25">
      <c r="A1308">
        <v>13070</v>
      </c>
      <c r="B1308" t="s">
        <v>2621</v>
      </c>
      <c r="C1308" t="s">
        <v>2833</v>
      </c>
      <c r="D1308" t="s">
        <v>2623</v>
      </c>
      <c r="E1308">
        <v>13070</v>
      </c>
      <c r="F1308">
        <v>17.100000000000001</v>
      </c>
      <c r="G1308">
        <v>1617</v>
      </c>
      <c r="H1308">
        <v>12.8</v>
      </c>
      <c r="I1308">
        <v>1326</v>
      </c>
      <c r="J1308">
        <v>50.9</v>
      </c>
      <c r="K1308">
        <v>998</v>
      </c>
      <c r="L1308">
        <v>18.2</v>
      </c>
      <c r="M1308">
        <v>1652</v>
      </c>
      <c r="N1308">
        <v>25.2</v>
      </c>
      <c r="O1308">
        <v>1698</v>
      </c>
      <c r="P1308" t="s">
        <v>795</v>
      </c>
      <c r="Q1308" s="1">
        <v>44187</v>
      </c>
      <c r="R1308">
        <v>199.9</v>
      </c>
      <c r="S1308" s="2">
        <v>0.02</v>
      </c>
      <c r="T1308" s="3">
        <v>2.2000000000000002</v>
      </c>
      <c r="U1308" s="2">
        <v>0.2</v>
      </c>
      <c r="V1308" t="s">
        <v>2833</v>
      </c>
      <c r="W1308" t="s">
        <v>2834</v>
      </c>
      <c r="X1308" t="b">
        <v>0</v>
      </c>
      <c r="Y1308" t="b">
        <v>0</v>
      </c>
    </row>
    <row r="1309" spans="1:25">
      <c r="A1309">
        <v>13080</v>
      </c>
      <c r="B1309" t="s">
        <v>2621</v>
      </c>
      <c r="C1309" t="s">
        <v>2835</v>
      </c>
      <c r="D1309" t="s">
        <v>2623</v>
      </c>
      <c r="E1309">
        <v>13080</v>
      </c>
      <c r="F1309">
        <v>18.100000000000001</v>
      </c>
      <c r="G1309">
        <v>1543</v>
      </c>
      <c r="H1309">
        <v>10</v>
      </c>
      <c r="I1309">
        <v>1642</v>
      </c>
      <c r="J1309">
        <v>47.7</v>
      </c>
      <c r="K1309">
        <v>1068</v>
      </c>
      <c r="L1309">
        <v>16.100000000000001</v>
      </c>
      <c r="M1309">
        <v>1851</v>
      </c>
      <c r="N1309">
        <v>52</v>
      </c>
      <c r="O1309">
        <v>739</v>
      </c>
      <c r="P1309" t="s">
        <v>2836</v>
      </c>
      <c r="Q1309" s="1">
        <v>15400</v>
      </c>
      <c r="R1309">
        <v>13.4</v>
      </c>
      <c r="S1309" s="2">
        <v>0.04</v>
      </c>
      <c r="T1309" s="3">
        <v>2.6097222222222221</v>
      </c>
      <c r="U1309" s="2">
        <v>0.26</v>
      </c>
      <c r="V1309" t="s">
        <v>2835</v>
      </c>
      <c r="W1309" t="s">
        <v>2837</v>
      </c>
      <c r="X1309" t="b">
        <v>0</v>
      </c>
      <c r="Y1309" t="b">
        <v>0</v>
      </c>
    </row>
    <row r="1310" spans="1:25">
      <c r="A1310">
        <v>13090</v>
      </c>
      <c r="B1310" t="s">
        <v>2621</v>
      </c>
      <c r="C1310" t="s">
        <v>2838</v>
      </c>
      <c r="D1310" t="s">
        <v>2623</v>
      </c>
      <c r="E1310">
        <v>13090</v>
      </c>
      <c r="F1310">
        <v>20.6</v>
      </c>
      <c r="G1310">
        <v>1329</v>
      </c>
      <c r="H1310">
        <v>10.9</v>
      </c>
      <c r="I1310">
        <v>1538</v>
      </c>
      <c r="J1310">
        <v>46.1</v>
      </c>
      <c r="K1310">
        <v>1094</v>
      </c>
      <c r="L1310">
        <v>18.100000000000001</v>
      </c>
      <c r="M1310">
        <v>1661</v>
      </c>
      <c r="N1310">
        <v>40.1</v>
      </c>
      <c r="O1310">
        <v>1115</v>
      </c>
      <c r="P1310" t="s">
        <v>1895</v>
      </c>
      <c r="Q1310" s="1">
        <v>52921</v>
      </c>
      <c r="R1310">
        <v>39.200000000000003</v>
      </c>
      <c r="S1310" s="2">
        <v>0</v>
      </c>
      <c r="T1310" s="3">
        <v>2.1590277777777778</v>
      </c>
      <c r="U1310" s="2">
        <v>0.28000000000000003</v>
      </c>
      <c r="V1310" t="s">
        <v>2838</v>
      </c>
      <c r="W1310" t="s">
        <v>2839</v>
      </c>
      <c r="X1310" t="b">
        <v>0</v>
      </c>
      <c r="Y1310" t="b">
        <v>0</v>
      </c>
    </row>
    <row r="1311" spans="1:25">
      <c r="A1311">
        <v>13100</v>
      </c>
      <c r="B1311" t="s">
        <v>2621</v>
      </c>
      <c r="C1311" t="s">
        <v>2840</v>
      </c>
      <c r="D1311" t="s">
        <v>2623</v>
      </c>
      <c r="E1311">
        <v>13100</v>
      </c>
      <c r="F1311">
        <v>35.9</v>
      </c>
      <c r="G1311">
        <v>431</v>
      </c>
      <c r="H1311">
        <v>18.8</v>
      </c>
      <c r="I1311">
        <v>876</v>
      </c>
      <c r="J1311">
        <v>16.899999999999999</v>
      </c>
      <c r="K1311">
        <v>1734</v>
      </c>
      <c r="L1311">
        <v>34.4</v>
      </c>
      <c r="M1311">
        <v>1104</v>
      </c>
      <c r="N1311">
        <v>62.4</v>
      </c>
      <c r="O1311">
        <v>535</v>
      </c>
      <c r="P1311" t="s">
        <v>255</v>
      </c>
      <c r="Q1311" s="1">
        <v>6857</v>
      </c>
      <c r="R1311">
        <v>17.100000000000001</v>
      </c>
      <c r="S1311" s="2">
        <v>0.19</v>
      </c>
      <c r="T1311" s="3">
        <v>2.4868055555555557</v>
      </c>
      <c r="U1311" s="2">
        <v>0.31</v>
      </c>
      <c r="V1311" t="s">
        <v>2840</v>
      </c>
      <c r="W1311" t="s">
        <v>2841</v>
      </c>
      <c r="X1311" t="b">
        <v>0</v>
      </c>
      <c r="Y1311" t="b">
        <v>0</v>
      </c>
    </row>
    <row r="1312" spans="1:25">
      <c r="A1312">
        <v>13110</v>
      </c>
      <c r="B1312" t="s">
        <v>2621</v>
      </c>
      <c r="C1312" t="s">
        <v>2842</v>
      </c>
      <c r="D1312" t="s">
        <v>2623</v>
      </c>
      <c r="E1312">
        <v>13110</v>
      </c>
      <c r="F1312">
        <v>22.8</v>
      </c>
      <c r="G1312">
        <v>1164</v>
      </c>
      <c r="H1312">
        <v>17.3</v>
      </c>
      <c r="I1312">
        <v>949</v>
      </c>
      <c r="J1312">
        <v>36.9</v>
      </c>
      <c r="K1312">
        <v>1282</v>
      </c>
      <c r="L1312">
        <v>33.6</v>
      </c>
      <c r="M1312">
        <v>1120</v>
      </c>
      <c r="N1312">
        <v>36.4</v>
      </c>
      <c r="O1312">
        <v>1265</v>
      </c>
      <c r="P1312" t="s">
        <v>181</v>
      </c>
      <c r="Q1312" s="1">
        <v>12885</v>
      </c>
      <c r="R1312">
        <v>15.7</v>
      </c>
      <c r="S1312" s="2">
        <v>0.03</v>
      </c>
      <c r="T1312" s="3">
        <v>1.9131944444444444</v>
      </c>
      <c r="U1312" s="2">
        <v>0.33</v>
      </c>
      <c r="V1312" t="s">
        <v>2842</v>
      </c>
      <c r="W1312" t="s">
        <v>2843</v>
      </c>
      <c r="X1312" t="b">
        <v>0</v>
      </c>
      <c r="Y1312" t="b">
        <v>0</v>
      </c>
    </row>
    <row r="1313" spans="1:25">
      <c r="A1313">
        <v>13120</v>
      </c>
      <c r="B1313" t="s">
        <v>2621</v>
      </c>
      <c r="C1313" t="s">
        <v>2844</v>
      </c>
      <c r="D1313" t="s">
        <v>2623</v>
      </c>
      <c r="E1313">
        <v>13120</v>
      </c>
      <c r="F1313">
        <v>35.799999999999997</v>
      </c>
      <c r="G1313">
        <v>435</v>
      </c>
      <c r="H1313">
        <v>14.6</v>
      </c>
      <c r="I1313">
        <v>1153</v>
      </c>
      <c r="J1313">
        <v>24.1</v>
      </c>
      <c r="K1313">
        <v>1584</v>
      </c>
      <c r="L1313">
        <v>19.5</v>
      </c>
      <c r="M1313">
        <v>1561</v>
      </c>
      <c r="N1313">
        <v>24.5</v>
      </c>
      <c r="O1313">
        <v>1724</v>
      </c>
      <c r="P1313" t="s">
        <v>528</v>
      </c>
      <c r="Q1313" s="1">
        <v>1913</v>
      </c>
      <c r="R1313">
        <v>14.3</v>
      </c>
      <c r="S1313" s="2">
        <v>0</v>
      </c>
      <c r="T1313" t="s">
        <v>51</v>
      </c>
      <c r="U1313" s="2">
        <v>0.43</v>
      </c>
      <c r="V1313" t="s">
        <v>2844</v>
      </c>
      <c r="W1313" t="s">
        <v>2845</v>
      </c>
      <c r="X1313" t="b">
        <v>0</v>
      </c>
      <c r="Y1313" t="b">
        <v>0</v>
      </c>
    </row>
    <row r="1314" spans="1:25">
      <c r="A1314">
        <v>13130</v>
      </c>
      <c r="B1314" t="s">
        <v>2621</v>
      </c>
      <c r="C1314" t="s">
        <v>2846</v>
      </c>
      <c r="D1314" t="s">
        <v>2623</v>
      </c>
      <c r="E1314">
        <v>13130</v>
      </c>
      <c r="F1314">
        <v>30.9</v>
      </c>
      <c r="G1314">
        <v>645</v>
      </c>
      <c r="H1314">
        <v>9.8000000000000007</v>
      </c>
      <c r="I1314">
        <v>1672</v>
      </c>
      <c r="J1314">
        <v>24.2</v>
      </c>
      <c r="K1314">
        <v>1581</v>
      </c>
      <c r="L1314">
        <v>39.200000000000003</v>
      </c>
      <c r="M1314">
        <v>1001</v>
      </c>
      <c r="N1314">
        <v>45</v>
      </c>
      <c r="O1314">
        <v>959</v>
      </c>
      <c r="P1314" t="s">
        <v>1955</v>
      </c>
      <c r="Q1314" s="1">
        <v>23070</v>
      </c>
      <c r="R1314">
        <v>6.8</v>
      </c>
      <c r="S1314" s="2">
        <v>0.03</v>
      </c>
      <c r="T1314" s="3">
        <v>2.5277777777777777</v>
      </c>
      <c r="U1314" s="2">
        <v>0.25</v>
      </c>
      <c r="V1314" t="s">
        <v>2846</v>
      </c>
      <c r="W1314" t="s">
        <v>2847</v>
      </c>
      <c r="X1314" t="b">
        <v>0</v>
      </c>
      <c r="Y1314" t="b">
        <v>0</v>
      </c>
    </row>
    <row r="1315" spans="1:25">
      <c r="A1315">
        <v>13140</v>
      </c>
      <c r="B1315" t="s">
        <v>2621</v>
      </c>
      <c r="C1315" t="s">
        <v>2848</v>
      </c>
      <c r="D1315" t="s">
        <v>2623</v>
      </c>
      <c r="E1315">
        <v>13140</v>
      </c>
      <c r="F1315">
        <v>15</v>
      </c>
      <c r="G1315">
        <v>1751</v>
      </c>
      <c r="H1315">
        <v>21.2</v>
      </c>
      <c r="I1315">
        <v>761</v>
      </c>
      <c r="J1315">
        <v>27.8</v>
      </c>
      <c r="K1315">
        <v>1498</v>
      </c>
      <c r="L1315">
        <v>68.5</v>
      </c>
      <c r="M1315">
        <v>467</v>
      </c>
      <c r="N1315">
        <v>44.2</v>
      </c>
      <c r="O1315">
        <v>984</v>
      </c>
      <c r="P1315" t="s">
        <v>389</v>
      </c>
      <c r="Q1315" s="1">
        <v>11567</v>
      </c>
      <c r="R1315">
        <v>27.9</v>
      </c>
      <c r="S1315" s="2">
        <v>0.15</v>
      </c>
      <c r="T1315" s="3">
        <v>2.1180555555555554</v>
      </c>
      <c r="U1315" s="2">
        <v>0.13</v>
      </c>
      <c r="V1315" t="s">
        <v>2848</v>
      </c>
      <c r="W1315" t="s">
        <v>2849</v>
      </c>
      <c r="X1315" t="b">
        <v>0</v>
      </c>
      <c r="Y1315" t="b">
        <v>0</v>
      </c>
    </row>
    <row r="1316" spans="1:25">
      <c r="A1316">
        <v>13150</v>
      </c>
      <c r="B1316" t="s">
        <v>2621</v>
      </c>
      <c r="C1316" t="s">
        <v>2850</v>
      </c>
      <c r="D1316" t="s">
        <v>2623</v>
      </c>
      <c r="E1316">
        <v>13150</v>
      </c>
      <c r="F1316">
        <v>18.7</v>
      </c>
      <c r="G1316">
        <v>1485</v>
      </c>
      <c r="H1316">
        <v>11.7</v>
      </c>
      <c r="I1316">
        <v>1438</v>
      </c>
      <c r="J1316">
        <v>42.6</v>
      </c>
      <c r="K1316">
        <v>1176</v>
      </c>
      <c r="L1316">
        <v>16.3</v>
      </c>
      <c r="M1316">
        <v>1829</v>
      </c>
      <c r="N1316">
        <v>62.8</v>
      </c>
      <c r="O1316">
        <v>523</v>
      </c>
      <c r="P1316" t="s">
        <v>895</v>
      </c>
      <c r="Q1316" s="1">
        <v>10484</v>
      </c>
      <c r="R1316">
        <v>16</v>
      </c>
      <c r="S1316" s="2">
        <v>0.14000000000000001</v>
      </c>
      <c r="T1316" s="3">
        <v>2.0770833333333334</v>
      </c>
      <c r="U1316" s="2">
        <v>0.36</v>
      </c>
      <c r="V1316" t="s">
        <v>2850</v>
      </c>
      <c r="W1316" t="s">
        <v>2851</v>
      </c>
      <c r="X1316" t="b">
        <v>0</v>
      </c>
      <c r="Y1316" t="b">
        <v>0</v>
      </c>
    </row>
    <row r="1317" spans="1:25">
      <c r="A1317">
        <v>13160</v>
      </c>
      <c r="B1317" t="s">
        <v>2621</v>
      </c>
      <c r="C1317" t="s">
        <v>2852</v>
      </c>
      <c r="D1317" t="s">
        <v>2623</v>
      </c>
      <c r="E1317">
        <v>13160</v>
      </c>
      <c r="F1317">
        <v>14.5</v>
      </c>
      <c r="G1317">
        <v>1778</v>
      </c>
      <c r="H1317">
        <v>11.7</v>
      </c>
      <c r="I1317">
        <v>1439</v>
      </c>
      <c r="J1317">
        <v>56.9</v>
      </c>
      <c r="K1317">
        <v>850</v>
      </c>
      <c r="L1317">
        <v>18.8</v>
      </c>
      <c r="M1317">
        <v>1603</v>
      </c>
      <c r="N1317">
        <v>25.9</v>
      </c>
      <c r="O1317">
        <v>1665</v>
      </c>
      <c r="P1317" t="s">
        <v>895</v>
      </c>
      <c r="Q1317" s="1">
        <v>15254</v>
      </c>
      <c r="R1317">
        <v>18.7</v>
      </c>
      <c r="S1317" s="2">
        <v>0.02</v>
      </c>
      <c r="T1317" s="3">
        <v>2.3229166666666665</v>
      </c>
      <c r="U1317" s="2">
        <v>0.13</v>
      </c>
      <c r="V1317" t="s">
        <v>2852</v>
      </c>
      <c r="W1317" t="s">
        <v>2853</v>
      </c>
      <c r="X1317" t="b">
        <v>0</v>
      </c>
      <c r="Y1317" t="b">
        <v>0</v>
      </c>
    </row>
    <row r="1318" spans="1:25">
      <c r="A1318">
        <v>13170</v>
      </c>
      <c r="B1318" t="s">
        <v>2621</v>
      </c>
      <c r="C1318" t="s">
        <v>2854</v>
      </c>
      <c r="D1318" t="s">
        <v>2623</v>
      </c>
      <c r="E1318">
        <v>13170</v>
      </c>
      <c r="F1318">
        <v>24.5</v>
      </c>
      <c r="G1318">
        <v>1043</v>
      </c>
      <c r="H1318">
        <v>10.5</v>
      </c>
      <c r="I1318">
        <v>1590</v>
      </c>
      <c r="J1318">
        <v>10</v>
      </c>
      <c r="K1318">
        <v>1857</v>
      </c>
      <c r="L1318">
        <v>17.899999999999999</v>
      </c>
      <c r="M1318">
        <v>1676</v>
      </c>
      <c r="N1318">
        <v>31.7</v>
      </c>
      <c r="O1318">
        <v>1439</v>
      </c>
      <c r="P1318" t="s">
        <v>1123</v>
      </c>
      <c r="Q1318" s="1">
        <v>19799</v>
      </c>
      <c r="R1318">
        <v>10.7</v>
      </c>
      <c r="S1318" s="2">
        <v>0.02</v>
      </c>
      <c r="T1318" s="3">
        <v>2.6506944444444445</v>
      </c>
      <c r="U1318" s="2">
        <v>0.34</v>
      </c>
      <c r="V1318" t="s">
        <v>2854</v>
      </c>
      <c r="W1318" t="s">
        <v>2855</v>
      </c>
      <c r="X1318" t="b">
        <v>0</v>
      </c>
      <c r="Y1318" t="b">
        <v>0</v>
      </c>
    </row>
    <row r="1319" spans="1:25">
      <c r="A1319">
        <v>13180</v>
      </c>
      <c r="B1319" t="s">
        <v>2621</v>
      </c>
      <c r="C1319" t="s">
        <v>2856</v>
      </c>
      <c r="D1319" t="s">
        <v>2623</v>
      </c>
      <c r="E1319">
        <v>13180</v>
      </c>
      <c r="F1319">
        <v>20.2</v>
      </c>
      <c r="G1319">
        <v>1358</v>
      </c>
      <c r="H1319">
        <v>15.1</v>
      </c>
      <c r="I1319">
        <v>1114</v>
      </c>
      <c r="J1319">
        <v>27.8</v>
      </c>
      <c r="K1319">
        <v>1499</v>
      </c>
      <c r="L1319">
        <v>56.7</v>
      </c>
      <c r="M1319">
        <v>705</v>
      </c>
      <c r="N1319">
        <v>35.5</v>
      </c>
      <c r="O1319">
        <v>1299</v>
      </c>
      <c r="P1319" t="s">
        <v>895</v>
      </c>
      <c r="Q1319" s="1">
        <v>6309</v>
      </c>
      <c r="R1319">
        <v>18.600000000000001</v>
      </c>
      <c r="S1319" s="2">
        <v>0.03</v>
      </c>
      <c r="T1319" s="3">
        <v>1.9951388888888888</v>
      </c>
      <c r="U1319" s="2">
        <v>0.45</v>
      </c>
      <c r="V1319" t="s">
        <v>2856</v>
      </c>
      <c r="W1319" t="s">
        <v>2857</v>
      </c>
      <c r="X1319" t="b">
        <v>0</v>
      </c>
      <c r="Y1319" t="b">
        <v>0</v>
      </c>
    </row>
    <row r="1320" spans="1:25">
      <c r="A1320">
        <v>13190</v>
      </c>
      <c r="B1320" t="s">
        <v>2621</v>
      </c>
      <c r="C1320" t="s">
        <v>2858</v>
      </c>
      <c r="D1320" t="s">
        <v>2623</v>
      </c>
      <c r="E1320">
        <v>13190</v>
      </c>
      <c r="F1320">
        <v>27.4</v>
      </c>
      <c r="G1320">
        <v>851</v>
      </c>
      <c r="H1320">
        <v>19.2</v>
      </c>
      <c r="I1320">
        <v>857</v>
      </c>
      <c r="J1320">
        <v>35</v>
      </c>
      <c r="K1320">
        <v>1328</v>
      </c>
      <c r="L1320">
        <v>38.200000000000003</v>
      </c>
      <c r="M1320">
        <v>1018</v>
      </c>
      <c r="N1320">
        <v>31.2</v>
      </c>
      <c r="O1320">
        <v>1455</v>
      </c>
      <c r="P1320" t="s">
        <v>181</v>
      </c>
      <c r="Q1320" s="1">
        <v>11376</v>
      </c>
      <c r="R1320">
        <v>17.2</v>
      </c>
      <c r="S1320" s="2">
        <v>0.06</v>
      </c>
      <c r="T1320" s="3">
        <v>2.2409722222222221</v>
      </c>
      <c r="U1320" s="2">
        <v>0.19</v>
      </c>
      <c r="V1320" t="s">
        <v>2859</v>
      </c>
      <c r="W1320" t="s">
        <v>2860</v>
      </c>
      <c r="X1320" t="b">
        <v>0</v>
      </c>
      <c r="Y1320" t="b">
        <v>0</v>
      </c>
    </row>
    <row r="1321" spans="1:25">
      <c r="A1321">
        <v>13200</v>
      </c>
      <c r="B1321" t="s">
        <v>2621</v>
      </c>
      <c r="C1321" t="s">
        <v>2861</v>
      </c>
      <c r="D1321" t="s">
        <v>2623</v>
      </c>
      <c r="E1321">
        <v>13200</v>
      </c>
      <c r="F1321">
        <v>16.3</v>
      </c>
      <c r="G1321">
        <v>1678</v>
      </c>
      <c r="H1321">
        <v>12.9</v>
      </c>
      <c r="I1321">
        <v>1311</v>
      </c>
      <c r="J1321">
        <v>47.1</v>
      </c>
      <c r="K1321">
        <v>1078</v>
      </c>
      <c r="L1321">
        <v>23.9</v>
      </c>
      <c r="M1321">
        <v>1371</v>
      </c>
      <c r="N1321">
        <v>27.4</v>
      </c>
      <c r="O1321">
        <v>1604</v>
      </c>
      <c r="P1321" t="s">
        <v>54</v>
      </c>
      <c r="Q1321" s="1">
        <v>25759</v>
      </c>
      <c r="R1321">
        <v>15</v>
      </c>
      <c r="S1321" s="2">
        <v>0.02</v>
      </c>
      <c r="U1321" s="2">
        <v>0.35</v>
      </c>
      <c r="V1321" t="s">
        <v>2861</v>
      </c>
      <c r="W1321" t="s">
        <v>2862</v>
      </c>
      <c r="X1321" t="b">
        <v>0</v>
      </c>
      <c r="Y1321" t="b">
        <v>0</v>
      </c>
    </row>
    <row r="1322" spans="1:25">
      <c r="A1322">
        <v>13210</v>
      </c>
      <c r="B1322" t="s">
        <v>2621</v>
      </c>
      <c r="C1322" t="s">
        <v>2863</v>
      </c>
      <c r="D1322" t="s">
        <v>2623</v>
      </c>
      <c r="E1322">
        <v>13210</v>
      </c>
      <c r="F1322">
        <v>30.1</v>
      </c>
      <c r="G1322">
        <v>681</v>
      </c>
      <c r="H1322">
        <v>10.8</v>
      </c>
      <c r="I1322">
        <v>1550</v>
      </c>
      <c r="J1322">
        <v>40.5</v>
      </c>
      <c r="K1322">
        <v>1215</v>
      </c>
      <c r="L1322">
        <v>42.6</v>
      </c>
      <c r="M1322">
        <v>928</v>
      </c>
      <c r="N1322">
        <v>19.7</v>
      </c>
      <c r="O1322">
        <v>1879</v>
      </c>
      <c r="P1322" t="s">
        <v>94</v>
      </c>
      <c r="Q1322" s="1">
        <v>1095</v>
      </c>
      <c r="R1322">
        <v>0.9</v>
      </c>
      <c r="S1322" s="2">
        <v>0</v>
      </c>
      <c r="T1322" s="3">
        <v>2.1180555555555554</v>
      </c>
      <c r="U1322" s="2">
        <v>0.03</v>
      </c>
      <c r="V1322" t="s">
        <v>2863</v>
      </c>
      <c r="W1322" t="s">
        <v>1199</v>
      </c>
      <c r="X1322" t="b">
        <v>0</v>
      </c>
      <c r="Y1322" t="b">
        <v>0</v>
      </c>
    </row>
    <row r="1323" spans="1:25">
      <c r="A1323">
        <v>13220</v>
      </c>
      <c r="B1323" t="s">
        <v>2621</v>
      </c>
      <c r="C1323" t="s">
        <v>2864</v>
      </c>
      <c r="D1323" t="s">
        <v>2623</v>
      </c>
      <c r="E1323">
        <v>13220</v>
      </c>
      <c r="F1323">
        <v>27.7</v>
      </c>
      <c r="G1323">
        <v>824</v>
      </c>
      <c r="H1323">
        <v>14.3</v>
      </c>
      <c r="I1323">
        <v>1178</v>
      </c>
      <c r="J1323">
        <v>35.1</v>
      </c>
      <c r="K1323">
        <v>1324</v>
      </c>
      <c r="L1323">
        <v>18.600000000000001</v>
      </c>
      <c r="M1323">
        <v>1622</v>
      </c>
      <c r="N1323">
        <v>34</v>
      </c>
      <c r="O1323">
        <v>1357</v>
      </c>
      <c r="P1323" t="s">
        <v>1543</v>
      </c>
      <c r="Q1323" s="1">
        <v>9173</v>
      </c>
      <c r="R1323">
        <v>9.6</v>
      </c>
      <c r="S1323" s="2">
        <v>0.09</v>
      </c>
      <c r="T1323" s="3">
        <v>2.7326388888888888</v>
      </c>
      <c r="U1323" s="2">
        <v>0.15</v>
      </c>
      <c r="V1323" t="s">
        <v>2864</v>
      </c>
      <c r="W1323" t="s">
        <v>2865</v>
      </c>
      <c r="X1323" t="b">
        <v>0</v>
      </c>
      <c r="Y1323" t="b">
        <v>0</v>
      </c>
    </row>
    <row r="1324" spans="1:25">
      <c r="A1324">
        <v>13230</v>
      </c>
      <c r="B1324" t="s">
        <v>2621</v>
      </c>
      <c r="C1324" t="s">
        <v>2866</v>
      </c>
      <c r="D1324" t="s">
        <v>2623</v>
      </c>
      <c r="E1324">
        <v>13230</v>
      </c>
      <c r="F1324">
        <v>25.7</v>
      </c>
      <c r="G1324">
        <v>958</v>
      </c>
      <c r="H1324">
        <v>12.9</v>
      </c>
      <c r="I1324">
        <v>1312</v>
      </c>
      <c r="J1324">
        <v>27.4</v>
      </c>
      <c r="K1324">
        <v>1510</v>
      </c>
      <c r="L1324">
        <v>54.1</v>
      </c>
      <c r="M1324">
        <v>736</v>
      </c>
      <c r="N1324">
        <v>31.9</v>
      </c>
      <c r="O1324">
        <v>1431</v>
      </c>
      <c r="P1324" t="s">
        <v>94</v>
      </c>
      <c r="Q1324" s="1">
        <v>6309</v>
      </c>
      <c r="R1324">
        <v>9.6</v>
      </c>
      <c r="S1324" s="2">
        <v>0.02</v>
      </c>
      <c r="T1324" s="3">
        <v>1.7902777777777779</v>
      </c>
      <c r="U1324" s="2">
        <v>0.17</v>
      </c>
      <c r="V1324" t="s">
        <v>2866</v>
      </c>
      <c r="W1324" t="s">
        <v>2867</v>
      </c>
      <c r="X1324" t="b">
        <v>0</v>
      </c>
      <c r="Y1324" t="b">
        <v>0</v>
      </c>
    </row>
    <row r="1325" spans="1:25">
      <c r="A1325">
        <v>13240</v>
      </c>
      <c r="B1325" t="s">
        <v>2621</v>
      </c>
      <c r="C1325" t="s">
        <v>2868</v>
      </c>
      <c r="D1325" t="s">
        <v>2623</v>
      </c>
      <c r="E1325">
        <v>13240</v>
      </c>
      <c r="F1325">
        <v>25.7</v>
      </c>
      <c r="G1325">
        <v>959</v>
      </c>
      <c r="H1325">
        <v>13.5</v>
      </c>
      <c r="I1325">
        <v>1253</v>
      </c>
      <c r="J1325">
        <v>24</v>
      </c>
      <c r="K1325">
        <v>1586</v>
      </c>
      <c r="L1325">
        <v>55.2</v>
      </c>
      <c r="M1325">
        <v>722</v>
      </c>
      <c r="N1325">
        <v>27.7</v>
      </c>
      <c r="O1325">
        <v>1592</v>
      </c>
      <c r="P1325" t="s">
        <v>94</v>
      </c>
      <c r="Q1325" s="1">
        <v>10257</v>
      </c>
      <c r="R1325">
        <v>10.1</v>
      </c>
      <c r="S1325" s="2">
        <v>0.03</v>
      </c>
      <c r="T1325" t="s">
        <v>696</v>
      </c>
      <c r="U1325" s="2">
        <v>0.14000000000000001</v>
      </c>
      <c r="V1325" t="s">
        <v>2868</v>
      </c>
      <c r="W1325" t="s">
        <v>2869</v>
      </c>
      <c r="X1325" t="b">
        <v>0</v>
      </c>
      <c r="Y1325" t="b">
        <v>0</v>
      </c>
    </row>
    <row r="1326" spans="1:25">
      <c r="A1326">
        <v>13250</v>
      </c>
      <c r="B1326" t="s">
        <v>2621</v>
      </c>
      <c r="C1326" t="s">
        <v>2870</v>
      </c>
      <c r="D1326" t="s">
        <v>2623</v>
      </c>
      <c r="E1326">
        <v>13250</v>
      </c>
      <c r="F1326">
        <v>22</v>
      </c>
      <c r="G1326">
        <v>1228</v>
      </c>
      <c r="H1326">
        <v>21.9</v>
      </c>
      <c r="I1326">
        <v>736</v>
      </c>
      <c r="J1326">
        <v>32.4</v>
      </c>
      <c r="K1326">
        <v>1393</v>
      </c>
      <c r="L1326">
        <v>47.4</v>
      </c>
      <c r="M1326">
        <v>856</v>
      </c>
      <c r="N1326">
        <v>24.1</v>
      </c>
      <c r="O1326">
        <v>1737</v>
      </c>
      <c r="P1326" t="s">
        <v>181</v>
      </c>
      <c r="Q1326" s="1">
        <v>21920</v>
      </c>
      <c r="R1326">
        <v>21.6</v>
      </c>
      <c r="S1326" s="2">
        <v>0.03</v>
      </c>
      <c r="T1326" s="3">
        <v>1.7493055555555554</v>
      </c>
      <c r="U1326" s="2">
        <v>0.25</v>
      </c>
      <c r="V1326" t="s">
        <v>2871</v>
      </c>
      <c r="W1326" t="s">
        <v>2872</v>
      </c>
      <c r="X1326" t="b">
        <v>0</v>
      </c>
      <c r="Y1326" t="b">
        <v>0</v>
      </c>
    </row>
    <row r="1327" spans="1:25">
      <c r="A1327">
        <v>13260</v>
      </c>
      <c r="B1327" t="s">
        <v>2621</v>
      </c>
      <c r="C1327" t="s">
        <v>2873</v>
      </c>
      <c r="D1327" t="s">
        <v>2623</v>
      </c>
      <c r="E1327">
        <v>13260</v>
      </c>
      <c r="F1327">
        <v>12.6</v>
      </c>
      <c r="G1327">
        <v>1859</v>
      </c>
      <c r="H1327">
        <v>9.4</v>
      </c>
      <c r="I1327">
        <v>1734</v>
      </c>
      <c r="J1327">
        <v>57.2</v>
      </c>
      <c r="K1327">
        <v>845</v>
      </c>
      <c r="L1327">
        <v>16.100000000000001</v>
      </c>
      <c r="M1327">
        <v>1852</v>
      </c>
      <c r="N1327">
        <v>48.2</v>
      </c>
      <c r="O1327">
        <v>863</v>
      </c>
      <c r="P1327" t="s">
        <v>895</v>
      </c>
      <c r="Q1327" s="1">
        <v>47709</v>
      </c>
      <c r="R1327">
        <v>42.4</v>
      </c>
      <c r="S1327" s="2">
        <v>0.24</v>
      </c>
      <c r="T1327" t="s">
        <v>501</v>
      </c>
      <c r="U1327" s="2">
        <v>0.3</v>
      </c>
      <c r="V1327" t="s">
        <v>2873</v>
      </c>
      <c r="W1327" t="s">
        <v>2874</v>
      </c>
      <c r="X1327" t="b">
        <v>0</v>
      </c>
      <c r="Y1327" t="b">
        <v>0</v>
      </c>
    </row>
    <row r="1328" spans="1:25">
      <c r="A1328">
        <v>13270</v>
      </c>
      <c r="B1328" t="s">
        <v>2621</v>
      </c>
      <c r="C1328" t="s">
        <v>2875</v>
      </c>
      <c r="D1328" t="s">
        <v>2623</v>
      </c>
      <c r="E1328">
        <v>13270</v>
      </c>
      <c r="F1328">
        <v>18.7</v>
      </c>
      <c r="G1328">
        <v>1486</v>
      </c>
      <c r="H1328">
        <v>13.4</v>
      </c>
      <c r="I1328">
        <v>1267</v>
      </c>
      <c r="J1328">
        <v>48.4</v>
      </c>
      <c r="K1328">
        <v>1048</v>
      </c>
      <c r="L1328">
        <v>18.600000000000001</v>
      </c>
      <c r="M1328">
        <v>1623</v>
      </c>
      <c r="N1328">
        <v>23.2</v>
      </c>
      <c r="O1328">
        <v>1772</v>
      </c>
      <c r="P1328" t="s">
        <v>528</v>
      </c>
      <c r="Q1328" s="1">
        <v>7659</v>
      </c>
      <c r="R1328">
        <v>16.5</v>
      </c>
      <c r="S1328" s="2">
        <v>0</v>
      </c>
      <c r="T1328" t="s">
        <v>801</v>
      </c>
      <c r="U1328" s="2">
        <v>0.41</v>
      </c>
      <c r="V1328" t="s">
        <v>2875</v>
      </c>
      <c r="W1328" t="s">
        <v>2876</v>
      </c>
      <c r="X1328" t="b">
        <v>0</v>
      </c>
      <c r="Y1328" t="b">
        <v>0</v>
      </c>
    </row>
    <row r="1329" spans="1:25">
      <c r="A1329">
        <v>13280</v>
      </c>
      <c r="B1329" t="s">
        <v>2621</v>
      </c>
      <c r="C1329" t="s">
        <v>2877</v>
      </c>
      <c r="D1329" t="s">
        <v>2623</v>
      </c>
      <c r="E1329">
        <v>13280</v>
      </c>
      <c r="F1329">
        <v>22.2</v>
      </c>
      <c r="G1329">
        <v>1211</v>
      </c>
      <c r="H1329">
        <v>15.3</v>
      </c>
      <c r="I1329">
        <v>1095</v>
      </c>
      <c r="J1329">
        <v>39</v>
      </c>
      <c r="K1329">
        <v>1244</v>
      </c>
      <c r="L1329">
        <v>36.9</v>
      </c>
      <c r="M1329">
        <v>1051</v>
      </c>
      <c r="N1329">
        <v>39.200000000000003</v>
      </c>
      <c r="O1329">
        <v>1145</v>
      </c>
      <c r="P1329" t="s">
        <v>2026</v>
      </c>
      <c r="Q1329" s="1">
        <v>7986</v>
      </c>
      <c r="R1329">
        <v>13.3</v>
      </c>
      <c r="S1329" s="2">
        <v>0.08</v>
      </c>
      <c r="T1329" t="s">
        <v>801</v>
      </c>
      <c r="U1329" s="2">
        <v>0.38</v>
      </c>
      <c r="V1329" t="s">
        <v>2877</v>
      </c>
      <c r="W1329" t="s">
        <v>2878</v>
      </c>
      <c r="X1329" t="b">
        <v>0</v>
      </c>
      <c r="Y1329" t="b">
        <v>0</v>
      </c>
    </row>
    <row r="1330" spans="1:25">
      <c r="A1330">
        <v>13290</v>
      </c>
      <c r="B1330" t="s">
        <v>2621</v>
      </c>
      <c r="C1330" t="s">
        <v>2879</v>
      </c>
      <c r="D1330" t="s">
        <v>2623</v>
      </c>
      <c r="E1330">
        <v>13290</v>
      </c>
      <c r="F1330">
        <v>32.700000000000003</v>
      </c>
      <c r="G1330">
        <v>561</v>
      </c>
      <c r="H1330">
        <v>13.8</v>
      </c>
      <c r="I1330">
        <v>1228</v>
      </c>
      <c r="J1330">
        <v>37.200000000000003</v>
      </c>
      <c r="K1330">
        <v>1275</v>
      </c>
      <c r="L1330">
        <v>25</v>
      </c>
      <c r="M1330">
        <v>1338</v>
      </c>
      <c r="N1330">
        <v>29.5</v>
      </c>
      <c r="O1330">
        <v>1520</v>
      </c>
      <c r="P1330" t="s">
        <v>795</v>
      </c>
      <c r="Q1330" s="1">
        <v>12604</v>
      </c>
      <c r="R1330">
        <v>16.8</v>
      </c>
      <c r="S1330" s="2">
        <v>0.03</v>
      </c>
      <c r="T1330" s="3">
        <v>2.3229166666666665</v>
      </c>
      <c r="U1330" s="2">
        <v>0.35</v>
      </c>
      <c r="V1330" t="s">
        <v>2879</v>
      </c>
      <c r="W1330" t="s">
        <v>2880</v>
      </c>
      <c r="X1330" t="b">
        <v>0</v>
      </c>
      <c r="Y1330" t="b">
        <v>0</v>
      </c>
    </row>
    <row r="1331" spans="1:25">
      <c r="A1331">
        <v>13300</v>
      </c>
      <c r="B1331" t="s">
        <v>2621</v>
      </c>
      <c r="C1331" t="s">
        <v>2881</v>
      </c>
      <c r="D1331" t="s">
        <v>2623</v>
      </c>
      <c r="E1331">
        <v>13300</v>
      </c>
      <c r="F1331">
        <v>20.6</v>
      </c>
      <c r="G1331">
        <v>1330</v>
      </c>
      <c r="H1331">
        <v>9.1999999999999993</v>
      </c>
      <c r="I1331">
        <v>1762</v>
      </c>
      <c r="J1331">
        <v>44.5</v>
      </c>
      <c r="K1331">
        <v>1135</v>
      </c>
      <c r="L1331">
        <v>16.399999999999999</v>
      </c>
      <c r="M1331">
        <v>1818</v>
      </c>
      <c r="N1331">
        <v>32.6</v>
      </c>
      <c r="O1331">
        <v>1400</v>
      </c>
      <c r="P1331" t="s">
        <v>1123</v>
      </c>
      <c r="Q1331" s="1">
        <v>5654</v>
      </c>
      <c r="R1331">
        <v>12</v>
      </c>
      <c r="S1331" s="2">
        <v>0.12</v>
      </c>
      <c r="T1331" t="s">
        <v>145</v>
      </c>
      <c r="U1331" s="2">
        <v>0.55000000000000004</v>
      </c>
      <c r="V1331" t="s">
        <v>2881</v>
      </c>
      <c r="W1331" t="s">
        <v>2882</v>
      </c>
      <c r="X1331" t="b">
        <v>0</v>
      </c>
      <c r="Y1331" t="b">
        <v>0</v>
      </c>
    </row>
    <row r="1332" spans="1:25">
      <c r="A1332">
        <v>13310</v>
      </c>
      <c r="B1332" t="s">
        <v>2621</v>
      </c>
      <c r="C1332" t="s">
        <v>2883</v>
      </c>
      <c r="D1332" t="s">
        <v>2623</v>
      </c>
      <c r="E1332">
        <v>13310</v>
      </c>
      <c r="F1332">
        <v>23.3</v>
      </c>
      <c r="G1332">
        <v>1131</v>
      </c>
      <c r="H1332">
        <v>15.7</v>
      </c>
      <c r="I1332">
        <v>1072</v>
      </c>
      <c r="J1332">
        <v>35.5</v>
      </c>
      <c r="K1332">
        <v>1313</v>
      </c>
      <c r="L1332">
        <v>36.1</v>
      </c>
      <c r="M1332">
        <v>1072</v>
      </c>
      <c r="N1332">
        <v>35.4</v>
      </c>
      <c r="O1332">
        <v>1305</v>
      </c>
      <c r="P1332" t="s">
        <v>1448</v>
      </c>
      <c r="Q1332" s="1">
        <v>32895</v>
      </c>
      <c r="R1332">
        <v>17.2</v>
      </c>
      <c r="S1332" s="2">
        <v>0.02</v>
      </c>
      <c r="T1332" s="3">
        <v>2.6097222222222221</v>
      </c>
      <c r="U1332" s="2">
        <v>0.23</v>
      </c>
      <c r="V1332" t="s">
        <v>2883</v>
      </c>
      <c r="W1332" t="s">
        <v>2884</v>
      </c>
      <c r="X1332" t="b">
        <v>0</v>
      </c>
      <c r="Y1332" t="b">
        <v>0</v>
      </c>
    </row>
    <row r="1333" spans="1:25">
      <c r="A1333">
        <v>13320</v>
      </c>
      <c r="B1333" t="s">
        <v>2621</v>
      </c>
      <c r="C1333" t="s">
        <v>2885</v>
      </c>
      <c r="D1333" t="s">
        <v>2623</v>
      </c>
      <c r="E1333">
        <v>13320</v>
      </c>
      <c r="F1333">
        <v>17</v>
      </c>
      <c r="G1333">
        <v>1625</v>
      </c>
      <c r="H1333">
        <v>9.5</v>
      </c>
      <c r="I1333">
        <v>1712</v>
      </c>
      <c r="J1333">
        <v>46.9</v>
      </c>
      <c r="K1333">
        <v>1080</v>
      </c>
      <c r="L1333">
        <v>17.100000000000001</v>
      </c>
      <c r="M1333">
        <v>1747</v>
      </c>
      <c r="N1333">
        <v>43.7</v>
      </c>
      <c r="O1333">
        <v>998</v>
      </c>
      <c r="P1333" t="s">
        <v>1846</v>
      </c>
      <c r="Q1333" s="1">
        <v>6997</v>
      </c>
      <c r="R1333">
        <v>13.9</v>
      </c>
      <c r="S1333" s="2">
        <v>0</v>
      </c>
      <c r="T1333" s="3">
        <v>1.83125</v>
      </c>
      <c r="U1333" s="2">
        <v>0.27</v>
      </c>
      <c r="V1333" t="s">
        <v>2885</v>
      </c>
      <c r="W1333" t="s">
        <v>2886</v>
      </c>
      <c r="X1333" t="b">
        <v>0</v>
      </c>
      <c r="Y1333" t="b">
        <v>0</v>
      </c>
    </row>
    <row r="1334" spans="1:25">
      <c r="A1334">
        <v>13330</v>
      </c>
      <c r="B1334" t="s">
        <v>2621</v>
      </c>
      <c r="C1334" t="s">
        <v>2887</v>
      </c>
      <c r="D1334" t="s">
        <v>2623</v>
      </c>
      <c r="E1334">
        <v>13330</v>
      </c>
      <c r="F1334">
        <v>16.2</v>
      </c>
      <c r="G1334">
        <v>1685</v>
      </c>
      <c r="H1334">
        <v>12.7</v>
      </c>
      <c r="I1334">
        <v>1337</v>
      </c>
      <c r="J1334">
        <v>50.9</v>
      </c>
      <c r="K1334">
        <v>999</v>
      </c>
      <c r="L1334">
        <v>25.9</v>
      </c>
      <c r="M1334">
        <v>1305</v>
      </c>
      <c r="N1334">
        <v>28.7</v>
      </c>
      <c r="O1334">
        <v>1553</v>
      </c>
      <c r="P1334" t="s">
        <v>1448</v>
      </c>
      <c r="Q1334" s="1">
        <v>28122</v>
      </c>
      <c r="R1334">
        <v>23.3</v>
      </c>
      <c r="S1334" s="2">
        <v>0</v>
      </c>
      <c r="T1334" s="3">
        <v>1.7902777777777779</v>
      </c>
      <c r="U1334" s="2">
        <v>0.42</v>
      </c>
      <c r="V1334" t="s">
        <v>2887</v>
      </c>
      <c r="W1334" t="s">
        <v>2888</v>
      </c>
      <c r="X1334" t="b">
        <v>0</v>
      </c>
      <c r="Y1334" t="b">
        <v>0</v>
      </c>
    </row>
    <row r="1335" spans="1:25">
      <c r="A1335">
        <v>13340</v>
      </c>
      <c r="B1335" t="s">
        <v>2621</v>
      </c>
      <c r="C1335" t="s">
        <v>2889</v>
      </c>
      <c r="D1335" t="s">
        <v>2623</v>
      </c>
      <c r="E1335">
        <v>13340</v>
      </c>
      <c r="F1335">
        <v>27</v>
      </c>
      <c r="G1335">
        <v>877</v>
      </c>
      <c r="H1335">
        <v>11.5</v>
      </c>
      <c r="I1335">
        <v>1466</v>
      </c>
      <c r="J1335">
        <v>28.8</v>
      </c>
      <c r="K1335">
        <v>1477</v>
      </c>
      <c r="L1335">
        <v>56.5</v>
      </c>
      <c r="M1335">
        <v>711</v>
      </c>
      <c r="N1335">
        <v>20</v>
      </c>
      <c r="O1335">
        <v>1870</v>
      </c>
      <c r="P1335" t="s">
        <v>94</v>
      </c>
      <c r="Q1335" s="1">
        <v>8628</v>
      </c>
      <c r="R1335">
        <v>5.2</v>
      </c>
      <c r="S1335" s="2">
        <v>0</v>
      </c>
      <c r="T1335" s="3">
        <v>2.3229166666666665</v>
      </c>
      <c r="U1335" s="2">
        <v>0.09</v>
      </c>
      <c r="V1335" t="s">
        <v>2889</v>
      </c>
      <c r="W1335" t="s">
        <v>2890</v>
      </c>
      <c r="X1335" t="b">
        <v>0</v>
      </c>
      <c r="Y1335" t="b">
        <v>0</v>
      </c>
    </row>
    <row r="1336" spans="1:25">
      <c r="A1336">
        <v>13350</v>
      </c>
      <c r="B1336" t="s">
        <v>2621</v>
      </c>
      <c r="C1336" t="s">
        <v>2891</v>
      </c>
      <c r="D1336" t="s">
        <v>2623</v>
      </c>
      <c r="E1336">
        <v>13350</v>
      </c>
      <c r="F1336">
        <v>22.4</v>
      </c>
      <c r="G1336">
        <v>1195</v>
      </c>
      <c r="H1336">
        <v>11.1</v>
      </c>
      <c r="I1336">
        <v>1512</v>
      </c>
      <c r="J1336">
        <v>52</v>
      </c>
      <c r="K1336">
        <v>964</v>
      </c>
      <c r="L1336">
        <v>16.600000000000001</v>
      </c>
      <c r="M1336">
        <v>1799</v>
      </c>
      <c r="N1336">
        <v>21.5</v>
      </c>
      <c r="O1336">
        <v>1823</v>
      </c>
      <c r="P1336" t="s">
        <v>528</v>
      </c>
      <c r="Q1336" s="1">
        <v>17602</v>
      </c>
      <c r="R1336">
        <v>14.6</v>
      </c>
      <c r="S1336" s="2">
        <v>0.02</v>
      </c>
      <c r="T1336" t="s">
        <v>801</v>
      </c>
      <c r="U1336" s="2">
        <v>0.44</v>
      </c>
      <c r="V1336" t="s">
        <v>2891</v>
      </c>
      <c r="W1336" t="s">
        <v>2892</v>
      </c>
      <c r="X1336" t="b">
        <v>0</v>
      </c>
      <c r="Y1336" t="b">
        <v>0</v>
      </c>
    </row>
    <row r="1337" spans="1:25">
      <c r="A1337">
        <v>13360</v>
      </c>
      <c r="B1337" t="s">
        <v>2621</v>
      </c>
      <c r="C1337" t="s">
        <v>2893</v>
      </c>
      <c r="D1337" t="s">
        <v>2623</v>
      </c>
      <c r="E1337">
        <v>13360</v>
      </c>
      <c r="F1337">
        <v>27.2</v>
      </c>
      <c r="G1337">
        <v>864</v>
      </c>
      <c r="H1337">
        <v>17.100000000000001</v>
      </c>
      <c r="I1337">
        <v>963</v>
      </c>
      <c r="J1337">
        <v>15.2</v>
      </c>
      <c r="K1337">
        <v>1764</v>
      </c>
      <c r="L1337">
        <v>73.3</v>
      </c>
      <c r="M1337">
        <v>361</v>
      </c>
      <c r="N1337">
        <v>33.700000000000003</v>
      </c>
      <c r="O1337">
        <v>1365</v>
      </c>
      <c r="P1337" t="s">
        <v>94</v>
      </c>
      <c r="Q1337" s="1">
        <v>3943</v>
      </c>
      <c r="R1337">
        <v>13.8</v>
      </c>
      <c r="S1337" s="2">
        <v>0.06</v>
      </c>
      <c r="T1337" t="s">
        <v>357</v>
      </c>
      <c r="U1337" s="2">
        <v>0.37</v>
      </c>
      <c r="V1337" t="s">
        <v>2893</v>
      </c>
      <c r="W1337" t="s">
        <v>2894</v>
      </c>
      <c r="X1337" t="b">
        <v>0</v>
      </c>
      <c r="Y1337" t="b">
        <v>0</v>
      </c>
    </row>
    <row r="1338" spans="1:25">
      <c r="A1338">
        <v>13370</v>
      </c>
      <c r="B1338" t="s">
        <v>2621</v>
      </c>
      <c r="C1338" t="s">
        <v>2895</v>
      </c>
      <c r="D1338" t="s">
        <v>2623</v>
      </c>
      <c r="E1338">
        <v>13370</v>
      </c>
      <c r="F1338">
        <v>26.3</v>
      </c>
      <c r="G1338">
        <v>920</v>
      </c>
      <c r="H1338">
        <v>15.6</v>
      </c>
      <c r="I1338">
        <v>1075</v>
      </c>
      <c r="J1338">
        <v>31.4</v>
      </c>
      <c r="K1338">
        <v>1414</v>
      </c>
      <c r="L1338">
        <v>60.3</v>
      </c>
      <c r="M1338">
        <v>640</v>
      </c>
      <c r="N1338">
        <v>40.799999999999997</v>
      </c>
      <c r="O1338">
        <v>1090</v>
      </c>
      <c r="P1338" t="s">
        <v>94</v>
      </c>
      <c r="Q1338" s="1">
        <v>5628</v>
      </c>
      <c r="R1338">
        <v>16</v>
      </c>
      <c r="S1338" s="2">
        <v>0.05</v>
      </c>
      <c r="T1338">
        <v>0.6430555555555556</v>
      </c>
      <c r="U1338" s="2">
        <v>0.45</v>
      </c>
      <c r="V1338" t="s">
        <v>2895</v>
      </c>
      <c r="W1338" t="s">
        <v>2896</v>
      </c>
      <c r="X1338" t="b">
        <v>0</v>
      </c>
      <c r="Y1338" t="b">
        <v>0</v>
      </c>
    </row>
    <row r="1339" spans="1:25">
      <c r="A1339">
        <v>13380</v>
      </c>
      <c r="B1339" t="s">
        <v>2621</v>
      </c>
      <c r="C1339" t="s">
        <v>2897</v>
      </c>
      <c r="D1339" t="s">
        <v>2623</v>
      </c>
      <c r="E1339">
        <v>13380</v>
      </c>
      <c r="F1339">
        <v>20.3</v>
      </c>
      <c r="G1339">
        <v>1349</v>
      </c>
      <c r="H1339">
        <v>14.1</v>
      </c>
      <c r="I1339">
        <v>1196</v>
      </c>
      <c r="J1339">
        <v>31.2</v>
      </c>
      <c r="K1339">
        <v>1420</v>
      </c>
      <c r="L1339">
        <v>34.6</v>
      </c>
      <c r="M1339">
        <v>1100</v>
      </c>
      <c r="N1339">
        <v>61.4</v>
      </c>
      <c r="O1339">
        <v>552</v>
      </c>
      <c r="P1339" t="s">
        <v>76</v>
      </c>
      <c r="Q1339" s="1">
        <v>7181</v>
      </c>
      <c r="R1339">
        <v>13.4</v>
      </c>
      <c r="S1339" s="2">
        <v>0.12</v>
      </c>
      <c r="U1339" s="2">
        <v>0.25</v>
      </c>
      <c r="V1339" t="s">
        <v>2897</v>
      </c>
      <c r="W1339" t="s">
        <v>2898</v>
      </c>
      <c r="X1339" t="b">
        <v>0</v>
      </c>
      <c r="Y1339" t="b">
        <v>0</v>
      </c>
    </row>
    <row r="1340" spans="1:25">
      <c r="A1340">
        <v>13390</v>
      </c>
      <c r="B1340" t="s">
        <v>2621</v>
      </c>
      <c r="C1340" t="s">
        <v>2899</v>
      </c>
      <c r="D1340" t="s">
        <v>2623</v>
      </c>
      <c r="E1340">
        <v>13390</v>
      </c>
      <c r="F1340">
        <v>21.2</v>
      </c>
      <c r="G1340">
        <v>1288</v>
      </c>
      <c r="H1340">
        <v>15.7</v>
      </c>
      <c r="I1340">
        <v>1073</v>
      </c>
      <c r="J1340">
        <v>34.4</v>
      </c>
      <c r="K1340">
        <v>1342</v>
      </c>
      <c r="L1340">
        <v>66.900000000000006</v>
      </c>
      <c r="M1340">
        <v>504</v>
      </c>
      <c r="N1340">
        <v>29.8</v>
      </c>
      <c r="O1340">
        <v>1503</v>
      </c>
      <c r="P1340" t="s">
        <v>1543</v>
      </c>
      <c r="Q1340" s="1">
        <v>11706</v>
      </c>
      <c r="R1340">
        <v>13.1</v>
      </c>
      <c r="S1340" s="2">
        <v>0.05</v>
      </c>
      <c r="T1340" t="s">
        <v>501</v>
      </c>
      <c r="U1340" s="2">
        <v>0.41</v>
      </c>
      <c r="V1340" t="s">
        <v>2899</v>
      </c>
      <c r="W1340" t="s">
        <v>2900</v>
      </c>
      <c r="X1340" t="b">
        <v>0</v>
      </c>
      <c r="Y1340" t="b">
        <v>0</v>
      </c>
    </row>
    <row r="1341" spans="1:25">
      <c r="A1341">
        <v>13400</v>
      </c>
      <c r="B1341" t="s">
        <v>2621</v>
      </c>
      <c r="C1341" t="s">
        <v>2901</v>
      </c>
      <c r="D1341" t="s">
        <v>2623</v>
      </c>
      <c r="E1341">
        <v>13400</v>
      </c>
      <c r="F1341">
        <v>23.2</v>
      </c>
      <c r="G1341">
        <v>1136</v>
      </c>
      <c r="H1341">
        <v>13</v>
      </c>
      <c r="I1341">
        <v>1304</v>
      </c>
      <c r="J1341">
        <v>39.200000000000003</v>
      </c>
      <c r="K1341">
        <v>1235</v>
      </c>
      <c r="L1341">
        <v>17.3</v>
      </c>
      <c r="M1341">
        <v>1726</v>
      </c>
      <c r="N1341">
        <v>48.8</v>
      </c>
      <c r="O1341">
        <v>838</v>
      </c>
      <c r="P1341" t="s">
        <v>386</v>
      </c>
      <c r="Q1341" s="1">
        <v>3481</v>
      </c>
      <c r="R1341">
        <v>12.1</v>
      </c>
      <c r="S1341" s="2">
        <v>0.04</v>
      </c>
      <c r="T1341" s="3">
        <v>2.4048611111111109</v>
      </c>
      <c r="U1341" s="2">
        <v>0.28999999999999998</v>
      </c>
      <c r="V1341" t="s">
        <v>2901</v>
      </c>
      <c r="W1341" t="s">
        <v>2902</v>
      </c>
      <c r="X1341" t="b">
        <v>0</v>
      </c>
      <c r="Y1341" t="b">
        <v>0</v>
      </c>
    </row>
    <row r="1342" spans="1:25">
      <c r="A1342">
        <v>13410</v>
      </c>
      <c r="B1342" t="s">
        <v>2621</v>
      </c>
      <c r="C1342" t="s">
        <v>2903</v>
      </c>
      <c r="D1342" t="s">
        <v>2623</v>
      </c>
      <c r="E1342">
        <v>13410</v>
      </c>
      <c r="F1342">
        <v>24.6</v>
      </c>
      <c r="G1342">
        <v>1038</v>
      </c>
      <c r="H1342">
        <v>18.600000000000001</v>
      </c>
      <c r="I1342">
        <v>887</v>
      </c>
      <c r="J1342">
        <v>24.9</v>
      </c>
      <c r="K1342">
        <v>1567</v>
      </c>
      <c r="L1342">
        <v>32.799999999999997</v>
      </c>
      <c r="M1342">
        <v>1131</v>
      </c>
      <c r="N1342">
        <v>67.5</v>
      </c>
      <c r="O1342">
        <v>439</v>
      </c>
      <c r="P1342" t="s">
        <v>125</v>
      </c>
      <c r="Q1342" s="1">
        <v>26014</v>
      </c>
      <c r="R1342">
        <v>50.4</v>
      </c>
      <c r="S1342" s="2">
        <v>0.18</v>
      </c>
      <c r="T1342" s="3">
        <v>2.8555555555555556</v>
      </c>
      <c r="U1342" s="2">
        <v>0.18</v>
      </c>
      <c r="V1342" t="s">
        <v>2903</v>
      </c>
      <c r="W1342" t="s">
        <v>2904</v>
      </c>
      <c r="X1342" t="b">
        <v>0</v>
      </c>
      <c r="Y1342" t="b">
        <v>0</v>
      </c>
    </row>
    <row r="1343" spans="1:25">
      <c r="A1343">
        <v>13420</v>
      </c>
      <c r="B1343" t="s">
        <v>2621</v>
      </c>
      <c r="C1343" t="s">
        <v>2905</v>
      </c>
      <c r="D1343" t="s">
        <v>2623</v>
      </c>
      <c r="E1343">
        <v>13420</v>
      </c>
      <c r="F1343">
        <v>23.2</v>
      </c>
      <c r="G1343">
        <v>1137</v>
      </c>
      <c r="H1343">
        <v>8.6</v>
      </c>
      <c r="I1343">
        <v>1847</v>
      </c>
      <c r="J1343">
        <v>35.700000000000003</v>
      </c>
      <c r="K1343">
        <v>1311</v>
      </c>
      <c r="L1343">
        <v>17.8</v>
      </c>
      <c r="M1343">
        <v>1682</v>
      </c>
      <c r="N1343">
        <v>59.7</v>
      </c>
      <c r="O1343">
        <v>592</v>
      </c>
      <c r="P1343" t="s">
        <v>992</v>
      </c>
      <c r="Q1343" s="1">
        <v>11153</v>
      </c>
      <c r="R1343">
        <v>6.4</v>
      </c>
      <c r="S1343" s="2">
        <v>0.18</v>
      </c>
      <c r="T1343" s="3">
        <v>2.2819444444444446</v>
      </c>
      <c r="U1343" s="2">
        <v>0.2</v>
      </c>
      <c r="V1343" t="s">
        <v>2905</v>
      </c>
      <c r="W1343" t="s">
        <v>2906</v>
      </c>
      <c r="X1343" t="b">
        <v>0</v>
      </c>
      <c r="Y1343" t="b">
        <v>0</v>
      </c>
    </row>
    <row r="1344" spans="1:25">
      <c r="A1344">
        <v>13430</v>
      </c>
      <c r="B1344" t="s">
        <v>2621</v>
      </c>
      <c r="C1344" t="s">
        <v>2907</v>
      </c>
      <c r="D1344" t="s">
        <v>2623</v>
      </c>
      <c r="E1344">
        <v>13430</v>
      </c>
      <c r="F1344">
        <v>21.6</v>
      </c>
      <c r="G1344">
        <v>1259</v>
      </c>
      <c r="H1344">
        <v>12.5</v>
      </c>
      <c r="I1344">
        <v>1360</v>
      </c>
      <c r="J1344">
        <v>46</v>
      </c>
      <c r="K1344">
        <v>1099</v>
      </c>
      <c r="L1344">
        <v>26</v>
      </c>
      <c r="M1344">
        <v>1301</v>
      </c>
      <c r="N1344">
        <v>33.299999999999997</v>
      </c>
      <c r="O1344">
        <v>1381</v>
      </c>
      <c r="P1344" t="s">
        <v>664</v>
      </c>
      <c r="Q1344" s="1">
        <v>10836</v>
      </c>
      <c r="R1344">
        <v>13.6</v>
      </c>
      <c r="S1344" s="2">
        <v>0.03</v>
      </c>
      <c r="T1344" s="3">
        <v>1.9951388888888888</v>
      </c>
      <c r="U1344" s="2">
        <v>0.39</v>
      </c>
      <c r="V1344" t="s">
        <v>2907</v>
      </c>
      <c r="W1344" t="s">
        <v>2908</v>
      </c>
      <c r="X1344" t="b">
        <v>0</v>
      </c>
      <c r="Y1344" t="b">
        <v>0</v>
      </c>
    </row>
    <row r="1345" spans="1:25">
      <c r="A1345">
        <v>13440</v>
      </c>
      <c r="B1345" t="s">
        <v>2621</v>
      </c>
      <c r="C1345" t="s">
        <v>2909</v>
      </c>
      <c r="D1345" t="s">
        <v>2623</v>
      </c>
      <c r="E1345">
        <v>13440</v>
      </c>
      <c r="F1345">
        <v>19.5</v>
      </c>
      <c r="G1345">
        <v>1422</v>
      </c>
      <c r="H1345">
        <v>14.2</v>
      </c>
      <c r="I1345">
        <v>1191</v>
      </c>
      <c r="J1345">
        <v>51.9</v>
      </c>
      <c r="K1345">
        <v>970</v>
      </c>
      <c r="L1345">
        <v>23.9</v>
      </c>
      <c r="M1345">
        <v>1372</v>
      </c>
      <c r="N1345">
        <v>24</v>
      </c>
      <c r="O1345">
        <v>1745</v>
      </c>
      <c r="P1345" t="s">
        <v>528</v>
      </c>
      <c r="Q1345" s="1">
        <v>8361</v>
      </c>
      <c r="R1345">
        <v>14.9</v>
      </c>
      <c r="S1345" s="2">
        <v>0.03</v>
      </c>
      <c r="T1345" s="3">
        <v>1.83125</v>
      </c>
      <c r="U1345" s="2">
        <v>0.47</v>
      </c>
      <c r="V1345" t="s">
        <v>2909</v>
      </c>
      <c r="W1345" t="s">
        <v>2910</v>
      </c>
      <c r="X1345" t="b">
        <v>0</v>
      </c>
      <c r="Y1345" t="b">
        <v>0</v>
      </c>
    </row>
    <row r="1346" spans="1:25">
      <c r="A1346">
        <v>13450</v>
      </c>
      <c r="B1346" t="s">
        <v>2621</v>
      </c>
      <c r="C1346" t="s">
        <v>2911</v>
      </c>
      <c r="D1346" t="s">
        <v>2623</v>
      </c>
      <c r="E1346">
        <v>13450</v>
      </c>
      <c r="F1346">
        <v>21.8</v>
      </c>
      <c r="G1346">
        <v>1247</v>
      </c>
      <c r="H1346">
        <v>9.1999999999999993</v>
      </c>
      <c r="I1346">
        <v>1763</v>
      </c>
      <c r="J1346">
        <v>44.2</v>
      </c>
      <c r="K1346">
        <v>1143</v>
      </c>
      <c r="L1346">
        <v>19.399999999999999</v>
      </c>
      <c r="M1346">
        <v>1567</v>
      </c>
      <c r="N1346">
        <v>45.8</v>
      </c>
      <c r="O1346">
        <v>940</v>
      </c>
      <c r="P1346" t="s">
        <v>2171</v>
      </c>
      <c r="Q1346" s="1">
        <v>17175</v>
      </c>
      <c r="R1346">
        <v>14.5</v>
      </c>
      <c r="S1346" s="2">
        <v>0.02</v>
      </c>
      <c r="T1346" s="3">
        <v>2.6916666666666669</v>
      </c>
      <c r="U1346" s="2">
        <v>0.36</v>
      </c>
      <c r="V1346" t="s">
        <v>2911</v>
      </c>
      <c r="W1346" t="s">
        <v>2912</v>
      </c>
      <c r="X1346" t="b">
        <v>0</v>
      </c>
      <c r="Y1346" t="b">
        <v>0</v>
      </c>
    </row>
    <row r="1347" spans="1:25">
      <c r="A1347">
        <v>13460</v>
      </c>
      <c r="B1347" t="s">
        <v>2621</v>
      </c>
      <c r="C1347" t="s">
        <v>2913</v>
      </c>
      <c r="D1347" t="s">
        <v>2623</v>
      </c>
      <c r="E1347">
        <v>13460</v>
      </c>
      <c r="F1347">
        <v>20.100000000000001</v>
      </c>
      <c r="G1347">
        <v>1368</v>
      </c>
      <c r="H1347">
        <v>16.899999999999999</v>
      </c>
      <c r="I1347">
        <v>978</v>
      </c>
      <c r="J1347">
        <v>40.799999999999997</v>
      </c>
      <c r="K1347">
        <v>1209</v>
      </c>
      <c r="L1347">
        <v>36.5</v>
      </c>
      <c r="M1347">
        <v>1061</v>
      </c>
      <c r="N1347">
        <v>38.9</v>
      </c>
      <c r="O1347">
        <v>1156</v>
      </c>
      <c r="P1347" t="s">
        <v>2029</v>
      </c>
      <c r="Q1347" s="1">
        <v>12919</v>
      </c>
      <c r="R1347">
        <v>14.4</v>
      </c>
      <c r="S1347" s="2">
        <v>0.11</v>
      </c>
      <c r="T1347" s="3">
        <v>2.2819444444444446</v>
      </c>
      <c r="U1347" s="2">
        <v>0.36</v>
      </c>
      <c r="V1347" t="s">
        <v>2913</v>
      </c>
      <c r="W1347" t="s">
        <v>2914</v>
      </c>
      <c r="X1347" t="b">
        <v>0</v>
      </c>
      <c r="Y1347" t="b">
        <v>0</v>
      </c>
    </row>
    <row r="1348" spans="1:25">
      <c r="A1348">
        <v>13470</v>
      </c>
      <c r="B1348" t="s">
        <v>2621</v>
      </c>
      <c r="C1348" t="s">
        <v>2915</v>
      </c>
      <c r="D1348" t="s">
        <v>2623</v>
      </c>
      <c r="E1348">
        <v>13470</v>
      </c>
      <c r="F1348">
        <v>20.5</v>
      </c>
      <c r="G1348">
        <v>1338</v>
      </c>
      <c r="H1348">
        <v>11.5</v>
      </c>
      <c r="I1348">
        <v>1467</v>
      </c>
      <c r="J1348">
        <v>36.5</v>
      </c>
      <c r="K1348">
        <v>1293</v>
      </c>
      <c r="L1348">
        <v>21.6</v>
      </c>
      <c r="M1348">
        <v>1459</v>
      </c>
      <c r="N1348">
        <v>40.200000000000003</v>
      </c>
      <c r="O1348">
        <v>1113</v>
      </c>
      <c r="P1348" t="s">
        <v>2536</v>
      </c>
      <c r="Q1348" s="1">
        <v>115156</v>
      </c>
      <c r="R1348">
        <v>45.9</v>
      </c>
      <c r="S1348" s="2">
        <v>0.01</v>
      </c>
      <c r="T1348" s="3">
        <v>2.1590277777777778</v>
      </c>
      <c r="U1348" s="2">
        <v>0.4</v>
      </c>
      <c r="V1348" t="s">
        <v>2915</v>
      </c>
      <c r="W1348" t="s">
        <v>2916</v>
      </c>
      <c r="X1348" t="b">
        <v>0</v>
      </c>
      <c r="Y1348" t="b">
        <v>0</v>
      </c>
    </row>
    <row r="1349" spans="1:25">
      <c r="A1349">
        <v>13480</v>
      </c>
      <c r="B1349" t="s">
        <v>2621</v>
      </c>
      <c r="C1349" t="s">
        <v>2917</v>
      </c>
      <c r="D1349" t="s">
        <v>2623</v>
      </c>
      <c r="E1349">
        <v>13480</v>
      </c>
      <c r="F1349">
        <v>17.600000000000001</v>
      </c>
      <c r="G1349">
        <v>1589</v>
      </c>
      <c r="H1349">
        <v>13.4</v>
      </c>
      <c r="I1349">
        <v>1269</v>
      </c>
      <c r="J1349">
        <v>45.3</v>
      </c>
      <c r="K1349">
        <v>1113</v>
      </c>
      <c r="L1349">
        <v>40.299999999999997</v>
      </c>
      <c r="M1349">
        <v>976</v>
      </c>
      <c r="N1349">
        <v>35.4</v>
      </c>
      <c r="O1349">
        <v>1306</v>
      </c>
      <c r="P1349" t="s">
        <v>2918</v>
      </c>
      <c r="Q1349" s="1">
        <v>8167</v>
      </c>
      <c r="R1349">
        <v>22.8</v>
      </c>
      <c r="S1349" s="2">
        <v>0.01</v>
      </c>
      <c r="T1349" s="3">
        <v>2.2819444444444446</v>
      </c>
      <c r="U1349" s="2">
        <v>0.31</v>
      </c>
      <c r="V1349" t="s">
        <v>2917</v>
      </c>
      <c r="W1349" t="s">
        <v>2919</v>
      </c>
      <c r="X1349" t="b">
        <v>0</v>
      </c>
      <c r="Y1349" t="b">
        <v>0</v>
      </c>
    </row>
    <row r="1350" spans="1:25">
      <c r="A1350">
        <v>13490</v>
      </c>
      <c r="B1350" t="s">
        <v>2621</v>
      </c>
      <c r="C1350" t="s">
        <v>2920</v>
      </c>
      <c r="D1350" t="s">
        <v>2623</v>
      </c>
      <c r="E1350">
        <v>13490</v>
      </c>
      <c r="F1350">
        <v>30.5</v>
      </c>
      <c r="G1350">
        <v>668</v>
      </c>
      <c r="H1350">
        <v>12.3</v>
      </c>
      <c r="I1350">
        <v>1382</v>
      </c>
      <c r="J1350">
        <v>30.5</v>
      </c>
      <c r="K1350">
        <v>1429</v>
      </c>
      <c r="L1350">
        <v>36.1</v>
      </c>
      <c r="M1350">
        <v>1074</v>
      </c>
      <c r="N1350">
        <v>36.799999999999997</v>
      </c>
      <c r="O1350">
        <v>1254</v>
      </c>
      <c r="P1350" t="s">
        <v>1543</v>
      </c>
      <c r="Q1350" s="1">
        <v>6884</v>
      </c>
      <c r="R1350">
        <v>5.7</v>
      </c>
      <c r="S1350" s="2">
        <v>0.16</v>
      </c>
      <c r="T1350" s="3">
        <v>3.0194444444444444</v>
      </c>
      <c r="U1350" s="2">
        <v>7.0000000000000007E-2</v>
      </c>
      <c r="V1350" t="s">
        <v>2920</v>
      </c>
      <c r="W1350" t="s">
        <v>253</v>
      </c>
      <c r="X1350" t="b">
        <v>0</v>
      </c>
      <c r="Y1350" t="b">
        <v>0</v>
      </c>
    </row>
    <row r="1351" spans="1:25">
      <c r="A1351">
        <v>13500</v>
      </c>
      <c r="B1351" t="s">
        <v>2621</v>
      </c>
      <c r="C1351" t="s">
        <v>2921</v>
      </c>
      <c r="D1351" t="s">
        <v>2623</v>
      </c>
      <c r="E1351">
        <v>13500</v>
      </c>
      <c r="F1351">
        <v>28.1</v>
      </c>
      <c r="G1351">
        <v>805</v>
      </c>
      <c r="H1351">
        <v>12.4</v>
      </c>
      <c r="I1351">
        <v>1369</v>
      </c>
      <c r="J1351">
        <v>31.1</v>
      </c>
      <c r="K1351">
        <v>1422</v>
      </c>
      <c r="L1351">
        <v>29</v>
      </c>
      <c r="M1351">
        <v>1201</v>
      </c>
      <c r="N1351">
        <v>24.7</v>
      </c>
      <c r="O1351">
        <v>1718</v>
      </c>
      <c r="P1351" t="s">
        <v>1543</v>
      </c>
      <c r="Q1351" s="1">
        <v>10237</v>
      </c>
      <c r="R1351">
        <v>7.3</v>
      </c>
      <c r="S1351" s="2">
        <v>0.05</v>
      </c>
      <c r="T1351" s="3">
        <v>3.1013888888888888</v>
      </c>
      <c r="U1351" s="2">
        <v>0.05</v>
      </c>
      <c r="V1351" t="s">
        <v>2921</v>
      </c>
      <c r="W1351" t="s">
        <v>253</v>
      </c>
      <c r="X1351" t="b">
        <v>0</v>
      </c>
      <c r="Y1351" t="b">
        <v>0</v>
      </c>
    </row>
    <row r="1352" spans="1:25">
      <c r="A1352">
        <v>13510</v>
      </c>
      <c r="B1352" t="s">
        <v>2621</v>
      </c>
      <c r="C1352" t="s">
        <v>2922</v>
      </c>
      <c r="D1352" t="s">
        <v>2623</v>
      </c>
      <c r="E1352">
        <v>13510</v>
      </c>
      <c r="F1352">
        <v>30.8</v>
      </c>
      <c r="G1352">
        <v>650</v>
      </c>
      <c r="H1352">
        <v>13.5</v>
      </c>
      <c r="I1352">
        <v>1254</v>
      </c>
      <c r="J1352">
        <v>27.9</v>
      </c>
      <c r="K1352">
        <v>1494</v>
      </c>
      <c r="L1352">
        <v>48.8</v>
      </c>
      <c r="M1352">
        <v>827</v>
      </c>
      <c r="N1352">
        <v>53.9</v>
      </c>
      <c r="O1352">
        <v>696</v>
      </c>
      <c r="P1352" t="s">
        <v>2923</v>
      </c>
      <c r="Q1352" s="1">
        <v>10849</v>
      </c>
      <c r="R1352">
        <v>5.7</v>
      </c>
      <c r="S1352" s="2">
        <v>0.44</v>
      </c>
      <c r="T1352" s="3">
        <v>2.036111111111111</v>
      </c>
      <c r="U1352" s="2">
        <v>7.0000000000000007E-2</v>
      </c>
      <c r="V1352" t="s">
        <v>2922</v>
      </c>
      <c r="W1352" t="s">
        <v>253</v>
      </c>
      <c r="X1352" t="b">
        <v>0</v>
      </c>
      <c r="Y1352" t="b">
        <v>0</v>
      </c>
    </row>
    <row r="1353" spans="1:25">
      <c r="A1353">
        <v>13520</v>
      </c>
      <c r="B1353" t="s">
        <v>2621</v>
      </c>
      <c r="C1353" t="s">
        <v>2924</v>
      </c>
      <c r="D1353" t="s">
        <v>2623</v>
      </c>
      <c r="E1353">
        <v>13520</v>
      </c>
      <c r="F1353">
        <v>24.3</v>
      </c>
      <c r="G1353">
        <v>1057</v>
      </c>
      <c r="H1353">
        <v>9.9</v>
      </c>
      <c r="I1353">
        <v>1655</v>
      </c>
      <c r="J1353">
        <v>37.200000000000003</v>
      </c>
      <c r="K1353">
        <v>1276</v>
      </c>
      <c r="L1353">
        <v>19.2</v>
      </c>
      <c r="M1353">
        <v>1575</v>
      </c>
      <c r="N1353">
        <v>40.5</v>
      </c>
      <c r="O1353">
        <v>1103</v>
      </c>
      <c r="P1353" t="s">
        <v>1853</v>
      </c>
      <c r="Q1353" s="1">
        <v>4298</v>
      </c>
      <c r="R1353">
        <v>9.8000000000000007</v>
      </c>
      <c r="S1353" s="2">
        <v>0.14000000000000001</v>
      </c>
      <c r="T1353" s="3">
        <v>2.6506944444444445</v>
      </c>
      <c r="U1353" s="2">
        <v>0.04</v>
      </c>
      <c r="V1353" t="s">
        <v>2924</v>
      </c>
      <c r="W1353" t="s">
        <v>253</v>
      </c>
      <c r="X1353" t="b">
        <v>0</v>
      </c>
      <c r="Y1353" t="b">
        <v>0</v>
      </c>
    </row>
    <row r="1354" spans="1:25">
      <c r="A1354">
        <v>13530</v>
      </c>
      <c r="B1354" t="s">
        <v>2621</v>
      </c>
      <c r="C1354" t="s">
        <v>2925</v>
      </c>
      <c r="D1354" t="s">
        <v>2623</v>
      </c>
      <c r="E1354">
        <v>13530</v>
      </c>
      <c r="F1354">
        <v>20.9</v>
      </c>
      <c r="G1354">
        <v>1309</v>
      </c>
      <c r="H1354">
        <v>19.399999999999999</v>
      </c>
      <c r="I1354">
        <v>845</v>
      </c>
      <c r="J1354">
        <v>36.799999999999997</v>
      </c>
      <c r="K1354">
        <v>1284</v>
      </c>
      <c r="L1354">
        <v>21</v>
      </c>
      <c r="M1354">
        <v>1480</v>
      </c>
      <c r="N1354">
        <v>55.1</v>
      </c>
      <c r="O1354">
        <v>672</v>
      </c>
      <c r="P1354" t="s">
        <v>984</v>
      </c>
      <c r="Q1354" s="1">
        <v>9019</v>
      </c>
      <c r="R1354">
        <v>16.3</v>
      </c>
      <c r="S1354" s="2">
        <v>0.17</v>
      </c>
      <c r="T1354" s="3">
        <v>2.4048611111111109</v>
      </c>
      <c r="U1354" s="2">
        <v>0.27</v>
      </c>
      <c r="V1354" t="s">
        <v>2925</v>
      </c>
      <c r="W1354" t="s">
        <v>2926</v>
      </c>
      <c r="X1354" t="b">
        <v>0</v>
      </c>
      <c r="Y1354" t="b">
        <v>0</v>
      </c>
    </row>
    <row r="1355" spans="1:25">
      <c r="A1355">
        <v>13540</v>
      </c>
      <c r="B1355" t="s">
        <v>2621</v>
      </c>
      <c r="C1355" t="s">
        <v>2927</v>
      </c>
      <c r="D1355" t="s">
        <v>2623</v>
      </c>
      <c r="E1355">
        <v>13540</v>
      </c>
      <c r="F1355">
        <v>19.899999999999999</v>
      </c>
      <c r="G1355">
        <v>1383</v>
      </c>
      <c r="H1355">
        <v>23.9</v>
      </c>
      <c r="I1355">
        <v>659</v>
      </c>
      <c r="J1355">
        <v>22.8</v>
      </c>
      <c r="K1355">
        <v>1620</v>
      </c>
      <c r="L1355">
        <v>28.6</v>
      </c>
      <c r="M1355">
        <v>1217</v>
      </c>
      <c r="N1355">
        <v>29.2</v>
      </c>
      <c r="O1355">
        <v>1533</v>
      </c>
      <c r="P1355" t="s">
        <v>1613</v>
      </c>
      <c r="Q1355" s="1">
        <v>60865</v>
      </c>
      <c r="R1355">
        <v>42.1</v>
      </c>
      <c r="S1355" s="2">
        <v>0.01</v>
      </c>
      <c r="T1355" s="3">
        <v>2.1180555555555554</v>
      </c>
      <c r="U1355" s="2">
        <v>0.31</v>
      </c>
      <c r="V1355" t="s">
        <v>2927</v>
      </c>
      <c r="W1355" t="s">
        <v>2928</v>
      </c>
      <c r="X1355" t="b">
        <v>0</v>
      </c>
      <c r="Y1355" t="b">
        <v>0</v>
      </c>
    </row>
    <row r="1356" spans="1:25">
      <c r="A1356">
        <v>13550</v>
      </c>
      <c r="B1356" t="s">
        <v>2621</v>
      </c>
      <c r="C1356" t="s">
        <v>2929</v>
      </c>
      <c r="D1356" t="s">
        <v>2623</v>
      </c>
      <c r="E1356">
        <v>13550</v>
      </c>
      <c r="F1356">
        <v>26.9</v>
      </c>
      <c r="G1356">
        <v>881</v>
      </c>
      <c r="H1356">
        <v>13.9</v>
      </c>
      <c r="I1356">
        <v>1213</v>
      </c>
      <c r="J1356">
        <v>23.9</v>
      </c>
      <c r="K1356">
        <v>1587</v>
      </c>
      <c r="L1356">
        <v>61.8</v>
      </c>
      <c r="M1356">
        <v>618</v>
      </c>
      <c r="N1356">
        <v>24.8</v>
      </c>
      <c r="O1356">
        <v>1715</v>
      </c>
      <c r="P1356" t="s">
        <v>94</v>
      </c>
      <c r="Q1356" s="1">
        <v>6983</v>
      </c>
      <c r="R1356">
        <v>8.3000000000000007</v>
      </c>
      <c r="S1356" s="2">
        <v>0.03</v>
      </c>
      <c r="T1356" t="s">
        <v>696</v>
      </c>
      <c r="U1356" s="2">
        <v>0.17</v>
      </c>
      <c r="V1356" t="s">
        <v>2929</v>
      </c>
      <c r="W1356" t="s">
        <v>2930</v>
      </c>
      <c r="X1356" t="b">
        <v>0</v>
      </c>
      <c r="Y1356" t="b">
        <v>0</v>
      </c>
    </row>
    <row r="1357" spans="1:25">
      <c r="A1357">
        <v>13560</v>
      </c>
      <c r="B1357" t="s">
        <v>2621</v>
      </c>
      <c r="C1357" t="s">
        <v>2931</v>
      </c>
      <c r="D1357" t="s">
        <v>2623</v>
      </c>
      <c r="E1357">
        <v>13560</v>
      </c>
      <c r="F1357">
        <v>29.1</v>
      </c>
      <c r="G1357">
        <v>741</v>
      </c>
      <c r="H1357">
        <v>15</v>
      </c>
      <c r="I1357">
        <v>1123</v>
      </c>
      <c r="J1357">
        <v>32.200000000000003</v>
      </c>
      <c r="K1357">
        <v>1399</v>
      </c>
      <c r="L1357">
        <v>37.299999999999997</v>
      </c>
      <c r="M1357">
        <v>1035</v>
      </c>
      <c r="N1357">
        <v>32.1</v>
      </c>
      <c r="O1357">
        <v>1424</v>
      </c>
      <c r="P1357" t="s">
        <v>2536</v>
      </c>
      <c r="Q1357" s="1">
        <v>87462</v>
      </c>
      <c r="R1357">
        <v>41.7</v>
      </c>
      <c r="S1357" s="2">
        <v>0.03</v>
      </c>
      <c r="T1357" s="3">
        <v>2.2409722222222221</v>
      </c>
      <c r="U1357" s="2">
        <v>0.39</v>
      </c>
      <c r="V1357" t="s">
        <v>2931</v>
      </c>
      <c r="W1357" t="s">
        <v>2932</v>
      </c>
      <c r="X1357" t="b">
        <v>0</v>
      </c>
      <c r="Y1357" t="b">
        <v>0</v>
      </c>
    </row>
    <row r="1358" spans="1:25">
      <c r="A1358">
        <v>13570</v>
      </c>
      <c r="B1358" t="s">
        <v>2621</v>
      </c>
      <c r="C1358" t="s">
        <v>2933</v>
      </c>
      <c r="D1358" t="s">
        <v>2623</v>
      </c>
      <c r="E1358">
        <v>13570</v>
      </c>
      <c r="F1358">
        <v>25.7</v>
      </c>
      <c r="G1358">
        <v>960</v>
      </c>
      <c r="H1358">
        <v>10.1</v>
      </c>
      <c r="I1358">
        <v>1635</v>
      </c>
      <c r="J1358">
        <v>36.200000000000003</v>
      </c>
      <c r="K1358">
        <v>1299</v>
      </c>
      <c r="L1358">
        <v>28.1</v>
      </c>
      <c r="M1358">
        <v>1234</v>
      </c>
      <c r="N1358">
        <v>46</v>
      </c>
      <c r="O1358">
        <v>932</v>
      </c>
      <c r="P1358" t="s">
        <v>2171</v>
      </c>
      <c r="Q1358" s="1">
        <v>18846</v>
      </c>
      <c r="R1358">
        <v>8.5</v>
      </c>
      <c r="S1358" s="2">
        <v>0.02</v>
      </c>
      <c r="T1358" s="3">
        <v>2.8965277777777776</v>
      </c>
      <c r="U1358" s="2">
        <v>0.38</v>
      </c>
      <c r="V1358" t="s">
        <v>2933</v>
      </c>
      <c r="W1358" t="s">
        <v>2934</v>
      </c>
      <c r="X1358" t="b">
        <v>0</v>
      </c>
      <c r="Y1358" t="b">
        <v>0</v>
      </c>
    </row>
    <row r="1359" spans="1:25">
      <c r="A1359">
        <v>13580</v>
      </c>
      <c r="B1359" t="s">
        <v>2621</v>
      </c>
      <c r="C1359" t="s">
        <v>2935</v>
      </c>
      <c r="D1359" t="s">
        <v>2623</v>
      </c>
      <c r="E1359">
        <v>13580</v>
      </c>
      <c r="F1359">
        <v>22.8</v>
      </c>
      <c r="G1359">
        <v>1168</v>
      </c>
      <c r="H1359">
        <v>12.6</v>
      </c>
      <c r="I1359">
        <v>1351</v>
      </c>
      <c r="J1359">
        <v>29.2</v>
      </c>
      <c r="K1359">
        <v>1464</v>
      </c>
      <c r="L1359">
        <v>28.7</v>
      </c>
      <c r="M1359">
        <v>1213</v>
      </c>
      <c r="N1359">
        <v>56.3</v>
      </c>
      <c r="O1359">
        <v>658</v>
      </c>
      <c r="P1359" t="s">
        <v>29</v>
      </c>
      <c r="Q1359" s="1">
        <v>6973</v>
      </c>
      <c r="R1359">
        <v>14.6</v>
      </c>
      <c r="S1359" s="2">
        <v>7.0000000000000007E-2</v>
      </c>
      <c r="T1359" s="3">
        <v>2.5687500000000001</v>
      </c>
      <c r="U1359" s="2">
        <v>0.33</v>
      </c>
      <c r="V1359" t="s">
        <v>2935</v>
      </c>
      <c r="W1359" t="s">
        <v>2936</v>
      </c>
      <c r="X1359" t="b">
        <v>0</v>
      </c>
      <c r="Y1359" t="b">
        <v>0</v>
      </c>
    </row>
    <row r="1360" spans="1:25">
      <c r="A1360">
        <v>13590</v>
      </c>
      <c r="B1360" t="s">
        <v>2621</v>
      </c>
      <c r="C1360" t="s">
        <v>2937</v>
      </c>
      <c r="D1360" t="s">
        <v>2623</v>
      </c>
      <c r="E1360">
        <v>13590</v>
      </c>
      <c r="F1360">
        <v>32.9</v>
      </c>
      <c r="G1360">
        <v>549</v>
      </c>
      <c r="H1360">
        <v>14.4</v>
      </c>
      <c r="I1360">
        <v>1168</v>
      </c>
      <c r="J1360">
        <v>26.4</v>
      </c>
      <c r="K1360">
        <v>1529</v>
      </c>
      <c r="L1360">
        <v>48.6</v>
      </c>
      <c r="M1360">
        <v>833</v>
      </c>
      <c r="N1360">
        <v>31.9</v>
      </c>
      <c r="O1360">
        <v>1432</v>
      </c>
      <c r="P1360" t="s">
        <v>255</v>
      </c>
      <c r="Q1360" s="1">
        <v>15468</v>
      </c>
      <c r="R1360">
        <v>12.8</v>
      </c>
      <c r="S1360" s="2">
        <v>0.12</v>
      </c>
      <c r="T1360" t="s">
        <v>357</v>
      </c>
      <c r="U1360" s="2">
        <v>0.51</v>
      </c>
      <c r="V1360" t="s">
        <v>2937</v>
      </c>
      <c r="W1360" t="s">
        <v>2938</v>
      </c>
      <c r="X1360" t="b">
        <v>0</v>
      </c>
      <c r="Y1360" t="b">
        <v>0</v>
      </c>
    </row>
    <row r="1361" spans="1:25">
      <c r="A1361">
        <v>13600</v>
      </c>
      <c r="B1361" t="s">
        <v>2621</v>
      </c>
      <c r="C1361" t="s">
        <v>2939</v>
      </c>
      <c r="D1361" t="s">
        <v>2623</v>
      </c>
      <c r="E1361">
        <v>13600</v>
      </c>
      <c r="F1361">
        <v>23.6</v>
      </c>
      <c r="G1361">
        <v>1106</v>
      </c>
      <c r="H1361">
        <v>18.3</v>
      </c>
      <c r="I1361">
        <v>905</v>
      </c>
      <c r="J1361">
        <v>20.399999999999999</v>
      </c>
      <c r="K1361">
        <v>1672</v>
      </c>
      <c r="L1361">
        <v>51.4</v>
      </c>
      <c r="M1361">
        <v>786</v>
      </c>
      <c r="N1361">
        <v>39.9</v>
      </c>
      <c r="O1361">
        <v>1122</v>
      </c>
      <c r="P1361" t="s">
        <v>255</v>
      </c>
      <c r="Q1361" s="1">
        <v>14248</v>
      </c>
      <c r="R1361">
        <v>20.7</v>
      </c>
      <c r="S1361" s="2">
        <v>0.14000000000000001</v>
      </c>
      <c r="T1361" t="s">
        <v>51</v>
      </c>
      <c r="U1361" s="2">
        <v>0.46</v>
      </c>
      <c r="V1361" t="s">
        <v>2939</v>
      </c>
      <c r="W1361" t="s">
        <v>2940</v>
      </c>
      <c r="X1361" t="b">
        <v>0</v>
      </c>
      <c r="Y1361" t="b">
        <v>0</v>
      </c>
    </row>
    <row r="1362" spans="1:25">
      <c r="A1362">
        <v>13610</v>
      </c>
      <c r="B1362" t="s">
        <v>2621</v>
      </c>
      <c r="C1362" t="s">
        <v>2941</v>
      </c>
      <c r="D1362" t="s">
        <v>2623</v>
      </c>
      <c r="E1362">
        <v>13610</v>
      </c>
      <c r="F1362">
        <v>19.5</v>
      </c>
      <c r="G1362">
        <v>1424</v>
      </c>
      <c r="H1362">
        <v>13</v>
      </c>
      <c r="I1362">
        <v>1306</v>
      </c>
      <c r="J1362">
        <v>29</v>
      </c>
      <c r="K1362">
        <v>1473</v>
      </c>
      <c r="L1362">
        <v>62.2</v>
      </c>
      <c r="M1362">
        <v>611</v>
      </c>
      <c r="N1362">
        <v>41.2</v>
      </c>
      <c r="O1362">
        <v>1077</v>
      </c>
      <c r="P1362" t="s">
        <v>664</v>
      </c>
      <c r="Q1362" s="1">
        <v>8893</v>
      </c>
      <c r="R1362">
        <v>16.3</v>
      </c>
      <c r="S1362" s="2">
        <v>0.09</v>
      </c>
      <c r="T1362" s="3">
        <v>1.9131944444444444</v>
      </c>
      <c r="U1362" s="2">
        <v>0.36</v>
      </c>
      <c r="V1362" t="s">
        <v>2941</v>
      </c>
      <c r="W1362" t="s">
        <v>2942</v>
      </c>
      <c r="X1362" t="b">
        <v>0</v>
      </c>
      <c r="Y1362" t="b">
        <v>0</v>
      </c>
    </row>
    <row r="1363" spans="1:25">
      <c r="A1363">
        <v>13620</v>
      </c>
      <c r="B1363" t="s">
        <v>2621</v>
      </c>
      <c r="C1363" t="s">
        <v>2943</v>
      </c>
      <c r="D1363" t="s">
        <v>2623</v>
      </c>
      <c r="E1363">
        <v>13620</v>
      </c>
      <c r="F1363">
        <v>29.7</v>
      </c>
      <c r="G1363">
        <v>706</v>
      </c>
      <c r="H1363">
        <v>11.5</v>
      </c>
      <c r="I1363">
        <v>1468</v>
      </c>
      <c r="J1363">
        <v>27.6</v>
      </c>
      <c r="K1363">
        <v>1505</v>
      </c>
      <c r="L1363">
        <v>20.9</v>
      </c>
      <c r="M1363">
        <v>1487</v>
      </c>
      <c r="N1363">
        <v>61.2</v>
      </c>
      <c r="O1363">
        <v>558</v>
      </c>
      <c r="P1363" t="s">
        <v>1554</v>
      </c>
      <c r="Q1363" s="1">
        <v>11348</v>
      </c>
      <c r="R1363">
        <v>15.5</v>
      </c>
      <c r="S1363" s="2">
        <v>0.18</v>
      </c>
      <c r="T1363" s="3">
        <v>1.8722222222222222</v>
      </c>
      <c r="U1363" s="2">
        <v>0.27</v>
      </c>
      <c r="V1363" t="s">
        <v>2943</v>
      </c>
      <c r="W1363" t="s">
        <v>2944</v>
      </c>
      <c r="X1363" t="b">
        <v>0</v>
      </c>
      <c r="Y1363" t="b">
        <v>0</v>
      </c>
    </row>
    <row r="1364" spans="1:25">
      <c r="A1364">
        <v>13630</v>
      </c>
      <c r="B1364" t="s">
        <v>2621</v>
      </c>
      <c r="C1364" t="s">
        <v>2945</v>
      </c>
      <c r="D1364" t="s">
        <v>2623</v>
      </c>
      <c r="E1364">
        <v>13630</v>
      </c>
      <c r="F1364">
        <v>34.299999999999997</v>
      </c>
      <c r="G1364">
        <v>484</v>
      </c>
      <c r="H1364">
        <v>16.399999999999999</v>
      </c>
      <c r="I1364">
        <v>1018</v>
      </c>
      <c r="J1364">
        <v>19.899999999999999</v>
      </c>
      <c r="K1364">
        <v>1681</v>
      </c>
      <c r="L1364">
        <v>62.1</v>
      </c>
      <c r="M1364">
        <v>613</v>
      </c>
      <c r="N1364">
        <v>43.2</v>
      </c>
      <c r="O1364">
        <v>1012</v>
      </c>
      <c r="P1364" t="s">
        <v>94</v>
      </c>
      <c r="Q1364" s="1">
        <v>2127</v>
      </c>
      <c r="R1364">
        <v>10.199999999999999</v>
      </c>
      <c r="S1364" s="2">
        <v>0.12</v>
      </c>
      <c r="T1364">
        <v>0.56111111111111112</v>
      </c>
      <c r="U1364" s="2">
        <v>0.4</v>
      </c>
      <c r="V1364" t="s">
        <v>2945</v>
      </c>
      <c r="W1364" t="s">
        <v>2946</v>
      </c>
      <c r="X1364" t="b">
        <v>0</v>
      </c>
      <c r="Y1364" t="b">
        <v>0</v>
      </c>
    </row>
    <row r="1365" spans="1:25">
      <c r="A1365">
        <v>13640</v>
      </c>
      <c r="B1365" t="s">
        <v>2621</v>
      </c>
      <c r="C1365" t="s">
        <v>2947</v>
      </c>
      <c r="D1365" t="s">
        <v>2623</v>
      </c>
      <c r="E1365">
        <v>13640</v>
      </c>
      <c r="F1365">
        <v>29.4</v>
      </c>
      <c r="G1365">
        <v>727</v>
      </c>
      <c r="H1365">
        <v>14.8</v>
      </c>
      <c r="I1365">
        <v>1139</v>
      </c>
      <c r="J1365">
        <v>28.5</v>
      </c>
      <c r="K1365">
        <v>1485</v>
      </c>
      <c r="L1365">
        <v>48.4</v>
      </c>
      <c r="M1365">
        <v>834</v>
      </c>
      <c r="N1365">
        <v>40.299999999999997</v>
      </c>
      <c r="O1365">
        <v>1108</v>
      </c>
      <c r="P1365" t="s">
        <v>94</v>
      </c>
      <c r="Q1365" s="1">
        <v>8782</v>
      </c>
      <c r="R1365">
        <v>6.7</v>
      </c>
      <c r="S1365" s="2">
        <v>0.05</v>
      </c>
      <c r="T1365" t="s">
        <v>501</v>
      </c>
      <c r="U1365" s="2">
        <v>0.14000000000000001</v>
      </c>
      <c r="V1365" t="s">
        <v>2947</v>
      </c>
      <c r="W1365" t="s">
        <v>2948</v>
      </c>
      <c r="X1365" t="b">
        <v>0</v>
      </c>
      <c r="Y1365" t="b">
        <v>0</v>
      </c>
    </row>
    <row r="1366" spans="1:25">
      <c r="A1366">
        <v>13650</v>
      </c>
      <c r="B1366" t="s">
        <v>2621</v>
      </c>
      <c r="C1366" t="s">
        <v>2949</v>
      </c>
      <c r="D1366" t="s">
        <v>2623</v>
      </c>
      <c r="E1366">
        <v>13650</v>
      </c>
      <c r="F1366">
        <v>21.5</v>
      </c>
      <c r="G1366">
        <v>1270</v>
      </c>
      <c r="H1366">
        <v>20.3</v>
      </c>
      <c r="I1366">
        <v>798</v>
      </c>
      <c r="J1366">
        <v>23</v>
      </c>
      <c r="K1366">
        <v>1614</v>
      </c>
      <c r="L1366">
        <v>73.2</v>
      </c>
      <c r="M1366">
        <v>365</v>
      </c>
      <c r="N1366">
        <v>31.4</v>
      </c>
      <c r="O1366">
        <v>1450</v>
      </c>
      <c r="P1366" t="s">
        <v>94</v>
      </c>
      <c r="Q1366" s="1">
        <v>5760</v>
      </c>
      <c r="R1366">
        <v>16.100000000000001</v>
      </c>
      <c r="S1366" s="2">
        <v>0.05</v>
      </c>
      <c r="T1366">
        <v>0.76597222222222228</v>
      </c>
      <c r="U1366" s="2">
        <v>0.41</v>
      </c>
      <c r="V1366" t="s">
        <v>2949</v>
      </c>
      <c r="W1366" t="s">
        <v>2950</v>
      </c>
      <c r="X1366" t="b">
        <v>0</v>
      </c>
      <c r="Y1366" t="b">
        <v>0</v>
      </c>
    </row>
    <row r="1367" spans="1:25">
      <c r="A1367">
        <v>13660</v>
      </c>
      <c r="B1367" t="s">
        <v>2621</v>
      </c>
      <c r="C1367" t="s">
        <v>2951</v>
      </c>
      <c r="D1367" t="s">
        <v>2623</v>
      </c>
      <c r="E1367">
        <v>13660</v>
      </c>
      <c r="F1367">
        <v>12</v>
      </c>
      <c r="G1367">
        <v>1879</v>
      </c>
      <c r="H1367">
        <v>10.6</v>
      </c>
      <c r="I1367">
        <v>1578</v>
      </c>
      <c r="J1367">
        <v>45.9</v>
      </c>
      <c r="K1367">
        <v>1101</v>
      </c>
      <c r="L1367">
        <v>18.8</v>
      </c>
      <c r="M1367">
        <v>1606</v>
      </c>
      <c r="N1367">
        <v>49.8</v>
      </c>
      <c r="O1367">
        <v>807</v>
      </c>
      <c r="P1367" t="s">
        <v>2952</v>
      </c>
      <c r="Q1367" s="1">
        <v>52678</v>
      </c>
      <c r="R1367">
        <v>34.5</v>
      </c>
      <c r="S1367" s="2">
        <v>0.02</v>
      </c>
      <c r="T1367" t="s">
        <v>1062</v>
      </c>
      <c r="U1367" s="2">
        <v>0.17</v>
      </c>
      <c r="V1367" t="s">
        <v>2951</v>
      </c>
      <c r="W1367" t="s">
        <v>2953</v>
      </c>
      <c r="X1367" t="b">
        <v>0</v>
      </c>
      <c r="Y1367" t="b">
        <v>0</v>
      </c>
    </row>
    <row r="1368" spans="1:25">
      <c r="A1368">
        <v>13670</v>
      </c>
      <c r="B1368" t="s">
        <v>2621</v>
      </c>
      <c r="C1368" t="s">
        <v>2954</v>
      </c>
      <c r="D1368" t="s">
        <v>2623</v>
      </c>
      <c r="E1368">
        <v>13670</v>
      </c>
      <c r="F1368">
        <v>13.1</v>
      </c>
      <c r="G1368">
        <v>1840</v>
      </c>
      <c r="H1368">
        <v>8.6</v>
      </c>
      <c r="I1368">
        <v>1848</v>
      </c>
      <c r="J1368">
        <v>51.3</v>
      </c>
      <c r="K1368">
        <v>988</v>
      </c>
      <c r="L1368">
        <v>15.8</v>
      </c>
      <c r="M1368">
        <v>1888</v>
      </c>
      <c r="N1368">
        <v>62.8</v>
      </c>
      <c r="O1368">
        <v>524</v>
      </c>
      <c r="P1368" t="s">
        <v>2955</v>
      </c>
      <c r="Q1368" s="1">
        <v>28916</v>
      </c>
      <c r="R1368">
        <v>21.6</v>
      </c>
      <c r="S1368" s="2">
        <v>0.03</v>
      </c>
      <c r="T1368" s="3">
        <v>2.6506944444444445</v>
      </c>
      <c r="U1368" s="2">
        <v>0.23</v>
      </c>
      <c r="V1368" t="s">
        <v>2954</v>
      </c>
      <c r="W1368" t="s">
        <v>2956</v>
      </c>
      <c r="X1368" t="b">
        <v>0</v>
      </c>
      <c r="Y1368" t="b">
        <v>0</v>
      </c>
    </row>
    <row r="1369" spans="1:25">
      <c r="A1369">
        <v>13680</v>
      </c>
      <c r="B1369" t="s">
        <v>2621</v>
      </c>
      <c r="C1369" t="s">
        <v>2957</v>
      </c>
      <c r="D1369" t="s">
        <v>2623</v>
      </c>
      <c r="E1369">
        <v>13680</v>
      </c>
      <c r="F1369">
        <v>22.2</v>
      </c>
      <c r="G1369">
        <v>1214</v>
      </c>
      <c r="H1369">
        <v>17.8</v>
      </c>
      <c r="I1369">
        <v>930</v>
      </c>
      <c r="J1369">
        <v>20.6</v>
      </c>
      <c r="K1369">
        <v>1669</v>
      </c>
      <c r="L1369">
        <v>74.5</v>
      </c>
      <c r="M1369">
        <v>344</v>
      </c>
      <c r="N1369">
        <v>28.8</v>
      </c>
      <c r="O1369">
        <v>1551</v>
      </c>
      <c r="P1369" t="s">
        <v>389</v>
      </c>
      <c r="Q1369" s="1">
        <v>8459</v>
      </c>
      <c r="R1369">
        <v>15</v>
      </c>
      <c r="S1369" s="2">
        <v>0.08</v>
      </c>
      <c r="T1369" s="3">
        <v>2.1590277777777778</v>
      </c>
      <c r="U1369" s="2">
        <v>0.36</v>
      </c>
      <c r="V1369" t="s">
        <v>2957</v>
      </c>
      <c r="W1369" t="s">
        <v>2958</v>
      </c>
      <c r="X1369" t="b">
        <v>0</v>
      </c>
      <c r="Y1369" t="b">
        <v>0</v>
      </c>
    </row>
    <row r="1370" spans="1:25">
      <c r="A1370">
        <v>13690</v>
      </c>
      <c r="B1370" t="s">
        <v>2621</v>
      </c>
      <c r="C1370" t="s">
        <v>2959</v>
      </c>
      <c r="D1370" t="s">
        <v>2623</v>
      </c>
      <c r="E1370">
        <v>13690</v>
      </c>
      <c r="F1370">
        <v>13.9</v>
      </c>
      <c r="G1370">
        <v>1809</v>
      </c>
      <c r="H1370">
        <v>25.1</v>
      </c>
      <c r="I1370">
        <v>608</v>
      </c>
      <c r="J1370">
        <v>27.4</v>
      </c>
      <c r="K1370">
        <v>1511</v>
      </c>
      <c r="L1370">
        <v>42.1</v>
      </c>
      <c r="M1370">
        <v>936</v>
      </c>
      <c r="N1370">
        <v>28.7</v>
      </c>
      <c r="O1370">
        <v>1555</v>
      </c>
      <c r="P1370" t="s">
        <v>389</v>
      </c>
      <c r="Q1370" s="1">
        <v>7618</v>
      </c>
      <c r="R1370">
        <v>22.7</v>
      </c>
      <c r="S1370" s="2">
        <v>0.06</v>
      </c>
      <c r="T1370" t="s">
        <v>105</v>
      </c>
      <c r="U1370" s="2">
        <v>0.44</v>
      </c>
      <c r="V1370" t="s">
        <v>2959</v>
      </c>
      <c r="W1370" t="s">
        <v>2960</v>
      </c>
      <c r="X1370" t="b">
        <v>0</v>
      </c>
      <c r="Y1370" t="b">
        <v>0</v>
      </c>
    </row>
    <row r="1371" spans="1:25">
      <c r="A1371">
        <v>13700</v>
      </c>
      <c r="B1371" t="s">
        <v>2621</v>
      </c>
      <c r="C1371" t="s">
        <v>2961</v>
      </c>
      <c r="D1371" t="s">
        <v>2623</v>
      </c>
      <c r="E1371">
        <v>13700</v>
      </c>
      <c r="F1371">
        <v>23.5</v>
      </c>
      <c r="G1371">
        <v>1113</v>
      </c>
      <c r="H1371">
        <v>22.2</v>
      </c>
      <c r="I1371">
        <v>721</v>
      </c>
      <c r="J1371">
        <v>25</v>
      </c>
      <c r="K1371">
        <v>1564</v>
      </c>
      <c r="L1371">
        <v>72.900000000000006</v>
      </c>
      <c r="M1371">
        <v>371</v>
      </c>
      <c r="N1371">
        <v>26.5</v>
      </c>
      <c r="O1371">
        <v>1641</v>
      </c>
      <c r="P1371" t="s">
        <v>389</v>
      </c>
      <c r="Q1371" s="1">
        <v>8748</v>
      </c>
      <c r="R1371">
        <v>15.6</v>
      </c>
      <c r="S1371" s="2">
        <v>0.04</v>
      </c>
      <c r="T1371" s="3">
        <v>1.8722222222222222</v>
      </c>
      <c r="U1371" s="2">
        <v>0.36</v>
      </c>
      <c r="V1371" t="s">
        <v>2961</v>
      </c>
      <c r="W1371" t="s">
        <v>2962</v>
      </c>
      <c r="X1371" t="b">
        <v>0</v>
      </c>
      <c r="Y1371" t="b">
        <v>0</v>
      </c>
    </row>
    <row r="1372" spans="1:25">
      <c r="A1372">
        <v>13710</v>
      </c>
      <c r="B1372" t="s">
        <v>2621</v>
      </c>
      <c r="C1372" t="s">
        <v>2963</v>
      </c>
      <c r="D1372" t="s">
        <v>2623</v>
      </c>
      <c r="E1372">
        <v>13710</v>
      </c>
      <c r="F1372">
        <v>19.7</v>
      </c>
      <c r="G1372">
        <v>1403</v>
      </c>
      <c r="H1372">
        <v>13.6</v>
      </c>
      <c r="I1372">
        <v>1243</v>
      </c>
      <c r="J1372">
        <v>37.1</v>
      </c>
      <c r="K1372">
        <v>1277</v>
      </c>
      <c r="L1372">
        <v>36.9</v>
      </c>
      <c r="M1372">
        <v>1052</v>
      </c>
      <c r="N1372">
        <v>41.1</v>
      </c>
      <c r="O1372">
        <v>1080</v>
      </c>
      <c r="P1372" t="s">
        <v>1820</v>
      </c>
      <c r="Q1372" s="1">
        <v>56586</v>
      </c>
      <c r="R1372">
        <v>22</v>
      </c>
      <c r="S1372" s="2">
        <v>0.01</v>
      </c>
      <c r="T1372" t="s">
        <v>658</v>
      </c>
      <c r="U1372" s="2">
        <v>0.31</v>
      </c>
      <c r="V1372" t="s">
        <v>2963</v>
      </c>
      <c r="W1372" t="s">
        <v>2964</v>
      </c>
      <c r="X1372" t="b">
        <v>0</v>
      </c>
      <c r="Y1372" t="b">
        <v>0</v>
      </c>
    </row>
    <row r="1373" spans="1:25">
      <c r="A1373">
        <v>13720</v>
      </c>
      <c r="B1373" t="s">
        <v>2621</v>
      </c>
      <c r="C1373" t="s">
        <v>2965</v>
      </c>
      <c r="D1373" t="s">
        <v>2623</v>
      </c>
      <c r="E1373">
        <v>13720</v>
      </c>
      <c r="F1373">
        <v>24.9</v>
      </c>
      <c r="G1373">
        <v>1011</v>
      </c>
      <c r="H1373">
        <v>18.899999999999999</v>
      </c>
      <c r="I1373">
        <v>872</v>
      </c>
      <c r="J1373">
        <v>37.799999999999997</v>
      </c>
      <c r="K1373">
        <v>1263</v>
      </c>
      <c r="L1373">
        <v>35.799999999999997</v>
      </c>
      <c r="M1373">
        <v>1080</v>
      </c>
      <c r="N1373">
        <v>31</v>
      </c>
      <c r="O1373">
        <v>1468</v>
      </c>
      <c r="P1373" t="s">
        <v>386</v>
      </c>
      <c r="Q1373" s="1">
        <v>80478</v>
      </c>
      <c r="R1373">
        <v>67.5</v>
      </c>
      <c r="S1373" s="2">
        <v>0.04</v>
      </c>
      <c r="T1373" s="3">
        <v>2.3229166666666665</v>
      </c>
      <c r="U1373" s="2">
        <v>0.28999999999999998</v>
      </c>
      <c r="V1373" t="s">
        <v>2965</v>
      </c>
      <c r="W1373" t="s">
        <v>2966</v>
      </c>
      <c r="X1373" t="b">
        <v>0</v>
      </c>
      <c r="Y1373" t="b">
        <v>0</v>
      </c>
    </row>
    <row r="1374" spans="1:25">
      <c r="A1374">
        <v>13730</v>
      </c>
      <c r="B1374" t="s">
        <v>2621</v>
      </c>
      <c r="C1374" t="s">
        <v>2967</v>
      </c>
      <c r="D1374" t="s">
        <v>2623</v>
      </c>
      <c r="E1374">
        <v>13730</v>
      </c>
      <c r="F1374">
        <v>19.100000000000001</v>
      </c>
      <c r="G1374">
        <v>1460</v>
      </c>
      <c r="H1374">
        <v>23.8</v>
      </c>
      <c r="I1374">
        <v>665</v>
      </c>
      <c r="J1374">
        <v>26.3</v>
      </c>
      <c r="K1374">
        <v>1536</v>
      </c>
      <c r="L1374">
        <v>33.5</v>
      </c>
      <c r="M1374">
        <v>1123</v>
      </c>
      <c r="N1374">
        <v>48.6</v>
      </c>
      <c r="O1374">
        <v>850</v>
      </c>
      <c r="P1374" t="s">
        <v>389</v>
      </c>
      <c r="Q1374" s="1">
        <v>9970</v>
      </c>
      <c r="R1374">
        <v>18.600000000000001</v>
      </c>
      <c r="S1374" s="2">
        <v>0.09</v>
      </c>
      <c r="T1374" s="3">
        <v>2.2000000000000002</v>
      </c>
      <c r="U1374" s="2">
        <v>0.33</v>
      </c>
      <c r="V1374" t="s">
        <v>2968</v>
      </c>
      <c r="W1374" t="s">
        <v>2969</v>
      </c>
      <c r="X1374" t="b">
        <v>0</v>
      </c>
      <c r="Y1374" t="b">
        <v>0</v>
      </c>
    </row>
    <row r="1375" spans="1:25">
      <c r="A1375">
        <v>13740</v>
      </c>
      <c r="B1375" t="s">
        <v>2621</v>
      </c>
      <c r="C1375" t="s">
        <v>2970</v>
      </c>
      <c r="D1375" t="s">
        <v>2623</v>
      </c>
      <c r="E1375">
        <v>13740</v>
      </c>
      <c r="F1375">
        <v>23.1</v>
      </c>
      <c r="G1375">
        <v>1145</v>
      </c>
      <c r="H1375">
        <v>10.7</v>
      </c>
      <c r="I1375">
        <v>1562</v>
      </c>
      <c r="J1375">
        <v>45.7</v>
      </c>
      <c r="K1375">
        <v>1106</v>
      </c>
      <c r="L1375">
        <v>16.7</v>
      </c>
      <c r="M1375">
        <v>1788</v>
      </c>
      <c r="N1375">
        <v>19.8</v>
      </c>
      <c r="O1375">
        <v>1875</v>
      </c>
      <c r="P1375" t="s">
        <v>528</v>
      </c>
      <c r="Q1375" s="1">
        <v>3820</v>
      </c>
      <c r="R1375">
        <v>15.9</v>
      </c>
      <c r="S1375" s="2">
        <v>0</v>
      </c>
      <c r="T1375">
        <v>6.9444444444444448E-2</v>
      </c>
      <c r="U1375" s="2">
        <v>0.43</v>
      </c>
      <c r="V1375" t="s">
        <v>2970</v>
      </c>
      <c r="W1375" t="s">
        <v>2971</v>
      </c>
      <c r="X1375" t="b">
        <v>0</v>
      </c>
      <c r="Y1375" t="b">
        <v>0</v>
      </c>
    </row>
    <row r="1376" spans="1:25">
      <c r="A1376">
        <v>13750</v>
      </c>
      <c r="B1376" t="s">
        <v>2621</v>
      </c>
      <c r="C1376" t="s">
        <v>2972</v>
      </c>
      <c r="D1376" t="s">
        <v>2623</v>
      </c>
      <c r="E1376">
        <v>13750</v>
      </c>
      <c r="F1376">
        <v>15.2</v>
      </c>
      <c r="G1376">
        <v>1746</v>
      </c>
      <c r="H1376">
        <v>20.3</v>
      </c>
      <c r="I1376">
        <v>799</v>
      </c>
      <c r="J1376">
        <v>35</v>
      </c>
      <c r="K1376">
        <v>1329</v>
      </c>
      <c r="L1376">
        <v>61.6</v>
      </c>
      <c r="M1376">
        <v>622</v>
      </c>
      <c r="N1376">
        <v>26.8</v>
      </c>
      <c r="O1376">
        <v>1627</v>
      </c>
      <c r="P1376" t="s">
        <v>389</v>
      </c>
      <c r="Q1376" s="1">
        <v>28128</v>
      </c>
      <c r="R1376">
        <v>33.1</v>
      </c>
      <c r="S1376" s="2">
        <v>0.03</v>
      </c>
      <c r="T1376" t="s">
        <v>501</v>
      </c>
      <c r="U1376" s="2">
        <v>0.43</v>
      </c>
      <c r="V1376" t="s">
        <v>2972</v>
      </c>
      <c r="W1376" t="s">
        <v>2973</v>
      </c>
      <c r="X1376" t="b">
        <v>0</v>
      </c>
      <c r="Y1376" t="b">
        <v>0</v>
      </c>
    </row>
    <row r="1377" spans="1:25">
      <c r="A1377">
        <v>13760</v>
      </c>
      <c r="B1377" t="s">
        <v>2621</v>
      </c>
      <c r="C1377" t="s">
        <v>2974</v>
      </c>
      <c r="D1377" t="s">
        <v>2623</v>
      </c>
      <c r="E1377">
        <v>13760</v>
      </c>
      <c r="F1377">
        <v>43.8</v>
      </c>
      <c r="G1377">
        <v>226</v>
      </c>
      <c r="H1377">
        <v>14.9</v>
      </c>
      <c r="I1377">
        <v>1135</v>
      </c>
      <c r="J1377">
        <v>10.7</v>
      </c>
      <c r="K1377">
        <v>1847</v>
      </c>
      <c r="L1377">
        <v>50.2</v>
      </c>
      <c r="M1377">
        <v>806</v>
      </c>
      <c r="N1377">
        <v>25.5</v>
      </c>
      <c r="O1377">
        <v>1685</v>
      </c>
      <c r="P1377" t="s">
        <v>255</v>
      </c>
      <c r="Q1377" s="1">
        <v>5032</v>
      </c>
      <c r="R1377">
        <v>9.5</v>
      </c>
      <c r="S1377" s="2">
        <v>7.0000000000000007E-2</v>
      </c>
      <c r="T1377" t="s">
        <v>162</v>
      </c>
      <c r="U1377" s="2">
        <v>0.46</v>
      </c>
      <c r="V1377" t="s">
        <v>2974</v>
      </c>
      <c r="W1377" t="s">
        <v>2975</v>
      </c>
      <c r="X1377" t="b">
        <v>0</v>
      </c>
      <c r="Y1377" t="b">
        <v>0</v>
      </c>
    </row>
    <row r="1378" spans="1:25">
      <c r="A1378">
        <v>13770</v>
      </c>
      <c r="B1378" t="s">
        <v>2621</v>
      </c>
      <c r="C1378" t="s">
        <v>2976</v>
      </c>
      <c r="D1378" t="s">
        <v>2623</v>
      </c>
      <c r="E1378">
        <v>13770</v>
      </c>
      <c r="F1378">
        <v>19.7</v>
      </c>
      <c r="G1378">
        <v>1404</v>
      </c>
      <c r="H1378">
        <v>25</v>
      </c>
      <c r="I1378">
        <v>613</v>
      </c>
      <c r="J1378">
        <v>30.2</v>
      </c>
      <c r="K1378">
        <v>1440</v>
      </c>
      <c r="L1378">
        <v>63</v>
      </c>
      <c r="M1378">
        <v>592</v>
      </c>
      <c r="N1378">
        <v>34.700000000000003</v>
      </c>
      <c r="O1378">
        <v>1333</v>
      </c>
      <c r="P1378" t="s">
        <v>389</v>
      </c>
      <c r="Q1378" s="1">
        <v>8244</v>
      </c>
      <c r="R1378">
        <v>16.2</v>
      </c>
      <c r="S1378" s="2">
        <v>0.08</v>
      </c>
      <c r="T1378" t="s">
        <v>324</v>
      </c>
      <c r="U1378" s="2">
        <v>0.35</v>
      </c>
      <c r="V1378" t="s">
        <v>2976</v>
      </c>
      <c r="W1378" t="s">
        <v>2977</v>
      </c>
      <c r="X1378" t="b">
        <v>0</v>
      </c>
      <c r="Y1378" t="b">
        <v>0</v>
      </c>
    </row>
    <row r="1379" spans="1:25">
      <c r="A1379">
        <v>13780</v>
      </c>
      <c r="B1379" t="s">
        <v>2621</v>
      </c>
      <c r="C1379" t="s">
        <v>2978</v>
      </c>
      <c r="D1379" t="s">
        <v>2623</v>
      </c>
      <c r="E1379">
        <v>13780</v>
      </c>
      <c r="F1379">
        <v>24.8</v>
      </c>
      <c r="G1379">
        <v>1020</v>
      </c>
      <c r="H1379">
        <v>9</v>
      </c>
      <c r="I1379">
        <v>1798</v>
      </c>
      <c r="J1379">
        <v>14.9</v>
      </c>
      <c r="K1379">
        <v>1770</v>
      </c>
      <c r="L1379">
        <v>17.5</v>
      </c>
      <c r="M1379">
        <v>1703</v>
      </c>
      <c r="N1379">
        <v>33.6</v>
      </c>
      <c r="O1379">
        <v>1369</v>
      </c>
      <c r="P1379" t="s">
        <v>1123</v>
      </c>
      <c r="Q1379" s="1">
        <v>11055</v>
      </c>
      <c r="R1379">
        <v>7.9</v>
      </c>
      <c r="S1379" s="2">
        <v>0.14000000000000001</v>
      </c>
      <c r="T1379" t="s">
        <v>145</v>
      </c>
      <c r="U1379" s="2">
        <v>0.44</v>
      </c>
      <c r="V1379" t="s">
        <v>2978</v>
      </c>
      <c r="W1379" t="s">
        <v>2979</v>
      </c>
      <c r="X1379" t="b">
        <v>0</v>
      </c>
      <c r="Y1379" t="b">
        <v>0</v>
      </c>
    </row>
    <row r="1380" spans="1:25">
      <c r="A1380">
        <v>13790</v>
      </c>
      <c r="B1380" t="s">
        <v>2621</v>
      </c>
      <c r="C1380" t="s">
        <v>2980</v>
      </c>
      <c r="D1380" t="s">
        <v>2623</v>
      </c>
      <c r="E1380">
        <v>13790</v>
      </c>
      <c r="F1380">
        <v>26.5</v>
      </c>
      <c r="G1380">
        <v>912</v>
      </c>
      <c r="H1380">
        <v>9.9</v>
      </c>
      <c r="I1380">
        <v>1658</v>
      </c>
      <c r="J1380">
        <v>16</v>
      </c>
      <c r="K1380">
        <v>1747</v>
      </c>
      <c r="L1380">
        <v>22.2</v>
      </c>
      <c r="M1380">
        <v>1435</v>
      </c>
      <c r="N1380">
        <v>22.4</v>
      </c>
      <c r="O1380">
        <v>1791</v>
      </c>
      <c r="P1380" t="s">
        <v>1123</v>
      </c>
      <c r="Q1380" s="1">
        <v>21170</v>
      </c>
      <c r="R1380">
        <v>8</v>
      </c>
      <c r="S1380" s="2">
        <v>0.03</v>
      </c>
      <c r="T1380" t="s">
        <v>105</v>
      </c>
      <c r="U1380" s="2">
        <v>0.43</v>
      </c>
      <c r="V1380" t="s">
        <v>2980</v>
      </c>
      <c r="W1380" t="s">
        <v>2981</v>
      </c>
      <c r="X1380" t="b">
        <v>0</v>
      </c>
      <c r="Y1380" t="b">
        <v>0</v>
      </c>
    </row>
    <row r="1381" spans="1:25">
      <c r="A1381">
        <v>13800</v>
      </c>
      <c r="B1381" t="s">
        <v>2621</v>
      </c>
      <c r="C1381" t="s">
        <v>2982</v>
      </c>
      <c r="D1381" t="s">
        <v>2623</v>
      </c>
      <c r="E1381">
        <v>13800</v>
      </c>
      <c r="F1381">
        <v>29.1</v>
      </c>
      <c r="G1381">
        <v>742</v>
      </c>
      <c r="H1381">
        <v>10.6</v>
      </c>
      <c r="I1381">
        <v>1579</v>
      </c>
      <c r="J1381">
        <v>30.3</v>
      </c>
      <c r="K1381">
        <v>1437</v>
      </c>
      <c r="L1381">
        <v>17.3</v>
      </c>
      <c r="M1381">
        <v>1727</v>
      </c>
      <c r="N1381">
        <v>37</v>
      </c>
      <c r="O1381">
        <v>1240</v>
      </c>
      <c r="P1381" t="s">
        <v>1895</v>
      </c>
      <c r="Q1381" s="1">
        <v>43108</v>
      </c>
      <c r="R1381">
        <v>11.7</v>
      </c>
      <c r="S1381" s="2">
        <v>0.01</v>
      </c>
      <c r="T1381" s="3">
        <v>1.9541666666666666</v>
      </c>
      <c r="U1381" s="2">
        <v>0.25</v>
      </c>
      <c r="V1381" t="s">
        <v>2982</v>
      </c>
      <c r="W1381" t="s">
        <v>2983</v>
      </c>
      <c r="X1381" t="b">
        <v>0</v>
      </c>
      <c r="Y1381" t="b">
        <v>0</v>
      </c>
    </row>
    <row r="1382" spans="1:25">
      <c r="A1382">
        <v>13810</v>
      </c>
      <c r="B1382" t="s">
        <v>2621</v>
      </c>
      <c r="C1382" t="s">
        <v>2984</v>
      </c>
      <c r="D1382" t="s">
        <v>2623</v>
      </c>
      <c r="E1382">
        <v>13810</v>
      </c>
      <c r="F1382">
        <v>33.200000000000003</v>
      </c>
      <c r="G1382">
        <v>540</v>
      </c>
      <c r="H1382">
        <v>16.5</v>
      </c>
      <c r="I1382">
        <v>1011</v>
      </c>
      <c r="J1382">
        <v>19.7</v>
      </c>
      <c r="K1382">
        <v>1686</v>
      </c>
      <c r="L1382">
        <v>36.5</v>
      </c>
      <c r="M1382">
        <v>1063</v>
      </c>
      <c r="N1382">
        <v>38.200000000000003</v>
      </c>
      <c r="O1382">
        <v>1185</v>
      </c>
      <c r="P1382" t="s">
        <v>94</v>
      </c>
      <c r="Q1382" s="1">
        <v>2678</v>
      </c>
      <c r="R1382">
        <v>14.5</v>
      </c>
      <c r="S1382" s="2">
        <v>0.06</v>
      </c>
      <c r="T1382" s="3">
        <v>4.166666666666667</v>
      </c>
      <c r="U1382" s="2">
        <v>0.31</v>
      </c>
      <c r="V1382" t="s">
        <v>2984</v>
      </c>
      <c r="W1382" t="s">
        <v>2985</v>
      </c>
      <c r="X1382" t="b">
        <v>0</v>
      </c>
      <c r="Y1382" t="b">
        <v>0</v>
      </c>
    </row>
    <row r="1383" spans="1:25">
      <c r="A1383">
        <v>13820</v>
      </c>
      <c r="B1383" t="s">
        <v>2621</v>
      </c>
      <c r="C1383" t="s">
        <v>2986</v>
      </c>
      <c r="D1383" t="s">
        <v>2623</v>
      </c>
      <c r="E1383">
        <v>13820</v>
      </c>
      <c r="F1383">
        <v>25.1</v>
      </c>
      <c r="G1383">
        <v>996</v>
      </c>
      <c r="H1383">
        <v>9</v>
      </c>
      <c r="I1383">
        <v>1801</v>
      </c>
      <c r="J1383">
        <v>7.4</v>
      </c>
      <c r="K1383">
        <v>1890</v>
      </c>
      <c r="L1383">
        <v>18.899999999999999</v>
      </c>
      <c r="M1383">
        <v>1601</v>
      </c>
      <c r="N1383">
        <v>21.5</v>
      </c>
      <c r="O1383">
        <v>1824</v>
      </c>
      <c r="P1383" t="s">
        <v>1123</v>
      </c>
      <c r="Q1383" s="1">
        <v>7478</v>
      </c>
      <c r="R1383">
        <v>10.1</v>
      </c>
      <c r="S1383" s="2">
        <v>0.02</v>
      </c>
      <c r="T1383" s="3">
        <v>2.3638888888888889</v>
      </c>
      <c r="U1383" s="2">
        <v>0.33</v>
      </c>
      <c r="V1383" t="s">
        <v>2986</v>
      </c>
      <c r="W1383" t="s">
        <v>2987</v>
      </c>
      <c r="X1383" t="b">
        <v>0</v>
      </c>
      <c r="Y1383" t="b">
        <v>0</v>
      </c>
    </row>
    <row r="1384" spans="1:25">
      <c r="A1384">
        <v>13830</v>
      </c>
      <c r="B1384" t="s">
        <v>2621</v>
      </c>
      <c r="C1384" t="s">
        <v>2988</v>
      </c>
      <c r="D1384" t="s">
        <v>2623</v>
      </c>
      <c r="E1384">
        <v>13830</v>
      </c>
      <c r="F1384">
        <v>18.5</v>
      </c>
      <c r="G1384">
        <v>1508</v>
      </c>
      <c r="H1384">
        <v>13.8</v>
      </c>
      <c r="I1384">
        <v>1229</v>
      </c>
      <c r="J1384">
        <v>37.299999999999997</v>
      </c>
      <c r="K1384">
        <v>1271</v>
      </c>
      <c r="L1384">
        <v>18.5</v>
      </c>
      <c r="M1384">
        <v>1626</v>
      </c>
      <c r="N1384">
        <v>36.1</v>
      </c>
      <c r="O1384">
        <v>1275</v>
      </c>
      <c r="P1384" t="s">
        <v>1543</v>
      </c>
      <c r="Q1384" s="1">
        <v>5096</v>
      </c>
      <c r="R1384">
        <v>13.7</v>
      </c>
      <c r="S1384" s="2">
        <v>0.06</v>
      </c>
      <c r="T1384" t="s">
        <v>324</v>
      </c>
      <c r="U1384" s="2">
        <v>0.43</v>
      </c>
      <c r="V1384" t="s">
        <v>2988</v>
      </c>
      <c r="W1384" t="s">
        <v>2989</v>
      </c>
      <c r="X1384" t="b">
        <v>0</v>
      </c>
      <c r="Y1384" t="b">
        <v>0</v>
      </c>
    </row>
    <row r="1385" spans="1:25">
      <c r="A1385">
        <v>13840</v>
      </c>
      <c r="B1385" t="s">
        <v>2621</v>
      </c>
      <c r="C1385" t="s">
        <v>2990</v>
      </c>
      <c r="D1385" t="s">
        <v>2623</v>
      </c>
      <c r="E1385">
        <v>13840</v>
      </c>
      <c r="F1385">
        <v>16.7</v>
      </c>
      <c r="G1385">
        <v>1654</v>
      </c>
      <c r="H1385">
        <v>14.6</v>
      </c>
      <c r="I1385">
        <v>1156</v>
      </c>
      <c r="J1385">
        <v>35</v>
      </c>
      <c r="K1385">
        <v>1330</v>
      </c>
      <c r="L1385">
        <v>16.899999999999999</v>
      </c>
      <c r="M1385">
        <v>1767</v>
      </c>
      <c r="N1385">
        <v>41</v>
      </c>
      <c r="O1385">
        <v>1083</v>
      </c>
      <c r="P1385" t="s">
        <v>1853</v>
      </c>
      <c r="Q1385" s="1">
        <v>15820</v>
      </c>
      <c r="R1385">
        <v>17.5</v>
      </c>
      <c r="S1385" s="2">
        <v>0.06</v>
      </c>
      <c r="T1385" s="3">
        <v>2.3638888888888889</v>
      </c>
      <c r="U1385" s="2">
        <v>0.22</v>
      </c>
      <c r="V1385" t="s">
        <v>2990</v>
      </c>
      <c r="W1385" t="s">
        <v>2991</v>
      </c>
      <c r="X1385" t="b">
        <v>0</v>
      </c>
      <c r="Y1385" t="b">
        <v>0</v>
      </c>
    </row>
    <row r="1386" spans="1:25">
      <c r="A1386">
        <v>13850</v>
      </c>
      <c r="B1386" t="s">
        <v>2621</v>
      </c>
      <c r="C1386" t="s">
        <v>2992</v>
      </c>
      <c r="D1386" t="s">
        <v>2623</v>
      </c>
      <c r="E1386">
        <v>13850</v>
      </c>
      <c r="F1386">
        <v>29.1</v>
      </c>
      <c r="G1386">
        <v>743</v>
      </c>
      <c r="H1386">
        <v>18.7</v>
      </c>
      <c r="I1386">
        <v>885</v>
      </c>
      <c r="J1386">
        <v>29.8</v>
      </c>
      <c r="K1386">
        <v>1451</v>
      </c>
      <c r="L1386">
        <v>79.5</v>
      </c>
      <c r="M1386">
        <v>271</v>
      </c>
      <c r="N1386">
        <v>26.6</v>
      </c>
      <c r="O1386">
        <v>1635</v>
      </c>
      <c r="P1386" t="s">
        <v>94</v>
      </c>
      <c r="Q1386" s="1">
        <v>15734</v>
      </c>
      <c r="R1386">
        <v>11.5</v>
      </c>
      <c r="S1386" s="2">
        <v>0.04</v>
      </c>
      <c r="T1386" t="s">
        <v>40</v>
      </c>
      <c r="U1386" s="2">
        <v>0.27</v>
      </c>
      <c r="V1386" t="s">
        <v>2992</v>
      </c>
      <c r="W1386" t="s">
        <v>2993</v>
      </c>
      <c r="X1386" t="b">
        <v>0</v>
      </c>
      <c r="Y1386" t="b">
        <v>0</v>
      </c>
    </row>
    <row r="1387" spans="1:25">
      <c r="A1387">
        <v>13860</v>
      </c>
      <c r="B1387" t="s">
        <v>2621</v>
      </c>
      <c r="C1387" t="s">
        <v>2994</v>
      </c>
      <c r="D1387" t="s">
        <v>2623</v>
      </c>
      <c r="E1387">
        <v>13860</v>
      </c>
      <c r="F1387">
        <v>33.9</v>
      </c>
      <c r="G1387">
        <v>497</v>
      </c>
      <c r="H1387">
        <v>16.3</v>
      </c>
      <c r="I1387">
        <v>1026</v>
      </c>
      <c r="J1387">
        <v>31.1</v>
      </c>
      <c r="K1387">
        <v>1423</v>
      </c>
      <c r="L1387">
        <v>27.7</v>
      </c>
      <c r="M1387">
        <v>1245</v>
      </c>
      <c r="N1387">
        <v>21.4</v>
      </c>
      <c r="O1387">
        <v>1830</v>
      </c>
      <c r="P1387" t="s">
        <v>528</v>
      </c>
      <c r="Q1387" s="1">
        <v>10520</v>
      </c>
      <c r="R1387">
        <v>25.7</v>
      </c>
      <c r="S1387" s="2">
        <v>0.03</v>
      </c>
      <c r="T1387" t="s">
        <v>801</v>
      </c>
      <c r="U1387" s="2">
        <v>0.4</v>
      </c>
      <c r="V1387" t="s">
        <v>2994</v>
      </c>
      <c r="W1387" t="s">
        <v>2995</v>
      </c>
      <c r="X1387" t="b">
        <v>0</v>
      </c>
      <c r="Y1387" t="b">
        <v>0</v>
      </c>
    </row>
    <row r="1388" spans="1:25">
      <c r="A1388">
        <v>13870</v>
      </c>
      <c r="B1388" t="s">
        <v>2621</v>
      </c>
      <c r="C1388" t="s">
        <v>2996</v>
      </c>
      <c r="D1388" t="s">
        <v>2623</v>
      </c>
      <c r="E1388">
        <v>13870</v>
      </c>
      <c r="F1388">
        <v>20.9</v>
      </c>
      <c r="G1388">
        <v>1310</v>
      </c>
      <c r="H1388">
        <v>16.8</v>
      </c>
      <c r="I1388">
        <v>986</v>
      </c>
      <c r="J1388">
        <v>27.9</v>
      </c>
      <c r="K1388">
        <v>1495</v>
      </c>
      <c r="L1388">
        <v>42.9</v>
      </c>
      <c r="M1388">
        <v>926</v>
      </c>
      <c r="N1388">
        <v>66.7</v>
      </c>
      <c r="O1388">
        <v>453</v>
      </c>
      <c r="P1388" t="s">
        <v>125</v>
      </c>
      <c r="Q1388" s="1">
        <v>35218</v>
      </c>
      <c r="R1388">
        <v>23.4</v>
      </c>
      <c r="S1388" s="2">
        <v>0.16</v>
      </c>
      <c r="T1388" s="3">
        <v>2.6916666666666669</v>
      </c>
      <c r="U1388" s="2">
        <v>0.15</v>
      </c>
      <c r="V1388" t="s">
        <v>2996</v>
      </c>
      <c r="W1388" t="s">
        <v>2997</v>
      </c>
      <c r="X1388" t="b">
        <v>0</v>
      </c>
      <c r="Y1388" t="b">
        <v>0</v>
      </c>
    </row>
    <row r="1389" spans="1:25">
      <c r="A1389">
        <v>13880</v>
      </c>
      <c r="B1389" t="s">
        <v>2621</v>
      </c>
      <c r="C1389" t="s">
        <v>2998</v>
      </c>
      <c r="D1389" t="s">
        <v>2623</v>
      </c>
      <c r="E1389">
        <v>13880</v>
      </c>
      <c r="F1389">
        <v>23.4</v>
      </c>
      <c r="G1389">
        <v>1126</v>
      </c>
      <c r="H1389">
        <v>12.4</v>
      </c>
      <c r="I1389">
        <v>1371</v>
      </c>
      <c r="J1389">
        <v>21.6</v>
      </c>
      <c r="K1389">
        <v>1647</v>
      </c>
      <c r="L1389">
        <v>28.5</v>
      </c>
      <c r="M1389">
        <v>1223</v>
      </c>
      <c r="N1389">
        <v>79.900000000000006</v>
      </c>
      <c r="O1389">
        <v>257</v>
      </c>
      <c r="P1389" t="s">
        <v>125</v>
      </c>
      <c r="Q1389" s="1">
        <v>14105</v>
      </c>
      <c r="R1389">
        <v>13.9</v>
      </c>
      <c r="S1389" s="2">
        <v>0.15</v>
      </c>
      <c r="T1389" s="3">
        <v>2.2409722222222221</v>
      </c>
      <c r="U1389" s="2">
        <v>0.4</v>
      </c>
      <c r="V1389" t="s">
        <v>2998</v>
      </c>
      <c r="W1389" t="s">
        <v>2999</v>
      </c>
      <c r="X1389" t="b">
        <v>0</v>
      </c>
      <c r="Y1389" t="b">
        <v>0</v>
      </c>
    </row>
    <row r="1390" spans="1:25">
      <c r="A1390">
        <v>13890</v>
      </c>
      <c r="B1390" t="s">
        <v>2621</v>
      </c>
      <c r="C1390" t="s">
        <v>3000</v>
      </c>
      <c r="D1390" t="s">
        <v>2623</v>
      </c>
      <c r="E1390">
        <v>13890</v>
      </c>
      <c r="F1390">
        <v>40.700000000000003</v>
      </c>
      <c r="G1390">
        <v>287</v>
      </c>
      <c r="H1390">
        <v>10.199999999999999</v>
      </c>
      <c r="I1390">
        <v>1627</v>
      </c>
      <c r="J1390">
        <v>17.100000000000001</v>
      </c>
      <c r="K1390">
        <v>1731</v>
      </c>
      <c r="L1390">
        <v>24.9</v>
      </c>
      <c r="M1390">
        <v>1341</v>
      </c>
      <c r="N1390">
        <v>62.1</v>
      </c>
      <c r="O1390">
        <v>540</v>
      </c>
      <c r="P1390" t="s">
        <v>2278</v>
      </c>
      <c r="Q1390" s="1">
        <v>7060</v>
      </c>
      <c r="R1390">
        <v>10.3</v>
      </c>
      <c r="S1390" s="2">
        <v>0.24</v>
      </c>
      <c r="T1390" s="3">
        <v>2.8145833333333332</v>
      </c>
      <c r="U1390" s="2">
        <v>0.23</v>
      </c>
      <c r="V1390" t="s">
        <v>3000</v>
      </c>
      <c r="W1390" t="s">
        <v>3001</v>
      </c>
      <c r="X1390" t="b">
        <v>0</v>
      </c>
      <c r="Y1390" t="b">
        <v>0</v>
      </c>
    </row>
    <row r="1391" spans="1:25">
      <c r="A1391">
        <v>13900</v>
      </c>
      <c r="B1391" t="s">
        <v>2621</v>
      </c>
      <c r="C1391" t="s">
        <v>3002</v>
      </c>
      <c r="D1391" t="s">
        <v>2623</v>
      </c>
      <c r="E1391">
        <v>13900</v>
      </c>
      <c r="F1391">
        <v>17.8</v>
      </c>
      <c r="G1391">
        <v>1570</v>
      </c>
      <c r="H1391">
        <v>14.1</v>
      </c>
      <c r="I1391">
        <v>1201</v>
      </c>
      <c r="J1391">
        <v>45.5</v>
      </c>
      <c r="K1391">
        <v>1111</v>
      </c>
      <c r="L1391">
        <v>28.8</v>
      </c>
      <c r="M1391">
        <v>1211</v>
      </c>
      <c r="N1391">
        <v>38.200000000000003</v>
      </c>
      <c r="O1391">
        <v>1186</v>
      </c>
      <c r="P1391" t="s">
        <v>795</v>
      </c>
      <c r="Q1391" s="1">
        <v>5499</v>
      </c>
      <c r="R1391">
        <v>23.1</v>
      </c>
      <c r="S1391" s="2">
        <v>0.05</v>
      </c>
      <c r="T1391" s="3">
        <v>2.3229166666666665</v>
      </c>
      <c r="U1391" s="2">
        <v>0.42</v>
      </c>
      <c r="V1391" t="s">
        <v>3002</v>
      </c>
      <c r="W1391" t="s">
        <v>3003</v>
      </c>
      <c r="X1391" t="b">
        <v>0</v>
      </c>
      <c r="Y1391" t="b">
        <v>0</v>
      </c>
    </row>
    <row r="1392" spans="1:25">
      <c r="A1392">
        <v>13910</v>
      </c>
      <c r="B1392" t="s">
        <v>2621</v>
      </c>
      <c r="C1392" t="s">
        <v>3004</v>
      </c>
      <c r="D1392" t="s">
        <v>2623</v>
      </c>
      <c r="E1392">
        <v>13910</v>
      </c>
      <c r="F1392">
        <v>25.4</v>
      </c>
      <c r="G1392">
        <v>978</v>
      </c>
      <c r="H1392">
        <v>15.3</v>
      </c>
      <c r="I1392">
        <v>1099</v>
      </c>
      <c r="J1392">
        <v>38.700000000000003</v>
      </c>
      <c r="K1392">
        <v>1248</v>
      </c>
      <c r="L1392">
        <v>22.8</v>
      </c>
      <c r="M1392">
        <v>1410</v>
      </c>
      <c r="N1392">
        <v>38.4</v>
      </c>
      <c r="O1392">
        <v>1176</v>
      </c>
      <c r="P1392" t="s">
        <v>2229</v>
      </c>
      <c r="Q1392" s="1">
        <v>53676</v>
      </c>
      <c r="R1392">
        <v>11.1</v>
      </c>
      <c r="S1392" s="2">
        <v>0</v>
      </c>
      <c r="T1392" s="3">
        <v>2.4868055555555557</v>
      </c>
      <c r="U1392" s="2">
        <v>0.25</v>
      </c>
      <c r="V1392" t="s">
        <v>3004</v>
      </c>
      <c r="W1392" t="s">
        <v>3005</v>
      </c>
      <c r="X1392" t="b">
        <v>0</v>
      </c>
      <c r="Y1392" t="b">
        <v>0</v>
      </c>
    </row>
    <row r="1393" spans="1:25">
      <c r="A1393">
        <v>13920</v>
      </c>
      <c r="B1393" t="s">
        <v>2621</v>
      </c>
      <c r="C1393" t="s">
        <v>3006</v>
      </c>
      <c r="D1393" t="s">
        <v>2623</v>
      </c>
      <c r="E1393">
        <v>13920</v>
      </c>
      <c r="F1393">
        <v>44.2</v>
      </c>
      <c r="G1393">
        <v>213</v>
      </c>
      <c r="H1393">
        <v>13.3</v>
      </c>
      <c r="I1393">
        <v>1280</v>
      </c>
      <c r="J1393">
        <v>14.5</v>
      </c>
      <c r="K1393">
        <v>1779</v>
      </c>
      <c r="L1393">
        <v>28.1</v>
      </c>
      <c r="M1393">
        <v>1235</v>
      </c>
      <c r="N1393">
        <v>22.6</v>
      </c>
      <c r="O1393">
        <v>1787</v>
      </c>
      <c r="P1393" t="s">
        <v>255</v>
      </c>
      <c r="Q1393" s="1">
        <v>9613</v>
      </c>
      <c r="R1393">
        <v>6.9</v>
      </c>
      <c r="S1393" s="2">
        <v>0.04</v>
      </c>
      <c r="U1393" s="2">
        <v>0.08</v>
      </c>
      <c r="V1393" t="s">
        <v>3006</v>
      </c>
      <c r="W1393" t="s">
        <v>3007</v>
      </c>
      <c r="X1393" t="b">
        <v>0</v>
      </c>
      <c r="Y1393" t="b">
        <v>0</v>
      </c>
    </row>
    <row r="1394" spans="1:25">
      <c r="A1394">
        <v>13930</v>
      </c>
      <c r="B1394" t="s">
        <v>2621</v>
      </c>
      <c r="C1394" t="s">
        <v>3008</v>
      </c>
      <c r="D1394" t="s">
        <v>2623</v>
      </c>
      <c r="E1394">
        <v>13930</v>
      </c>
      <c r="F1394">
        <v>15</v>
      </c>
      <c r="G1394">
        <v>1753</v>
      </c>
      <c r="H1394">
        <v>11.9</v>
      </c>
      <c r="I1394">
        <v>1417</v>
      </c>
      <c r="J1394">
        <v>49.6</v>
      </c>
      <c r="K1394">
        <v>1028</v>
      </c>
      <c r="L1394">
        <v>22.1</v>
      </c>
      <c r="M1394">
        <v>1436</v>
      </c>
      <c r="N1394">
        <v>31.8</v>
      </c>
      <c r="O1394">
        <v>1435</v>
      </c>
      <c r="P1394" t="s">
        <v>992</v>
      </c>
      <c r="Q1394" s="1">
        <v>19211</v>
      </c>
      <c r="R1394">
        <v>16.899999999999999</v>
      </c>
      <c r="S1394" s="2">
        <v>0.05</v>
      </c>
      <c r="T1394" s="3">
        <v>1.9951388888888888</v>
      </c>
      <c r="U1394" s="2">
        <v>0.39</v>
      </c>
      <c r="V1394" t="s">
        <v>3008</v>
      </c>
      <c r="W1394" t="s">
        <v>3009</v>
      </c>
      <c r="X1394" t="b">
        <v>0</v>
      </c>
      <c r="Y1394" t="b">
        <v>0</v>
      </c>
    </row>
    <row r="1395" spans="1:25">
      <c r="A1395">
        <v>13940</v>
      </c>
      <c r="B1395" t="s">
        <v>2621</v>
      </c>
      <c r="C1395" t="s">
        <v>3010</v>
      </c>
      <c r="D1395" t="s">
        <v>2623</v>
      </c>
      <c r="E1395">
        <v>13940</v>
      </c>
      <c r="F1395">
        <v>24.8</v>
      </c>
      <c r="G1395">
        <v>1021</v>
      </c>
      <c r="H1395">
        <v>9.8000000000000007</v>
      </c>
      <c r="I1395">
        <v>1677</v>
      </c>
      <c r="J1395">
        <v>29.7</v>
      </c>
      <c r="K1395">
        <v>1456</v>
      </c>
      <c r="L1395">
        <v>16.899999999999999</v>
      </c>
      <c r="M1395">
        <v>1768</v>
      </c>
      <c r="N1395">
        <v>45.6</v>
      </c>
      <c r="O1395">
        <v>944</v>
      </c>
      <c r="P1395" t="s">
        <v>2484</v>
      </c>
      <c r="Q1395" s="1">
        <v>27960</v>
      </c>
      <c r="R1395">
        <v>7.3</v>
      </c>
      <c r="S1395" s="2">
        <v>0.01</v>
      </c>
      <c r="T1395" s="3">
        <v>1.9951388888888888</v>
      </c>
      <c r="U1395" s="2">
        <v>0.35</v>
      </c>
      <c r="V1395" t="s">
        <v>3010</v>
      </c>
      <c r="W1395" t="s">
        <v>3011</v>
      </c>
      <c r="X1395" t="b">
        <v>0</v>
      </c>
      <c r="Y1395" t="b">
        <v>0</v>
      </c>
    </row>
    <row r="1396" spans="1:25">
      <c r="A1396">
        <v>13950</v>
      </c>
      <c r="B1396" t="s">
        <v>2621</v>
      </c>
      <c r="C1396" t="s">
        <v>3012</v>
      </c>
      <c r="D1396" t="s">
        <v>2623</v>
      </c>
      <c r="E1396">
        <v>13950</v>
      </c>
      <c r="F1396">
        <v>15.8</v>
      </c>
      <c r="G1396">
        <v>1712</v>
      </c>
      <c r="H1396">
        <v>17.100000000000001</v>
      </c>
      <c r="I1396">
        <v>965</v>
      </c>
      <c r="J1396">
        <v>32.799999999999997</v>
      </c>
      <c r="K1396">
        <v>1381</v>
      </c>
      <c r="L1396">
        <v>38.1</v>
      </c>
      <c r="M1396">
        <v>1019</v>
      </c>
      <c r="N1396">
        <v>51.1</v>
      </c>
      <c r="O1396">
        <v>770</v>
      </c>
      <c r="P1396" t="s">
        <v>1093</v>
      </c>
      <c r="Q1396" s="1">
        <v>18104</v>
      </c>
      <c r="R1396">
        <v>26.2</v>
      </c>
      <c r="S1396" s="2">
        <v>0.01</v>
      </c>
      <c r="T1396" s="3">
        <v>1.83125</v>
      </c>
      <c r="U1396" s="2">
        <v>0.33</v>
      </c>
      <c r="V1396" t="s">
        <v>3012</v>
      </c>
      <c r="W1396" t="s">
        <v>3013</v>
      </c>
      <c r="X1396" t="b">
        <v>0</v>
      </c>
      <c r="Y1396" t="b">
        <v>0</v>
      </c>
    </row>
    <row r="1397" spans="1:25">
      <c r="A1397">
        <v>13960</v>
      </c>
      <c r="B1397" t="s">
        <v>2621</v>
      </c>
      <c r="C1397" t="s">
        <v>3014</v>
      </c>
      <c r="D1397" t="s">
        <v>2623</v>
      </c>
      <c r="E1397">
        <v>13960</v>
      </c>
      <c r="F1397">
        <v>20.7</v>
      </c>
      <c r="G1397">
        <v>1324</v>
      </c>
      <c r="H1397">
        <v>11.5</v>
      </c>
      <c r="I1397">
        <v>1470</v>
      </c>
      <c r="J1397">
        <v>37.4</v>
      </c>
      <c r="K1397">
        <v>1270</v>
      </c>
      <c r="L1397">
        <v>21</v>
      </c>
      <c r="M1397">
        <v>1481</v>
      </c>
      <c r="N1397">
        <v>45.3</v>
      </c>
      <c r="O1397">
        <v>955</v>
      </c>
      <c r="P1397" t="s">
        <v>1820</v>
      </c>
      <c r="Q1397" s="1">
        <v>28879</v>
      </c>
      <c r="R1397">
        <v>12.9</v>
      </c>
      <c r="S1397" s="2">
        <v>0.02</v>
      </c>
      <c r="T1397" s="3">
        <v>2.3638888888888889</v>
      </c>
      <c r="U1397" s="2">
        <v>0.18</v>
      </c>
      <c r="V1397" t="s">
        <v>3015</v>
      </c>
      <c r="W1397" t="s">
        <v>3016</v>
      </c>
      <c r="X1397" t="b">
        <v>0</v>
      </c>
      <c r="Y1397" t="b">
        <v>0</v>
      </c>
    </row>
    <row r="1398" spans="1:25">
      <c r="A1398">
        <v>13970</v>
      </c>
      <c r="B1398" t="s">
        <v>2621</v>
      </c>
      <c r="C1398" t="s">
        <v>3017</v>
      </c>
      <c r="D1398" t="s">
        <v>2623</v>
      </c>
      <c r="E1398">
        <v>13970</v>
      </c>
      <c r="F1398">
        <v>26.3</v>
      </c>
      <c r="G1398">
        <v>925</v>
      </c>
      <c r="H1398">
        <v>12.8</v>
      </c>
      <c r="I1398">
        <v>1328</v>
      </c>
      <c r="J1398">
        <v>34.299999999999997</v>
      </c>
      <c r="K1398">
        <v>1344</v>
      </c>
      <c r="L1398">
        <v>43</v>
      </c>
      <c r="M1398">
        <v>923</v>
      </c>
      <c r="N1398">
        <v>30.7</v>
      </c>
      <c r="O1398">
        <v>1475</v>
      </c>
      <c r="P1398" t="s">
        <v>577</v>
      </c>
      <c r="Q1398" s="1">
        <v>11476</v>
      </c>
      <c r="R1398">
        <v>13</v>
      </c>
      <c r="S1398" s="2">
        <v>0.01</v>
      </c>
      <c r="T1398" s="3">
        <v>2.3638888888888889</v>
      </c>
      <c r="U1398" s="2">
        <v>0.22</v>
      </c>
      <c r="V1398" t="s">
        <v>3017</v>
      </c>
      <c r="W1398" t="s">
        <v>3018</v>
      </c>
      <c r="X1398" t="b">
        <v>0</v>
      </c>
      <c r="Y1398" t="b">
        <v>0</v>
      </c>
    </row>
    <row r="1399" spans="1:25">
      <c r="A1399">
        <v>13980</v>
      </c>
      <c r="B1399" t="s">
        <v>2621</v>
      </c>
      <c r="C1399" t="s">
        <v>3019</v>
      </c>
      <c r="D1399" t="s">
        <v>2623</v>
      </c>
      <c r="E1399">
        <v>13980</v>
      </c>
      <c r="F1399">
        <v>13.7</v>
      </c>
      <c r="G1399">
        <v>1817</v>
      </c>
      <c r="H1399">
        <v>8.5</v>
      </c>
      <c r="I1399">
        <v>1855</v>
      </c>
      <c r="J1399">
        <v>53.7</v>
      </c>
      <c r="K1399">
        <v>929</v>
      </c>
      <c r="L1399">
        <v>16.8</v>
      </c>
      <c r="M1399">
        <v>1777</v>
      </c>
      <c r="N1399">
        <v>46.6</v>
      </c>
      <c r="O1399">
        <v>913</v>
      </c>
      <c r="P1399" t="s">
        <v>1483</v>
      </c>
      <c r="Q1399" s="1">
        <v>29241</v>
      </c>
      <c r="R1399">
        <v>28.3</v>
      </c>
      <c r="S1399" s="2">
        <v>0</v>
      </c>
      <c r="T1399" s="3">
        <v>2.6097222222222221</v>
      </c>
      <c r="U1399" s="2">
        <v>0.38</v>
      </c>
      <c r="V1399" t="s">
        <v>3019</v>
      </c>
      <c r="W1399" t="s">
        <v>3020</v>
      </c>
      <c r="X1399" t="b">
        <v>0</v>
      </c>
      <c r="Y1399" t="b">
        <v>0</v>
      </c>
    </row>
    <row r="1400" spans="1:25">
      <c r="A1400">
        <v>13990</v>
      </c>
      <c r="B1400" t="s">
        <v>2621</v>
      </c>
      <c r="C1400" t="s">
        <v>3021</v>
      </c>
      <c r="D1400" t="s">
        <v>2623</v>
      </c>
      <c r="E1400">
        <v>13990</v>
      </c>
      <c r="F1400">
        <v>25.1</v>
      </c>
      <c r="G1400">
        <v>998</v>
      </c>
      <c r="H1400">
        <v>11.3</v>
      </c>
      <c r="I1400">
        <v>1492</v>
      </c>
      <c r="J1400">
        <v>45.2</v>
      </c>
      <c r="K1400">
        <v>1116</v>
      </c>
      <c r="L1400">
        <v>27.4</v>
      </c>
      <c r="M1400">
        <v>1252</v>
      </c>
      <c r="N1400">
        <v>25.9</v>
      </c>
      <c r="O1400">
        <v>1668</v>
      </c>
      <c r="P1400" t="s">
        <v>1543</v>
      </c>
      <c r="Q1400" s="1">
        <v>6184</v>
      </c>
      <c r="R1400">
        <v>8.5</v>
      </c>
      <c r="S1400" s="2">
        <v>0.06</v>
      </c>
      <c r="T1400" s="3">
        <v>2.5277777777777777</v>
      </c>
      <c r="U1400" t="s">
        <v>1292</v>
      </c>
      <c r="V1400" t="s">
        <v>3021</v>
      </c>
      <c r="W1400" t="s">
        <v>3022</v>
      </c>
      <c r="X1400" t="b">
        <v>0</v>
      </c>
      <c r="Y1400" t="b">
        <v>0</v>
      </c>
    </row>
    <row r="1401" spans="1:25">
      <c r="A1401">
        <v>14000</v>
      </c>
      <c r="B1401" t="s">
        <v>2621</v>
      </c>
      <c r="C1401" t="s">
        <v>3023</v>
      </c>
      <c r="D1401" t="s">
        <v>2623</v>
      </c>
      <c r="E1401">
        <v>14000</v>
      </c>
      <c r="F1401">
        <v>22.6</v>
      </c>
      <c r="G1401">
        <v>1182</v>
      </c>
      <c r="H1401">
        <v>13</v>
      </c>
      <c r="I1401">
        <v>1308</v>
      </c>
      <c r="J1401">
        <v>35.9</v>
      </c>
      <c r="K1401">
        <v>1305</v>
      </c>
      <c r="L1401">
        <v>41.8</v>
      </c>
      <c r="M1401">
        <v>943</v>
      </c>
      <c r="N1401">
        <v>26.9</v>
      </c>
      <c r="O1401">
        <v>1621</v>
      </c>
      <c r="P1401" t="s">
        <v>1543</v>
      </c>
      <c r="Q1401" s="1">
        <v>14304</v>
      </c>
      <c r="R1401">
        <v>11.4</v>
      </c>
      <c r="S1401" s="2">
        <v>0.06</v>
      </c>
      <c r="T1401" t="s">
        <v>324</v>
      </c>
      <c r="U1401" s="2">
        <v>0.47</v>
      </c>
      <c r="V1401" t="s">
        <v>3023</v>
      </c>
      <c r="W1401" t="s">
        <v>3024</v>
      </c>
      <c r="X1401" t="b">
        <v>0</v>
      </c>
      <c r="Y1401" t="b">
        <v>0</v>
      </c>
    </row>
    <row r="1402" spans="1:25">
      <c r="A1402">
        <v>14010</v>
      </c>
      <c r="B1402" t="s">
        <v>2621</v>
      </c>
      <c r="C1402" t="s">
        <v>3025</v>
      </c>
      <c r="D1402" t="s">
        <v>2623</v>
      </c>
      <c r="E1402">
        <v>14010</v>
      </c>
      <c r="F1402">
        <v>23.4</v>
      </c>
      <c r="G1402">
        <v>1127</v>
      </c>
      <c r="H1402">
        <v>14.8</v>
      </c>
      <c r="I1402">
        <v>1140</v>
      </c>
      <c r="J1402">
        <v>32.6</v>
      </c>
      <c r="K1402">
        <v>1390</v>
      </c>
      <c r="L1402">
        <v>43.5</v>
      </c>
      <c r="M1402">
        <v>915</v>
      </c>
      <c r="N1402">
        <v>37.700000000000003</v>
      </c>
      <c r="O1402">
        <v>1212</v>
      </c>
      <c r="P1402" t="s">
        <v>1448</v>
      </c>
      <c r="Q1402" s="1">
        <v>33318</v>
      </c>
      <c r="R1402">
        <v>12.9</v>
      </c>
      <c r="S1402" s="2">
        <v>0.02</v>
      </c>
      <c r="T1402" s="3">
        <v>2.8965277777777776</v>
      </c>
      <c r="U1402" s="2">
        <v>0.24</v>
      </c>
      <c r="V1402" t="s">
        <v>3025</v>
      </c>
      <c r="W1402" t="s">
        <v>3026</v>
      </c>
      <c r="X1402" t="b">
        <v>0</v>
      </c>
      <c r="Y1402" t="b">
        <v>0</v>
      </c>
    </row>
    <row r="1403" spans="1:25">
      <c r="A1403">
        <v>14020</v>
      </c>
      <c r="B1403" t="s">
        <v>2621</v>
      </c>
      <c r="C1403" t="s">
        <v>3027</v>
      </c>
      <c r="D1403" t="s">
        <v>2623</v>
      </c>
      <c r="E1403">
        <v>14020</v>
      </c>
      <c r="F1403">
        <v>25</v>
      </c>
      <c r="G1403">
        <v>1006</v>
      </c>
      <c r="H1403">
        <v>11.4</v>
      </c>
      <c r="I1403">
        <v>1481</v>
      </c>
      <c r="J1403">
        <v>40.799999999999997</v>
      </c>
      <c r="K1403">
        <v>1210</v>
      </c>
      <c r="L1403">
        <v>37.6</v>
      </c>
      <c r="M1403">
        <v>1027</v>
      </c>
      <c r="N1403">
        <v>44.4</v>
      </c>
      <c r="O1403">
        <v>980</v>
      </c>
      <c r="P1403" t="s">
        <v>3028</v>
      </c>
      <c r="Q1403" s="1">
        <v>43535</v>
      </c>
      <c r="R1403">
        <v>15.2</v>
      </c>
      <c r="S1403" s="2">
        <v>0.01</v>
      </c>
      <c r="T1403" s="3">
        <v>2.4458333333333333</v>
      </c>
      <c r="U1403" s="2">
        <v>0.23</v>
      </c>
      <c r="V1403" t="s">
        <v>3027</v>
      </c>
      <c r="W1403" t="s">
        <v>3029</v>
      </c>
      <c r="X1403" t="b">
        <v>0</v>
      </c>
      <c r="Y1403" t="b">
        <v>0</v>
      </c>
    </row>
    <row r="1404" spans="1:25">
      <c r="A1404">
        <v>14030</v>
      </c>
      <c r="B1404" t="s">
        <v>2621</v>
      </c>
      <c r="C1404" t="s">
        <v>3030</v>
      </c>
      <c r="D1404" t="s">
        <v>2623</v>
      </c>
      <c r="E1404">
        <v>14030</v>
      </c>
      <c r="F1404">
        <v>26.7</v>
      </c>
      <c r="G1404">
        <v>895</v>
      </c>
      <c r="H1404">
        <v>13.9</v>
      </c>
      <c r="I1404">
        <v>1214</v>
      </c>
      <c r="J1404">
        <v>28.5</v>
      </c>
      <c r="K1404">
        <v>1486</v>
      </c>
      <c r="L1404">
        <v>39</v>
      </c>
      <c r="M1404">
        <v>1008</v>
      </c>
      <c r="N1404">
        <v>36.4</v>
      </c>
      <c r="O1404">
        <v>1266</v>
      </c>
      <c r="P1404" t="s">
        <v>181</v>
      </c>
      <c r="Q1404" s="1">
        <v>16563</v>
      </c>
      <c r="R1404">
        <v>11.4</v>
      </c>
      <c r="S1404" s="2">
        <v>0.1</v>
      </c>
      <c r="T1404" s="3">
        <v>2.2000000000000002</v>
      </c>
      <c r="U1404" s="2">
        <v>0.37</v>
      </c>
      <c r="V1404" t="s">
        <v>3030</v>
      </c>
      <c r="W1404" t="s">
        <v>3031</v>
      </c>
      <c r="X1404" t="b">
        <v>0</v>
      </c>
      <c r="Y1404" t="b">
        <v>0</v>
      </c>
    </row>
    <row r="1405" spans="1:25">
      <c r="A1405">
        <v>14040</v>
      </c>
      <c r="B1405" t="s">
        <v>2621</v>
      </c>
      <c r="C1405" t="s">
        <v>3032</v>
      </c>
      <c r="D1405" t="s">
        <v>2623</v>
      </c>
      <c r="E1405">
        <v>14040</v>
      </c>
      <c r="F1405">
        <v>22.2</v>
      </c>
      <c r="G1405">
        <v>1216</v>
      </c>
      <c r="H1405">
        <v>12.1</v>
      </c>
      <c r="I1405">
        <v>1403</v>
      </c>
      <c r="J1405">
        <v>35.1</v>
      </c>
      <c r="K1405">
        <v>1325</v>
      </c>
      <c r="L1405">
        <v>17.3</v>
      </c>
      <c r="M1405">
        <v>1728</v>
      </c>
      <c r="N1405">
        <v>48.6</v>
      </c>
      <c r="O1405">
        <v>851</v>
      </c>
      <c r="P1405" t="s">
        <v>795</v>
      </c>
      <c r="Q1405" s="1">
        <v>11828</v>
      </c>
      <c r="R1405">
        <v>43</v>
      </c>
      <c r="S1405" s="2">
        <v>0.33</v>
      </c>
      <c r="T1405" s="3">
        <v>1.8722222222222222</v>
      </c>
      <c r="U1405" s="2">
        <v>0.39</v>
      </c>
      <c r="V1405" t="s">
        <v>3032</v>
      </c>
      <c r="W1405" t="s">
        <v>3033</v>
      </c>
      <c r="X1405" t="b">
        <v>0</v>
      </c>
      <c r="Y1405" t="b">
        <v>0</v>
      </c>
    </row>
    <row r="1406" spans="1:25">
      <c r="A1406">
        <v>14050</v>
      </c>
      <c r="B1406" t="s">
        <v>2621</v>
      </c>
      <c r="C1406" t="s">
        <v>3034</v>
      </c>
      <c r="D1406" t="s">
        <v>2623</v>
      </c>
      <c r="E1406">
        <v>14050</v>
      </c>
      <c r="F1406">
        <v>15.8</v>
      </c>
      <c r="G1406">
        <v>1713</v>
      </c>
      <c r="H1406">
        <v>13.4</v>
      </c>
      <c r="I1406">
        <v>1273</v>
      </c>
      <c r="J1406">
        <v>51.2</v>
      </c>
      <c r="K1406">
        <v>994</v>
      </c>
      <c r="L1406">
        <v>31.3</v>
      </c>
      <c r="M1406">
        <v>1156</v>
      </c>
      <c r="N1406">
        <v>39.9</v>
      </c>
      <c r="O1406">
        <v>1123</v>
      </c>
      <c r="P1406" t="s">
        <v>386</v>
      </c>
      <c r="Q1406" s="1">
        <v>42153</v>
      </c>
      <c r="R1406">
        <v>19.399999999999999</v>
      </c>
      <c r="S1406" s="2">
        <v>0.06</v>
      </c>
      <c r="T1406" s="3">
        <v>2.4868055555555557</v>
      </c>
      <c r="U1406" s="2">
        <v>0.26</v>
      </c>
      <c r="V1406" t="s">
        <v>3034</v>
      </c>
      <c r="W1406" t="s">
        <v>3035</v>
      </c>
      <c r="X1406" t="b">
        <v>0</v>
      </c>
      <c r="Y1406" t="b">
        <v>0</v>
      </c>
    </row>
    <row r="1407" spans="1:25">
      <c r="A1407">
        <v>14060</v>
      </c>
      <c r="B1407" t="s">
        <v>2621</v>
      </c>
      <c r="C1407" t="s">
        <v>3036</v>
      </c>
      <c r="D1407" t="s">
        <v>2623</v>
      </c>
      <c r="E1407">
        <v>14060</v>
      </c>
      <c r="F1407">
        <v>18.600000000000001</v>
      </c>
      <c r="G1407">
        <v>1497</v>
      </c>
      <c r="H1407">
        <v>9.3000000000000007</v>
      </c>
      <c r="I1407">
        <v>1752</v>
      </c>
      <c r="J1407">
        <v>34</v>
      </c>
      <c r="K1407">
        <v>1352</v>
      </c>
      <c r="L1407">
        <v>19.7</v>
      </c>
      <c r="M1407">
        <v>1551</v>
      </c>
      <c r="N1407">
        <v>58.4</v>
      </c>
      <c r="O1407">
        <v>618</v>
      </c>
      <c r="P1407" t="s">
        <v>94</v>
      </c>
      <c r="Q1407" s="1">
        <v>19783</v>
      </c>
      <c r="R1407">
        <v>14.4</v>
      </c>
      <c r="S1407" s="2">
        <v>0.04</v>
      </c>
      <c r="U1407" s="2">
        <v>0.46</v>
      </c>
      <c r="V1407" t="s">
        <v>3036</v>
      </c>
      <c r="W1407" t="s">
        <v>3037</v>
      </c>
      <c r="X1407" t="b">
        <v>0</v>
      </c>
      <c r="Y1407" t="b">
        <v>0</v>
      </c>
    </row>
    <row r="1408" spans="1:25">
      <c r="A1408">
        <v>14070</v>
      </c>
      <c r="B1408" t="s">
        <v>2621</v>
      </c>
      <c r="C1408" t="s">
        <v>3038</v>
      </c>
      <c r="D1408" t="s">
        <v>2623</v>
      </c>
      <c r="E1408">
        <v>14070</v>
      </c>
      <c r="F1408">
        <v>19.8</v>
      </c>
      <c r="G1408">
        <v>1394</v>
      </c>
      <c r="H1408">
        <v>13.9</v>
      </c>
      <c r="I1408">
        <v>1215</v>
      </c>
      <c r="J1408">
        <v>27.4</v>
      </c>
      <c r="K1408">
        <v>1512</v>
      </c>
      <c r="L1408">
        <v>30.3</v>
      </c>
      <c r="M1408">
        <v>1176</v>
      </c>
      <c r="N1408">
        <v>46.8</v>
      </c>
      <c r="O1408">
        <v>900</v>
      </c>
      <c r="P1408" t="s">
        <v>94</v>
      </c>
      <c r="Q1408" s="1">
        <v>35119</v>
      </c>
      <c r="R1408">
        <v>17.399999999999999</v>
      </c>
      <c r="S1408" s="2">
        <v>0.1</v>
      </c>
      <c r="T1408" t="s">
        <v>40</v>
      </c>
      <c r="U1408" s="2">
        <v>0.38</v>
      </c>
      <c r="V1408" t="s">
        <v>3038</v>
      </c>
      <c r="W1408" t="s">
        <v>3039</v>
      </c>
      <c r="X1408" t="b">
        <v>0</v>
      </c>
      <c r="Y1408" t="b">
        <v>0</v>
      </c>
    </row>
    <row r="1409" spans="1:25">
      <c r="A1409">
        <v>14080</v>
      </c>
      <c r="B1409" t="s">
        <v>2621</v>
      </c>
      <c r="C1409" t="s">
        <v>3040</v>
      </c>
      <c r="D1409" t="s">
        <v>2623</v>
      </c>
      <c r="E1409">
        <v>14080</v>
      </c>
      <c r="F1409">
        <v>32.6</v>
      </c>
      <c r="G1409">
        <v>568</v>
      </c>
      <c r="H1409">
        <v>10.9</v>
      </c>
      <c r="I1409">
        <v>1541</v>
      </c>
      <c r="J1409">
        <v>24.2</v>
      </c>
      <c r="K1409">
        <v>1582</v>
      </c>
      <c r="L1409">
        <v>27</v>
      </c>
      <c r="M1409">
        <v>1260</v>
      </c>
      <c r="N1409">
        <v>69.7</v>
      </c>
      <c r="O1409">
        <v>413</v>
      </c>
      <c r="P1409" t="s">
        <v>1178</v>
      </c>
      <c r="Q1409" s="1">
        <v>7941</v>
      </c>
      <c r="R1409">
        <v>10.9</v>
      </c>
      <c r="S1409" s="2">
        <v>7.0000000000000007E-2</v>
      </c>
      <c r="T1409" s="3">
        <v>2.5687500000000001</v>
      </c>
      <c r="U1409" s="2">
        <v>0.15</v>
      </c>
      <c r="V1409" t="s">
        <v>3040</v>
      </c>
      <c r="W1409" t="s">
        <v>3041</v>
      </c>
      <c r="X1409" t="b">
        <v>0</v>
      </c>
      <c r="Y1409" t="b">
        <v>0</v>
      </c>
    </row>
    <row r="1410" spans="1:25">
      <c r="A1410">
        <v>14090</v>
      </c>
      <c r="B1410" t="s">
        <v>2621</v>
      </c>
      <c r="C1410" t="s">
        <v>3042</v>
      </c>
      <c r="D1410" t="s">
        <v>2623</v>
      </c>
      <c r="E1410">
        <v>14090</v>
      </c>
      <c r="F1410">
        <v>26.5</v>
      </c>
      <c r="G1410">
        <v>913</v>
      </c>
      <c r="H1410">
        <v>10.3</v>
      </c>
      <c r="I1410">
        <v>1618</v>
      </c>
      <c r="J1410">
        <v>39.299999999999997</v>
      </c>
      <c r="K1410">
        <v>1231</v>
      </c>
      <c r="L1410">
        <v>41.5</v>
      </c>
      <c r="M1410">
        <v>949</v>
      </c>
      <c r="N1410">
        <v>18.3</v>
      </c>
      <c r="O1410">
        <v>1897</v>
      </c>
      <c r="P1410" t="s">
        <v>94</v>
      </c>
      <c r="Q1410" s="1">
        <v>1915</v>
      </c>
      <c r="R1410">
        <v>1.4</v>
      </c>
      <c r="S1410" s="2">
        <v>0</v>
      </c>
      <c r="T1410" s="3">
        <v>2.1590277777777778</v>
      </c>
      <c r="U1410" s="2">
        <v>0.03</v>
      </c>
      <c r="V1410" t="s">
        <v>3042</v>
      </c>
      <c r="W1410" t="s">
        <v>253</v>
      </c>
      <c r="X1410" t="b">
        <v>0</v>
      </c>
      <c r="Y1410" t="b">
        <v>0</v>
      </c>
    </row>
    <row r="1411" spans="1:25">
      <c r="A1411">
        <v>14100</v>
      </c>
      <c r="B1411" t="s">
        <v>2621</v>
      </c>
      <c r="C1411" t="s">
        <v>3043</v>
      </c>
      <c r="D1411" t="s">
        <v>2623</v>
      </c>
      <c r="E1411">
        <v>14100</v>
      </c>
      <c r="F1411">
        <v>16.5</v>
      </c>
      <c r="G1411">
        <v>1663</v>
      </c>
      <c r="H1411">
        <v>10.6</v>
      </c>
      <c r="I1411">
        <v>1582</v>
      </c>
      <c r="J1411">
        <v>45.4</v>
      </c>
      <c r="K1411">
        <v>1112</v>
      </c>
      <c r="L1411">
        <v>24</v>
      </c>
      <c r="M1411">
        <v>1369</v>
      </c>
      <c r="N1411">
        <v>28.4</v>
      </c>
      <c r="O1411">
        <v>1568</v>
      </c>
      <c r="P1411" t="s">
        <v>895</v>
      </c>
      <c r="Q1411" s="1">
        <v>42601</v>
      </c>
      <c r="R1411">
        <v>26.6</v>
      </c>
      <c r="S1411" s="2">
        <v>7.0000000000000007E-2</v>
      </c>
      <c r="T1411" s="3">
        <v>2.1590277777777778</v>
      </c>
      <c r="U1411" s="2">
        <v>0.3</v>
      </c>
      <c r="V1411" t="s">
        <v>3043</v>
      </c>
      <c r="W1411" t="s">
        <v>3044</v>
      </c>
      <c r="X1411" t="b">
        <v>0</v>
      </c>
      <c r="Y1411" t="b">
        <v>0</v>
      </c>
    </row>
    <row r="1412" spans="1:25">
      <c r="A1412">
        <v>14110</v>
      </c>
      <c r="B1412" t="s">
        <v>2621</v>
      </c>
      <c r="C1412" t="s">
        <v>3045</v>
      </c>
      <c r="D1412" t="s">
        <v>2623</v>
      </c>
      <c r="E1412">
        <v>14110</v>
      </c>
      <c r="F1412">
        <v>27.5</v>
      </c>
      <c r="G1412">
        <v>847</v>
      </c>
      <c r="H1412">
        <v>14.8</v>
      </c>
      <c r="I1412">
        <v>1141</v>
      </c>
      <c r="J1412">
        <v>21.8</v>
      </c>
      <c r="K1412">
        <v>1643</v>
      </c>
      <c r="L1412">
        <v>26.6</v>
      </c>
      <c r="M1412">
        <v>1280</v>
      </c>
      <c r="N1412">
        <v>37.1</v>
      </c>
      <c r="O1412">
        <v>1238</v>
      </c>
      <c r="P1412" t="s">
        <v>255</v>
      </c>
      <c r="Q1412" s="1">
        <v>9198</v>
      </c>
      <c r="R1412">
        <v>10.7</v>
      </c>
      <c r="S1412" s="2">
        <v>0.14000000000000001</v>
      </c>
      <c r="T1412" s="3">
        <v>2.036111111111111</v>
      </c>
      <c r="U1412" s="2">
        <v>0.46</v>
      </c>
      <c r="V1412" t="s">
        <v>3045</v>
      </c>
      <c r="W1412" t="s">
        <v>3046</v>
      </c>
      <c r="X1412" t="b">
        <v>0</v>
      </c>
      <c r="Y1412" t="b">
        <v>0</v>
      </c>
    </row>
    <row r="1413" spans="1:25">
      <c r="A1413">
        <v>14120</v>
      </c>
      <c r="B1413" t="s">
        <v>2621</v>
      </c>
      <c r="C1413" t="s">
        <v>3047</v>
      </c>
      <c r="D1413" t="s">
        <v>2623</v>
      </c>
      <c r="E1413">
        <v>14120</v>
      </c>
      <c r="F1413">
        <v>29.7</v>
      </c>
      <c r="G1413">
        <v>712</v>
      </c>
      <c r="H1413">
        <v>12.9</v>
      </c>
      <c r="I1413">
        <v>1315</v>
      </c>
      <c r="J1413">
        <v>33.1</v>
      </c>
      <c r="K1413">
        <v>1374</v>
      </c>
      <c r="L1413">
        <v>58.3</v>
      </c>
      <c r="M1413">
        <v>674</v>
      </c>
      <c r="N1413">
        <v>17.600000000000001</v>
      </c>
      <c r="O1413">
        <v>1903</v>
      </c>
      <c r="P1413" t="s">
        <v>94</v>
      </c>
      <c r="Q1413" s="1">
        <v>1294</v>
      </c>
      <c r="R1413">
        <v>3.3</v>
      </c>
      <c r="S1413" s="2">
        <v>0</v>
      </c>
      <c r="T1413" s="3">
        <v>1.8722222222222222</v>
      </c>
      <c r="U1413" s="2">
        <v>0.03</v>
      </c>
      <c r="V1413" t="s">
        <v>3047</v>
      </c>
      <c r="W1413" t="s">
        <v>253</v>
      </c>
      <c r="X1413" t="b">
        <v>0</v>
      </c>
      <c r="Y1413" t="b">
        <v>0</v>
      </c>
    </row>
    <row r="1414" spans="1:25">
      <c r="A1414">
        <v>14130</v>
      </c>
      <c r="B1414" t="s">
        <v>2621</v>
      </c>
      <c r="C1414" t="s">
        <v>3048</v>
      </c>
      <c r="D1414" t="s">
        <v>2623</v>
      </c>
      <c r="E1414">
        <v>14130</v>
      </c>
      <c r="F1414">
        <v>22.4</v>
      </c>
      <c r="G1414">
        <v>1197</v>
      </c>
      <c r="H1414">
        <v>11.3</v>
      </c>
      <c r="I1414">
        <v>1493</v>
      </c>
      <c r="J1414">
        <v>45</v>
      </c>
      <c r="K1414">
        <v>1122</v>
      </c>
      <c r="L1414">
        <v>30.3</v>
      </c>
      <c r="M1414">
        <v>1177</v>
      </c>
      <c r="N1414">
        <v>29.4</v>
      </c>
      <c r="O1414">
        <v>1525</v>
      </c>
      <c r="P1414" t="s">
        <v>528</v>
      </c>
      <c r="Q1414" s="1">
        <v>10360</v>
      </c>
      <c r="R1414">
        <v>13.1</v>
      </c>
      <c r="S1414" s="2">
        <v>0.03</v>
      </c>
      <c r="T1414" s="3">
        <v>1.83125</v>
      </c>
      <c r="U1414" s="2">
        <v>0.4</v>
      </c>
      <c r="V1414" t="s">
        <v>3048</v>
      </c>
      <c r="W1414" t="s">
        <v>3049</v>
      </c>
      <c r="X1414" t="b">
        <v>0</v>
      </c>
      <c r="Y1414" t="b">
        <v>0</v>
      </c>
    </row>
    <row r="1415" spans="1:25">
      <c r="A1415">
        <v>14140</v>
      </c>
      <c r="B1415" t="s">
        <v>2621</v>
      </c>
      <c r="C1415" t="s">
        <v>3050</v>
      </c>
      <c r="D1415" t="s">
        <v>2623</v>
      </c>
      <c r="E1415">
        <v>14140</v>
      </c>
      <c r="F1415">
        <v>31.2</v>
      </c>
      <c r="G1415">
        <v>635</v>
      </c>
      <c r="H1415">
        <v>9.9</v>
      </c>
      <c r="I1415">
        <v>1660</v>
      </c>
      <c r="J1415">
        <v>35.1</v>
      </c>
      <c r="K1415">
        <v>1326</v>
      </c>
      <c r="L1415">
        <v>16.899999999999999</v>
      </c>
      <c r="M1415">
        <v>1769</v>
      </c>
      <c r="N1415">
        <v>29.7</v>
      </c>
      <c r="O1415">
        <v>1508</v>
      </c>
      <c r="P1415" t="s">
        <v>528</v>
      </c>
      <c r="Q1415" s="1">
        <v>13406</v>
      </c>
      <c r="R1415">
        <v>10.6</v>
      </c>
      <c r="S1415" s="2">
        <v>0.05</v>
      </c>
      <c r="T1415" s="3">
        <v>2.1180555555555554</v>
      </c>
      <c r="U1415" s="2">
        <v>0.41</v>
      </c>
      <c r="V1415" t="s">
        <v>3050</v>
      </c>
      <c r="W1415" t="s">
        <v>3051</v>
      </c>
      <c r="X1415" t="b">
        <v>0</v>
      </c>
      <c r="Y1415" t="b">
        <v>0</v>
      </c>
    </row>
    <row r="1416" spans="1:25">
      <c r="A1416">
        <v>14150</v>
      </c>
      <c r="B1416" t="s">
        <v>2621</v>
      </c>
      <c r="C1416" t="s">
        <v>3052</v>
      </c>
      <c r="D1416" t="s">
        <v>2623</v>
      </c>
      <c r="E1416">
        <v>14150</v>
      </c>
      <c r="F1416">
        <v>19.3</v>
      </c>
      <c r="G1416">
        <v>1445</v>
      </c>
      <c r="H1416">
        <v>19.3</v>
      </c>
      <c r="I1416">
        <v>852</v>
      </c>
      <c r="J1416">
        <v>33.9</v>
      </c>
      <c r="K1416">
        <v>1356</v>
      </c>
      <c r="L1416">
        <v>48.3</v>
      </c>
      <c r="M1416">
        <v>835</v>
      </c>
      <c r="N1416">
        <v>33.299999999999997</v>
      </c>
      <c r="O1416">
        <v>1383</v>
      </c>
      <c r="P1416" t="s">
        <v>1955</v>
      </c>
      <c r="Q1416" s="1">
        <v>27580</v>
      </c>
      <c r="R1416">
        <v>16.899999999999999</v>
      </c>
      <c r="S1416" s="2">
        <v>0.02</v>
      </c>
      <c r="T1416" s="3">
        <v>2.6916666666666669</v>
      </c>
      <c r="U1416" s="2">
        <v>0.2</v>
      </c>
      <c r="V1416" t="s">
        <v>3052</v>
      </c>
      <c r="W1416" t="s">
        <v>3053</v>
      </c>
      <c r="X1416" t="b">
        <v>0</v>
      </c>
      <c r="Y1416" t="b">
        <v>0</v>
      </c>
    </row>
    <row r="1417" spans="1:25">
      <c r="A1417">
        <v>14160</v>
      </c>
      <c r="B1417" t="s">
        <v>2621</v>
      </c>
      <c r="C1417" t="s">
        <v>3054</v>
      </c>
      <c r="D1417" t="s">
        <v>2623</v>
      </c>
      <c r="E1417">
        <v>14160</v>
      </c>
      <c r="F1417">
        <v>22.4</v>
      </c>
      <c r="G1417">
        <v>1198</v>
      </c>
      <c r="H1417">
        <v>14.4</v>
      </c>
      <c r="I1417">
        <v>1170</v>
      </c>
      <c r="J1417">
        <v>36.700000000000003</v>
      </c>
      <c r="K1417">
        <v>1287</v>
      </c>
      <c r="L1417">
        <v>58.2</v>
      </c>
      <c r="M1417">
        <v>676</v>
      </c>
      <c r="N1417">
        <v>34.1</v>
      </c>
      <c r="O1417">
        <v>1356</v>
      </c>
      <c r="P1417" t="s">
        <v>895</v>
      </c>
      <c r="Q1417" s="1">
        <v>32183</v>
      </c>
      <c r="R1417">
        <v>14</v>
      </c>
      <c r="S1417" s="2">
        <v>0.08</v>
      </c>
      <c r="T1417" s="3">
        <v>2.4458333333333333</v>
      </c>
      <c r="U1417" s="2">
        <v>0.19</v>
      </c>
      <c r="V1417" t="s">
        <v>3054</v>
      </c>
      <c r="W1417" t="s">
        <v>3055</v>
      </c>
      <c r="X1417" t="b">
        <v>0</v>
      </c>
      <c r="Y1417" t="b">
        <v>0</v>
      </c>
    </row>
    <row r="1418" spans="1:25">
      <c r="A1418">
        <v>14170</v>
      </c>
      <c r="B1418" t="s">
        <v>2621</v>
      </c>
      <c r="C1418" t="s">
        <v>3056</v>
      </c>
      <c r="D1418" t="s">
        <v>2623</v>
      </c>
      <c r="E1418">
        <v>14170</v>
      </c>
      <c r="F1418">
        <v>25.4</v>
      </c>
      <c r="G1418">
        <v>980</v>
      </c>
      <c r="H1418">
        <v>10.5</v>
      </c>
      <c r="I1418">
        <v>1592</v>
      </c>
      <c r="J1418">
        <v>46.2</v>
      </c>
      <c r="K1418">
        <v>1092</v>
      </c>
      <c r="L1418">
        <v>16.2</v>
      </c>
      <c r="M1418">
        <v>1842</v>
      </c>
      <c r="N1418">
        <v>29.1</v>
      </c>
      <c r="O1418">
        <v>1537</v>
      </c>
      <c r="P1418" t="s">
        <v>795</v>
      </c>
      <c r="Q1418" s="1">
        <v>3537</v>
      </c>
      <c r="R1418">
        <v>7.9</v>
      </c>
      <c r="S1418" s="2">
        <v>7.0000000000000007E-2</v>
      </c>
      <c r="T1418" s="3">
        <v>2.5687500000000001</v>
      </c>
      <c r="U1418" s="2">
        <v>0.11</v>
      </c>
      <c r="V1418" t="s">
        <v>3056</v>
      </c>
      <c r="W1418" t="s">
        <v>1199</v>
      </c>
      <c r="X1418" t="b">
        <v>0</v>
      </c>
      <c r="Y1418" t="b">
        <v>0</v>
      </c>
    </row>
    <row r="1419" spans="1:25">
      <c r="A1419">
        <v>14180</v>
      </c>
      <c r="B1419" t="s">
        <v>2621</v>
      </c>
      <c r="C1419" t="s">
        <v>3057</v>
      </c>
      <c r="D1419" t="s">
        <v>2623</v>
      </c>
      <c r="E1419">
        <v>14180</v>
      </c>
      <c r="F1419">
        <v>28</v>
      </c>
      <c r="G1419">
        <v>807</v>
      </c>
      <c r="H1419">
        <v>20.100000000000001</v>
      </c>
      <c r="I1419">
        <v>809</v>
      </c>
      <c r="J1419">
        <v>32.700000000000003</v>
      </c>
      <c r="K1419">
        <v>1385</v>
      </c>
      <c r="L1419">
        <v>39.799999999999997</v>
      </c>
      <c r="M1419">
        <v>984</v>
      </c>
      <c r="N1419">
        <v>30.6</v>
      </c>
      <c r="O1419">
        <v>1477</v>
      </c>
      <c r="P1419" t="s">
        <v>181</v>
      </c>
      <c r="Q1419" s="1">
        <v>8987</v>
      </c>
      <c r="R1419">
        <v>13.8</v>
      </c>
      <c r="S1419" s="2">
        <v>0.09</v>
      </c>
      <c r="T1419" t="s">
        <v>801</v>
      </c>
      <c r="U1419" s="2">
        <v>0.39</v>
      </c>
      <c r="V1419" t="s">
        <v>3057</v>
      </c>
      <c r="W1419" t="s">
        <v>3058</v>
      </c>
      <c r="X1419" t="b">
        <v>0</v>
      </c>
      <c r="Y1419" t="b">
        <v>0</v>
      </c>
    </row>
    <row r="1420" spans="1:25">
      <c r="A1420">
        <v>14190</v>
      </c>
      <c r="B1420" t="s">
        <v>2621</v>
      </c>
      <c r="C1420" t="s">
        <v>3059</v>
      </c>
      <c r="D1420" t="s">
        <v>2623</v>
      </c>
      <c r="E1420">
        <v>14190</v>
      </c>
      <c r="F1420">
        <v>12.3</v>
      </c>
      <c r="G1420">
        <v>1871</v>
      </c>
      <c r="H1420">
        <v>9.9</v>
      </c>
      <c r="I1420">
        <v>1661</v>
      </c>
      <c r="J1420">
        <v>49.2</v>
      </c>
      <c r="K1420">
        <v>1038</v>
      </c>
      <c r="L1420">
        <v>16.399999999999999</v>
      </c>
      <c r="M1420">
        <v>1822</v>
      </c>
      <c r="N1420">
        <v>50.4</v>
      </c>
      <c r="O1420">
        <v>796</v>
      </c>
      <c r="P1420" t="s">
        <v>1093</v>
      </c>
      <c r="Q1420" s="1">
        <v>8170</v>
      </c>
      <c r="R1420">
        <v>26.4</v>
      </c>
      <c r="S1420" s="2">
        <v>0.01</v>
      </c>
      <c r="T1420" s="3">
        <v>2.1590277777777778</v>
      </c>
      <c r="U1420" s="2">
        <v>0.27</v>
      </c>
      <c r="V1420" t="s">
        <v>3059</v>
      </c>
      <c r="W1420" t="s">
        <v>3060</v>
      </c>
      <c r="X1420" t="b">
        <v>0</v>
      </c>
      <c r="Y1420" t="b">
        <v>0</v>
      </c>
    </row>
    <row r="1421" spans="1:25">
      <c r="A1421">
        <v>14200</v>
      </c>
      <c r="B1421" t="s">
        <v>2621</v>
      </c>
      <c r="C1421" t="s">
        <v>3061</v>
      </c>
      <c r="D1421" t="s">
        <v>2623</v>
      </c>
      <c r="E1421">
        <v>14200</v>
      </c>
      <c r="F1421">
        <v>19.399999999999999</v>
      </c>
      <c r="G1421">
        <v>1436</v>
      </c>
      <c r="H1421">
        <v>13.7</v>
      </c>
      <c r="I1421">
        <v>1233</v>
      </c>
      <c r="J1421">
        <v>41.8</v>
      </c>
      <c r="K1421">
        <v>1188</v>
      </c>
      <c r="L1421">
        <v>26.9</v>
      </c>
      <c r="M1421">
        <v>1264</v>
      </c>
      <c r="N1421">
        <v>26.3</v>
      </c>
      <c r="O1421">
        <v>1656</v>
      </c>
      <c r="P1421" t="s">
        <v>795</v>
      </c>
      <c r="Q1421" s="1">
        <v>13458</v>
      </c>
      <c r="R1421">
        <v>22.1</v>
      </c>
      <c r="S1421" s="2">
        <v>0.01</v>
      </c>
      <c r="T1421" s="3">
        <v>2.5277777777777777</v>
      </c>
      <c r="U1421" s="2">
        <v>0.39</v>
      </c>
      <c r="V1421" t="s">
        <v>3061</v>
      </c>
      <c r="W1421" t="s">
        <v>3062</v>
      </c>
      <c r="X1421" t="b">
        <v>0</v>
      </c>
      <c r="Y1421" t="b">
        <v>0</v>
      </c>
    </row>
    <row r="1422" spans="1:25">
      <c r="A1422">
        <v>14210</v>
      </c>
      <c r="B1422" t="s">
        <v>2621</v>
      </c>
      <c r="C1422" t="s">
        <v>3063</v>
      </c>
      <c r="D1422" t="s">
        <v>2623</v>
      </c>
      <c r="E1422">
        <v>14210</v>
      </c>
      <c r="F1422">
        <v>39.1</v>
      </c>
      <c r="G1422">
        <v>336</v>
      </c>
      <c r="H1422">
        <v>10.6</v>
      </c>
      <c r="I1422">
        <v>1584</v>
      </c>
      <c r="J1422">
        <v>20.8</v>
      </c>
      <c r="K1422">
        <v>1663</v>
      </c>
      <c r="L1422">
        <v>17.5</v>
      </c>
      <c r="M1422">
        <v>1706</v>
      </c>
      <c r="N1422">
        <v>20.6</v>
      </c>
      <c r="O1422">
        <v>1849</v>
      </c>
      <c r="P1422" t="s">
        <v>795</v>
      </c>
      <c r="Q1422" s="1">
        <v>6260</v>
      </c>
      <c r="R1422">
        <v>13</v>
      </c>
      <c r="S1422" s="2">
        <v>0.02</v>
      </c>
      <c r="T1422" s="3">
        <v>2.4458333333333333</v>
      </c>
      <c r="U1422" s="2">
        <v>0.12</v>
      </c>
      <c r="V1422" t="s">
        <v>3063</v>
      </c>
      <c r="W1422" t="s">
        <v>1199</v>
      </c>
      <c r="X1422" t="b">
        <v>0</v>
      </c>
      <c r="Y1422" t="b">
        <v>0</v>
      </c>
    </row>
    <row r="1423" spans="1:25">
      <c r="A1423">
        <v>14220</v>
      </c>
      <c r="B1423" t="s">
        <v>2621</v>
      </c>
      <c r="C1423" t="s">
        <v>3064</v>
      </c>
      <c r="D1423" t="s">
        <v>2623</v>
      </c>
      <c r="E1423">
        <v>14220</v>
      </c>
      <c r="F1423">
        <v>13.2</v>
      </c>
      <c r="G1423">
        <v>1837</v>
      </c>
      <c r="H1423">
        <v>8.4</v>
      </c>
      <c r="I1423">
        <v>1861</v>
      </c>
      <c r="J1423">
        <v>43.4</v>
      </c>
      <c r="K1423">
        <v>1158</v>
      </c>
      <c r="L1423">
        <v>16.600000000000001</v>
      </c>
      <c r="M1423">
        <v>1802</v>
      </c>
      <c r="N1423">
        <v>44.8</v>
      </c>
      <c r="O1423">
        <v>966</v>
      </c>
      <c r="P1423" t="s">
        <v>1846</v>
      </c>
      <c r="Q1423" s="1">
        <v>9585</v>
      </c>
      <c r="R1423">
        <v>17.8</v>
      </c>
      <c r="S1423" s="2">
        <v>0</v>
      </c>
      <c r="T1423" t="s">
        <v>145</v>
      </c>
      <c r="U1423" s="2">
        <v>0.32</v>
      </c>
      <c r="V1423" t="s">
        <v>3064</v>
      </c>
      <c r="W1423" t="s">
        <v>3065</v>
      </c>
      <c r="X1423" t="b">
        <v>0</v>
      </c>
      <c r="Y1423" t="b">
        <v>0</v>
      </c>
    </row>
    <row r="1424" spans="1:25">
      <c r="A1424">
        <v>14230</v>
      </c>
      <c r="B1424" t="s">
        <v>2621</v>
      </c>
      <c r="C1424" t="s">
        <v>3066</v>
      </c>
      <c r="D1424" t="s">
        <v>2623</v>
      </c>
      <c r="E1424">
        <v>14230</v>
      </c>
      <c r="F1424">
        <v>23.1</v>
      </c>
      <c r="G1424">
        <v>1149</v>
      </c>
      <c r="H1424">
        <v>11.5</v>
      </c>
      <c r="I1424">
        <v>1471</v>
      </c>
      <c r="J1424">
        <v>40.4</v>
      </c>
      <c r="K1424">
        <v>1218</v>
      </c>
      <c r="L1424">
        <v>36.700000000000003</v>
      </c>
      <c r="M1424">
        <v>1056</v>
      </c>
      <c r="N1424">
        <v>26.6</v>
      </c>
      <c r="O1424">
        <v>1636</v>
      </c>
      <c r="P1424" t="s">
        <v>54</v>
      </c>
      <c r="Q1424" s="1">
        <v>26472</v>
      </c>
      <c r="R1424">
        <v>10.5</v>
      </c>
      <c r="S1424" s="2">
        <v>0.02</v>
      </c>
      <c r="T1424" s="3">
        <v>1.83125</v>
      </c>
      <c r="U1424" s="2">
        <v>0.41</v>
      </c>
      <c r="V1424" t="s">
        <v>3066</v>
      </c>
      <c r="W1424" t="s">
        <v>3067</v>
      </c>
      <c r="X1424" t="b">
        <v>0</v>
      </c>
      <c r="Y1424" t="b">
        <v>0</v>
      </c>
    </row>
    <row r="1425" spans="1:25">
      <c r="A1425">
        <v>14240</v>
      </c>
      <c r="B1425" t="s">
        <v>2621</v>
      </c>
      <c r="C1425" t="s">
        <v>3068</v>
      </c>
      <c r="D1425" t="s">
        <v>2623</v>
      </c>
      <c r="E1425">
        <v>14240</v>
      </c>
      <c r="F1425">
        <v>20.8</v>
      </c>
      <c r="G1425">
        <v>1317</v>
      </c>
      <c r="H1425">
        <v>20.100000000000001</v>
      </c>
      <c r="I1425">
        <v>810</v>
      </c>
      <c r="J1425">
        <v>22.3</v>
      </c>
      <c r="K1425">
        <v>1630</v>
      </c>
      <c r="L1425">
        <v>36.299999999999997</v>
      </c>
      <c r="M1425">
        <v>1067</v>
      </c>
      <c r="N1425">
        <v>42.3</v>
      </c>
      <c r="O1425">
        <v>1044</v>
      </c>
      <c r="P1425" t="s">
        <v>94</v>
      </c>
      <c r="Q1425" s="1">
        <v>9001</v>
      </c>
      <c r="R1425">
        <v>29.7</v>
      </c>
      <c r="S1425" s="2">
        <v>0.05</v>
      </c>
      <c r="T1425">
        <v>0.80694444444444446</v>
      </c>
      <c r="U1425" s="2">
        <v>0.41</v>
      </c>
      <c r="V1425" t="s">
        <v>3069</v>
      </c>
      <c r="W1425" t="s">
        <v>3070</v>
      </c>
      <c r="X1425" t="b">
        <v>0</v>
      </c>
      <c r="Y1425" t="b">
        <v>0</v>
      </c>
    </row>
    <row r="1426" spans="1:25">
      <c r="A1426">
        <v>14250</v>
      </c>
      <c r="B1426" t="s">
        <v>2621</v>
      </c>
      <c r="C1426" t="s">
        <v>3071</v>
      </c>
      <c r="D1426" t="s">
        <v>2623</v>
      </c>
      <c r="E1426">
        <v>14250</v>
      </c>
      <c r="F1426">
        <v>31.5</v>
      </c>
      <c r="G1426">
        <v>618</v>
      </c>
      <c r="H1426">
        <v>12.8</v>
      </c>
      <c r="I1426">
        <v>1331</v>
      </c>
      <c r="J1426">
        <v>32.299999999999997</v>
      </c>
      <c r="K1426">
        <v>1397</v>
      </c>
      <c r="L1426">
        <v>62.7</v>
      </c>
      <c r="M1426">
        <v>601</v>
      </c>
      <c r="N1426">
        <v>24.5</v>
      </c>
      <c r="O1426">
        <v>1725</v>
      </c>
      <c r="P1426" t="s">
        <v>94</v>
      </c>
      <c r="Q1426" s="1">
        <v>1163</v>
      </c>
      <c r="R1426">
        <v>3.2</v>
      </c>
      <c r="S1426" s="2">
        <v>0.04</v>
      </c>
      <c r="T1426" s="3">
        <v>2.1180555555555554</v>
      </c>
      <c r="U1426" s="2">
        <v>0.03</v>
      </c>
      <c r="V1426" t="s">
        <v>3071</v>
      </c>
      <c r="W1426" t="s">
        <v>253</v>
      </c>
      <c r="X1426" t="b">
        <v>0</v>
      </c>
      <c r="Y1426" t="b">
        <v>0</v>
      </c>
    </row>
    <row r="1427" spans="1:25">
      <c r="A1427">
        <v>14260</v>
      </c>
      <c r="B1427" t="s">
        <v>2621</v>
      </c>
      <c r="C1427" t="s">
        <v>3072</v>
      </c>
      <c r="D1427" t="s">
        <v>2623</v>
      </c>
      <c r="E1427">
        <v>14260</v>
      </c>
      <c r="F1427">
        <v>32.799999999999997</v>
      </c>
      <c r="G1427">
        <v>554</v>
      </c>
      <c r="H1427">
        <v>10.3</v>
      </c>
      <c r="I1427">
        <v>1619</v>
      </c>
      <c r="J1427">
        <v>35.5</v>
      </c>
      <c r="K1427">
        <v>1314</v>
      </c>
      <c r="L1427">
        <v>40.200000000000003</v>
      </c>
      <c r="M1427">
        <v>978</v>
      </c>
      <c r="N1427">
        <v>19.8</v>
      </c>
      <c r="O1427">
        <v>1877</v>
      </c>
      <c r="P1427" t="s">
        <v>94</v>
      </c>
      <c r="Q1427" s="1">
        <v>3668</v>
      </c>
      <c r="R1427">
        <v>1.6</v>
      </c>
      <c r="S1427" s="2">
        <v>0</v>
      </c>
      <c r="T1427" s="3">
        <v>2.6097222222222221</v>
      </c>
      <c r="U1427" s="2">
        <v>0.04</v>
      </c>
      <c r="V1427" t="s">
        <v>3072</v>
      </c>
      <c r="W1427" t="s">
        <v>253</v>
      </c>
      <c r="X1427" t="b">
        <v>0</v>
      </c>
      <c r="Y1427" t="b">
        <v>0</v>
      </c>
    </row>
    <row r="1428" spans="1:25">
      <c r="A1428">
        <v>14270</v>
      </c>
      <c r="B1428" t="s">
        <v>2621</v>
      </c>
      <c r="C1428" t="s">
        <v>3073</v>
      </c>
      <c r="D1428" t="s">
        <v>2623</v>
      </c>
      <c r="E1428">
        <v>14270</v>
      </c>
      <c r="F1428">
        <v>21.8</v>
      </c>
      <c r="G1428">
        <v>1249</v>
      </c>
      <c r="H1428">
        <v>15.6</v>
      </c>
      <c r="I1428">
        <v>1080</v>
      </c>
      <c r="J1428">
        <v>39.4</v>
      </c>
      <c r="K1428">
        <v>1229</v>
      </c>
      <c r="L1428">
        <v>31.5</v>
      </c>
      <c r="M1428">
        <v>1150</v>
      </c>
      <c r="N1428">
        <v>26.6</v>
      </c>
      <c r="O1428">
        <v>1637</v>
      </c>
      <c r="P1428" t="s">
        <v>1543</v>
      </c>
      <c r="Q1428" s="1">
        <v>17424</v>
      </c>
      <c r="R1428">
        <v>12</v>
      </c>
      <c r="S1428" s="2">
        <v>0.04</v>
      </c>
      <c r="T1428" t="s">
        <v>324</v>
      </c>
      <c r="U1428" s="2">
        <v>0.43</v>
      </c>
      <c r="V1428" t="s">
        <v>3073</v>
      </c>
      <c r="W1428" t="s">
        <v>3074</v>
      </c>
      <c r="X1428" t="b">
        <v>0</v>
      </c>
      <c r="Y1428" t="b">
        <v>0</v>
      </c>
    </row>
    <row r="1429" spans="1:25">
      <c r="A1429">
        <v>14280</v>
      </c>
      <c r="B1429" t="s">
        <v>2621</v>
      </c>
      <c r="C1429" t="s">
        <v>3075</v>
      </c>
      <c r="D1429" t="s">
        <v>2623</v>
      </c>
      <c r="E1429">
        <v>14280</v>
      </c>
      <c r="F1429">
        <v>12.5</v>
      </c>
      <c r="G1429">
        <v>1863</v>
      </c>
      <c r="H1429">
        <v>7.6</v>
      </c>
      <c r="I1429">
        <v>1896</v>
      </c>
      <c r="J1429">
        <v>51.3</v>
      </c>
      <c r="K1429">
        <v>989</v>
      </c>
      <c r="L1429">
        <v>15.8</v>
      </c>
      <c r="M1429">
        <v>1891</v>
      </c>
      <c r="N1429">
        <v>40.6</v>
      </c>
      <c r="O1429">
        <v>1101</v>
      </c>
      <c r="P1429" t="s">
        <v>2290</v>
      </c>
      <c r="Q1429" s="1">
        <v>32675</v>
      </c>
      <c r="R1429">
        <v>29.4</v>
      </c>
      <c r="S1429" s="2">
        <v>0</v>
      </c>
      <c r="T1429" s="3">
        <v>2.9784722222222224</v>
      </c>
      <c r="U1429" s="2">
        <v>0.48</v>
      </c>
      <c r="V1429" t="s">
        <v>3075</v>
      </c>
      <c r="W1429" t="s">
        <v>3076</v>
      </c>
      <c r="X1429" t="b">
        <v>0</v>
      </c>
      <c r="Y1429" t="b">
        <v>0</v>
      </c>
    </row>
    <row r="1430" spans="1:25">
      <c r="A1430">
        <v>14290</v>
      </c>
      <c r="B1430" t="s">
        <v>2621</v>
      </c>
      <c r="C1430" t="s">
        <v>3077</v>
      </c>
      <c r="D1430" t="s">
        <v>2623</v>
      </c>
      <c r="E1430">
        <v>14290</v>
      </c>
      <c r="F1430">
        <v>23.6</v>
      </c>
      <c r="G1430">
        <v>1108</v>
      </c>
      <c r="H1430">
        <v>12.2</v>
      </c>
      <c r="I1430">
        <v>1393</v>
      </c>
      <c r="J1430">
        <v>27.4</v>
      </c>
      <c r="K1430">
        <v>1513</v>
      </c>
      <c r="L1430">
        <v>18.899999999999999</v>
      </c>
      <c r="M1430">
        <v>1602</v>
      </c>
      <c r="N1430">
        <v>48.5</v>
      </c>
      <c r="O1430">
        <v>855</v>
      </c>
      <c r="P1430" t="s">
        <v>2278</v>
      </c>
      <c r="Q1430" s="1">
        <v>4550</v>
      </c>
      <c r="R1430">
        <v>11.9</v>
      </c>
      <c r="S1430" s="2">
        <v>0.05</v>
      </c>
      <c r="T1430" s="3">
        <v>2.2819444444444446</v>
      </c>
      <c r="U1430" s="2">
        <v>0.22</v>
      </c>
      <c r="V1430" t="s">
        <v>3077</v>
      </c>
      <c r="W1430" t="s">
        <v>3078</v>
      </c>
      <c r="X1430" t="b">
        <v>0</v>
      </c>
      <c r="Y1430" t="b">
        <v>0</v>
      </c>
    </row>
    <row r="1431" spans="1:25">
      <c r="A1431">
        <v>14300</v>
      </c>
      <c r="B1431" t="s">
        <v>2621</v>
      </c>
      <c r="C1431" t="s">
        <v>3079</v>
      </c>
      <c r="D1431" t="s">
        <v>2623</v>
      </c>
      <c r="E1431">
        <v>14300</v>
      </c>
      <c r="F1431">
        <v>12.5</v>
      </c>
      <c r="G1431">
        <v>1864</v>
      </c>
      <c r="H1431">
        <v>9</v>
      </c>
      <c r="I1431">
        <v>1803</v>
      </c>
      <c r="J1431">
        <v>53.5</v>
      </c>
      <c r="K1431">
        <v>935</v>
      </c>
      <c r="L1431">
        <v>18.3</v>
      </c>
      <c r="M1431">
        <v>1648</v>
      </c>
      <c r="N1431">
        <v>48.8</v>
      </c>
      <c r="O1431">
        <v>840</v>
      </c>
      <c r="P1431" t="s">
        <v>1483</v>
      </c>
      <c r="Q1431" s="1">
        <v>64200</v>
      </c>
      <c r="R1431">
        <v>27.6</v>
      </c>
      <c r="S1431" s="2">
        <v>0</v>
      </c>
      <c r="T1431" s="3">
        <v>2.3638888888888889</v>
      </c>
      <c r="U1431" s="2">
        <v>0.26</v>
      </c>
      <c r="V1431" t="s">
        <v>3079</v>
      </c>
      <c r="W1431" t="s">
        <v>3080</v>
      </c>
      <c r="X1431" t="b">
        <v>0</v>
      </c>
      <c r="Y1431" t="b">
        <v>0</v>
      </c>
    </row>
    <row r="1432" spans="1:25">
      <c r="A1432">
        <v>14310</v>
      </c>
      <c r="B1432" t="s">
        <v>2621</v>
      </c>
      <c r="C1432" t="s">
        <v>3081</v>
      </c>
      <c r="D1432" t="s">
        <v>2623</v>
      </c>
      <c r="E1432">
        <v>14310</v>
      </c>
      <c r="F1432">
        <v>19.8</v>
      </c>
      <c r="G1432">
        <v>1395</v>
      </c>
      <c r="H1432">
        <v>25.4</v>
      </c>
      <c r="I1432">
        <v>593</v>
      </c>
      <c r="J1432">
        <v>33</v>
      </c>
      <c r="K1432">
        <v>1378</v>
      </c>
      <c r="L1432">
        <v>48.2</v>
      </c>
      <c r="M1432">
        <v>836</v>
      </c>
      <c r="N1432">
        <v>35</v>
      </c>
      <c r="O1432">
        <v>1322</v>
      </c>
      <c r="P1432" t="s">
        <v>181</v>
      </c>
      <c r="Q1432" s="1">
        <v>10329</v>
      </c>
      <c r="R1432">
        <v>21.4</v>
      </c>
      <c r="S1432" s="2">
        <v>0.06</v>
      </c>
      <c r="T1432" s="3">
        <v>2.1590277777777778</v>
      </c>
      <c r="U1432" s="2">
        <v>0.12</v>
      </c>
      <c r="V1432" t="s">
        <v>3081</v>
      </c>
      <c r="W1432" t="s">
        <v>3082</v>
      </c>
      <c r="X1432" t="b">
        <v>0</v>
      </c>
      <c r="Y1432" t="b">
        <v>0</v>
      </c>
    </row>
    <row r="1433" spans="1:25">
      <c r="A1433">
        <v>14320</v>
      </c>
      <c r="B1433" t="s">
        <v>2621</v>
      </c>
      <c r="C1433" t="s">
        <v>3083</v>
      </c>
      <c r="D1433" t="s">
        <v>2623</v>
      </c>
      <c r="E1433">
        <v>14320</v>
      </c>
      <c r="F1433">
        <v>26.7</v>
      </c>
      <c r="G1433">
        <v>896</v>
      </c>
      <c r="H1433">
        <v>15</v>
      </c>
      <c r="I1433">
        <v>1126</v>
      </c>
      <c r="J1433">
        <v>25.1</v>
      </c>
      <c r="K1433">
        <v>1562</v>
      </c>
      <c r="L1433">
        <v>47.4</v>
      </c>
      <c r="M1433">
        <v>858</v>
      </c>
      <c r="N1433">
        <v>35.6</v>
      </c>
      <c r="O1433">
        <v>1293</v>
      </c>
      <c r="P1433" t="s">
        <v>181</v>
      </c>
      <c r="Q1433" s="1">
        <v>15808</v>
      </c>
      <c r="R1433">
        <v>18.600000000000001</v>
      </c>
      <c r="S1433" s="2">
        <v>0.12</v>
      </c>
      <c r="T1433" s="3">
        <v>2.036111111111111</v>
      </c>
      <c r="U1433" s="2">
        <v>0.35</v>
      </c>
      <c r="V1433" t="s">
        <v>3083</v>
      </c>
      <c r="W1433" t="s">
        <v>3084</v>
      </c>
      <c r="X1433" t="b">
        <v>0</v>
      </c>
      <c r="Y1433" t="b">
        <v>0</v>
      </c>
    </row>
    <row r="1434" spans="1:25">
      <c r="A1434">
        <v>14330</v>
      </c>
      <c r="B1434" t="s">
        <v>2621</v>
      </c>
      <c r="C1434" t="s">
        <v>3085</v>
      </c>
      <c r="D1434" t="s">
        <v>2623</v>
      </c>
      <c r="E1434">
        <v>14330</v>
      </c>
      <c r="F1434">
        <v>25.7</v>
      </c>
      <c r="G1434">
        <v>962</v>
      </c>
      <c r="H1434">
        <v>15.3</v>
      </c>
      <c r="I1434">
        <v>1100</v>
      </c>
      <c r="J1434">
        <v>20.8</v>
      </c>
      <c r="K1434">
        <v>1664</v>
      </c>
      <c r="L1434">
        <v>15.6</v>
      </c>
      <c r="M1434">
        <v>1905</v>
      </c>
      <c r="N1434">
        <v>70</v>
      </c>
      <c r="O1434">
        <v>409</v>
      </c>
      <c r="P1434" t="s">
        <v>125</v>
      </c>
      <c r="Q1434" s="1">
        <v>16357</v>
      </c>
      <c r="R1434">
        <v>23.7</v>
      </c>
      <c r="S1434" s="2">
        <v>0.26</v>
      </c>
      <c r="T1434" s="3">
        <v>3.2243055555555555</v>
      </c>
      <c r="U1434" s="2">
        <v>0.13</v>
      </c>
      <c r="V1434" t="s">
        <v>3085</v>
      </c>
      <c r="W1434" t="s">
        <v>3086</v>
      </c>
      <c r="X1434" t="b">
        <v>0</v>
      </c>
      <c r="Y1434" t="b">
        <v>0</v>
      </c>
    </row>
    <row r="1435" spans="1:25">
      <c r="A1435">
        <v>14340</v>
      </c>
      <c r="B1435" t="s">
        <v>2621</v>
      </c>
      <c r="C1435" t="s">
        <v>3087</v>
      </c>
      <c r="D1435" t="s">
        <v>2623</v>
      </c>
      <c r="E1435">
        <v>14340</v>
      </c>
      <c r="F1435">
        <v>30.3</v>
      </c>
      <c r="G1435">
        <v>677</v>
      </c>
      <c r="H1435">
        <v>10.3</v>
      </c>
      <c r="I1435">
        <v>1620</v>
      </c>
      <c r="J1435">
        <v>31.4</v>
      </c>
      <c r="K1435">
        <v>1416</v>
      </c>
      <c r="L1435">
        <v>19.3</v>
      </c>
      <c r="M1435">
        <v>1571</v>
      </c>
      <c r="N1435">
        <v>40.1</v>
      </c>
      <c r="O1435">
        <v>1116</v>
      </c>
      <c r="P1435" t="s">
        <v>2171</v>
      </c>
      <c r="Q1435" s="1">
        <v>25887</v>
      </c>
      <c r="R1435">
        <v>13.7</v>
      </c>
      <c r="S1435" s="2">
        <v>0.02</v>
      </c>
      <c r="T1435" s="3">
        <v>2.8555555555555556</v>
      </c>
      <c r="U1435" s="2">
        <v>0.35</v>
      </c>
      <c r="V1435" t="s">
        <v>3087</v>
      </c>
      <c r="W1435" t="s">
        <v>3088</v>
      </c>
      <c r="X1435" t="b">
        <v>0</v>
      </c>
      <c r="Y1435" t="b">
        <v>0</v>
      </c>
    </row>
    <row r="1436" spans="1:25">
      <c r="A1436">
        <v>14350</v>
      </c>
      <c r="B1436" t="s">
        <v>2621</v>
      </c>
      <c r="C1436" t="s">
        <v>3089</v>
      </c>
      <c r="D1436" t="s">
        <v>2623</v>
      </c>
      <c r="E1436">
        <v>14350</v>
      </c>
      <c r="F1436">
        <v>26.8</v>
      </c>
      <c r="G1436">
        <v>887</v>
      </c>
      <c r="H1436">
        <v>13.9</v>
      </c>
      <c r="I1436">
        <v>1217</v>
      </c>
      <c r="J1436">
        <v>27.7</v>
      </c>
      <c r="K1436">
        <v>1502</v>
      </c>
      <c r="L1436">
        <v>30.6</v>
      </c>
      <c r="M1436">
        <v>1169</v>
      </c>
      <c r="N1436">
        <v>22.3</v>
      </c>
      <c r="O1436">
        <v>1800</v>
      </c>
      <c r="P1436" t="s">
        <v>54</v>
      </c>
      <c r="Q1436" s="1">
        <v>28160</v>
      </c>
      <c r="R1436">
        <v>7.4</v>
      </c>
      <c r="S1436" s="2">
        <v>0.02</v>
      </c>
      <c r="T1436" t="s">
        <v>696</v>
      </c>
      <c r="U1436" s="2">
        <v>0.28999999999999998</v>
      </c>
      <c r="V1436" t="s">
        <v>3089</v>
      </c>
      <c r="W1436" t="s">
        <v>3090</v>
      </c>
      <c r="X1436" t="b">
        <v>0</v>
      </c>
      <c r="Y1436" t="b">
        <v>0</v>
      </c>
    </row>
    <row r="1437" spans="1:25">
      <c r="A1437">
        <v>14360</v>
      </c>
      <c r="B1437" t="s">
        <v>2621</v>
      </c>
      <c r="C1437" t="s">
        <v>3091</v>
      </c>
      <c r="D1437" t="s">
        <v>2623</v>
      </c>
      <c r="E1437">
        <v>14360</v>
      </c>
      <c r="F1437">
        <v>27.9</v>
      </c>
      <c r="G1437">
        <v>811</v>
      </c>
      <c r="H1437">
        <v>14.3</v>
      </c>
      <c r="I1437">
        <v>1182</v>
      </c>
      <c r="J1437">
        <v>21.4</v>
      </c>
      <c r="K1437">
        <v>1651</v>
      </c>
      <c r="L1437">
        <v>32.1</v>
      </c>
      <c r="M1437">
        <v>1142</v>
      </c>
      <c r="N1437">
        <v>40.299999999999997</v>
      </c>
      <c r="O1437">
        <v>1110</v>
      </c>
      <c r="P1437" t="s">
        <v>255</v>
      </c>
      <c r="Q1437" s="1">
        <v>19181</v>
      </c>
      <c r="R1437">
        <v>11.3</v>
      </c>
      <c r="S1437" s="2">
        <v>0.11</v>
      </c>
      <c r="T1437" s="3">
        <v>2.2819444444444446</v>
      </c>
      <c r="U1437" s="2">
        <v>0.4</v>
      </c>
      <c r="V1437" t="s">
        <v>3091</v>
      </c>
      <c r="W1437" t="s">
        <v>3092</v>
      </c>
      <c r="X1437" t="b">
        <v>0</v>
      </c>
      <c r="Y1437" t="b">
        <v>0</v>
      </c>
    </row>
    <row r="1438" spans="1:25">
      <c r="A1438">
        <v>14370</v>
      </c>
      <c r="B1438" t="s">
        <v>2621</v>
      </c>
      <c r="C1438" t="s">
        <v>3093</v>
      </c>
      <c r="D1438" t="s">
        <v>2623</v>
      </c>
      <c r="E1438">
        <v>14370</v>
      </c>
      <c r="F1438">
        <v>16</v>
      </c>
      <c r="G1438">
        <v>1700</v>
      </c>
      <c r="H1438">
        <v>9.1999999999999993</v>
      </c>
      <c r="I1438">
        <v>1769</v>
      </c>
      <c r="J1438">
        <v>53.3</v>
      </c>
      <c r="K1438">
        <v>941</v>
      </c>
      <c r="L1438">
        <v>17.7</v>
      </c>
      <c r="M1438">
        <v>1692</v>
      </c>
      <c r="N1438">
        <v>48.9</v>
      </c>
      <c r="O1438">
        <v>834</v>
      </c>
      <c r="P1438" t="s">
        <v>1483</v>
      </c>
      <c r="Q1438" s="1">
        <v>61914</v>
      </c>
      <c r="R1438">
        <v>33</v>
      </c>
      <c r="S1438" s="2">
        <v>0.01</v>
      </c>
      <c r="T1438" s="3">
        <v>2.2409722222222221</v>
      </c>
      <c r="U1438" s="2">
        <v>0.27</v>
      </c>
      <c r="V1438" t="s">
        <v>3093</v>
      </c>
      <c r="W1438" t="s">
        <v>3094</v>
      </c>
      <c r="X1438" t="b">
        <v>0</v>
      </c>
      <c r="Y1438" t="b">
        <v>0</v>
      </c>
    </row>
    <row r="1439" spans="1:25">
      <c r="A1439">
        <v>14380</v>
      </c>
      <c r="B1439" t="s">
        <v>2621</v>
      </c>
      <c r="C1439" t="s">
        <v>3095</v>
      </c>
      <c r="D1439" t="s">
        <v>2623</v>
      </c>
      <c r="E1439">
        <v>14380</v>
      </c>
      <c r="F1439">
        <v>17.899999999999999</v>
      </c>
      <c r="G1439">
        <v>1558</v>
      </c>
      <c r="H1439">
        <v>15.1</v>
      </c>
      <c r="I1439">
        <v>1117</v>
      </c>
      <c r="J1439">
        <v>38.299999999999997</v>
      </c>
      <c r="K1439">
        <v>1256</v>
      </c>
      <c r="L1439">
        <v>53.1</v>
      </c>
      <c r="M1439">
        <v>751</v>
      </c>
      <c r="N1439">
        <v>21.8</v>
      </c>
      <c r="O1439">
        <v>1817</v>
      </c>
      <c r="P1439" t="s">
        <v>54</v>
      </c>
      <c r="Q1439" s="1">
        <v>33002</v>
      </c>
      <c r="R1439">
        <v>15.9</v>
      </c>
      <c r="S1439" s="2">
        <v>0.02</v>
      </c>
      <c r="T1439" t="s">
        <v>113</v>
      </c>
      <c r="U1439" s="2">
        <v>0.59</v>
      </c>
      <c r="V1439" t="s">
        <v>3095</v>
      </c>
      <c r="W1439" t="s">
        <v>3096</v>
      </c>
      <c r="X1439" t="b">
        <v>0</v>
      </c>
      <c r="Y1439" t="b">
        <v>0</v>
      </c>
    </row>
    <row r="1440" spans="1:25">
      <c r="A1440">
        <v>14390</v>
      </c>
      <c r="B1440" t="s">
        <v>2621</v>
      </c>
      <c r="C1440" t="s">
        <v>3097</v>
      </c>
      <c r="D1440" t="s">
        <v>2623</v>
      </c>
      <c r="E1440">
        <v>14390</v>
      </c>
      <c r="F1440">
        <v>17.899999999999999</v>
      </c>
      <c r="G1440">
        <v>1559</v>
      </c>
      <c r="H1440">
        <v>13.9</v>
      </c>
      <c r="I1440">
        <v>1218</v>
      </c>
      <c r="J1440">
        <v>49.1</v>
      </c>
      <c r="K1440">
        <v>1040</v>
      </c>
      <c r="L1440">
        <v>23.1</v>
      </c>
      <c r="M1440">
        <v>1399</v>
      </c>
      <c r="N1440">
        <v>36</v>
      </c>
      <c r="O1440">
        <v>1281</v>
      </c>
      <c r="P1440" t="s">
        <v>2613</v>
      </c>
      <c r="Q1440" s="1">
        <v>19354</v>
      </c>
      <c r="R1440">
        <v>15.7</v>
      </c>
      <c r="S1440" s="2">
        <v>0.02</v>
      </c>
      <c r="T1440" s="3">
        <v>2.4458333333333333</v>
      </c>
      <c r="U1440" s="2">
        <v>0.31</v>
      </c>
      <c r="V1440" t="s">
        <v>3097</v>
      </c>
      <c r="W1440" t="s">
        <v>3098</v>
      </c>
      <c r="X1440" t="b">
        <v>0</v>
      </c>
      <c r="Y1440" t="b">
        <v>0</v>
      </c>
    </row>
    <row r="1441" spans="1:25">
      <c r="A1441">
        <v>14400</v>
      </c>
      <c r="B1441" t="s">
        <v>2621</v>
      </c>
      <c r="C1441" t="s">
        <v>3099</v>
      </c>
      <c r="D1441" t="s">
        <v>2623</v>
      </c>
      <c r="E1441">
        <v>14400</v>
      </c>
      <c r="F1441">
        <v>36.799999999999997</v>
      </c>
      <c r="G1441">
        <v>397</v>
      </c>
      <c r="H1441">
        <v>11.3</v>
      </c>
      <c r="I1441">
        <v>1495</v>
      </c>
      <c r="J1441">
        <v>23.6</v>
      </c>
      <c r="K1441">
        <v>1595</v>
      </c>
      <c r="L1441">
        <v>20.9</v>
      </c>
      <c r="M1441">
        <v>1488</v>
      </c>
      <c r="N1441">
        <v>31.5</v>
      </c>
      <c r="O1441">
        <v>1447</v>
      </c>
      <c r="P1441" t="s">
        <v>528</v>
      </c>
      <c r="Q1441" s="1">
        <v>7276</v>
      </c>
      <c r="R1441">
        <v>15</v>
      </c>
      <c r="S1441" s="2">
        <v>0</v>
      </c>
      <c r="T1441" s="3">
        <v>2.036111111111111</v>
      </c>
      <c r="U1441" s="2">
        <v>0.39</v>
      </c>
      <c r="V1441" t="s">
        <v>3099</v>
      </c>
      <c r="W1441" t="s">
        <v>3100</v>
      </c>
      <c r="X1441" t="b">
        <v>0</v>
      </c>
      <c r="Y1441" t="b">
        <v>0</v>
      </c>
    </row>
    <row r="1442" spans="1:25">
      <c r="A1442">
        <v>14410</v>
      </c>
      <c r="B1442" t="s">
        <v>2621</v>
      </c>
      <c r="C1442" t="s">
        <v>3101</v>
      </c>
      <c r="D1442" t="s">
        <v>2623</v>
      </c>
      <c r="E1442">
        <v>14410</v>
      </c>
      <c r="F1442">
        <v>21.6</v>
      </c>
      <c r="G1442">
        <v>1261</v>
      </c>
      <c r="H1442">
        <v>11.5</v>
      </c>
      <c r="I1442">
        <v>1472</v>
      </c>
      <c r="J1442">
        <v>51.6</v>
      </c>
      <c r="K1442">
        <v>978</v>
      </c>
      <c r="L1442">
        <v>21.9</v>
      </c>
      <c r="M1442">
        <v>1446</v>
      </c>
      <c r="N1442">
        <v>26.8</v>
      </c>
      <c r="O1442">
        <v>1628</v>
      </c>
      <c r="P1442" t="s">
        <v>528</v>
      </c>
      <c r="Q1442" s="1">
        <v>49683</v>
      </c>
      <c r="R1442">
        <v>15.5</v>
      </c>
      <c r="S1442" s="2">
        <v>0.02</v>
      </c>
      <c r="T1442" t="s">
        <v>105</v>
      </c>
      <c r="U1442" s="2">
        <v>0.4</v>
      </c>
      <c r="V1442" t="s">
        <v>3102</v>
      </c>
      <c r="W1442" t="s">
        <v>3103</v>
      </c>
      <c r="X1442" t="b">
        <v>0</v>
      </c>
      <c r="Y1442" t="b">
        <v>0</v>
      </c>
    </row>
    <row r="1443" spans="1:25">
      <c r="A1443">
        <v>14420</v>
      </c>
      <c r="B1443" t="s">
        <v>2621</v>
      </c>
      <c r="C1443" t="s">
        <v>3104</v>
      </c>
      <c r="D1443" t="s">
        <v>2623</v>
      </c>
      <c r="E1443">
        <v>14420</v>
      </c>
      <c r="F1443">
        <v>15.6</v>
      </c>
      <c r="G1443">
        <v>1728</v>
      </c>
      <c r="H1443">
        <v>13</v>
      </c>
      <c r="I1443">
        <v>1310</v>
      </c>
      <c r="J1443">
        <v>49.3</v>
      </c>
      <c r="K1443">
        <v>1034</v>
      </c>
      <c r="L1443">
        <v>16.8</v>
      </c>
      <c r="M1443">
        <v>1779</v>
      </c>
      <c r="N1443">
        <v>36.9</v>
      </c>
      <c r="O1443">
        <v>1250</v>
      </c>
      <c r="P1443" t="s">
        <v>1853</v>
      </c>
      <c r="Q1443" s="1">
        <v>8939</v>
      </c>
      <c r="R1443">
        <v>22.9</v>
      </c>
      <c r="S1443" s="2">
        <v>0.14000000000000001</v>
      </c>
      <c r="T1443" s="3">
        <v>2.4868055555555557</v>
      </c>
      <c r="U1443" s="2">
        <v>0.31</v>
      </c>
      <c r="V1443" t="s">
        <v>3104</v>
      </c>
      <c r="W1443" t="s">
        <v>3105</v>
      </c>
      <c r="X1443" t="b">
        <v>0</v>
      </c>
      <c r="Y1443" t="b">
        <v>0</v>
      </c>
    </row>
    <row r="1444" spans="1:25">
      <c r="A1444">
        <v>14430</v>
      </c>
      <c r="B1444" t="s">
        <v>2621</v>
      </c>
      <c r="C1444" t="s">
        <v>3106</v>
      </c>
      <c r="D1444" t="s">
        <v>2623</v>
      </c>
      <c r="E1444">
        <v>14430</v>
      </c>
      <c r="F1444">
        <v>27.6</v>
      </c>
      <c r="G1444">
        <v>839</v>
      </c>
      <c r="H1444">
        <v>9.9</v>
      </c>
      <c r="I1444">
        <v>1662</v>
      </c>
      <c r="J1444">
        <v>44.4</v>
      </c>
      <c r="K1444">
        <v>1140</v>
      </c>
      <c r="L1444">
        <v>37.299999999999997</v>
      </c>
      <c r="M1444">
        <v>1038</v>
      </c>
      <c r="N1444">
        <v>20.100000000000001</v>
      </c>
      <c r="O1444">
        <v>1868</v>
      </c>
      <c r="P1444" t="s">
        <v>94</v>
      </c>
      <c r="Q1444">
        <v>821</v>
      </c>
      <c r="R1444">
        <v>0.8</v>
      </c>
      <c r="S1444" s="2">
        <v>0.01</v>
      </c>
      <c r="T1444" s="3">
        <v>1.8722222222222222</v>
      </c>
      <c r="U1444" s="2">
        <v>0.02</v>
      </c>
      <c r="V1444" t="s">
        <v>3106</v>
      </c>
      <c r="W1444" t="s">
        <v>1199</v>
      </c>
      <c r="X1444" t="b">
        <v>0</v>
      </c>
      <c r="Y1444" t="b">
        <v>1</v>
      </c>
    </row>
    <row r="1445" spans="1:25">
      <c r="A1445">
        <v>14440</v>
      </c>
      <c r="B1445" t="s">
        <v>2621</v>
      </c>
      <c r="C1445" t="s">
        <v>3107</v>
      </c>
      <c r="D1445" t="s">
        <v>2623</v>
      </c>
      <c r="E1445">
        <v>14440</v>
      </c>
      <c r="F1445">
        <v>22.6</v>
      </c>
      <c r="G1445">
        <v>1185</v>
      </c>
      <c r="H1445">
        <v>16.399999999999999</v>
      </c>
      <c r="I1445">
        <v>1022</v>
      </c>
      <c r="J1445">
        <v>22.8</v>
      </c>
      <c r="K1445">
        <v>1621</v>
      </c>
      <c r="L1445">
        <v>37.6</v>
      </c>
      <c r="M1445">
        <v>1028</v>
      </c>
      <c r="N1445">
        <v>41.7</v>
      </c>
      <c r="O1445">
        <v>1065</v>
      </c>
      <c r="P1445" t="s">
        <v>255</v>
      </c>
      <c r="Q1445" s="1">
        <v>8712</v>
      </c>
      <c r="R1445">
        <v>13.6</v>
      </c>
      <c r="S1445" s="2">
        <v>0.2</v>
      </c>
      <c r="T1445" t="s">
        <v>145</v>
      </c>
      <c r="U1445" s="2">
        <v>0.48</v>
      </c>
      <c r="V1445" t="s">
        <v>3107</v>
      </c>
      <c r="W1445" t="s">
        <v>3108</v>
      </c>
      <c r="X1445" t="b">
        <v>0</v>
      </c>
      <c r="Y1445" t="b">
        <v>0</v>
      </c>
    </row>
    <row r="1446" spans="1:25">
      <c r="A1446">
        <v>14450</v>
      </c>
      <c r="B1446" t="s">
        <v>2621</v>
      </c>
      <c r="C1446" t="s">
        <v>3109</v>
      </c>
      <c r="D1446" t="s">
        <v>2623</v>
      </c>
      <c r="E1446">
        <v>14450</v>
      </c>
      <c r="F1446">
        <v>24.1</v>
      </c>
      <c r="G1446">
        <v>1076</v>
      </c>
      <c r="H1446">
        <v>11.3</v>
      </c>
      <c r="I1446">
        <v>1497</v>
      </c>
      <c r="J1446">
        <v>38.6</v>
      </c>
      <c r="K1446">
        <v>1250</v>
      </c>
      <c r="L1446">
        <v>16.5</v>
      </c>
      <c r="M1446">
        <v>1813</v>
      </c>
      <c r="N1446">
        <v>47</v>
      </c>
      <c r="O1446">
        <v>893</v>
      </c>
      <c r="P1446" t="s">
        <v>664</v>
      </c>
      <c r="Q1446" s="1">
        <v>12271</v>
      </c>
      <c r="R1446">
        <v>17.7</v>
      </c>
      <c r="S1446" s="2">
        <v>7.0000000000000007E-2</v>
      </c>
      <c r="T1446" s="3">
        <v>2.8145833333333332</v>
      </c>
      <c r="U1446" s="2">
        <v>0.19</v>
      </c>
      <c r="V1446" t="s">
        <v>3109</v>
      </c>
      <c r="W1446" t="s">
        <v>3110</v>
      </c>
      <c r="X1446" t="b">
        <v>0</v>
      </c>
      <c r="Y1446" t="b">
        <v>0</v>
      </c>
    </row>
    <row r="1447" spans="1:25">
      <c r="A1447">
        <v>14460</v>
      </c>
      <c r="B1447" t="s">
        <v>2621</v>
      </c>
      <c r="C1447" t="s">
        <v>3111</v>
      </c>
      <c r="D1447" t="s">
        <v>2623</v>
      </c>
      <c r="E1447">
        <v>14460</v>
      </c>
      <c r="F1447">
        <v>18.2</v>
      </c>
      <c r="G1447">
        <v>1538</v>
      </c>
      <c r="H1447">
        <v>9.9</v>
      </c>
      <c r="I1447">
        <v>1663</v>
      </c>
      <c r="J1447">
        <v>40.200000000000003</v>
      </c>
      <c r="K1447">
        <v>1221</v>
      </c>
      <c r="L1447">
        <v>42.1</v>
      </c>
      <c r="M1447">
        <v>937</v>
      </c>
      <c r="N1447">
        <v>71.599999999999994</v>
      </c>
      <c r="O1447">
        <v>383</v>
      </c>
      <c r="P1447" t="s">
        <v>26</v>
      </c>
      <c r="Q1447" s="1">
        <v>13320</v>
      </c>
      <c r="R1447">
        <v>16</v>
      </c>
      <c r="S1447" s="2">
        <v>0.42</v>
      </c>
      <c r="T1447" s="3">
        <v>2.5687500000000001</v>
      </c>
      <c r="U1447" s="2">
        <v>0.19</v>
      </c>
      <c r="V1447" t="s">
        <v>3111</v>
      </c>
      <c r="W1447" t="s">
        <v>3112</v>
      </c>
      <c r="X1447" t="b">
        <v>0</v>
      </c>
      <c r="Y1447" t="b">
        <v>0</v>
      </c>
    </row>
    <row r="1448" spans="1:25">
      <c r="A1448">
        <v>14470</v>
      </c>
      <c r="B1448" t="s">
        <v>2621</v>
      </c>
      <c r="C1448" t="s">
        <v>3113</v>
      </c>
      <c r="D1448" t="s">
        <v>2623</v>
      </c>
      <c r="E1448">
        <v>14470</v>
      </c>
      <c r="F1448">
        <v>21.9</v>
      </c>
      <c r="G1448">
        <v>1244</v>
      </c>
      <c r="H1448">
        <v>20.9</v>
      </c>
      <c r="I1448">
        <v>778</v>
      </c>
      <c r="J1448">
        <v>27.7</v>
      </c>
      <c r="K1448">
        <v>1503</v>
      </c>
      <c r="L1448">
        <v>54.9</v>
      </c>
      <c r="M1448">
        <v>726</v>
      </c>
      <c r="N1448">
        <v>37.9</v>
      </c>
      <c r="O1448">
        <v>1204</v>
      </c>
      <c r="P1448" t="s">
        <v>1448</v>
      </c>
      <c r="Q1448" s="1">
        <v>14265</v>
      </c>
      <c r="R1448">
        <v>26.2</v>
      </c>
      <c r="S1448" s="2">
        <v>0.01</v>
      </c>
      <c r="T1448" s="3">
        <v>2.2819444444444446</v>
      </c>
      <c r="U1448" s="2">
        <v>0.38</v>
      </c>
      <c r="V1448" t="s">
        <v>3114</v>
      </c>
      <c r="W1448" t="s">
        <v>3115</v>
      </c>
      <c r="X1448" t="b">
        <v>0</v>
      </c>
      <c r="Y1448" t="b">
        <v>0</v>
      </c>
    </row>
    <row r="1449" spans="1:25">
      <c r="A1449">
        <v>14480</v>
      </c>
      <c r="B1449" t="s">
        <v>2621</v>
      </c>
      <c r="C1449" t="s">
        <v>3116</v>
      </c>
      <c r="D1449" t="s">
        <v>2623</v>
      </c>
      <c r="E1449">
        <v>14480</v>
      </c>
      <c r="F1449">
        <v>14</v>
      </c>
      <c r="G1449">
        <v>1805</v>
      </c>
      <c r="H1449">
        <v>9.4</v>
      </c>
      <c r="I1449">
        <v>1741</v>
      </c>
      <c r="J1449">
        <v>51.5</v>
      </c>
      <c r="K1449">
        <v>983</v>
      </c>
      <c r="L1449">
        <v>19.5</v>
      </c>
      <c r="M1449">
        <v>1564</v>
      </c>
      <c r="N1449">
        <v>25.8</v>
      </c>
      <c r="O1449">
        <v>1673</v>
      </c>
      <c r="P1449" t="s">
        <v>1955</v>
      </c>
      <c r="Q1449" s="1">
        <v>30701</v>
      </c>
      <c r="R1449">
        <v>20.399999999999999</v>
      </c>
      <c r="S1449" s="2">
        <v>0</v>
      </c>
      <c r="T1449" s="3">
        <v>2.6097222222222221</v>
      </c>
      <c r="U1449" s="2">
        <v>0.24</v>
      </c>
      <c r="V1449" t="s">
        <v>3116</v>
      </c>
      <c r="W1449" t="s">
        <v>3117</v>
      </c>
      <c r="X1449" t="b">
        <v>0</v>
      </c>
      <c r="Y1449" t="b">
        <v>0</v>
      </c>
    </row>
    <row r="1450" spans="1:25">
      <c r="A1450">
        <v>14490</v>
      </c>
      <c r="B1450" t="s">
        <v>2621</v>
      </c>
      <c r="C1450" t="s">
        <v>3118</v>
      </c>
      <c r="D1450" t="s">
        <v>2623</v>
      </c>
      <c r="E1450">
        <v>14490</v>
      </c>
      <c r="F1450">
        <v>17.399999999999999</v>
      </c>
      <c r="G1450">
        <v>1603</v>
      </c>
      <c r="H1450">
        <v>13.7</v>
      </c>
      <c r="I1450">
        <v>1234</v>
      </c>
      <c r="J1450">
        <v>31.5</v>
      </c>
      <c r="K1450">
        <v>1412</v>
      </c>
      <c r="L1450">
        <v>36.700000000000003</v>
      </c>
      <c r="M1450">
        <v>1057</v>
      </c>
      <c r="N1450">
        <v>52.3</v>
      </c>
      <c r="O1450">
        <v>735</v>
      </c>
      <c r="P1450" t="s">
        <v>1093</v>
      </c>
      <c r="Q1450" s="1">
        <v>12510</v>
      </c>
      <c r="R1450">
        <v>15.5</v>
      </c>
      <c r="S1450" s="2">
        <v>0</v>
      </c>
      <c r="T1450" s="3">
        <v>2.036111111111111</v>
      </c>
      <c r="U1450" s="2">
        <v>0.26</v>
      </c>
      <c r="V1450" t="s">
        <v>3118</v>
      </c>
      <c r="W1450" t="s">
        <v>3119</v>
      </c>
      <c r="X1450" t="b">
        <v>0</v>
      </c>
      <c r="Y1450" t="b">
        <v>0</v>
      </c>
    </row>
    <row r="1451" spans="1:25">
      <c r="A1451">
        <v>14500</v>
      </c>
      <c r="B1451" t="s">
        <v>2621</v>
      </c>
      <c r="C1451" t="s">
        <v>3120</v>
      </c>
      <c r="D1451" t="s">
        <v>2623</v>
      </c>
      <c r="E1451">
        <v>14500</v>
      </c>
      <c r="F1451">
        <v>15.3</v>
      </c>
      <c r="G1451">
        <v>1741</v>
      </c>
      <c r="H1451">
        <v>12.7</v>
      </c>
      <c r="I1451">
        <v>1339</v>
      </c>
      <c r="J1451">
        <v>34.1</v>
      </c>
      <c r="K1451">
        <v>1349</v>
      </c>
      <c r="L1451">
        <v>43.6</v>
      </c>
      <c r="M1451">
        <v>913</v>
      </c>
      <c r="N1451">
        <v>42.9</v>
      </c>
      <c r="O1451">
        <v>1024</v>
      </c>
      <c r="P1451" t="s">
        <v>389</v>
      </c>
      <c r="Q1451" s="1">
        <v>23600</v>
      </c>
      <c r="R1451">
        <v>22.5</v>
      </c>
      <c r="S1451" s="2">
        <v>7.0000000000000007E-2</v>
      </c>
      <c r="T1451" s="3">
        <v>1.9951388888888888</v>
      </c>
      <c r="U1451" s="2">
        <v>0.4</v>
      </c>
      <c r="V1451" t="s">
        <v>3120</v>
      </c>
      <c r="W1451" t="s">
        <v>3121</v>
      </c>
      <c r="X1451" t="b">
        <v>0</v>
      </c>
      <c r="Y1451" t="b">
        <v>0</v>
      </c>
    </row>
    <row r="1452" spans="1:25">
      <c r="A1452">
        <v>14510</v>
      </c>
      <c r="B1452" t="s">
        <v>2621</v>
      </c>
      <c r="C1452" t="s">
        <v>3122</v>
      </c>
      <c r="D1452" t="s">
        <v>2623</v>
      </c>
      <c r="E1452">
        <v>14510</v>
      </c>
      <c r="F1452">
        <v>12.4</v>
      </c>
      <c r="G1452">
        <v>1868</v>
      </c>
      <c r="H1452">
        <v>19</v>
      </c>
      <c r="I1452">
        <v>865</v>
      </c>
      <c r="J1452">
        <v>45.1</v>
      </c>
      <c r="K1452">
        <v>1118</v>
      </c>
      <c r="L1452">
        <v>19.399999999999999</v>
      </c>
      <c r="M1452">
        <v>1570</v>
      </c>
      <c r="N1452">
        <v>59</v>
      </c>
      <c r="O1452">
        <v>605</v>
      </c>
      <c r="P1452" t="s">
        <v>1093</v>
      </c>
      <c r="Q1452" s="1">
        <v>10496</v>
      </c>
      <c r="R1452">
        <v>31.8</v>
      </c>
      <c r="S1452" s="2">
        <v>0.04</v>
      </c>
      <c r="T1452" s="3">
        <v>2.2819444444444446</v>
      </c>
      <c r="U1452" s="2">
        <v>0.32</v>
      </c>
      <c r="V1452" t="s">
        <v>3122</v>
      </c>
      <c r="W1452" t="s">
        <v>3123</v>
      </c>
      <c r="X1452" t="b">
        <v>0</v>
      </c>
      <c r="Y1452" t="b">
        <v>0</v>
      </c>
    </row>
    <row r="1453" spans="1:25">
      <c r="A1453">
        <v>14520</v>
      </c>
      <c r="B1453" t="s">
        <v>2621</v>
      </c>
      <c r="C1453" t="s">
        <v>3124</v>
      </c>
      <c r="D1453" t="s">
        <v>2623</v>
      </c>
      <c r="E1453">
        <v>14520</v>
      </c>
      <c r="F1453">
        <v>30</v>
      </c>
      <c r="G1453">
        <v>690</v>
      </c>
      <c r="H1453">
        <v>13.1</v>
      </c>
      <c r="I1453">
        <v>1294</v>
      </c>
      <c r="J1453">
        <v>20.2</v>
      </c>
      <c r="K1453">
        <v>1674</v>
      </c>
      <c r="L1453">
        <v>31.4</v>
      </c>
      <c r="M1453">
        <v>1155</v>
      </c>
      <c r="N1453">
        <v>31.8</v>
      </c>
      <c r="O1453">
        <v>1436</v>
      </c>
      <c r="P1453" t="s">
        <v>1123</v>
      </c>
      <c r="Q1453" s="1">
        <v>25937</v>
      </c>
      <c r="R1453">
        <v>10.6</v>
      </c>
      <c r="S1453" s="2">
        <v>0.05</v>
      </c>
      <c r="T1453" s="3">
        <v>2.3638888888888889</v>
      </c>
      <c r="U1453" s="2">
        <v>0.36</v>
      </c>
      <c r="V1453" t="s">
        <v>3124</v>
      </c>
      <c r="W1453" t="s">
        <v>3125</v>
      </c>
      <c r="X1453" t="b">
        <v>0</v>
      </c>
      <c r="Y1453" t="b">
        <v>0</v>
      </c>
    </row>
    <row r="1454" spans="1:25">
      <c r="A1454">
        <v>14530</v>
      </c>
      <c r="B1454" t="s">
        <v>2621</v>
      </c>
      <c r="C1454" t="s">
        <v>3126</v>
      </c>
      <c r="D1454" t="s">
        <v>2623</v>
      </c>
      <c r="E1454">
        <v>14530</v>
      </c>
      <c r="F1454">
        <v>17</v>
      </c>
      <c r="G1454">
        <v>1628</v>
      </c>
      <c r="H1454">
        <v>13.2</v>
      </c>
      <c r="I1454">
        <v>1289</v>
      </c>
      <c r="J1454">
        <v>39.299999999999997</v>
      </c>
      <c r="K1454">
        <v>1232</v>
      </c>
      <c r="L1454">
        <v>29.5</v>
      </c>
      <c r="M1454">
        <v>1195</v>
      </c>
      <c r="N1454">
        <v>25</v>
      </c>
      <c r="O1454">
        <v>1711</v>
      </c>
      <c r="P1454" t="s">
        <v>1853</v>
      </c>
      <c r="Q1454" s="1">
        <v>19065</v>
      </c>
      <c r="R1454">
        <v>20.5</v>
      </c>
      <c r="S1454" s="2">
        <v>0.02</v>
      </c>
      <c r="T1454" t="s">
        <v>40</v>
      </c>
      <c r="U1454" s="2">
        <v>0.5</v>
      </c>
      <c r="V1454" t="s">
        <v>3126</v>
      </c>
      <c r="W1454" t="s">
        <v>3127</v>
      </c>
      <c r="X1454" t="b">
        <v>0</v>
      </c>
      <c r="Y1454" t="b">
        <v>0</v>
      </c>
    </row>
    <row r="1455" spans="1:25">
      <c r="A1455">
        <v>14540</v>
      </c>
      <c r="B1455" t="s">
        <v>2621</v>
      </c>
      <c r="C1455" t="s">
        <v>3128</v>
      </c>
      <c r="D1455" t="s">
        <v>2623</v>
      </c>
      <c r="E1455">
        <v>14540</v>
      </c>
      <c r="F1455">
        <v>13.1</v>
      </c>
      <c r="G1455">
        <v>1842</v>
      </c>
      <c r="H1455">
        <v>11.1</v>
      </c>
      <c r="I1455">
        <v>1518</v>
      </c>
      <c r="J1455">
        <v>50.4</v>
      </c>
      <c r="K1455">
        <v>1016</v>
      </c>
      <c r="L1455">
        <v>40.6</v>
      </c>
      <c r="M1455">
        <v>968</v>
      </c>
      <c r="N1455">
        <v>40.700000000000003</v>
      </c>
      <c r="O1455">
        <v>1096</v>
      </c>
      <c r="P1455" t="s">
        <v>1220</v>
      </c>
      <c r="Q1455" s="1">
        <v>6935</v>
      </c>
      <c r="R1455">
        <v>33.200000000000003</v>
      </c>
      <c r="S1455" s="2">
        <v>0.04</v>
      </c>
      <c r="T1455" t="s">
        <v>40</v>
      </c>
      <c r="U1455" s="2">
        <v>0.53</v>
      </c>
      <c r="V1455" t="s">
        <v>3128</v>
      </c>
      <c r="W1455" t="s">
        <v>3129</v>
      </c>
      <c r="X1455" t="b">
        <v>0</v>
      </c>
      <c r="Y1455" t="b">
        <v>0</v>
      </c>
    </row>
    <row r="1456" spans="1:25">
      <c r="A1456">
        <v>14550</v>
      </c>
      <c r="B1456" t="s">
        <v>2621</v>
      </c>
      <c r="C1456" t="s">
        <v>3130</v>
      </c>
      <c r="D1456" t="s">
        <v>2623</v>
      </c>
      <c r="E1456">
        <v>14550</v>
      </c>
      <c r="F1456">
        <v>26.5</v>
      </c>
      <c r="G1456">
        <v>914</v>
      </c>
      <c r="H1456">
        <v>17.100000000000001</v>
      </c>
      <c r="I1456">
        <v>968</v>
      </c>
      <c r="J1456">
        <v>30.2</v>
      </c>
      <c r="K1456">
        <v>1441</v>
      </c>
      <c r="L1456">
        <v>30</v>
      </c>
      <c r="M1456">
        <v>1185</v>
      </c>
      <c r="N1456">
        <v>44.8</v>
      </c>
      <c r="O1456">
        <v>967</v>
      </c>
      <c r="P1456" t="s">
        <v>2278</v>
      </c>
      <c r="Q1456" s="1">
        <v>9573</v>
      </c>
      <c r="R1456">
        <v>13.1</v>
      </c>
      <c r="S1456" s="2">
        <v>0.23</v>
      </c>
      <c r="T1456" t="s">
        <v>529</v>
      </c>
      <c r="U1456" s="2">
        <v>0.49</v>
      </c>
      <c r="V1456" t="s">
        <v>3130</v>
      </c>
      <c r="W1456" t="s">
        <v>3131</v>
      </c>
      <c r="X1456" t="b">
        <v>0</v>
      </c>
      <c r="Y1456" t="b">
        <v>0</v>
      </c>
    </row>
    <row r="1457" spans="1:25">
      <c r="A1457">
        <v>14560</v>
      </c>
      <c r="B1457" t="s">
        <v>2621</v>
      </c>
      <c r="C1457" t="s">
        <v>3132</v>
      </c>
      <c r="D1457" t="s">
        <v>2623</v>
      </c>
      <c r="E1457">
        <v>14560</v>
      </c>
      <c r="F1457">
        <v>26.7</v>
      </c>
      <c r="G1457">
        <v>898</v>
      </c>
      <c r="H1457">
        <v>10.9</v>
      </c>
      <c r="I1457">
        <v>1542</v>
      </c>
      <c r="J1457">
        <v>24.3</v>
      </c>
      <c r="K1457">
        <v>1580</v>
      </c>
      <c r="L1457">
        <v>48.8</v>
      </c>
      <c r="M1457">
        <v>828</v>
      </c>
      <c r="N1457">
        <v>83.8</v>
      </c>
      <c r="O1457">
        <v>203</v>
      </c>
      <c r="P1457" t="s">
        <v>125</v>
      </c>
      <c r="Q1457" s="1">
        <v>4170</v>
      </c>
      <c r="R1457">
        <v>15.6</v>
      </c>
      <c r="S1457" s="2">
        <v>0.19</v>
      </c>
      <c r="T1457" t="s">
        <v>501</v>
      </c>
      <c r="U1457" s="2">
        <v>0.45</v>
      </c>
      <c r="V1457" t="s">
        <v>3132</v>
      </c>
      <c r="W1457" t="s">
        <v>3133</v>
      </c>
      <c r="X1457" t="b">
        <v>0</v>
      </c>
      <c r="Y1457" t="b">
        <v>0</v>
      </c>
    </row>
    <row r="1458" spans="1:25">
      <c r="A1458">
        <v>14570</v>
      </c>
      <c r="B1458" t="s">
        <v>2621</v>
      </c>
      <c r="C1458" t="s">
        <v>3134</v>
      </c>
      <c r="D1458" t="s">
        <v>2623</v>
      </c>
      <c r="E1458">
        <v>14570</v>
      </c>
      <c r="F1458">
        <v>20.100000000000001</v>
      </c>
      <c r="G1458">
        <v>1370</v>
      </c>
      <c r="H1458">
        <v>11.4</v>
      </c>
      <c r="I1458">
        <v>1483</v>
      </c>
      <c r="J1458">
        <v>32.6</v>
      </c>
      <c r="K1458">
        <v>1391</v>
      </c>
      <c r="L1458">
        <v>19.600000000000001</v>
      </c>
      <c r="M1458">
        <v>1556</v>
      </c>
      <c r="N1458">
        <v>44.2</v>
      </c>
      <c r="O1458">
        <v>986</v>
      </c>
      <c r="P1458" t="s">
        <v>664</v>
      </c>
      <c r="Q1458" s="1">
        <v>11730</v>
      </c>
      <c r="R1458">
        <v>16.100000000000001</v>
      </c>
      <c r="S1458" s="2">
        <v>0.06</v>
      </c>
      <c r="T1458" t="s">
        <v>696</v>
      </c>
      <c r="U1458" s="2">
        <v>0.42</v>
      </c>
      <c r="V1458" t="s">
        <v>3134</v>
      </c>
      <c r="W1458" t="s">
        <v>3135</v>
      </c>
      <c r="X1458" t="b">
        <v>0</v>
      </c>
      <c r="Y1458" t="b">
        <v>0</v>
      </c>
    </row>
    <row r="1459" spans="1:25">
      <c r="A1459">
        <v>14580</v>
      </c>
      <c r="B1459" t="s">
        <v>2621</v>
      </c>
      <c r="C1459" t="s">
        <v>3136</v>
      </c>
      <c r="D1459" t="s">
        <v>2623</v>
      </c>
      <c r="E1459">
        <v>14580</v>
      </c>
      <c r="F1459">
        <v>25.3</v>
      </c>
      <c r="G1459">
        <v>984</v>
      </c>
      <c r="H1459">
        <v>10.8</v>
      </c>
      <c r="I1459">
        <v>1555</v>
      </c>
      <c r="J1459">
        <v>25.4</v>
      </c>
      <c r="K1459">
        <v>1555</v>
      </c>
      <c r="L1459">
        <v>35.4</v>
      </c>
      <c r="M1459">
        <v>1086</v>
      </c>
      <c r="N1459">
        <v>42.5</v>
      </c>
      <c r="O1459">
        <v>1034</v>
      </c>
      <c r="P1459" t="s">
        <v>1955</v>
      </c>
      <c r="Q1459" s="1">
        <v>20658</v>
      </c>
      <c r="R1459">
        <v>7.1</v>
      </c>
      <c r="S1459" s="2">
        <v>0.06</v>
      </c>
      <c r="T1459" t="s">
        <v>658</v>
      </c>
      <c r="U1459" s="2">
        <v>0.47</v>
      </c>
      <c r="V1459" t="s">
        <v>3136</v>
      </c>
      <c r="W1459" t="s">
        <v>3137</v>
      </c>
      <c r="X1459" t="b">
        <v>0</v>
      </c>
      <c r="Y1459" t="b">
        <v>0</v>
      </c>
    </row>
    <row r="1460" spans="1:25">
      <c r="A1460">
        <v>14590</v>
      </c>
      <c r="B1460" t="s">
        <v>2621</v>
      </c>
      <c r="C1460" t="s">
        <v>3138</v>
      </c>
      <c r="D1460" t="s">
        <v>2623</v>
      </c>
      <c r="E1460">
        <v>14590</v>
      </c>
      <c r="F1460">
        <v>17.899999999999999</v>
      </c>
      <c r="G1460">
        <v>1561</v>
      </c>
      <c r="H1460">
        <v>8.5</v>
      </c>
      <c r="I1460">
        <v>1856</v>
      </c>
      <c r="J1460">
        <v>45.1</v>
      </c>
      <c r="K1460">
        <v>1119</v>
      </c>
      <c r="L1460">
        <v>17.399999999999999</v>
      </c>
      <c r="M1460">
        <v>1720</v>
      </c>
      <c r="N1460">
        <v>46.1</v>
      </c>
      <c r="O1460">
        <v>930</v>
      </c>
      <c r="P1460" t="s">
        <v>29</v>
      </c>
      <c r="Q1460" s="1">
        <v>28703</v>
      </c>
      <c r="R1460">
        <v>21.7</v>
      </c>
      <c r="S1460" s="2">
        <v>0.02</v>
      </c>
      <c r="T1460" s="3">
        <v>2.5687500000000001</v>
      </c>
      <c r="U1460" s="2">
        <v>0.24</v>
      </c>
      <c r="V1460" t="s">
        <v>3138</v>
      </c>
      <c r="W1460" t="s">
        <v>3139</v>
      </c>
      <c r="X1460" t="b">
        <v>0</v>
      </c>
      <c r="Y1460" t="b">
        <v>0</v>
      </c>
    </row>
    <row r="1461" spans="1:25">
      <c r="A1461">
        <v>14600</v>
      </c>
      <c r="B1461" t="s">
        <v>2621</v>
      </c>
      <c r="C1461" t="s">
        <v>3140</v>
      </c>
      <c r="D1461" t="s">
        <v>2623</v>
      </c>
      <c r="E1461">
        <v>14600</v>
      </c>
      <c r="F1461">
        <v>31.3</v>
      </c>
      <c r="G1461">
        <v>628</v>
      </c>
      <c r="H1461">
        <v>15.3</v>
      </c>
      <c r="I1461">
        <v>1101</v>
      </c>
      <c r="J1461">
        <v>27.9</v>
      </c>
      <c r="K1461">
        <v>1496</v>
      </c>
      <c r="L1461">
        <v>33.799999999999997</v>
      </c>
      <c r="M1461">
        <v>1116</v>
      </c>
      <c r="N1461">
        <v>18.399999999999999</v>
      </c>
      <c r="O1461">
        <v>1895</v>
      </c>
      <c r="P1461" t="s">
        <v>528</v>
      </c>
      <c r="Q1461" s="1">
        <v>4447</v>
      </c>
      <c r="R1461">
        <v>15.3</v>
      </c>
      <c r="S1461" s="2">
        <v>0.01</v>
      </c>
      <c r="T1461" s="3">
        <v>1.83125</v>
      </c>
      <c r="U1461" s="2">
        <v>0.38</v>
      </c>
      <c r="V1461" t="s">
        <v>3140</v>
      </c>
      <c r="W1461" t="s">
        <v>3141</v>
      </c>
      <c r="X1461" t="b">
        <v>0</v>
      </c>
      <c r="Y1461" t="b">
        <v>0</v>
      </c>
    </row>
    <row r="1462" spans="1:25">
      <c r="A1462">
        <v>14610</v>
      </c>
      <c r="B1462" t="s">
        <v>2621</v>
      </c>
      <c r="C1462" t="s">
        <v>3142</v>
      </c>
      <c r="D1462" t="s">
        <v>2623</v>
      </c>
      <c r="E1462">
        <v>14610</v>
      </c>
      <c r="F1462">
        <v>26.3</v>
      </c>
      <c r="G1462">
        <v>927</v>
      </c>
      <c r="H1462">
        <v>19.100000000000001</v>
      </c>
      <c r="I1462">
        <v>861</v>
      </c>
      <c r="J1462">
        <v>25.7</v>
      </c>
      <c r="K1462">
        <v>1550</v>
      </c>
      <c r="L1462">
        <v>30.1</v>
      </c>
      <c r="M1462">
        <v>1180</v>
      </c>
      <c r="N1462">
        <v>38.1</v>
      </c>
      <c r="O1462">
        <v>1192</v>
      </c>
      <c r="P1462" t="s">
        <v>1448</v>
      </c>
      <c r="Q1462" s="1">
        <v>30488</v>
      </c>
      <c r="R1462">
        <v>11.4</v>
      </c>
      <c r="S1462" s="2">
        <v>0.01</v>
      </c>
      <c r="T1462" s="3">
        <v>2.6916666666666669</v>
      </c>
      <c r="U1462" s="2">
        <v>0.28000000000000003</v>
      </c>
      <c r="V1462" t="s">
        <v>3142</v>
      </c>
      <c r="W1462" t="s">
        <v>3143</v>
      </c>
      <c r="X1462" t="b">
        <v>0</v>
      </c>
      <c r="Y1462" t="b">
        <v>0</v>
      </c>
    </row>
    <row r="1463" spans="1:25">
      <c r="A1463">
        <v>14620</v>
      </c>
      <c r="B1463" t="s">
        <v>2621</v>
      </c>
      <c r="C1463" t="s">
        <v>3144</v>
      </c>
      <c r="D1463" t="s">
        <v>2623</v>
      </c>
      <c r="E1463">
        <v>14620</v>
      </c>
      <c r="F1463">
        <v>18.7</v>
      </c>
      <c r="G1463">
        <v>1488</v>
      </c>
      <c r="H1463">
        <v>8.9</v>
      </c>
      <c r="I1463">
        <v>1818</v>
      </c>
      <c r="J1463">
        <v>41.9</v>
      </c>
      <c r="K1463">
        <v>1185</v>
      </c>
      <c r="L1463">
        <v>20.2</v>
      </c>
      <c r="M1463">
        <v>1521</v>
      </c>
      <c r="N1463">
        <v>18</v>
      </c>
      <c r="O1463">
        <v>1899</v>
      </c>
      <c r="P1463" t="s">
        <v>528</v>
      </c>
      <c r="Q1463" s="1">
        <v>4378</v>
      </c>
      <c r="R1463">
        <v>18.3</v>
      </c>
      <c r="S1463" s="2">
        <v>0</v>
      </c>
      <c r="T1463" t="s">
        <v>801</v>
      </c>
      <c r="U1463" s="2">
        <v>0.52</v>
      </c>
      <c r="V1463" t="s">
        <v>3144</v>
      </c>
      <c r="W1463" t="s">
        <v>3145</v>
      </c>
      <c r="X1463" t="b">
        <v>0</v>
      </c>
      <c r="Y1463" t="b">
        <v>0</v>
      </c>
    </row>
    <row r="1464" spans="1:25">
      <c r="A1464">
        <v>14630</v>
      </c>
      <c r="B1464" t="s">
        <v>2621</v>
      </c>
      <c r="C1464" t="s">
        <v>3146</v>
      </c>
      <c r="D1464" t="s">
        <v>2623</v>
      </c>
      <c r="E1464">
        <v>14630</v>
      </c>
      <c r="F1464">
        <v>24.7</v>
      </c>
      <c r="G1464">
        <v>1035</v>
      </c>
      <c r="H1464">
        <v>15</v>
      </c>
      <c r="I1464">
        <v>1127</v>
      </c>
      <c r="J1464">
        <v>33.700000000000003</v>
      </c>
      <c r="K1464">
        <v>1360</v>
      </c>
      <c r="L1464">
        <v>57.3</v>
      </c>
      <c r="M1464">
        <v>700</v>
      </c>
      <c r="N1464">
        <v>21.5</v>
      </c>
      <c r="O1464">
        <v>1826</v>
      </c>
      <c r="P1464" t="s">
        <v>94</v>
      </c>
      <c r="Q1464" s="1">
        <v>5424</v>
      </c>
      <c r="R1464">
        <v>13.7</v>
      </c>
      <c r="S1464" s="2">
        <v>0</v>
      </c>
      <c r="T1464" s="3">
        <v>2.2409722222222221</v>
      </c>
      <c r="U1464" s="2">
        <v>0.16</v>
      </c>
      <c r="V1464" t="s">
        <v>3146</v>
      </c>
      <c r="W1464" t="s">
        <v>3147</v>
      </c>
      <c r="X1464" t="b">
        <v>0</v>
      </c>
      <c r="Y1464" t="b">
        <v>0</v>
      </c>
    </row>
    <row r="1465" spans="1:25">
      <c r="A1465">
        <v>14640</v>
      </c>
      <c r="B1465" t="s">
        <v>2621</v>
      </c>
      <c r="C1465" t="s">
        <v>3148</v>
      </c>
      <c r="D1465" t="s">
        <v>2623</v>
      </c>
      <c r="E1465">
        <v>14640</v>
      </c>
      <c r="F1465">
        <v>18.3</v>
      </c>
      <c r="G1465">
        <v>1534</v>
      </c>
      <c r="H1465">
        <v>12</v>
      </c>
      <c r="I1465">
        <v>1412</v>
      </c>
      <c r="J1465">
        <v>36.5</v>
      </c>
      <c r="K1465">
        <v>1294</v>
      </c>
      <c r="L1465">
        <v>46</v>
      </c>
      <c r="M1465">
        <v>881</v>
      </c>
      <c r="N1465">
        <v>30.4</v>
      </c>
      <c r="O1465">
        <v>1488</v>
      </c>
      <c r="P1465" t="s">
        <v>94</v>
      </c>
      <c r="Q1465" s="1">
        <v>28334</v>
      </c>
      <c r="R1465">
        <v>16</v>
      </c>
      <c r="S1465" s="2">
        <v>0.04</v>
      </c>
      <c r="T1465" t="s">
        <v>529</v>
      </c>
      <c r="U1465" s="2">
        <v>0.2</v>
      </c>
      <c r="V1465" t="s">
        <v>3148</v>
      </c>
      <c r="W1465" t="s">
        <v>3149</v>
      </c>
      <c r="X1465" t="b">
        <v>0</v>
      </c>
      <c r="Y1465" t="b">
        <v>0</v>
      </c>
    </row>
    <row r="1466" spans="1:25">
      <c r="A1466">
        <v>14650</v>
      </c>
      <c r="B1466" t="s">
        <v>2621</v>
      </c>
      <c r="C1466" t="s">
        <v>3150</v>
      </c>
      <c r="D1466" t="s">
        <v>2623</v>
      </c>
      <c r="E1466">
        <v>14650</v>
      </c>
      <c r="F1466">
        <v>29.2</v>
      </c>
      <c r="G1466">
        <v>738</v>
      </c>
      <c r="H1466">
        <v>24</v>
      </c>
      <c r="I1466">
        <v>654</v>
      </c>
      <c r="J1466">
        <v>24.4</v>
      </c>
      <c r="K1466">
        <v>1577</v>
      </c>
      <c r="L1466">
        <v>81.599999999999994</v>
      </c>
      <c r="M1466">
        <v>243</v>
      </c>
      <c r="N1466">
        <v>26.4</v>
      </c>
      <c r="O1466">
        <v>1651</v>
      </c>
      <c r="P1466" t="s">
        <v>94</v>
      </c>
      <c r="Q1466" s="1">
        <v>7482</v>
      </c>
      <c r="R1466">
        <v>9.6999999999999993</v>
      </c>
      <c r="S1466" s="2">
        <v>0.02</v>
      </c>
      <c r="T1466" t="s">
        <v>350</v>
      </c>
      <c r="U1466" s="2">
        <v>0.18</v>
      </c>
      <c r="V1466" t="s">
        <v>3150</v>
      </c>
      <c r="W1466" t="s">
        <v>3151</v>
      </c>
      <c r="X1466" t="b">
        <v>0</v>
      </c>
      <c r="Y1466" t="b">
        <v>0</v>
      </c>
    </row>
    <row r="1467" spans="1:25">
      <c r="A1467">
        <v>14660</v>
      </c>
      <c r="B1467" t="s">
        <v>2621</v>
      </c>
      <c r="C1467" t="s">
        <v>3152</v>
      </c>
      <c r="D1467" t="s">
        <v>2623</v>
      </c>
      <c r="E1467">
        <v>14660</v>
      </c>
      <c r="F1467">
        <v>31.3</v>
      </c>
      <c r="G1467">
        <v>629</v>
      </c>
      <c r="H1467">
        <v>15.2</v>
      </c>
      <c r="I1467">
        <v>1109</v>
      </c>
      <c r="J1467">
        <v>19.7</v>
      </c>
      <c r="K1467">
        <v>1688</v>
      </c>
      <c r="L1467">
        <v>43.1</v>
      </c>
      <c r="M1467">
        <v>922</v>
      </c>
      <c r="N1467">
        <v>44.4</v>
      </c>
      <c r="O1467">
        <v>981</v>
      </c>
      <c r="P1467" t="s">
        <v>94</v>
      </c>
      <c r="Q1467" s="1">
        <v>2602</v>
      </c>
      <c r="R1467">
        <v>10.4</v>
      </c>
      <c r="S1467" s="2">
        <v>0.08</v>
      </c>
      <c r="T1467" t="s">
        <v>51</v>
      </c>
      <c r="U1467" s="2">
        <v>0.37</v>
      </c>
      <c r="V1467" t="s">
        <v>3152</v>
      </c>
      <c r="W1467" t="s">
        <v>3153</v>
      </c>
      <c r="X1467" t="b">
        <v>0</v>
      </c>
      <c r="Y1467" t="b">
        <v>0</v>
      </c>
    </row>
    <row r="1468" spans="1:25">
      <c r="A1468">
        <v>14670</v>
      </c>
      <c r="B1468" t="s">
        <v>2621</v>
      </c>
      <c r="C1468" t="s">
        <v>3154</v>
      </c>
      <c r="D1468" t="s">
        <v>2623</v>
      </c>
      <c r="E1468">
        <v>14670</v>
      </c>
      <c r="F1468">
        <v>24</v>
      </c>
      <c r="G1468">
        <v>1082</v>
      </c>
      <c r="H1468">
        <v>26.1</v>
      </c>
      <c r="I1468">
        <v>569</v>
      </c>
      <c r="J1468">
        <v>26.4</v>
      </c>
      <c r="K1468">
        <v>1531</v>
      </c>
      <c r="L1468">
        <v>74</v>
      </c>
      <c r="M1468">
        <v>348</v>
      </c>
      <c r="N1468">
        <v>29.1</v>
      </c>
      <c r="O1468">
        <v>1539</v>
      </c>
      <c r="P1468" t="s">
        <v>94</v>
      </c>
      <c r="Q1468" s="1">
        <v>17662</v>
      </c>
      <c r="R1468">
        <v>24</v>
      </c>
      <c r="S1468" s="2">
        <v>0.04</v>
      </c>
      <c r="T1468" t="s">
        <v>162</v>
      </c>
      <c r="U1468" s="2">
        <v>0.37</v>
      </c>
      <c r="V1468" t="s">
        <v>3155</v>
      </c>
      <c r="W1468" t="s">
        <v>3156</v>
      </c>
      <c r="X1468" t="b">
        <v>0</v>
      </c>
      <c r="Y1468" t="b">
        <v>0</v>
      </c>
    </row>
    <row r="1469" spans="1:25">
      <c r="A1469">
        <v>14680</v>
      </c>
      <c r="B1469" t="s">
        <v>2621</v>
      </c>
      <c r="C1469" t="s">
        <v>3157</v>
      </c>
      <c r="D1469" t="s">
        <v>2623</v>
      </c>
      <c r="E1469">
        <v>14680</v>
      </c>
      <c r="F1469">
        <v>18.100000000000001</v>
      </c>
      <c r="G1469">
        <v>1547</v>
      </c>
      <c r="H1469">
        <v>21</v>
      </c>
      <c r="I1469">
        <v>772</v>
      </c>
      <c r="J1469">
        <v>31.8</v>
      </c>
      <c r="K1469">
        <v>1406</v>
      </c>
      <c r="L1469">
        <v>26.1</v>
      </c>
      <c r="M1469">
        <v>1299</v>
      </c>
      <c r="N1469">
        <v>51.3</v>
      </c>
      <c r="O1469">
        <v>765</v>
      </c>
      <c r="P1469" t="s">
        <v>984</v>
      </c>
      <c r="Q1469" s="1">
        <v>9642</v>
      </c>
      <c r="R1469">
        <v>20.100000000000001</v>
      </c>
      <c r="S1469" s="2">
        <v>0.11</v>
      </c>
      <c r="T1469" s="3">
        <v>2.3638888888888889</v>
      </c>
      <c r="U1469" s="2">
        <v>0.32</v>
      </c>
      <c r="V1469" t="s">
        <v>3157</v>
      </c>
      <c r="W1469" t="s">
        <v>3158</v>
      </c>
      <c r="X1469" t="b">
        <v>0</v>
      </c>
      <c r="Y1469" t="b">
        <v>0</v>
      </c>
    </row>
    <row r="1470" spans="1:25">
      <c r="A1470">
        <v>14690</v>
      </c>
      <c r="B1470" t="s">
        <v>2621</v>
      </c>
      <c r="C1470" t="s">
        <v>3159</v>
      </c>
      <c r="D1470" t="s">
        <v>2623</v>
      </c>
      <c r="E1470">
        <v>14690</v>
      </c>
      <c r="F1470">
        <v>27</v>
      </c>
      <c r="G1470">
        <v>878</v>
      </c>
      <c r="H1470">
        <v>14.6</v>
      </c>
      <c r="I1470">
        <v>1159</v>
      </c>
      <c r="J1470">
        <v>29.2</v>
      </c>
      <c r="K1470">
        <v>1465</v>
      </c>
      <c r="L1470">
        <v>61.9</v>
      </c>
      <c r="M1470">
        <v>616</v>
      </c>
      <c r="N1470">
        <v>33.1</v>
      </c>
      <c r="O1470">
        <v>1388</v>
      </c>
      <c r="P1470" t="s">
        <v>94</v>
      </c>
      <c r="Q1470" s="1">
        <v>8891</v>
      </c>
      <c r="R1470">
        <v>10.6</v>
      </c>
      <c r="S1470" s="2">
        <v>0.03</v>
      </c>
      <c r="T1470" t="s">
        <v>501</v>
      </c>
      <c r="U1470" s="2">
        <v>0.2</v>
      </c>
      <c r="V1470" t="s">
        <v>3159</v>
      </c>
      <c r="W1470" t="s">
        <v>3160</v>
      </c>
      <c r="X1470" t="b">
        <v>0</v>
      </c>
      <c r="Y1470" t="b">
        <v>0</v>
      </c>
    </row>
    <row r="1471" spans="1:25">
      <c r="A1471">
        <v>14700</v>
      </c>
      <c r="B1471" t="s">
        <v>2621</v>
      </c>
      <c r="C1471" t="s">
        <v>3161</v>
      </c>
      <c r="D1471" t="s">
        <v>2623</v>
      </c>
      <c r="E1471">
        <v>14700</v>
      </c>
      <c r="F1471">
        <v>15.4</v>
      </c>
      <c r="G1471">
        <v>1736</v>
      </c>
      <c r="H1471">
        <v>11.5</v>
      </c>
      <c r="I1471">
        <v>1474</v>
      </c>
      <c r="J1471">
        <v>49.8</v>
      </c>
      <c r="K1471">
        <v>1027</v>
      </c>
      <c r="L1471">
        <v>18.7</v>
      </c>
      <c r="M1471">
        <v>1615</v>
      </c>
      <c r="N1471">
        <v>36.9</v>
      </c>
      <c r="O1471">
        <v>1251</v>
      </c>
      <c r="P1471" t="s">
        <v>1853</v>
      </c>
      <c r="Q1471" s="1">
        <v>20075</v>
      </c>
      <c r="R1471">
        <v>20.399999999999999</v>
      </c>
      <c r="S1471" s="2">
        <v>0.01</v>
      </c>
      <c r="T1471" s="3">
        <v>2.2000000000000002</v>
      </c>
      <c r="U1471" s="2">
        <v>0.39</v>
      </c>
      <c r="V1471" t="s">
        <v>3161</v>
      </c>
      <c r="W1471" t="s">
        <v>3162</v>
      </c>
      <c r="X1471" t="b">
        <v>0</v>
      </c>
      <c r="Y1471" t="b">
        <v>0</v>
      </c>
    </row>
    <row r="1472" spans="1:25">
      <c r="A1472">
        <v>14710</v>
      </c>
      <c r="B1472" t="s">
        <v>2621</v>
      </c>
      <c r="C1472" t="s">
        <v>3163</v>
      </c>
      <c r="D1472" t="s">
        <v>2623</v>
      </c>
      <c r="E1472">
        <v>14710</v>
      </c>
      <c r="F1472">
        <v>11.3</v>
      </c>
      <c r="G1472">
        <v>1894</v>
      </c>
      <c r="H1472">
        <v>8.1999999999999993</v>
      </c>
      <c r="I1472">
        <v>1871</v>
      </c>
      <c r="J1472">
        <v>49.5</v>
      </c>
      <c r="K1472">
        <v>1030</v>
      </c>
      <c r="L1472">
        <v>15.9</v>
      </c>
      <c r="M1472">
        <v>1882</v>
      </c>
      <c r="N1472">
        <v>46.7</v>
      </c>
      <c r="O1472">
        <v>908</v>
      </c>
      <c r="P1472" t="s">
        <v>3164</v>
      </c>
      <c r="Q1472" s="1">
        <v>482541</v>
      </c>
      <c r="R1472">
        <v>30.9</v>
      </c>
      <c r="S1472" s="2">
        <v>0</v>
      </c>
      <c r="T1472" s="3">
        <v>2.2000000000000002</v>
      </c>
      <c r="U1472" s="2">
        <v>0.33</v>
      </c>
      <c r="V1472" t="s">
        <v>3163</v>
      </c>
      <c r="W1472" t="s">
        <v>3165</v>
      </c>
      <c r="X1472" t="b">
        <v>0</v>
      </c>
      <c r="Y1472" t="b">
        <v>0</v>
      </c>
    </row>
    <row r="1473" spans="1:25">
      <c r="A1473">
        <v>14720</v>
      </c>
      <c r="B1473" t="s">
        <v>2621</v>
      </c>
      <c r="C1473" t="s">
        <v>3166</v>
      </c>
      <c r="D1473" t="s">
        <v>2623</v>
      </c>
      <c r="E1473">
        <v>14720</v>
      </c>
      <c r="F1473">
        <v>16.5</v>
      </c>
      <c r="G1473">
        <v>1665</v>
      </c>
      <c r="H1473">
        <v>14.4</v>
      </c>
      <c r="I1473">
        <v>1172</v>
      </c>
      <c r="J1473">
        <v>37.799999999999997</v>
      </c>
      <c r="K1473">
        <v>1264</v>
      </c>
      <c r="L1473">
        <v>49.4</v>
      </c>
      <c r="M1473">
        <v>822</v>
      </c>
      <c r="N1473">
        <v>46.6</v>
      </c>
      <c r="O1473">
        <v>915</v>
      </c>
      <c r="P1473" t="s">
        <v>389</v>
      </c>
      <c r="Q1473" s="1">
        <v>15201</v>
      </c>
      <c r="R1473">
        <v>20.399999999999999</v>
      </c>
      <c r="S1473" s="2">
        <v>0.1</v>
      </c>
      <c r="T1473" s="3">
        <v>2.3229166666666665</v>
      </c>
      <c r="U1473" s="2">
        <v>0.35</v>
      </c>
      <c r="V1473" t="s">
        <v>3166</v>
      </c>
      <c r="W1473" t="s">
        <v>3167</v>
      </c>
      <c r="X1473" t="b">
        <v>0</v>
      </c>
      <c r="Y1473" t="b">
        <v>0</v>
      </c>
    </row>
    <row r="1474" spans="1:25">
      <c r="A1474">
        <v>14730</v>
      </c>
      <c r="B1474" t="s">
        <v>2621</v>
      </c>
      <c r="C1474" t="s">
        <v>3168</v>
      </c>
      <c r="D1474" t="s">
        <v>2623</v>
      </c>
      <c r="E1474">
        <v>14730</v>
      </c>
      <c r="F1474">
        <v>30.9</v>
      </c>
      <c r="G1474">
        <v>646</v>
      </c>
      <c r="H1474">
        <v>10.3</v>
      </c>
      <c r="I1474">
        <v>1621</v>
      </c>
      <c r="J1474">
        <v>23.5</v>
      </c>
      <c r="K1474">
        <v>1598</v>
      </c>
      <c r="L1474">
        <v>16.600000000000001</v>
      </c>
      <c r="M1474">
        <v>1803</v>
      </c>
      <c r="N1474">
        <v>39.200000000000003</v>
      </c>
      <c r="O1474">
        <v>1146</v>
      </c>
      <c r="P1474" t="s">
        <v>2171</v>
      </c>
      <c r="Q1474" s="1">
        <v>17124</v>
      </c>
      <c r="R1474">
        <v>11.4</v>
      </c>
      <c r="S1474" s="2">
        <v>0.02</v>
      </c>
      <c r="T1474" s="3">
        <v>2.9375</v>
      </c>
      <c r="U1474" s="2">
        <v>0.34</v>
      </c>
      <c r="V1474" t="s">
        <v>3168</v>
      </c>
      <c r="W1474" t="s">
        <v>3169</v>
      </c>
      <c r="X1474" t="b">
        <v>0</v>
      </c>
      <c r="Y1474" t="b">
        <v>0</v>
      </c>
    </row>
    <row r="1475" spans="1:25">
      <c r="A1475">
        <v>14740</v>
      </c>
      <c r="B1475" t="s">
        <v>2621</v>
      </c>
      <c r="C1475" t="s">
        <v>3170</v>
      </c>
      <c r="D1475" t="s">
        <v>2623</v>
      </c>
      <c r="E1475">
        <v>14740</v>
      </c>
      <c r="F1475">
        <v>25.3</v>
      </c>
      <c r="G1475">
        <v>985</v>
      </c>
      <c r="H1475">
        <v>26</v>
      </c>
      <c r="I1475">
        <v>574</v>
      </c>
      <c r="J1475">
        <v>18.3</v>
      </c>
      <c r="K1475">
        <v>1711</v>
      </c>
      <c r="L1475">
        <v>65.599999999999994</v>
      </c>
      <c r="M1475">
        <v>535</v>
      </c>
      <c r="N1475">
        <v>27.1</v>
      </c>
      <c r="O1475">
        <v>1614</v>
      </c>
      <c r="P1475" t="s">
        <v>389</v>
      </c>
      <c r="Q1475" s="1">
        <v>3050</v>
      </c>
      <c r="R1475">
        <v>8.9</v>
      </c>
      <c r="S1475" s="2">
        <v>0.08</v>
      </c>
      <c r="T1475" s="3">
        <v>2.5277777777777777</v>
      </c>
      <c r="U1475" s="2">
        <v>0.04</v>
      </c>
      <c r="V1475" t="s">
        <v>3171</v>
      </c>
      <c r="W1475" t="s">
        <v>3172</v>
      </c>
      <c r="X1475" t="b">
        <v>0</v>
      </c>
      <c r="Y1475" t="b">
        <v>0</v>
      </c>
    </row>
    <row r="1476" spans="1:25">
      <c r="A1476">
        <v>14750</v>
      </c>
      <c r="B1476" t="s">
        <v>2621</v>
      </c>
      <c r="C1476" t="s">
        <v>3173</v>
      </c>
      <c r="D1476" t="s">
        <v>2623</v>
      </c>
      <c r="E1476">
        <v>14750</v>
      </c>
      <c r="F1476">
        <v>11.9</v>
      </c>
      <c r="G1476">
        <v>1881</v>
      </c>
      <c r="H1476">
        <v>13.9</v>
      </c>
      <c r="I1476">
        <v>1219</v>
      </c>
      <c r="J1476">
        <v>38</v>
      </c>
      <c r="K1476">
        <v>1260</v>
      </c>
      <c r="L1476">
        <v>15.6</v>
      </c>
      <c r="M1476">
        <v>1906</v>
      </c>
      <c r="N1476">
        <v>58.6</v>
      </c>
      <c r="O1476">
        <v>613</v>
      </c>
      <c r="P1476" t="s">
        <v>386</v>
      </c>
      <c r="Q1476" s="1">
        <v>35499</v>
      </c>
      <c r="R1476">
        <v>36</v>
      </c>
      <c r="S1476" s="2">
        <v>0.37</v>
      </c>
      <c r="T1476" s="3">
        <v>2.6097222222222221</v>
      </c>
      <c r="U1476" s="2">
        <v>0.24</v>
      </c>
      <c r="V1476" t="s">
        <v>3173</v>
      </c>
      <c r="W1476" t="s">
        <v>3174</v>
      </c>
      <c r="X1476" t="b">
        <v>0</v>
      </c>
      <c r="Y1476" t="b">
        <v>0</v>
      </c>
    </row>
    <row r="1477" spans="1:25">
      <c r="A1477">
        <v>14760</v>
      </c>
      <c r="B1477" t="s">
        <v>2621</v>
      </c>
      <c r="C1477" t="s">
        <v>3175</v>
      </c>
      <c r="D1477" t="s">
        <v>2623</v>
      </c>
      <c r="E1477">
        <v>14760</v>
      </c>
      <c r="F1477">
        <v>30.1</v>
      </c>
      <c r="G1477">
        <v>683</v>
      </c>
      <c r="H1477">
        <v>15.4</v>
      </c>
      <c r="I1477">
        <v>1090</v>
      </c>
      <c r="J1477">
        <v>22.3</v>
      </c>
      <c r="K1477">
        <v>1633</v>
      </c>
      <c r="L1477">
        <v>25.2</v>
      </c>
      <c r="M1477">
        <v>1334</v>
      </c>
      <c r="N1477">
        <v>29.3</v>
      </c>
      <c r="O1477">
        <v>1530</v>
      </c>
      <c r="P1477" t="s">
        <v>577</v>
      </c>
      <c r="Q1477" s="1">
        <v>12990</v>
      </c>
      <c r="R1477">
        <v>24.3</v>
      </c>
      <c r="S1477" s="2">
        <v>0</v>
      </c>
      <c r="T1477" s="3">
        <v>1.9951388888888888</v>
      </c>
      <c r="U1477" s="2">
        <v>0.3</v>
      </c>
      <c r="V1477" t="s">
        <v>3175</v>
      </c>
      <c r="W1477" t="s">
        <v>3176</v>
      </c>
      <c r="X1477" t="b">
        <v>0</v>
      </c>
      <c r="Y1477" t="b">
        <v>0</v>
      </c>
    </row>
    <row r="1478" spans="1:25">
      <c r="A1478">
        <v>14770</v>
      </c>
      <c r="B1478" t="s">
        <v>2621</v>
      </c>
      <c r="C1478" t="s">
        <v>3177</v>
      </c>
      <c r="D1478" t="s">
        <v>2623</v>
      </c>
      <c r="E1478">
        <v>14770</v>
      </c>
      <c r="F1478">
        <v>22</v>
      </c>
      <c r="G1478">
        <v>1230</v>
      </c>
      <c r="H1478">
        <v>13.5</v>
      </c>
      <c r="I1478">
        <v>1260</v>
      </c>
      <c r="J1478">
        <v>37</v>
      </c>
      <c r="K1478">
        <v>1280</v>
      </c>
      <c r="L1478">
        <v>18.5</v>
      </c>
      <c r="M1478">
        <v>1631</v>
      </c>
      <c r="N1478">
        <v>42.1</v>
      </c>
      <c r="O1478">
        <v>1050</v>
      </c>
      <c r="P1478" t="s">
        <v>664</v>
      </c>
      <c r="Q1478" s="1">
        <v>16137</v>
      </c>
      <c r="R1478">
        <v>16.600000000000001</v>
      </c>
      <c r="S1478" s="2">
        <v>0.06</v>
      </c>
      <c r="T1478" s="3">
        <v>1.9541666666666666</v>
      </c>
      <c r="U1478" s="2">
        <v>0.46</v>
      </c>
      <c r="V1478" t="s">
        <v>3177</v>
      </c>
      <c r="W1478" t="s">
        <v>3178</v>
      </c>
      <c r="X1478" t="b">
        <v>0</v>
      </c>
      <c r="Y1478" t="b">
        <v>0</v>
      </c>
    </row>
    <row r="1479" spans="1:25">
      <c r="A1479">
        <v>14780</v>
      </c>
      <c r="B1479" t="s">
        <v>2621</v>
      </c>
      <c r="C1479" t="s">
        <v>3179</v>
      </c>
      <c r="D1479" t="s">
        <v>2623</v>
      </c>
      <c r="E1479">
        <v>14780</v>
      </c>
      <c r="F1479">
        <v>25.1</v>
      </c>
      <c r="G1479">
        <v>1001</v>
      </c>
      <c r="H1479">
        <v>14.4</v>
      </c>
      <c r="I1479">
        <v>1174</v>
      </c>
      <c r="J1479">
        <v>37.9</v>
      </c>
      <c r="K1479">
        <v>1262</v>
      </c>
      <c r="L1479">
        <v>43.8</v>
      </c>
      <c r="M1479">
        <v>911</v>
      </c>
      <c r="N1479">
        <v>38.1</v>
      </c>
      <c r="O1479">
        <v>1194</v>
      </c>
      <c r="P1479" t="s">
        <v>386</v>
      </c>
      <c r="Q1479" s="1">
        <v>21261</v>
      </c>
      <c r="R1479">
        <v>10.7</v>
      </c>
      <c r="S1479" s="2">
        <v>0.06</v>
      </c>
      <c r="T1479" s="3">
        <v>2.3638888888888889</v>
      </c>
      <c r="U1479" s="2">
        <v>0.32</v>
      </c>
      <c r="V1479" t="s">
        <v>3179</v>
      </c>
      <c r="W1479" t="s">
        <v>3180</v>
      </c>
      <c r="X1479" t="b">
        <v>0</v>
      </c>
      <c r="Y1479" t="b">
        <v>0</v>
      </c>
    </row>
    <row r="1480" spans="1:25">
      <c r="A1480">
        <v>14790</v>
      </c>
      <c r="B1480" t="s">
        <v>2621</v>
      </c>
      <c r="C1480" t="s">
        <v>3181</v>
      </c>
      <c r="D1480" t="s">
        <v>2623</v>
      </c>
      <c r="E1480">
        <v>14790</v>
      </c>
      <c r="F1480">
        <v>17.899999999999999</v>
      </c>
      <c r="G1480">
        <v>1563</v>
      </c>
      <c r="H1480">
        <v>9.1</v>
      </c>
      <c r="I1480">
        <v>1791</v>
      </c>
      <c r="J1480">
        <v>44.4</v>
      </c>
      <c r="K1480">
        <v>1141</v>
      </c>
      <c r="L1480">
        <v>16</v>
      </c>
      <c r="M1480">
        <v>1870</v>
      </c>
      <c r="N1480">
        <v>27.7</v>
      </c>
      <c r="O1480">
        <v>1597</v>
      </c>
      <c r="P1480" t="s">
        <v>528</v>
      </c>
      <c r="Q1480" s="1">
        <v>9943</v>
      </c>
      <c r="R1480">
        <v>14.4</v>
      </c>
      <c r="S1480" s="2">
        <v>0.02</v>
      </c>
      <c r="T1480">
        <v>0.72499999999999998</v>
      </c>
      <c r="U1480" s="2">
        <v>0.45</v>
      </c>
      <c r="V1480" t="s">
        <v>3182</v>
      </c>
      <c r="W1480" t="s">
        <v>3183</v>
      </c>
      <c r="X1480" t="b">
        <v>0</v>
      </c>
      <c r="Y1480" t="b">
        <v>0</v>
      </c>
    </row>
    <row r="1481" spans="1:25">
      <c r="A1481">
        <v>14800</v>
      </c>
      <c r="B1481" t="s">
        <v>2621</v>
      </c>
      <c r="C1481" t="s">
        <v>3184</v>
      </c>
      <c r="D1481" t="s">
        <v>2623</v>
      </c>
      <c r="E1481">
        <v>14800</v>
      </c>
      <c r="F1481">
        <v>20.3</v>
      </c>
      <c r="G1481">
        <v>1353</v>
      </c>
      <c r="H1481">
        <v>29.2</v>
      </c>
      <c r="I1481">
        <v>493</v>
      </c>
      <c r="J1481">
        <v>19.899999999999999</v>
      </c>
      <c r="K1481">
        <v>1682</v>
      </c>
      <c r="L1481">
        <v>16.8</v>
      </c>
      <c r="M1481">
        <v>1780</v>
      </c>
      <c r="N1481">
        <v>49</v>
      </c>
      <c r="O1481">
        <v>831</v>
      </c>
      <c r="P1481" t="s">
        <v>421</v>
      </c>
      <c r="Q1481" s="1">
        <v>11848</v>
      </c>
      <c r="R1481">
        <v>29.4</v>
      </c>
      <c r="S1481" s="2">
        <v>0.01</v>
      </c>
      <c r="T1481" s="3">
        <v>2.4458333333333333</v>
      </c>
      <c r="U1481" s="2">
        <v>0.25</v>
      </c>
      <c r="V1481" t="s">
        <v>3184</v>
      </c>
      <c r="W1481" t="s">
        <v>3185</v>
      </c>
      <c r="X1481" t="b">
        <v>0</v>
      </c>
      <c r="Y1481" t="b">
        <v>0</v>
      </c>
    </row>
    <row r="1482" spans="1:25">
      <c r="A1482">
        <v>14810</v>
      </c>
      <c r="B1482" t="s">
        <v>2621</v>
      </c>
      <c r="C1482" t="s">
        <v>3186</v>
      </c>
      <c r="D1482" t="s">
        <v>2623</v>
      </c>
      <c r="E1482">
        <v>14810</v>
      </c>
      <c r="F1482">
        <v>20.9</v>
      </c>
      <c r="G1482">
        <v>1312</v>
      </c>
      <c r="H1482">
        <v>11.2</v>
      </c>
      <c r="I1482">
        <v>1506</v>
      </c>
      <c r="J1482">
        <v>46.8</v>
      </c>
      <c r="K1482">
        <v>1082</v>
      </c>
      <c r="L1482">
        <v>19.100000000000001</v>
      </c>
      <c r="M1482">
        <v>1585</v>
      </c>
      <c r="N1482">
        <v>48.9</v>
      </c>
      <c r="O1482">
        <v>836</v>
      </c>
      <c r="P1482" t="s">
        <v>1468</v>
      </c>
      <c r="Q1482" s="1">
        <v>52005</v>
      </c>
      <c r="R1482">
        <v>15.9</v>
      </c>
      <c r="S1482" s="2">
        <v>0.01</v>
      </c>
      <c r="T1482" s="3">
        <v>2.6506944444444445</v>
      </c>
      <c r="U1482" s="2">
        <v>0.38</v>
      </c>
      <c r="V1482" t="s">
        <v>3187</v>
      </c>
      <c r="W1482" t="s">
        <v>3188</v>
      </c>
      <c r="X1482" t="b">
        <v>0</v>
      </c>
      <c r="Y1482" t="b">
        <v>0</v>
      </c>
    </row>
    <row r="1483" spans="1:25">
      <c r="A1483">
        <v>14820</v>
      </c>
      <c r="B1483" t="s">
        <v>2621</v>
      </c>
      <c r="C1483" t="s">
        <v>3189</v>
      </c>
      <c r="D1483" t="s">
        <v>2623</v>
      </c>
      <c r="E1483">
        <v>14820</v>
      </c>
      <c r="F1483">
        <v>22</v>
      </c>
      <c r="G1483">
        <v>1232</v>
      </c>
      <c r="H1483">
        <v>16.3</v>
      </c>
      <c r="I1483">
        <v>1030</v>
      </c>
      <c r="J1483">
        <v>36</v>
      </c>
      <c r="K1483">
        <v>1304</v>
      </c>
      <c r="L1483">
        <v>57.8</v>
      </c>
      <c r="M1483">
        <v>689</v>
      </c>
      <c r="N1483">
        <v>47.2</v>
      </c>
      <c r="O1483">
        <v>888</v>
      </c>
      <c r="P1483" t="s">
        <v>2026</v>
      </c>
      <c r="Q1483" s="1">
        <v>8369</v>
      </c>
      <c r="R1483">
        <v>12.3</v>
      </c>
      <c r="S1483" s="2">
        <v>0.11</v>
      </c>
      <c r="T1483" t="s">
        <v>113</v>
      </c>
      <c r="U1483" s="2">
        <v>0.47</v>
      </c>
      <c r="V1483" t="s">
        <v>3189</v>
      </c>
      <c r="W1483" t="s">
        <v>3190</v>
      </c>
      <c r="X1483" t="b">
        <v>0</v>
      </c>
      <c r="Y1483" t="b">
        <v>0</v>
      </c>
    </row>
    <row r="1484" spans="1:25">
      <c r="A1484">
        <v>14830</v>
      </c>
      <c r="B1484" t="s">
        <v>2621</v>
      </c>
      <c r="C1484" t="s">
        <v>3191</v>
      </c>
      <c r="D1484" t="s">
        <v>2623</v>
      </c>
      <c r="E1484">
        <v>14830</v>
      </c>
      <c r="F1484">
        <v>24.5</v>
      </c>
      <c r="G1484">
        <v>1047</v>
      </c>
      <c r="H1484">
        <v>13.4</v>
      </c>
      <c r="I1484">
        <v>1276</v>
      </c>
      <c r="J1484">
        <v>41.8</v>
      </c>
      <c r="K1484">
        <v>1189</v>
      </c>
      <c r="L1484">
        <v>40.4</v>
      </c>
      <c r="M1484">
        <v>975</v>
      </c>
      <c r="N1484">
        <v>20.100000000000001</v>
      </c>
      <c r="O1484">
        <v>1869</v>
      </c>
      <c r="P1484" t="s">
        <v>528</v>
      </c>
      <c r="Q1484" s="1">
        <v>4512</v>
      </c>
      <c r="R1484">
        <v>15.3</v>
      </c>
      <c r="S1484" s="2">
        <v>0.02</v>
      </c>
      <c r="T1484" t="s">
        <v>529</v>
      </c>
      <c r="U1484" s="2">
        <v>0.45</v>
      </c>
      <c r="V1484" t="s">
        <v>3191</v>
      </c>
      <c r="W1484" t="s">
        <v>1827</v>
      </c>
      <c r="X1484" t="b">
        <v>0</v>
      </c>
      <c r="Y1484" t="b">
        <v>0</v>
      </c>
    </row>
    <row r="1485" spans="1:25">
      <c r="A1485">
        <v>14840</v>
      </c>
      <c r="B1485" t="s">
        <v>2621</v>
      </c>
      <c r="C1485" t="s">
        <v>3192</v>
      </c>
      <c r="D1485" t="s">
        <v>2623</v>
      </c>
      <c r="E1485">
        <v>14840</v>
      </c>
      <c r="F1485">
        <v>26.4</v>
      </c>
      <c r="G1485">
        <v>918</v>
      </c>
      <c r="H1485">
        <v>10.9</v>
      </c>
      <c r="I1485">
        <v>1543</v>
      </c>
      <c r="J1485">
        <v>8.8000000000000007</v>
      </c>
      <c r="K1485">
        <v>1873</v>
      </c>
      <c r="L1485">
        <v>46.6</v>
      </c>
      <c r="M1485">
        <v>874</v>
      </c>
      <c r="N1485">
        <v>47.2</v>
      </c>
      <c r="O1485">
        <v>889</v>
      </c>
      <c r="P1485" t="s">
        <v>1123</v>
      </c>
      <c r="Q1485" s="1">
        <v>17491</v>
      </c>
      <c r="R1485">
        <v>8.3000000000000007</v>
      </c>
      <c r="S1485" s="2">
        <v>0.28000000000000003</v>
      </c>
      <c r="T1485" s="3">
        <v>2.2409722222222221</v>
      </c>
      <c r="U1485" s="2">
        <v>0.41</v>
      </c>
      <c r="V1485" t="s">
        <v>3192</v>
      </c>
      <c r="W1485" t="s">
        <v>3193</v>
      </c>
      <c r="X1485" t="b">
        <v>0</v>
      </c>
      <c r="Y1485" t="b">
        <v>0</v>
      </c>
    </row>
    <row r="1486" spans="1:25">
      <c r="A1486">
        <v>14850</v>
      </c>
      <c r="B1486" t="s">
        <v>2621</v>
      </c>
      <c r="C1486" t="s">
        <v>3194</v>
      </c>
      <c r="D1486" t="s">
        <v>2623</v>
      </c>
      <c r="E1486">
        <v>14850</v>
      </c>
      <c r="F1486">
        <v>24</v>
      </c>
      <c r="G1486">
        <v>1083</v>
      </c>
      <c r="H1486">
        <v>12.9</v>
      </c>
      <c r="I1486">
        <v>1317</v>
      </c>
      <c r="J1486">
        <v>34.5</v>
      </c>
      <c r="K1486">
        <v>1338</v>
      </c>
      <c r="L1486">
        <v>15.8</v>
      </c>
      <c r="M1486">
        <v>1894</v>
      </c>
      <c r="N1486">
        <v>27.9</v>
      </c>
      <c r="O1486">
        <v>1584</v>
      </c>
      <c r="P1486" t="s">
        <v>255</v>
      </c>
      <c r="Q1486" s="1">
        <v>6577</v>
      </c>
      <c r="R1486">
        <v>10.5</v>
      </c>
      <c r="S1486" s="2">
        <v>0.05</v>
      </c>
      <c r="T1486" s="3">
        <v>1.83125</v>
      </c>
      <c r="U1486" s="2">
        <v>0.28999999999999998</v>
      </c>
      <c r="V1486" t="s">
        <v>3194</v>
      </c>
      <c r="W1486" t="s">
        <v>3195</v>
      </c>
      <c r="X1486" t="b">
        <v>0</v>
      </c>
      <c r="Y1486" t="b">
        <v>0</v>
      </c>
    </row>
    <row r="1487" spans="1:25">
      <c r="A1487">
        <v>14860</v>
      </c>
      <c r="B1487" t="s">
        <v>2621</v>
      </c>
      <c r="C1487" t="s">
        <v>3196</v>
      </c>
      <c r="D1487" t="s">
        <v>2623</v>
      </c>
      <c r="E1487">
        <v>14860</v>
      </c>
      <c r="F1487">
        <v>26.8</v>
      </c>
      <c r="G1487">
        <v>888</v>
      </c>
      <c r="H1487">
        <v>19.7</v>
      </c>
      <c r="I1487">
        <v>830</v>
      </c>
      <c r="J1487">
        <v>27.8</v>
      </c>
      <c r="K1487">
        <v>1501</v>
      </c>
      <c r="L1487">
        <v>31</v>
      </c>
      <c r="M1487">
        <v>1158</v>
      </c>
      <c r="N1487">
        <v>46.9</v>
      </c>
      <c r="O1487">
        <v>895</v>
      </c>
      <c r="P1487" t="s">
        <v>984</v>
      </c>
      <c r="Q1487" s="1">
        <v>11390</v>
      </c>
      <c r="R1487">
        <v>14.7</v>
      </c>
      <c r="S1487" s="2">
        <v>0.13</v>
      </c>
      <c r="T1487" t="s">
        <v>51</v>
      </c>
      <c r="U1487" s="2">
        <v>0.47</v>
      </c>
      <c r="V1487" t="s">
        <v>3196</v>
      </c>
      <c r="W1487" t="s">
        <v>3197</v>
      </c>
      <c r="X1487" t="b">
        <v>0</v>
      </c>
      <c r="Y1487" t="b">
        <v>0</v>
      </c>
    </row>
    <row r="1488" spans="1:25">
      <c r="A1488">
        <v>14870</v>
      </c>
      <c r="B1488" t="s">
        <v>2621</v>
      </c>
      <c r="C1488" t="s">
        <v>3198</v>
      </c>
      <c r="D1488" t="s">
        <v>2623</v>
      </c>
      <c r="E1488">
        <v>14870</v>
      </c>
      <c r="F1488">
        <v>22.4</v>
      </c>
      <c r="G1488">
        <v>1199</v>
      </c>
      <c r="H1488">
        <v>12.3</v>
      </c>
      <c r="I1488">
        <v>1384</v>
      </c>
      <c r="J1488">
        <v>27.4</v>
      </c>
      <c r="K1488">
        <v>1514</v>
      </c>
      <c r="L1488">
        <v>20.9</v>
      </c>
      <c r="M1488">
        <v>1491</v>
      </c>
      <c r="N1488">
        <v>61.9</v>
      </c>
      <c r="O1488">
        <v>544</v>
      </c>
      <c r="P1488" t="s">
        <v>2026</v>
      </c>
      <c r="Q1488" s="1">
        <v>8210</v>
      </c>
      <c r="R1488">
        <v>11.2</v>
      </c>
      <c r="S1488" s="2">
        <v>0.15</v>
      </c>
      <c r="T1488" s="3">
        <v>2.5687500000000001</v>
      </c>
      <c r="U1488" s="2">
        <v>0.23</v>
      </c>
      <c r="V1488" t="s">
        <v>3198</v>
      </c>
      <c r="W1488" t="s">
        <v>3199</v>
      </c>
      <c r="X1488" t="b">
        <v>0</v>
      </c>
      <c r="Y1488" t="b">
        <v>0</v>
      </c>
    </row>
    <row r="1489" spans="1:25">
      <c r="A1489">
        <v>14880</v>
      </c>
      <c r="B1489" t="s">
        <v>2621</v>
      </c>
      <c r="C1489" t="s">
        <v>3200</v>
      </c>
      <c r="D1489" t="s">
        <v>2623</v>
      </c>
      <c r="E1489">
        <v>14880</v>
      </c>
      <c r="F1489">
        <v>20.9</v>
      </c>
      <c r="G1489">
        <v>1313</v>
      </c>
      <c r="H1489">
        <v>13.3</v>
      </c>
      <c r="I1489">
        <v>1282</v>
      </c>
      <c r="J1489">
        <v>35.5</v>
      </c>
      <c r="K1489">
        <v>1315</v>
      </c>
      <c r="L1489">
        <v>16.3</v>
      </c>
      <c r="M1489">
        <v>1834</v>
      </c>
      <c r="N1489">
        <v>40.700000000000003</v>
      </c>
      <c r="O1489">
        <v>1097</v>
      </c>
      <c r="P1489" t="s">
        <v>1448</v>
      </c>
      <c r="Q1489" s="1">
        <v>8553</v>
      </c>
      <c r="R1489">
        <v>13.6</v>
      </c>
      <c r="S1489" s="2">
        <v>0.01</v>
      </c>
      <c r="T1489" s="3">
        <v>3.0604166666666668</v>
      </c>
      <c r="U1489" s="2">
        <v>0.25</v>
      </c>
      <c r="V1489" t="s">
        <v>3201</v>
      </c>
      <c r="W1489" t="s">
        <v>3202</v>
      </c>
      <c r="X1489" t="b">
        <v>0</v>
      </c>
      <c r="Y1489" t="b">
        <v>0</v>
      </c>
    </row>
    <row r="1490" spans="1:25">
      <c r="A1490">
        <v>14890</v>
      </c>
      <c r="B1490" t="s">
        <v>2621</v>
      </c>
      <c r="C1490" t="s">
        <v>3203</v>
      </c>
      <c r="D1490" t="s">
        <v>2623</v>
      </c>
      <c r="E1490">
        <v>14890</v>
      </c>
      <c r="F1490">
        <v>19.899999999999999</v>
      </c>
      <c r="G1490">
        <v>1385</v>
      </c>
      <c r="H1490">
        <v>11.8</v>
      </c>
      <c r="I1490">
        <v>1433</v>
      </c>
      <c r="J1490">
        <v>41.6</v>
      </c>
      <c r="K1490">
        <v>1195</v>
      </c>
      <c r="L1490">
        <v>23.4</v>
      </c>
      <c r="M1490">
        <v>1386</v>
      </c>
      <c r="N1490">
        <v>34.200000000000003</v>
      </c>
      <c r="O1490">
        <v>1349</v>
      </c>
      <c r="P1490" t="s">
        <v>1543</v>
      </c>
      <c r="Q1490" s="1">
        <v>15737</v>
      </c>
      <c r="R1490">
        <v>13.4</v>
      </c>
      <c r="S1490" s="2">
        <v>0.08</v>
      </c>
      <c r="T1490" s="3">
        <v>2.4458333333333333</v>
      </c>
      <c r="U1490" s="2">
        <v>0.24</v>
      </c>
      <c r="V1490" t="s">
        <v>3203</v>
      </c>
      <c r="W1490" t="s">
        <v>3204</v>
      </c>
      <c r="X1490" t="b">
        <v>0</v>
      </c>
      <c r="Y1490" t="b">
        <v>0</v>
      </c>
    </row>
    <row r="1491" spans="1:25">
      <c r="A1491">
        <v>14900</v>
      </c>
      <c r="B1491" t="s">
        <v>2621</v>
      </c>
      <c r="C1491" t="s">
        <v>3205</v>
      </c>
      <c r="D1491" t="s">
        <v>2623</v>
      </c>
      <c r="E1491">
        <v>14900</v>
      </c>
      <c r="F1491">
        <v>22</v>
      </c>
      <c r="G1491">
        <v>1233</v>
      </c>
      <c r="H1491">
        <v>19.600000000000001</v>
      </c>
      <c r="I1491">
        <v>836</v>
      </c>
      <c r="J1491">
        <v>33.299999999999997</v>
      </c>
      <c r="K1491">
        <v>1372</v>
      </c>
      <c r="L1491">
        <v>53.5</v>
      </c>
      <c r="M1491">
        <v>745</v>
      </c>
      <c r="N1491">
        <v>31.7</v>
      </c>
      <c r="O1491">
        <v>1442</v>
      </c>
      <c r="P1491" t="s">
        <v>1543</v>
      </c>
      <c r="Q1491" s="1">
        <v>23167</v>
      </c>
      <c r="R1491">
        <v>17.100000000000001</v>
      </c>
      <c r="S1491" s="2">
        <v>7.0000000000000007E-2</v>
      </c>
      <c r="T1491" t="s">
        <v>324</v>
      </c>
      <c r="U1491" s="2">
        <v>0.45</v>
      </c>
      <c r="V1491" t="s">
        <v>3205</v>
      </c>
      <c r="W1491" t="s">
        <v>3206</v>
      </c>
      <c r="X1491" t="b">
        <v>0</v>
      </c>
      <c r="Y1491" t="b">
        <v>0</v>
      </c>
    </row>
    <row r="1492" spans="1:25">
      <c r="A1492">
        <v>14910</v>
      </c>
      <c r="B1492" t="s">
        <v>2621</v>
      </c>
      <c r="C1492" t="s">
        <v>3207</v>
      </c>
      <c r="D1492" t="s">
        <v>2623</v>
      </c>
      <c r="E1492">
        <v>14910</v>
      </c>
      <c r="F1492">
        <v>20.5</v>
      </c>
      <c r="G1492">
        <v>1341</v>
      </c>
      <c r="H1492">
        <v>18</v>
      </c>
      <c r="I1492">
        <v>921</v>
      </c>
      <c r="J1492">
        <v>35.200000000000003</v>
      </c>
      <c r="K1492">
        <v>1322</v>
      </c>
      <c r="L1492">
        <v>27.7</v>
      </c>
      <c r="M1492">
        <v>1248</v>
      </c>
      <c r="N1492">
        <v>32.4</v>
      </c>
      <c r="O1492">
        <v>1412</v>
      </c>
      <c r="P1492" t="s">
        <v>984</v>
      </c>
      <c r="Q1492" s="1">
        <v>11252</v>
      </c>
      <c r="R1492">
        <v>14.8</v>
      </c>
      <c r="S1492" s="2">
        <v>0.05</v>
      </c>
      <c r="T1492" s="3">
        <v>2.2819444444444446</v>
      </c>
      <c r="U1492" s="2">
        <v>0.44</v>
      </c>
      <c r="V1492" t="s">
        <v>3207</v>
      </c>
      <c r="W1492" t="s">
        <v>3208</v>
      </c>
      <c r="X1492" t="b">
        <v>0</v>
      </c>
      <c r="Y1492" t="b">
        <v>0</v>
      </c>
    </row>
    <row r="1493" spans="1:25">
      <c r="A1493">
        <v>14920</v>
      </c>
      <c r="B1493" t="s">
        <v>2621</v>
      </c>
      <c r="C1493" t="s">
        <v>3209</v>
      </c>
      <c r="D1493" t="s">
        <v>2623</v>
      </c>
      <c r="E1493">
        <v>14920</v>
      </c>
      <c r="F1493">
        <v>11.6</v>
      </c>
      <c r="G1493">
        <v>1889</v>
      </c>
      <c r="H1493">
        <v>17.100000000000001</v>
      </c>
      <c r="I1493">
        <v>970</v>
      </c>
      <c r="J1493">
        <v>39.299999999999997</v>
      </c>
      <c r="K1493">
        <v>1233</v>
      </c>
      <c r="L1493">
        <v>26.2</v>
      </c>
      <c r="M1493">
        <v>1293</v>
      </c>
      <c r="N1493">
        <v>27.9</v>
      </c>
      <c r="O1493">
        <v>1586</v>
      </c>
      <c r="P1493" t="s">
        <v>1220</v>
      </c>
      <c r="Q1493" s="1">
        <v>10959</v>
      </c>
      <c r="R1493">
        <v>46.2</v>
      </c>
      <c r="S1493" s="2">
        <v>0.02</v>
      </c>
      <c r="T1493" s="3">
        <v>2.1590277777777778</v>
      </c>
      <c r="U1493" s="2">
        <v>0.43</v>
      </c>
      <c r="V1493" t="s">
        <v>3209</v>
      </c>
      <c r="W1493" t="s">
        <v>3210</v>
      </c>
      <c r="X1493" t="b">
        <v>0</v>
      </c>
      <c r="Y1493" t="b">
        <v>0</v>
      </c>
    </row>
    <row r="1494" spans="1:25">
      <c r="A1494">
        <v>14930</v>
      </c>
      <c r="B1494" t="s">
        <v>2621</v>
      </c>
      <c r="C1494" t="s">
        <v>3211</v>
      </c>
      <c r="D1494" t="s">
        <v>2623</v>
      </c>
      <c r="E1494">
        <v>14930</v>
      </c>
      <c r="F1494">
        <v>24.3</v>
      </c>
      <c r="G1494">
        <v>1062</v>
      </c>
      <c r="H1494">
        <v>13.7</v>
      </c>
      <c r="I1494">
        <v>1235</v>
      </c>
      <c r="J1494">
        <v>40.200000000000003</v>
      </c>
      <c r="K1494">
        <v>1222</v>
      </c>
      <c r="L1494">
        <v>17.399999999999999</v>
      </c>
      <c r="M1494">
        <v>1722</v>
      </c>
      <c r="N1494">
        <v>34.9</v>
      </c>
      <c r="O1494">
        <v>1328</v>
      </c>
      <c r="P1494" t="s">
        <v>1853</v>
      </c>
      <c r="Q1494" s="1">
        <v>15142</v>
      </c>
      <c r="R1494">
        <v>23.9</v>
      </c>
      <c r="S1494" s="2">
        <v>0.06</v>
      </c>
      <c r="T1494" s="3">
        <v>2.6916666666666669</v>
      </c>
      <c r="U1494" s="2">
        <v>0.34</v>
      </c>
      <c r="V1494" t="s">
        <v>3211</v>
      </c>
      <c r="W1494" t="s">
        <v>3212</v>
      </c>
      <c r="X1494" t="b">
        <v>0</v>
      </c>
      <c r="Y1494" t="b">
        <v>0</v>
      </c>
    </row>
    <row r="1495" spans="1:25">
      <c r="A1495">
        <v>14940</v>
      </c>
      <c r="B1495" t="s">
        <v>2621</v>
      </c>
      <c r="C1495" t="s">
        <v>3213</v>
      </c>
      <c r="D1495" t="s">
        <v>2623</v>
      </c>
      <c r="E1495">
        <v>14940</v>
      </c>
      <c r="F1495">
        <v>19.100000000000001</v>
      </c>
      <c r="G1495">
        <v>1466</v>
      </c>
      <c r="H1495">
        <v>13.9</v>
      </c>
      <c r="I1495">
        <v>1220</v>
      </c>
      <c r="J1495">
        <v>34.299999999999997</v>
      </c>
      <c r="K1495">
        <v>1345</v>
      </c>
      <c r="L1495">
        <v>49.8</v>
      </c>
      <c r="M1495">
        <v>812</v>
      </c>
      <c r="N1495">
        <v>29.6</v>
      </c>
      <c r="O1495">
        <v>1517</v>
      </c>
      <c r="P1495" t="s">
        <v>1543</v>
      </c>
      <c r="Q1495" s="1">
        <v>7099</v>
      </c>
      <c r="R1495">
        <v>16.7</v>
      </c>
      <c r="S1495" s="2">
        <v>0.04</v>
      </c>
      <c r="T1495" s="3">
        <v>2.8145833333333332</v>
      </c>
      <c r="U1495" s="2">
        <v>0.24</v>
      </c>
      <c r="V1495" t="s">
        <v>3213</v>
      </c>
      <c r="W1495" t="s">
        <v>3214</v>
      </c>
      <c r="X1495" t="b">
        <v>0</v>
      </c>
      <c r="Y1495" t="b">
        <v>0</v>
      </c>
    </row>
    <row r="1496" spans="1:25">
      <c r="A1496">
        <v>14950</v>
      </c>
      <c r="B1496" t="s">
        <v>2621</v>
      </c>
      <c r="C1496" t="s">
        <v>3215</v>
      </c>
      <c r="D1496" t="s">
        <v>2623</v>
      </c>
      <c r="E1496">
        <v>14950</v>
      </c>
      <c r="F1496">
        <v>19.7</v>
      </c>
      <c r="G1496">
        <v>1408</v>
      </c>
      <c r="H1496">
        <v>17.399999999999999</v>
      </c>
      <c r="I1496">
        <v>947</v>
      </c>
      <c r="J1496">
        <v>33.1</v>
      </c>
      <c r="K1496">
        <v>1375</v>
      </c>
      <c r="L1496">
        <v>54.6</v>
      </c>
      <c r="M1496">
        <v>735</v>
      </c>
      <c r="N1496">
        <v>29.7</v>
      </c>
      <c r="O1496">
        <v>1512</v>
      </c>
      <c r="P1496" t="s">
        <v>1543</v>
      </c>
      <c r="Q1496" s="1">
        <v>22772</v>
      </c>
      <c r="R1496">
        <v>19.8</v>
      </c>
      <c r="S1496" s="2">
        <v>0.04</v>
      </c>
      <c r="T1496" t="s">
        <v>350</v>
      </c>
      <c r="U1496" s="2">
        <v>0.47</v>
      </c>
      <c r="V1496" t="s">
        <v>3215</v>
      </c>
      <c r="W1496" t="s">
        <v>3216</v>
      </c>
      <c r="X1496" t="b">
        <v>0</v>
      </c>
      <c r="Y1496" t="b">
        <v>0</v>
      </c>
    </row>
    <row r="1497" spans="1:25">
      <c r="A1497">
        <v>14960</v>
      </c>
      <c r="B1497" t="s">
        <v>2621</v>
      </c>
      <c r="C1497" t="s">
        <v>3217</v>
      </c>
      <c r="D1497" t="s">
        <v>2623</v>
      </c>
      <c r="E1497">
        <v>14960</v>
      </c>
      <c r="F1497">
        <v>15</v>
      </c>
      <c r="G1497">
        <v>1756</v>
      </c>
      <c r="H1497">
        <v>11</v>
      </c>
      <c r="I1497">
        <v>1533</v>
      </c>
      <c r="J1497">
        <v>46.2</v>
      </c>
      <c r="K1497">
        <v>1093</v>
      </c>
      <c r="L1497">
        <v>36.700000000000003</v>
      </c>
      <c r="M1497">
        <v>1058</v>
      </c>
      <c r="N1497">
        <v>23.5</v>
      </c>
      <c r="O1497">
        <v>1761</v>
      </c>
      <c r="P1497" t="s">
        <v>54</v>
      </c>
      <c r="Q1497" s="1">
        <v>23369</v>
      </c>
      <c r="R1497">
        <v>15.8</v>
      </c>
      <c r="S1497" s="2">
        <v>0.01</v>
      </c>
      <c r="T1497" s="3">
        <v>2.1180555555555554</v>
      </c>
      <c r="U1497" s="2">
        <v>0.42</v>
      </c>
      <c r="V1497" t="s">
        <v>3217</v>
      </c>
      <c r="W1497" t="s">
        <v>3218</v>
      </c>
      <c r="X1497" t="b">
        <v>0</v>
      </c>
      <c r="Y1497" t="b">
        <v>0</v>
      </c>
    </row>
    <row r="1498" spans="1:25">
      <c r="A1498">
        <v>14970</v>
      </c>
      <c r="B1498" t="s">
        <v>2621</v>
      </c>
      <c r="C1498" t="s">
        <v>3219</v>
      </c>
      <c r="D1498" t="s">
        <v>2623</v>
      </c>
      <c r="E1498">
        <v>14970</v>
      </c>
      <c r="F1498">
        <v>17</v>
      </c>
      <c r="G1498">
        <v>1629</v>
      </c>
      <c r="H1498">
        <v>15.9</v>
      </c>
      <c r="I1498">
        <v>1058</v>
      </c>
      <c r="J1498">
        <v>49</v>
      </c>
      <c r="K1498">
        <v>1042</v>
      </c>
      <c r="L1498">
        <v>33.700000000000003</v>
      </c>
      <c r="M1498">
        <v>1119</v>
      </c>
      <c r="N1498">
        <v>21.8</v>
      </c>
      <c r="O1498">
        <v>1819</v>
      </c>
      <c r="P1498" t="s">
        <v>54</v>
      </c>
      <c r="Q1498" s="1">
        <v>33943</v>
      </c>
      <c r="R1498">
        <v>20.6</v>
      </c>
      <c r="S1498" s="2">
        <v>0</v>
      </c>
      <c r="T1498" s="3">
        <v>2.1180555555555554</v>
      </c>
      <c r="U1498" s="2">
        <v>0.42</v>
      </c>
      <c r="V1498" t="s">
        <v>3219</v>
      </c>
      <c r="W1498" t="s">
        <v>3220</v>
      </c>
      <c r="X1498" t="b">
        <v>0</v>
      </c>
      <c r="Y1498" t="b">
        <v>0</v>
      </c>
    </row>
    <row r="1499" spans="1:25">
      <c r="A1499">
        <v>14980</v>
      </c>
      <c r="B1499" t="s">
        <v>2621</v>
      </c>
      <c r="C1499" t="s">
        <v>3221</v>
      </c>
      <c r="D1499" t="s">
        <v>2623</v>
      </c>
      <c r="E1499">
        <v>14980</v>
      </c>
      <c r="F1499">
        <v>15.8</v>
      </c>
      <c r="G1499">
        <v>1716</v>
      </c>
      <c r="H1499">
        <v>16.3</v>
      </c>
      <c r="I1499">
        <v>1032</v>
      </c>
      <c r="J1499">
        <v>43.5</v>
      </c>
      <c r="K1499">
        <v>1156</v>
      </c>
      <c r="L1499">
        <v>26</v>
      </c>
      <c r="M1499">
        <v>1303</v>
      </c>
      <c r="N1499">
        <v>21.4</v>
      </c>
      <c r="O1499">
        <v>1833</v>
      </c>
      <c r="P1499" t="s">
        <v>54</v>
      </c>
      <c r="Q1499" s="1">
        <v>14112</v>
      </c>
      <c r="R1499">
        <v>18.600000000000001</v>
      </c>
      <c r="S1499" s="2">
        <v>0.03</v>
      </c>
      <c r="U1499" s="2">
        <v>0.06</v>
      </c>
      <c r="V1499" t="s">
        <v>3221</v>
      </c>
      <c r="W1499" t="s">
        <v>3222</v>
      </c>
      <c r="X1499" t="b">
        <v>0</v>
      </c>
      <c r="Y1499" t="b">
        <v>0</v>
      </c>
    </row>
    <row r="1500" spans="1:25">
      <c r="A1500">
        <v>14990</v>
      </c>
      <c r="B1500" t="s">
        <v>2621</v>
      </c>
      <c r="C1500" t="s">
        <v>3223</v>
      </c>
      <c r="D1500" t="s">
        <v>2623</v>
      </c>
      <c r="E1500">
        <v>14990</v>
      </c>
      <c r="F1500">
        <v>28</v>
      </c>
      <c r="G1500">
        <v>808</v>
      </c>
      <c r="H1500">
        <v>15.3</v>
      </c>
      <c r="I1500">
        <v>1102</v>
      </c>
      <c r="J1500">
        <v>24.8</v>
      </c>
      <c r="K1500">
        <v>1569</v>
      </c>
      <c r="L1500">
        <v>72.2</v>
      </c>
      <c r="M1500">
        <v>382</v>
      </c>
      <c r="N1500">
        <v>32.299999999999997</v>
      </c>
      <c r="O1500">
        <v>1418</v>
      </c>
      <c r="P1500" t="s">
        <v>94</v>
      </c>
      <c r="Q1500" s="1">
        <v>8657</v>
      </c>
      <c r="R1500">
        <v>8.8000000000000007</v>
      </c>
      <c r="S1500" s="2">
        <v>0.02</v>
      </c>
      <c r="T1500" t="s">
        <v>113</v>
      </c>
      <c r="U1500" s="2">
        <v>0.28000000000000003</v>
      </c>
      <c r="V1500" t="s">
        <v>3223</v>
      </c>
      <c r="W1500" t="s">
        <v>3224</v>
      </c>
      <c r="X1500" t="b">
        <v>0</v>
      </c>
      <c r="Y1500" t="b">
        <v>0</v>
      </c>
    </row>
    <row r="1501" spans="1:25">
      <c r="A1501">
        <v>15000</v>
      </c>
      <c r="B1501" t="s">
        <v>2621</v>
      </c>
      <c r="C1501" t="s">
        <v>3225</v>
      </c>
      <c r="D1501" t="s">
        <v>2623</v>
      </c>
      <c r="E1501">
        <v>15000</v>
      </c>
      <c r="F1501">
        <v>28.5</v>
      </c>
      <c r="G1501">
        <v>779</v>
      </c>
      <c r="H1501">
        <v>13.4</v>
      </c>
      <c r="I1501">
        <v>1277</v>
      </c>
      <c r="J1501">
        <v>21.4</v>
      </c>
      <c r="K1501">
        <v>1652</v>
      </c>
      <c r="L1501">
        <v>57.3</v>
      </c>
      <c r="M1501">
        <v>701</v>
      </c>
      <c r="N1501">
        <v>33.4</v>
      </c>
      <c r="O1501">
        <v>1380</v>
      </c>
      <c r="P1501" t="s">
        <v>94</v>
      </c>
      <c r="Q1501" s="1">
        <v>10437</v>
      </c>
      <c r="R1501">
        <v>10.9</v>
      </c>
      <c r="S1501" s="2">
        <v>0.05</v>
      </c>
      <c r="T1501" t="s">
        <v>40</v>
      </c>
      <c r="U1501" s="2">
        <v>0.22</v>
      </c>
      <c r="V1501" t="s">
        <v>3225</v>
      </c>
      <c r="W1501" t="s">
        <v>3226</v>
      </c>
      <c r="X1501" t="b">
        <v>0</v>
      </c>
      <c r="Y1501" t="b">
        <v>0</v>
      </c>
    </row>
    <row r="1502" spans="1:25">
      <c r="A1502">
        <v>15010</v>
      </c>
      <c r="B1502" t="s">
        <v>2621</v>
      </c>
      <c r="C1502" t="s">
        <v>3227</v>
      </c>
      <c r="D1502" t="s">
        <v>2623</v>
      </c>
      <c r="E1502">
        <v>15010</v>
      </c>
      <c r="F1502">
        <v>27.8</v>
      </c>
      <c r="G1502">
        <v>822</v>
      </c>
      <c r="H1502">
        <v>13.1</v>
      </c>
      <c r="I1502">
        <v>1298</v>
      </c>
      <c r="J1502">
        <v>25.9</v>
      </c>
      <c r="K1502">
        <v>1546</v>
      </c>
      <c r="L1502">
        <v>45.4</v>
      </c>
      <c r="M1502">
        <v>891</v>
      </c>
      <c r="N1502">
        <v>29</v>
      </c>
      <c r="O1502">
        <v>1543</v>
      </c>
      <c r="P1502" t="s">
        <v>94</v>
      </c>
      <c r="Q1502" s="1">
        <v>4616</v>
      </c>
      <c r="R1502">
        <v>6.2</v>
      </c>
      <c r="S1502" s="2">
        <v>0.05</v>
      </c>
      <c r="T1502" t="s">
        <v>105</v>
      </c>
      <c r="U1502" s="2">
        <v>0.23</v>
      </c>
      <c r="V1502" t="s">
        <v>3227</v>
      </c>
      <c r="W1502" t="s">
        <v>3228</v>
      </c>
      <c r="X1502" t="b">
        <v>0</v>
      </c>
      <c r="Y1502" t="b">
        <v>0</v>
      </c>
    </row>
    <row r="1503" spans="1:25">
      <c r="A1503">
        <v>15020</v>
      </c>
      <c r="B1503" t="s">
        <v>2621</v>
      </c>
      <c r="C1503" t="s">
        <v>3229</v>
      </c>
      <c r="D1503" t="s">
        <v>2623</v>
      </c>
      <c r="E1503">
        <v>15020</v>
      </c>
      <c r="F1503">
        <v>19.899999999999999</v>
      </c>
      <c r="G1503">
        <v>1386</v>
      </c>
      <c r="H1503">
        <v>12.9</v>
      </c>
      <c r="I1503">
        <v>1318</v>
      </c>
      <c r="J1503">
        <v>41.5</v>
      </c>
      <c r="K1503">
        <v>1196</v>
      </c>
      <c r="L1503">
        <v>20.8</v>
      </c>
      <c r="M1503">
        <v>1497</v>
      </c>
      <c r="N1503">
        <v>53.1</v>
      </c>
      <c r="O1503">
        <v>710</v>
      </c>
      <c r="P1503" t="s">
        <v>1554</v>
      </c>
      <c r="Q1503" s="1">
        <v>31177</v>
      </c>
      <c r="R1503">
        <v>28.3</v>
      </c>
      <c r="S1503" s="2">
        <v>0.11</v>
      </c>
      <c r="T1503" s="3">
        <v>2.4048611111111109</v>
      </c>
      <c r="U1503" s="2">
        <v>0.32</v>
      </c>
      <c r="V1503" t="s">
        <v>3229</v>
      </c>
      <c r="W1503" t="s">
        <v>3230</v>
      </c>
      <c r="X1503" t="b">
        <v>0</v>
      </c>
      <c r="Y1503" t="b">
        <v>0</v>
      </c>
    </row>
    <row r="1504" spans="1:25">
      <c r="A1504">
        <v>15030</v>
      </c>
      <c r="B1504" t="s">
        <v>2621</v>
      </c>
      <c r="C1504" t="s">
        <v>3231</v>
      </c>
      <c r="D1504" t="s">
        <v>2623</v>
      </c>
      <c r="E1504">
        <v>15030</v>
      </c>
      <c r="F1504">
        <v>14.7</v>
      </c>
      <c r="G1504">
        <v>1772</v>
      </c>
      <c r="H1504">
        <v>14.5</v>
      </c>
      <c r="I1504">
        <v>1163</v>
      </c>
      <c r="J1504">
        <v>52.3</v>
      </c>
      <c r="K1504">
        <v>959</v>
      </c>
      <c r="L1504">
        <v>20.100000000000001</v>
      </c>
      <c r="M1504">
        <v>1527</v>
      </c>
      <c r="N1504">
        <v>22.4</v>
      </c>
      <c r="O1504">
        <v>1795</v>
      </c>
      <c r="P1504" t="s">
        <v>795</v>
      </c>
      <c r="Q1504" s="1">
        <v>6236</v>
      </c>
      <c r="R1504">
        <v>25.8</v>
      </c>
      <c r="S1504" s="2">
        <v>0</v>
      </c>
      <c r="T1504" s="3">
        <v>2.2819444444444446</v>
      </c>
      <c r="U1504" s="2">
        <v>0.37</v>
      </c>
      <c r="V1504" t="s">
        <v>3231</v>
      </c>
      <c r="W1504" t="s">
        <v>3232</v>
      </c>
      <c r="X1504" t="b">
        <v>0</v>
      </c>
      <c r="Y1504" t="b">
        <v>0</v>
      </c>
    </row>
    <row r="1505" spans="1:25">
      <c r="A1505">
        <v>15040</v>
      </c>
      <c r="B1505" t="s">
        <v>2621</v>
      </c>
      <c r="C1505" t="s">
        <v>3233</v>
      </c>
      <c r="D1505" t="s">
        <v>2623</v>
      </c>
      <c r="E1505">
        <v>15040</v>
      </c>
      <c r="F1505">
        <v>26</v>
      </c>
      <c r="G1505">
        <v>941</v>
      </c>
      <c r="H1505">
        <v>22.5</v>
      </c>
      <c r="I1505">
        <v>714</v>
      </c>
      <c r="J1505">
        <v>19.100000000000001</v>
      </c>
      <c r="K1505">
        <v>1704</v>
      </c>
      <c r="L1505">
        <v>71.2</v>
      </c>
      <c r="M1505">
        <v>403</v>
      </c>
      <c r="N1505">
        <v>36.1</v>
      </c>
      <c r="O1505">
        <v>1277</v>
      </c>
      <c r="P1505" t="s">
        <v>94</v>
      </c>
      <c r="Q1505" s="1">
        <v>9649</v>
      </c>
      <c r="R1505">
        <v>13.4</v>
      </c>
      <c r="S1505" s="2">
        <v>0.08</v>
      </c>
      <c r="T1505" t="s">
        <v>336</v>
      </c>
      <c r="U1505" s="2">
        <v>0.4</v>
      </c>
      <c r="V1505" t="s">
        <v>3233</v>
      </c>
      <c r="W1505" t="s">
        <v>3234</v>
      </c>
      <c r="X1505" t="b">
        <v>0</v>
      </c>
      <c r="Y1505" t="b">
        <v>0</v>
      </c>
    </row>
    <row r="1506" spans="1:25">
      <c r="A1506">
        <v>15050</v>
      </c>
      <c r="B1506" t="s">
        <v>2621</v>
      </c>
      <c r="C1506" t="s">
        <v>3235</v>
      </c>
      <c r="D1506" t="s">
        <v>2623</v>
      </c>
      <c r="E1506">
        <v>15050</v>
      </c>
      <c r="F1506">
        <v>18.5</v>
      </c>
      <c r="G1506">
        <v>1512</v>
      </c>
      <c r="H1506">
        <v>24.1</v>
      </c>
      <c r="I1506">
        <v>650</v>
      </c>
      <c r="J1506">
        <v>32.1</v>
      </c>
      <c r="K1506">
        <v>1400</v>
      </c>
      <c r="L1506">
        <v>69</v>
      </c>
      <c r="M1506">
        <v>455</v>
      </c>
      <c r="N1506">
        <v>42.8</v>
      </c>
      <c r="O1506">
        <v>1028</v>
      </c>
      <c r="P1506" t="s">
        <v>389</v>
      </c>
      <c r="Q1506" s="1">
        <v>6852</v>
      </c>
      <c r="R1506">
        <v>23</v>
      </c>
      <c r="S1506" s="2">
        <v>0.08</v>
      </c>
      <c r="T1506" s="3">
        <v>1.8722222222222222</v>
      </c>
      <c r="U1506" s="2">
        <v>0.35</v>
      </c>
      <c r="V1506" t="s">
        <v>3235</v>
      </c>
      <c r="W1506" t="s">
        <v>3236</v>
      </c>
      <c r="X1506" t="b">
        <v>0</v>
      </c>
      <c r="Y1506" t="b">
        <v>0</v>
      </c>
    </row>
    <row r="1507" spans="1:25">
      <c r="A1507">
        <v>15060</v>
      </c>
      <c r="B1507" t="s">
        <v>2621</v>
      </c>
      <c r="C1507" t="s">
        <v>3237</v>
      </c>
      <c r="D1507" t="s">
        <v>2623</v>
      </c>
      <c r="E1507">
        <v>15060</v>
      </c>
      <c r="F1507">
        <v>22.8</v>
      </c>
      <c r="G1507">
        <v>1169</v>
      </c>
      <c r="H1507">
        <v>9.9</v>
      </c>
      <c r="I1507">
        <v>1665</v>
      </c>
      <c r="J1507">
        <v>8.1999999999999993</v>
      </c>
      <c r="K1507">
        <v>1880</v>
      </c>
      <c r="L1507">
        <v>17.600000000000001</v>
      </c>
      <c r="M1507">
        <v>1698</v>
      </c>
      <c r="N1507">
        <v>26.3</v>
      </c>
      <c r="O1507">
        <v>1657</v>
      </c>
      <c r="P1507" t="s">
        <v>1123</v>
      </c>
      <c r="Q1507" s="1">
        <v>10592</v>
      </c>
      <c r="R1507">
        <v>10.4</v>
      </c>
      <c r="S1507" s="2">
        <v>0.01</v>
      </c>
      <c r="T1507" s="3">
        <v>2.3638888888888889</v>
      </c>
      <c r="U1507" s="2">
        <v>0.3</v>
      </c>
      <c r="V1507" t="s">
        <v>3237</v>
      </c>
      <c r="W1507" t="s">
        <v>3238</v>
      </c>
      <c r="X1507" t="b">
        <v>0</v>
      </c>
      <c r="Y1507" t="b">
        <v>0</v>
      </c>
    </row>
    <row r="1508" spans="1:25">
      <c r="A1508">
        <v>15070</v>
      </c>
      <c r="B1508" t="s">
        <v>2621</v>
      </c>
      <c r="C1508" t="s">
        <v>3239</v>
      </c>
      <c r="D1508" t="s">
        <v>2623</v>
      </c>
      <c r="E1508">
        <v>15070</v>
      </c>
      <c r="F1508">
        <v>13.2</v>
      </c>
      <c r="G1508">
        <v>1838</v>
      </c>
      <c r="H1508">
        <v>9.8000000000000007</v>
      </c>
      <c r="I1508">
        <v>1680</v>
      </c>
      <c r="J1508">
        <v>45.8</v>
      </c>
      <c r="K1508">
        <v>1105</v>
      </c>
      <c r="L1508">
        <v>19.899999999999999</v>
      </c>
      <c r="M1508">
        <v>1540</v>
      </c>
      <c r="N1508">
        <v>54.9</v>
      </c>
      <c r="O1508">
        <v>680</v>
      </c>
      <c r="P1508" t="s">
        <v>3240</v>
      </c>
      <c r="Q1508" s="1">
        <v>20976</v>
      </c>
      <c r="R1508">
        <v>24.6</v>
      </c>
      <c r="S1508" s="2">
        <v>0.02</v>
      </c>
      <c r="T1508" t="s">
        <v>501</v>
      </c>
      <c r="U1508" s="2">
        <v>0.12</v>
      </c>
      <c r="V1508" t="s">
        <v>3239</v>
      </c>
      <c r="W1508" t="s">
        <v>3241</v>
      </c>
      <c r="X1508" t="b">
        <v>0</v>
      </c>
      <c r="Y1508" t="b">
        <v>0</v>
      </c>
    </row>
    <row r="1509" spans="1:25">
      <c r="A1509">
        <v>15080</v>
      </c>
      <c r="B1509" t="s">
        <v>2621</v>
      </c>
      <c r="C1509" t="s">
        <v>3242</v>
      </c>
      <c r="D1509" t="s">
        <v>2623</v>
      </c>
      <c r="E1509">
        <v>15080</v>
      </c>
      <c r="F1509">
        <v>17.100000000000001</v>
      </c>
      <c r="G1509">
        <v>1621</v>
      </c>
      <c r="H1509">
        <v>12.3</v>
      </c>
      <c r="I1509">
        <v>1385</v>
      </c>
      <c r="J1509">
        <v>42.6</v>
      </c>
      <c r="K1509">
        <v>1178</v>
      </c>
      <c r="L1509">
        <v>21.5</v>
      </c>
      <c r="M1509">
        <v>1464</v>
      </c>
      <c r="N1509">
        <v>27.3</v>
      </c>
      <c r="O1509">
        <v>1607</v>
      </c>
      <c r="P1509" t="s">
        <v>795</v>
      </c>
      <c r="Q1509" s="1">
        <v>9611</v>
      </c>
      <c r="R1509">
        <v>23.5</v>
      </c>
      <c r="S1509" s="2">
        <v>0</v>
      </c>
      <c r="T1509" s="3">
        <v>2.2409722222222221</v>
      </c>
      <c r="U1509" s="2">
        <v>0.39</v>
      </c>
      <c r="V1509" t="s">
        <v>3242</v>
      </c>
      <c r="W1509" t="s">
        <v>3243</v>
      </c>
      <c r="X1509" t="b">
        <v>0</v>
      </c>
      <c r="Y1509" t="b">
        <v>0</v>
      </c>
    </row>
    <row r="1510" spans="1:25">
      <c r="A1510">
        <v>15090</v>
      </c>
      <c r="B1510" t="s">
        <v>2621</v>
      </c>
      <c r="C1510" t="s">
        <v>3244</v>
      </c>
      <c r="D1510" t="s">
        <v>2623</v>
      </c>
      <c r="E1510">
        <v>15090</v>
      </c>
      <c r="F1510">
        <v>36.4</v>
      </c>
      <c r="G1510">
        <v>418</v>
      </c>
      <c r="H1510">
        <v>12.6</v>
      </c>
      <c r="I1510">
        <v>1355</v>
      </c>
      <c r="J1510">
        <v>35.5</v>
      </c>
      <c r="K1510">
        <v>1316</v>
      </c>
      <c r="L1510">
        <v>24.2</v>
      </c>
      <c r="M1510">
        <v>1362</v>
      </c>
      <c r="N1510">
        <v>21.5</v>
      </c>
      <c r="O1510">
        <v>1827</v>
      </c>
      <c r="P1510" t="s">
        <v>795</v>
      </c>
      <c r="Q1510" s="1">
        <v>5278</v>
      </c>
      <c r="R1510">
        <v>10.9</v>
      </c>
      <c r="S1510" s="2">
        <v>0.01</v>
      </c>
      <c r="T1510" s="3">
        <v>2.3638888888888889</v>
      </c>
      <c r="U1510" s="2">
        <v>0.08</v>
      </c>
      <c r="V1510" t="s">
        <v>3244</v>
      </c>
      <c r="W1510" t="s">
        <v>3245</v>
      </c>
      <c r="X1510" t="b">
        <v>0</v>
      </c>
      <c r="Y1510" t="b">
        <v>0</v>
      </c>
    </row>
    <row r="1511" spans="1:25">
      <c r="A1511">
        <v>15100</v>
      </c>
      <c r="B1511" t="s">
        <v>2621</v>
      </c>
      <c r="C1511" t="s">
        <v>3246</v>
      </c>
      <c r="D1511" t="s">
        <v>2623</v>
      </c>
      <c r="E1511">
        <v>15100</v>
      </c>
      <c r="F1511">
        <v>16.5</v>
      </c>
      <c r="G1511">
        <v>1666</v>
      </c>
      <c r="H1511">
        <v>16.399999999999999</v>
      </c>
      <c r="I1511">
        <v>1024</v>
      </c>
      <c r="J1511">
        <v>34.5</v>
      </c>
      <c r="K1511">
        <v>1340</v>
      </c>
      <c r="L1511">
        <v>37.200000000000003</v>
      </c>
      <c r="M1511">
        <v>1042</v>
      </c>
      <c r="N1511">
        <v>23</v>
      </c>
      <c r="O1511">
        <v>1779</v>
      </c>
      <c r="P1511" t="s">
        <v>54</v>
      </c>
      <c r="Q1511" s="1">
        <v>18260</v>
      </c>
      <c r="R1511">
        <v>31</v>
      </c>
      <c r="S1511" s="2">
        <v>0.05</v>
      </c>
      <c r="T1511" s="3">
        <v>2.7736111111111112</v>
      </c>
      <c r="U1511" s="2">
        <v>0.04</v>
      </c>
      <c r="V1511" t="s">
        <v>3246</v>
      </c>
      <c r="W1511" t="s">
        <v>3247</v>
      </c>
      <c r="X1511" t="b">
        <v>0</v>
      </c>
      <c r="Y1511" t="b">
        <v>0</v>
      </c>
    </row>
    <row r="1512" spans="1:25">
      <c r="A1512">
        <v>15110</v>
      </c>
      <c r="B1512" t="s">
        <v>2621</v>
      </c>
      <c r="C1512" t="s">
        <v>3248</v>
      </c>
      <c r="D1512" t="s">
        <v>2623</v>
      </c>
      <c r="E1512">
        <v>15110</v>
      </c>
      <c r="F1512">
        <v>12.9</v>
      </c>
      <c r="G1512">
        <v>1854</v>
      </c>
      <c r="H1512">
        <v>12.7</v>
      </c>
      <c r="I1512">
        <v>1343</v>
      </c>
      <c r="J1512">
        <v>37.299999999999997</v>
      </c>
      <c r="K1512">
        <v>1272</v>
      </c>
      <c r="L1512">
        <v>20.9</v>
      </c>
      <c r="M1512">
        <v>1493</v>
      </c>
      <c r="N1512">
        <v>50.8</v>
      </c>
      <c r="O1512">
        <v>781</v>
      </c>
      <c r="P1512" t="s">
        <v>3249</v>
      </c>
      <c r="Q1512" s="1">
        <v>25108</v>
      </c>
      <c r="R1512">
        <v>22.5</v>
      </c>
      <c r="S1512" s="2">
        <v>0</v>
      </c>
      <c r="T1512" s="3">
        <v>1.7902777777777779</v>
      </c>
      <c r="U1512" s="2">
        <v>0.17</v>
      </c>
      <c r="V1512" t="s">
        <v>3248</v>
      </c>
      <c r="W1512" t="s">
        <v>3250</v>
      </c>
      <c r="X1512" t="b">
        <v>0</v>
      </c>
      <c r="Y1512" t="b">
        <v>0</v>
      </c>
    </row>
    <row r="1513" spans="1:25">
      <c r="A1513">
        <v>15120</v>
      </c>
      <c r="B1513" t="s">
        <v>3251</v>
      </c>
      <c r="C1513" t="s">
        <v>3252</v>
      </c>
      <c r="D1513" t="s">
        <v>3253</v>
      </c>
      <c r="E1513">
        <v>15120</v>
      </c>
      <c r="F1513">
        <v>14.7</v>
      </c>
      <c r="G1513">
        <v>1770</v>
      </c>
      <c r="H1513">
        <v>8.6</v>
      </c>
      <c r="I1513">
        <v>1839</v>
      </c>
      <c r="J1513">
        <v>25.4</v>
      </c>
      <c r="K1513">
        <v>1553</v>
      </c>
      <c r="L1513">
        <v>15.9</v>
      </c>
      <c r="M1513">
        <v>1872</v>
      </c>
      <c r="N1513">
        <v>37</v>
      </c>
      <c r="O1513">
        <v>1239</v>
      </c>
      <c r="P1513" t="s">
        <v>2290</v>
      </c>
      <c r="Q1513" s="1">
        <v>18030</v>
      </c>
      <c r="R1513">
        <v>20.9</v>
      </c>
      <c r="S1513" s="2">
        <v>0.01</v>
      </c>
      <c r="T1513" s="3">
        <v>2.9375</v>
      </c>
      <c r="U1513" s="2">
        <v>0.41</v>
      </c>
      <c r="V1513" t="s">
        <v>3252</v>
      </c>
      <c r="W1513" t="s">
        <v>3254</v>
      </c>
      <c r="X1513" t="b">
        <v>0</v>
      </c>
      <c r="Y1513" t="b">
        <v>0</v>
      </c>
    </row>
    <row r="1514" spans="1:25">
      <c r="A1514">
        <v>15130</v>
      </c>
      <c r="B1514" t="s">
        <v>3251</v>
      </c>
      <c r="C1514" t="s">
        <v>3255</v>
      </c>
      <c r="D1514" t="s">
        <v>3253</v>
      </c>
      <c r="E1514">
        <v>15130</v>
      </c>
      <c r="F1514">
        <v>17.7</v>
      </c>
      <c r="G1514">
        <v>1577</v>
      </c>
      <c r="H1514">
        <v>7.8</v>
      </c>
      <c r="I1514">
        <v>1888</v>
      </c>
      <c r="J1514">
        <v>8.1</v>
      </c>
      <c r="K1514">
        <v>1881</v>
      </c>
      <c r="L1514">
        <v>15.7</v>
      </c>
      <c r="M1514">
        <v>1895</v>
      </c>
      <c r="N1514">
        <v>33.5</v>
      </c>
      <c r="O1514">
        <v>1373</v>
      </c>
      <c r="P1514" t="s">
        <v>2290</v>
      </c>
      <c r="Q1514" s="1">
        <v>24983</v>
      </c>
      <c r="R1514">
        <v>19.5</v>
      </c>
      <c r="S1514" s="2">
        <v>0.01</v>
      </c>
      <c r="T1514" s="3">
        <v>2.8555555555555556</v>
      </c>
      <c r="U1514" s="2">
        <v>0.34</v>
      </c>
      <c r="V1514" t="s">
        <v>3255</v>
      </c>
      <c r="W1514" t="s">
        <v>3256</v>
      </c>
      <c r="X1514" t="b">
        <v>0</v>
      </c>
      <c r="Y1514" t="b">
        <v>0</v>
      </c>
    </row>
    <row r="1515" spans="1:25">
      <c r="A1515">
        <v>15140</v>
      </c>
      <c r="B1515" t="s">
        <v>3251</v>
      </c>
      <c r="C1515" t="s">
        <v>3257</v>
      </c>
      <c r="D1515" t="s">
        <v>3253</v>
      </c>
      <c r="E1515">
        <v>15140</v>
      </c>
      <c r="F1515">
        <v>21.6</v>
      </c>
      <c r="G1515">
        <v>1256</v>
      </c>
      <c r="H1515">
        <v>9.6999999999999993</v>
      </c>
      <c r="I1515">
        <v>1681</v>
      </c>
      <c r="J1515">
        <v>30.1</v>
      </c>
      <c r="K1515">
        <v>1442</v>
      </c>
      <c r="L1515">
        <v>17.2</v>
      </c>
      <c r="M1515">
        <v>1732</v>
      </c>
      <c r="N1515">
        <v>29.4</v>
      </c>
      <c r="O1515">
        <v>1523</v>
      </c>
      <c r="P1515" t="s">
        <v>2536</v>
      </c>
      <c r="Q1515" s="1">
        <v>122962</v>
      </c>
      <c r="R1515">
        <v>91.8</v>
      </c>
      <c r="S1515" s="2">
        <v>0.01</v>
      </c>
      <c r="T1515" s="3">
        <v>2.2000000000000002</v>
      </c>
      <c r="U1515" s="2">
        <v>0.4</v>
      </c>
      <c r="V1515" t="s">
        <v>3257</v>
      </c>
      <c r="W1515" t="s">
        <v>3258</v>
      </c>
      <c r="X1515" t="b">
        <v>0</v>
      </c>
      <c r="Y1515" t="b">
        <v>0</v>
      </c>
    </row>
    <row r="1516" spans="1:25">
      <c r="A1516">
        <v>15150</v>
      </c>
      <c r="B1516" t="s">
        <v>3251</v>
      </c>
      <c r="C1516" t="s">
        <v>3259</v>
      </c>
      <c r="D1516" t="s">
        <v>3253</v>
      </c>
      <c r="E1516">
        <v>15150</v>
      </c>
      <c r="F1516">
        <v>22.7</v>
      </c>
      <c r="G1516">
        <v>1170</v>
      </c>
      <c r="H1516">
        <v>9</v>
      </c>
      <c r="I1516">
        <v>1792</v>
      </c>
      <c r="J1516">
        <v>11.6</v>
      </c>
      <c r="K1516">
        <v>1831</v>
      </c>
      <c r="L1516">
        <v>19.600000000000001</v>
      </c>
      <c r="M1516">
        <v>1553</v>
      </c>
      <c r="N1516">
        <v>35.299999999999997</v>
      </c>
      <c r="O1516">
        <v>1308</v>
      </c>
      <c r="P1516" t="s">
        <v>2290</v>
      </c>
      <c r="Q1516" s="1">
        <v>42485</v>
      </c>
      <c r="R1516">
        <v>21.3</v>
      </c>
      <c r="S1516" s="2">
        <v>0.01</v>
      </c>
      <c r="T1516" s="3">
        <v>2.4868055555555557</v>
      </c>
      <c r="U1516" s="2">
        <v>0.36</v>
      </c>
      <c r="V1516" t="s">
        <v>3259</v>
      </c>
      <c r="W1516" t="s">
        <v>3260</v>
      </c>
      <c r="X1516" t="b">
        <v>0</v>
      </c>
      <c r="Y1516" t="b">
        <v>0</v>
      </c>
    </row>
    <row r="1517" spans="1:25">
      <c r="A1517">
        <v>15160</v>
      </c>
      <c r="B1517" t="s">
        <v>3251</v>
      </c>
      <c r="C1517" t="s">
        <v>3261</v>
      </c>
      <c r="D1517" t="s">
        <v>3253</v>
      </c>
      <c r="E1517">
        <v>15160</v>
      </c>
      <c r="F1517">
        <v>25.8</v>
      </c>
      <c r="G1517">
        <v>949</v>
      </c>
      <c r="H1517">
        <v>12</v>
      </c>
      <c r="I1517">
        <v>1405</v>
      </c>
      <c r="J1517">
        <v>22.7</v>
      </c>
      <c r="K1517">
        <v>1622</v>
      </c>
      <c r="L1517">
        <v>24.2</v>
      </c>
      <c r="M1517">
        <v>1358</v>
      </c>
      <c r="N1517">
        <v>30.3</v>
      </c>
      <c r="O1517">
        <v>1489</v>
      </c>
      <c r="P1517" t="s">
        <v>895</v>
      </c>
      <c r="Q1517" s="1">
        <v>2547</v>
      </c>
      <c r="R1517">
        <v>5.7</v>
      </c>
      <c r="S1517" s="2">
        <v>0.03</v>
      </c>
      <c r="T1517" s="3">
        <v>3.0604166666666668</v>
      </c>
      <c r="U1517" s="2">
        <v>0.05</v>
      </c>
      <c r="V1517" t="s">
        <v>3261</v>
      </c>
      <c r="W1517" t="s">
        <v>3262</v>
      </c>
      <c r="X1517" t="b">
        <v>0</v>
      </c>
      <c r="Y1517" t="b">
        <v>0</v>
      </c>
    </row>
    <row r="1518" spans="1:25">
      <c r="A1518">
        <v>15170</v>
      </c>
      <c r="B1518" t="s">
        <v>3251</v>
      </c>
      <c r="C1518" t="s">
        <v>3263</v>
      </c>
      <c r="D1518" t="s">
        <v>3253</v>
      </c>
      <c r="E1518">
        <v>15170</v>
      </c>
      <c r="F1518">
        <v>24.1</v>
      </c>
      <c r="G1518">
        <v>1072</v>
      </c>
      <c r="H1518">
        <v>7.7</v>
      </c>
      <c r="I1518">
        <v>1892</v>
      </c>
      <c r="J1518">
        <v>26.1</v>
      </c>
      <c r="K1518">
        <v>1540</v>
      </c>
      <c r="L1518">
        <v>16.399999999999999</v>
      </c>
      <c r="M1518">
        <v>1814</v>
      </c>
      <c r="N1518">
        <v>33</v>
      </c>
      <c r="O1518">
        <v>1389</v>
      </c>
      <c r="P1518" t="s">
        <v>29</v>
      </c>
      <c r="Q1518" s="1">
        <v>6582</v>
      </c>
      <c r="R1518">
        <v>11.1</v>
      </c>
      <c r="S1518" s="2">
        <v>7.0000000000000007E-2</v>
      </c>
      <c r="T1518" s="3">
        <v>2.9375</v>
      </c>
      <c r="U1518" s="2">
        <v>0.12</v>
      </c>
      <c r="V1518" t="s">
        <v>3263</v>
      </c>
      <c r="W1518" t="s">
        <v>3264</v>
      </c>
      <c r="X1518" t="b">
        <v>0</v>
      </c>
      <c r="Y1518" t="b">
        <v>0</v>
      </c>
    </row>
    <row r="1519" spans="1:25">
      <c r="A1519">
        <v>15180</v>
      </c>
      <c r="B1519" t="s">
        <v>3251</v>
      </c>
      <c r="C1519" t="s">
        <v>3265</v>
      </c>
      <c r="D1519" t="s">
        <v>3253</v>
      </c>
      <c r="E1519">
        <v>15180</v>
      </c>
      <c r="F1519">
        <v>23.4</v>
      </c>
      <c r="G1519">
        <v>1117</v>
      </c>
      <c r="H1519">
        <v>11.6</v>
      </c>
      <c r="I1519">
        <v>1450</v>
      </c>
      <c r="J1519">
        <v>17.2</v>
      </c>
      <c r="K1519">
        <v>1725</v>
      </c>
      <c r="L1519">
        <v>24.6</v>
      </c>
      <c r="M1519">
        <v>1347</v>
      </c>
      <c r="N1519">
        <v>43.6</v>
      </c>
      <c r="O1519">
        <v>1001</v>
      </c>
      <c r="P1519" t="s">
        <v>1895</v>
      </c>
      <c r="Q1519" s="1">
        <v>9660</v>
      </c>
      <c r="R1519">
        <v>10.7</v>
      </c>
      <c r="S1519" s="2">
        <v>0.01</v>
      </c>
      <c r="T1519" s="3">
        <v>2.4048611111111109</v>
      </c>
      <c r="U1519" s="2">
        <v>0.3</v>
      </c>
      <c r="V1519" t="s">
        <v>3265</v>
      </c>
      <c r="W1519" t="s">
        <v>3266</v>
      </c>
      <c r="X1519" t="b">
        <v>0</v>
      </c>
      <c r="Y1519" t="b">
        <v>0</v>
      </c>
    </row>
    <row r="1520" spans="1:25">
      <c r="A1520">
        <v>15190</v>
      </c>
      <c r="B1520" t="s">
        <v>3251</v>
      </c>
      <c r="C1520" t="s">
        <v>3267</v>
      </c>
      <c r="D1520" t="s">
        <v>3253</v>
      </c>
      <c r="E1520">
        <v>15190</v>
      </c>
      <c r="F1520">
        <v>25.6</v>
      </c>
      <c r="G1520">
        <v>964</v>
      </c>
      <c r="H1520">
        <v>13.4</v>
      </c>
      <c r="I1520">
        <v>1262</v>
      </c>
      <c r="J1520">
        <v>20.8</v>
      </c>
      <c r="K1520">
        <v>1661</v>
      </c>
      <c r="L1520">
        <v>39.1</v>
      </c>
      <c r="M1520">
        <v>1004</v>
      </c>
      <c r="N1520">
        <v>26.7</v>
      </c>
      <c r="O1520">
        <v>1630</v>
      </c>
      <c r="P1520" t="s">
        <v>94</v>
      </c>
      <c r="Q1520" s="1">
        <v>5002</v>
      </c>
      <c r="R1520">
        <v>10.7</v>
      </c>
      <c r="S1520" s="2">
        <v>0.04</v>
      </c>
      <c r="T1520" t="s">
        <v>350</v>
      </c>
      <c r="U1520" s="2">
        <v>0.23</v>
      </c>
      <c r="V1520" t="s">
        <v>3267</v>
      </c>
      <c r="W1520" t="s">
        <v>3268</v>
      </c>
      <c r="X1520" t="b">
        <v>0</v>
      </c>
      <c r="Y1520" t="b">
        <v>0</v>
      </c>
    </row>
    <row r="1521" spans="1:25">
      <c r="A1521">
        <v>15200</v>
      </c>
      <c r="B1521" t="s">
        <v>3251</v>
      </c>
      <c r="C1521" t="s">
        <v>3269</v>
      </c>
      <c r="D1521" t="s">
        <v>3253</v>
      </c>
      <c r="E1521">
        <v>15200</v>
      </c>
      <c r="F1521">
        <v>11.6</v>
      </c>
      <c r="G1521">
        <v>1885</v>
      </c>
      <c r="H1521">
        <v>8.8000000000000007</v>
      </c>
      <c r="I1521">
        <v>1820</v>
      </c>
      <c r="J1521">
        <v>23.5</v>
      </c>
      <c r="K1521">
        <v>1596</v>
      </c>
      <c r="L1521">
        <v>26.8</v>
      </c>
      <c r="M1521">
        <v>1266</v>
      </c>
      <c r="N1521">
        <v>28</v>
      </c>
      <c r="O1521">
        <v>1576</v>
      </c>
      <c r="P1521" t="s">
        <v>895</v>
      </c>
      <c r="Q1521" s="1">
        <v>19511</v>
      </c>
      <c r="R1521">
        <v>22.2</v>
      </c>
      <c r="S1521" s="2">
        <v>0.08</v>
      </c>
      <c r="T1521" s="3">
        <v>2.0770833333333334</v>
      </c>
      <c r="U1521" s="2">
        <v>0.26</v>
      </c>
      <c r="V1521" t="s">
        <v>3269</v>
      </c>
      <c r="W1521" t="s">
        <v>3270</v>
      </c>
      <c r="X1521" t="b">
        <v>0</v>
      </c>
      <c r="Y1521" t="b">
        <v>0</v>
      </c>
    </row>
    <row r="1522" spans="1:25">
      <c r="A1522">
        <v>15210</v>
      </c>
      <c r="B1522" t="s">
        <v>3251</v>
      </c>
      <c r="C1522" t="s">
        <v>3271</v>
      </c>
      <c r="D1522" t="s">
        <v>3253</v>
      </c>
      <c r="E1522">
        <v>15210</v>
      </c>
      <c r="F1522">
        <v>16.5</v>
      </c>
      <c r="G1522">
        <v>1659</v>
      </c>
      <c r="H1522">
        <v>12.1</v>
      </c>
      <c r="I1522">
        <v>1396</v>
      </c>
      <c r="J1522">
        <v>31.6</v>
      </c>
      <c r="K1522">
        <v>1409</v>
      </c>
      <c r="L1522">
        <v>18.3</v>
      </c>
      <c r="M1522">
        <v>1642</v>
      </c>
      <c r="N1522">
        <v>40.200000000000003</v>
      </c>
      <c r="O1522">
        <v>1111</v>
      </c>
      <c r="P1522" t="s">
        <v>1853</v>
      </c>
      <c r="Q1522" s="1">
        <v>25443</v>
      </c>
      <c r="R1522">
        <v>22.3</v>
      </c>
      <c r="S1522" s="2">
        <v>0.08</v>
      </c>
      <c r="T1522" s="3">
        <v>2.3638888888888889</v>
      </c>
      <c r="U1522" s="2">
        <v>0.33</v>
      </c>
      <c r="V1522" t="s">
        <v>3271</v>
      </c>
      <c r="W1522" t="s">
        <v>3272</v>
      </c>
      <c r="X1522" t="b">
        <v>0</v>
      </c>
      <c r="Y1522" t="b">
        <v>0</v>
      </c>
    </row>
    <row r="1523" spans="1:25">
      <c r="A1523">
        <v>15220</v>
      </c>
      <c r="B1523" t="s">
        <v>3251</v>
      </c>
      <c r="C1523" t="s">
        <v>3273</v>
      </c>
      <c r="D1523" t="s">
        <v>3253</v>
      </c>
      <c r="E1523">
        <v>15220</v>
      </c>
      <c r="F1523">
        <v>20.5</v>
      </c>
      <c r="G1523">
        <v>1335</v>
      </c>
      <c r="H1523">
        <v>16.5</v>
      </c>
      <c r="I1523">
        <v>1004</v>
      </c>
      <c r="J1523">
        <v>15.2</v>
      </c>
      <c r="K1523">
        <v>1763</v>
      </c>
      <c r="L1523">
        <v>25.2</v>
      </c>
      <c r="M1523">
        <v>1331</v>
      </c>
      <c r="N1523">
        <v>64.400000000000006</v>
      </c>
      <c r="O1523">
        <v>497</v>
      </c>
      <c r="P1523" t="s">
        <v>255</v>
      </c>
      <c r="Q1523" s="1">
        <v>9271</v>
      </c>
      <c r="R1523">
        <v>19</v>
      </c>
      <c r="S1523" s="2">
        <v>0.27</v>
      </c>
      <c r="T1523" s="3">
        <v>2.3638888888888889</v>
      </c>
      <c r="U1523" s="2">
        <v>0.17</v>
      </c>
      <c r="V1523" t="s">
        <v>3273</v>
      </c>
      <c r="W1523" t="s">
        <v>3274</v>
      </c>
      <c r="X1523" t="b">
        <v>0</v>
      </c>
      <c r="Y1523" t="b">
        <v>0</v>
      </c>
    </row>
    <row r="1524" spans="1:25">
      <c r="A1524">
        <v>15230</v>
      </c>
      <c r="B1524" t="s">
        <v>3251</v>
      </c>
      <c r="C1524" t="s">
        <v>3275</v>
      </c>
      <c r="D1524" t="s">
        <v>3253</v>
      </c>
      <c r="E1524">
        <v>15230</v>
      </c>
      <c r="F1524">
        <v>25.4</v>
      </c>
      <c r="G1524">
        <v>974</v>
      </c>
      <c r="H1524">
        <v>15.3</v>
      </c>
      <c r="I1524">
        <v>1092</v>
      </c>
      <c r="J1524">
        <v>24.6</v>
      </c>
      <c r="K1524">
        <v>1571</v>
      </c>
      <c r="L1524">
        <v>19.600000000000001</v>
      </c>
      <c r="M1524">
        <v>1554</v>
      </c>
      <c r="N1524">
        <v>31</v>
      </c>
      <c r="O1524">
        <v>1465</v>
      </c>
      <c r="P1524" t="s">
        <v>795</v>
      </c>
      <c r="Q1524" s="1">
        <v>10531</v>
      </c>
      <c r="R1524">
        <v>28.4</v>
      </c>
      <c r="S1524" s="2">
        <v>0.03</v>
      </c>
      <c r="T1524" s="3">
        <v>4.166666666666667</v>
      </c>
      <c r="U1524" s="2">
        <v>0.32</v>
      </c>
      <c r="V1524" t="s">
        <v>3275</v>
      </c>
      <c r="W1524" t="s">
        <v>3276</v>
      </c>
      <c r="X1524" t="b">
        <v>0</v>
      </c>
      <c r="Y1524" t="b">
        <v>0</v>
      </c>
    </row>
    <row r="1525" spans="1:25">
      <c r="A1525">
        <v>15240</v>
      </c>
      <c r="B1525" t="s">
        <v>3251</v>
      </c>
      <c r="C1525" t="s">
        <v>3277</v>
      </c>
      <c r="D1525" t="s">
        <v>3253</v>
      </c>
      <c r="E1525">
        <v>15240</v>
      </c>
      <c r="F1525">
        <v>17.7</v>
      </c>
      <c r="G1525">
        <v>1578</v>
      </c>
      <c r="H1525">
        <v>9.1</v>
      </c>
      <c r="I1525">
        <v>1773</v>
      </c>
      <c r="J1525">
        <v>39.1</v>
      </c>
      <c r="K1525">
        <v>1238</v>
      </c>
      <c r="L1525">
        <v>16.899999999999999</v>
      </c>
      <c r="M1525">
        <v>1758</v>
      </c>
      <c r="N1525">
        <v>29.3</v>
      </c>
      <c r="O1525">
        <v>1526</v>
      </c>
      <c r="P1525" t="s">
        <v>2157</v>
      </c>
      <c r="Q1525" s="1">
        <v>26956</v>
      </c>
      <c r="R1525">
        <v>15.5</v>
      </c>
      <c r="S1525" s="2">
        <v>0</v>
      </c>
      <c r="T1525" s="3">
        <v>2.3229166666666665</v>
      </c>
      <c r="U1525" s="2">
        <v>0.36</v>
      </c>
      <c r="V1525" t="s">
        <v>3277</v>
      </c>
      <c r="W1525" t="s">
        <v>3278</v>
      </c>
      <c r="X1525" t="b">
        <v>0</v>
      </c>
      <c r="Y1525" t="b">
        <v>0</v>
      </c>
    </row>
    <row r="1526" spans="1:25">
      <c r="A1526">
        <v>15250</v>
      </c>
      <c r="B1526" t="s">
        <v>3251</v>
      </c>
      <c r="C1526" t="s">
        <v>3279</v>
      </c>
      <c r="D1526" t="s">
        <v>3253</v>
      </c>
      <c r="E1526">
        <v>15250</v>
      </c>
      <c r="F1526">
        <v>24.7</v>
      </c>
      <c r="G1526">
        <v>1024</v>
      </c>
      <c r="H1526">
        <v>12.7</v>
      </c>
      <c r="I1526">
        <v>1333</v>
      </c>
      <c r="J1526">
        <v>16.5</v>
      </c>
      <c r="K1526">
        <v>1739</v>
      </c>
      <c r="L1526">
        <v>36.1</v>
      </c>
      <c r="M1526">
        <v>1070</v>
      </c>
      <c r="N1526">
        <v>33.200000000000003</v>
      </c>
      <c r="O1526">
        <v>1384</v>
      </c>
      <c r="P1526" t="s">
        <v>1955</v>
      </c>
      <c r="Q1526" s="1">
        <v>32695</v>
      </c>
      <c r="R1526">
        <v>22</v>
      </c>
      <c r="S1526" s="2">
        <v>0.01</v>
      </c>
      <c r="T1526" s="3">
        <v>2.4458333333333333</v>
      </c>
      <c r="U1526" s="2">
        <v>0.25</v>
      </c>
      <c r="V1526" t="s">
        <v>3280</v>
      </c>
      <c r="W1526" t="s">
        <v>3281</v>
      </c>
      <c r="X1526" t="b">
        <v>0</v>
      </c>
      <c r="Y1526" t="b">
        <v>0</v>
      </c>
    </row>
    <row r="1527" spans="1:25">
      <c r="A1527">
        <v>15260</v>
      </c>
      <c r="B1527" t="s">
        <v>3251</v>
      </c>
      <c r="C1527" t="s">
        <v>3282</v>
      </c>
      <c r="D1527" t="s">
        <v>3253</v>
      </c>
      <c r="E1527">
        <v>15260</v>
      </c>
      <c r="F1527">
        <v>21.9</v>
      </c>
      <c r="G1527">
        <v>1236</v>
      </c>
      <c r="H1527">
        <v>8.6</v>
      </c>
      <c r="I1527">
        <v>1840</v>
      </c>
      <c r="J1527">
        <v>8.8000000000000007</v>
      </c>
      <c r="K1527">
        <v>1872</v>
      </c>
      <c r="L1527">
        <v>27.7</v>
      </c>
      <c r="M1527">
        <v>1242</v>
      </c>
      <c r="N1527">
        <v>50.2</v>
      </c>
      <c r="O1527">
        <v>798</v>
      </c>
      <c r="P1527" t="s">
        <v>3283</v>
      </c>
      <c r="Q1527" s="1">
        <v>20302</v>
      </c>
      <c r="R1527">
        <v>10.1</v>
      </c>
      <c r="S1527" s="2">
        <v>0.02</v>
      </c>
      <c r="T1527" s="3">
        <v>2.5687500000000001</v>
      </c>
      <c r="U1527" s="2">
        <v>0.31</v>
      </c>
      <c r="V1527" t="s">
        <v>3282</v>
      </c>
      <c r="W1527" t="s">
        <v>3284</v>
      </c>
      <c r="X1527" t="b">
        <v>0</v>
      </c>
      <c r="Y1527" t="b">
        <v>0</v>
      </c>
    </row>
    <row r="1528" spans="1:25">
      <c r="A1528">
        <v>15270</v>
      </c>
      <c r="B1528" t="s">
        <v>3251</v>
      </c>
      <c r="C1528" t="s">
        <v>3285</v>
      </c>
      <c r="D1528" t="s">
        <v>3253</v>
      </c>
      <c r="E1528">
        <v>15270</v>
      </c>
      <c r="F1528">
        <v>38.200000000000003</v>
      </c>
      <c r="G1528">
        <v>356</v>
      </c>
      <c r="H1528">
        <v>10.4</v>
      </c>
      <c r="I1528">
        <v>1597</v>
      </c>
      <c r="J1528">
        <v>18.7</v>
      </c>
      <c r="K1528">
        <v>1708</v>
      </c>
      <c r="L1528">
        <v>26.1</v>
      </c>
      <c r="M1528">
        <v>1294</v>
      </c>
      <c r="N1528">
        <v>24.1</v>
      </c>
      <c r="O1528">
        <v>1735</v>
      </c>
      <c r="P1528" t="s">
        <v>528</v>
      </c>
      <c r="Q1528" s="1">
        <v>10382</v>
      </c>
      <c r="R1528">
        <v>14.8</v>
      </c>
      <c r="S1528" s="2">
        <v>0.05</v>
      </c>
      <c r="T1528" s="3">
        <v>1.9541666666666666</v>
      </c>
      <c r="U1528" s="2">
        <v>0.43</v>
      </c>
      <c r="V1528" t="s">
        <v>3285</v>
      </c>
      <c r="W1528" t="s">
        <v>3286</v>
      </c>
      <c r="X1528" t="b">
        <v>0</v>
      </c>
      <c r="Y1528" t="b">
        <v>0</v>
      </c>
    </row>
    <row r="1529" spans="1:25">
      <c r="A1529">
        <v>15280</v>
      </c>
      <c r="B1529" t="s">
        <v>3251</v>
      </c>
      <c r="C1529" t="s">
        <v>3287</v>
      </c>
      <c r="D1529" t="s">
        <v>3253</v>
      </c>
      <c r="E1529">
        <v>15280</v>
      </c>
      <c r="F1529">
        <v>15.1</v>
      </c>
      <c r="G1529">
        <v>1748</v>
      </c>
      <c r="H1529">
        <v>10.4</v>
      </c>
      <c r="I1529">
        <v>1598</v>
      </c>
      <c r="J1529">
        <v>33.5</v>
      </c>
      <c r="K1529">
        <v>1367</v>
      </c>
      <c r="L1529">
        <v>20.7</v>
      </c>
      <c r="M1529">
        <v>1498</v>
      </c>
      <c r="N1529">
        <v>50.6</v>
      </c>
      <c r="O1529">
        <v>786</v>
      </c>
      <c r="P1529" t="s">
        <v>1093</v>
      </c>
      <c r="Q1529" s="1">
        <v>46249</v>
      </c>
      <c r="R1529">
        <v>18.399999999999999</v>
      </c>
      <c r="S1529" s="2">
        <v>0.02</v>
      </c>
      <c r="T1529" s="3">
        <v>2.2409722222222221</v>
      </c>
      <c r="U1529" s="2">
        <v>0.31</v>
      </c>
      <c r="V1529" t="s">
        <v>3287</v>
      </c>
      <c r="W1529" t="s">
        <v>3288</v>
      </c>
      <c r="X1529" t="b">
        <v>0</v>
      </c>
      <c r="Y1529" t="b">
        <v>0</v>
      </c>
    </row>
    <row r="1530" spans="1:25">
      <c r="A1530">
        <v>15290</v>
      </c>
      <c r="B1530" t="s">
        <v>3251</v>
      </c>
      <c r="C1530" t="s">
        <v>3289</v>
      </c>
      <c r="D1530" t="s">
        <v>3253</v>
      </c>
      <c r="E1530">
        <v>15290</v>
      </c>
      <c r="F1530">
        <v>18.2</v>
      </c>
      <c r="G1530">
        <v>1535</v>
      </c>
      <c r="H1530">
        <v>11.6</v>
      </c>
      <c r="I1530">
        <v>1451</v>
      </c>
      <c r="J1530">
        <v>30.5</v>
      </c>
      <c r="K1530">
        <v>1427</v>
      </c>
      <c r="L1530">
        <v>36.6</v>
      </c>
      <c r="M1530">
        <v>1059</v>
      </c>
      <c r="N1530">
        <v>34.4</v>
      </c>
      <c r="O1530">
        <v>1342</v>
      </c>
      <c r="P1530" t="s">
        <v>895</v>
      </c>
      <c r="Q1530" s="1">
        <v>70464</v>
      </c>
      <c r="R1530">
        <v>27.6</v>
      </c>
      <c r="S1530" s="2">
        <v>0.06</v>
      </c>
      <c r="T1530" s="3">
        <v>2.2409722222222221</v>
      </c>
      <c r="U1530" s="2">
        <v>0.19</v>
      </c>
      <c r="V1530" t="s">
        <v>3289</v>
      </c>
      <c r="W1530" t="s">
        <v>3290</v>
      </c>
      <c r="X1530" t="b">
        <v>0</v>
      </c>
      <c r="Y1530" t="b">
        <v>0</v>
      </c>
    </row>
    <row r="1531" spans="1:25">
      <c r="A1531">
        <v>15300</v>
      </c>
      <c r="B1531" t="s">
        <v>3251</v>
      </c>
      <c r="C1531" t="s">
        <v>3291</v>
      </c>
      <c r="D1531" t="s">
        <v>3253</v>
      </c>
      <c r="E1531">
        <v>15300</v>
      </c>
      <c r="F1531">
        <v>19.2</v>
      </c>
      <c r="G1531">
        <v>1450</v>
      </c>
      <c r="H1531">
        <v>12.6</v>
      </c>
      <c r="I1531">
        <v>1345</v>
      </c>
      <c r="J1531">
        <v>23.1</v>
      </c>
      <c r="K1531">
        <v>1608</v>
      </c>
      <c r="L1531">
        <v>17.3</v>
      </c>
      <c r="M1531">
        <v>1723</v>
      </c>
      <c r="N1531">
        <v>35.4</v>
      </c>
      <c r="O1531">
        <v>1303</v>
      </c>
      <c r="P1531" t="s">
        <v>895</v>
      </c>
      <c r="Q1531" s="1">
        <v>21060</v>
      </c>
      <c r="R1531">
        <v>23.3</v>
      </c>
      <c r="S1531" s="2">
        <v>0.12</v>
      </c>
      <c r="T1531" s="3">
        <v>2.2819444444444446</v>
      </c>
      <c r="U1531" t="s">
        <v>1292</v>
      </c>
      <c r="V1531" t="s">
        <v>3291</v>
      </c>
      <c r="W1531" t="s">
        <v>3292</v>
      </c>
      <c r="X1531" t="b">
        <v>0</v>
      </c>
      <c r="Y1531" t="b">
        <v>0</v>
      </c>
    </row>
    <row r="1532" spans="1:25">
      <c r="A1532">
        <v>15310</v>
      </c>
      <c r="B1532" t="s">
        <v>3251</v>
      </c>
      <c r="C1532" t="s">
        <v>3293</v>
      </c>
      <c r="D1532" t="s">
        <v>3253</v>
      </c>
      <c r="E1532">
        <v>15310</v>
      </c>
      <c r="F1532">
        <v>35.5</v>
      </c>
      <c r="G1532">
        <v>443</v>
      </c>
      <c r="H1532">
        <v>9.6</v>
      </c>
      <c r="I1532">
        <v>1696</v>
      </c>
      <c r="J1532">
        <v>20</v>
      </c>
      <c r="K1532">
        <v>1676</v>
      </c>
      <c r="L1532">
        <v>22.2</v>
      </c>
      <c r="M1532">
        <v>1430</v>
      </c>
      <c r="N1532">
        <v>20.100000000000001</v>
      </c>
      <c r="O1532">
        <v>1865</v>
      </c>
      <c r="P1532" t="s">
        <v>528</v>
      </c>
      <c r="Q1532" s="1">
        <v>18360</v>
      </c>
      <c r="R1532">
        <v>13.6</v>
      </c>
      <c r="S1532" s="2">
        <v>0</v>
      </c>
      <c r="T1532" s="3">
        <v>2.036111111111111</v>
      </c>
      <c r="U1532" s="2">
        <v>0.33</v>
      </c>
      <c r="V1532" t="s">
        <v>3293</v>
      </c>
      <c r="W1532" t="s">
        <v>3294</v>
      </c>
      <c r="X1532" t="b">
        <v>0</v>
      </c>
      <c r="Y1532" t="b">
        <v>0</v>
      </c>
    </row>
    <row r="1533" spans="1:25">
      <c r="A1533">
        <v>15320</v>
      </c>
      <c r="B1533" t="s">
        <v>3251</v>
      </c>
      <c r="C1533" t="s">
        <v>3295</v>
      </c>
      <c r="D1533" t="s">
        <v>3253</v>
      </c>
      <c r="E1533">
        <v>15320</v>
      </c>
      <c r="F1533">
        <v>16.600000000000001</v>
      </c>
      <c r="G1533">
        <v>1657</v>
      </c>
      <c r="H1533">
        <v>7.9</v>
      </c>
      <c r="I1533">
        <v>1884</v>
      </c>
      <c r="J1533">
        <v>33.1</v>
      </c>
      <c r="K1533">
        <v>1373</v>
      </c>
      <c r="L1533">
        <v>16</v>
      </c>
      <c r="M1533">
        <v>1858</v>
      </c>
      <c r="N1533">
        <v>51.5</v>
      </c>
      <c r="O1533">
        <v>753</v>
      </c>
      <c r="P1533" t="s">
        <v>1820</v>
      </c>
      <c r="Q1533" s="1">
        <v>13691</v>
      </c>
      <c r="R1533">
        <v>14.1</v>
      </c>
      <c r="S1533" s="2">
        <v>0.02</v>
      </c>
      <c r="T1533" s="3">
        <v>2.3229166666666665</v>
      </c>
      <c r="U1533" s="2">
        <v>0.33</v>
      </c>
      <c r="V1533" t="s">
        <v>3296</v>
      </c>
      <c r="W1533" t="s">
        <v>3297</v>
      </c>
      <c r="X1533" t="b">
        <v>0</v>
      </c>
      <c r="Y1533" t="b">
        <v>0</v>
      </c>
    </row>
    <row r="1534" spans="1:25">
      <c r="A1534">
        <v>15330</v>
      </c>
      <c r="B1534" t="s">
        <v>3251</v>
      </c>
      <c r="C1534" t="s">
        <v>3298</v>
      </c>
      <c r="D1534" t="s">
        <v>3253</v>
      </c>
      <c r="E1534">
        <v>15330</v>
      </c>
      <c r="F1534">
        <v>20</v>
      </c>
      <c r="G1534">
        <v>1371</v>
      </c>
      <c r="H1534">
        <v>8.9</v>
      </c>
      <c r="I1534">
        <v>1808</v>
      </c>
      <c r="J1534">
        <v>10.4</v>
      </c>
      <c r="K1534">
        <v>1851</v>
      </c>
      <c r="L1534">
        <v>22.2</v>
      </c>
      <c r="M1534">
        <v>1431</v>
      </c>
      <c r="N1534">
        <v>36.200000000000003</v>
      </c>
      <c r="O1534">
        <v>1267</v>
      </c>
      <c r="P1534" t="s">
        <v>94</v>
      </c>
      <c r="Q1534" s="1">
        <v>19692</v>
      </c>
      <c r="R1534">
        <v>12.2</v>
      </c>
      <c r="S1534" s="2">
        <v>0.03</v>
      </c>
      <c r="T1534" s="3">
        <v>2.0770833333333334</v>
      </c>
      <c r="U1534" s="2">
        <v>0.39</v>
      </c>
      <c r="V1534" t="s">
        <v>3298</v>
      </c>
      <c r="W1534" t="s">
        <v>3299</v>
      </c>
      <c r="X1534" t="b">
        <v>0</v>
      </c>
      <c r="Y1534" t="b">
        <v>0</v>
      </c>
    </row>
    <row r="1535" spans="1:25">
      <c r="A1535">
        <v>15340</v>
      </c>
      <c r="B1535" t="s">
        <v>3251</v>
      </c>
      <c r="C1535" t="s">
        <v>3300</v>
      </c>
      <c r="D1535" t="s">
        <v>3253</v>
      </c>
      <c r="E1535">
        <v>15340</v>
      </c>
      <c r="F1535">
        <v>19.5</v>
      </c>
      <c r="G1535">
        <v>1417</v>
      </c>
      <c r="H1535">
        <v>11.2</v>
      </c>
      <c r="I1535">
        <v>1499</v>
      </c>
      <c r="J1535">
        <v>32.700000000000003</v>
      </c>
      <c r="K1535">
        <v>1382</v>
      </c>
      <c r="L1535">
        <v>20.100000000000001</v>
      </c>
      <c r="M1535">
        <v>1524</v>
      </c>
      <c r="N1535">
        <v>26.3</v>
      </c>
      <c r="O1535">
        <v>1654</v>
      </c>
      <c r="P1535" t="s">
        <v>795</v>
      </c>
      <c r="Q1535" s="1">
        <v>7506</v>
      </c>
      <c r="R1535">
        <v>18.7</v>
      </c>
      <c r="S1535" s="2">
        <v>0.05</v>
      </c>
      <c r="T1535" s="3">
        <v>2.4458333333333333</v>
      </c>
      <c r="U1535" s="2">
        <v>0.35</v>
      </c>
      <c r="V1535" t="s">
        <v>3300</v>
      </c>
      <c r="W1535" t="s">
        <v>3301</v>
      </c>
      <c r="X1535" t="b">
        <v>0</v>
      </c>
      <c r="Y1535" t="b">
        <v>0</v>
      </c>
    </row>
    <row r="1536" spans="1:25">
      <c r="A1536">
        <v>15350</v>
      </c>
      <c r="B1536" t="s">
        <v>3251</v>
      </c>
      <c r="C1536" t="s">
        <v>3302</v>
      </c>
      <c r="D1536" t="s">
        <v>3253</v>
      </c>
      <c r="E1536">
        <v>15350</v>
      </c>
      <c r="F1536">
        <v>15.6</v>
      </c>
      <c r="G1536">
        <v>1722</v>
      </c>
      <c r="H1536">
        <v>8</v>
      </c>
      <c r="I1536">
        <v>1878</v>
      </c>
      <c r="J1536">
        <v>10.199999999999999</v>
      </c>
      <c r="K1536">
        <v>1854</v>
      </c>
      <c r="L1536">
        <v>17.5</v>
      </c>
      <c r="M1536">
        <v>1699</v>
      </c>
      <c r="N1536">
        <v>37.299999999999997</v>
      </c>
      <c r="O1536">
        <v>1227</v>
      </c>
      <c r="P1536" t="s">
        <v>1613</v>
      </c>
      <c r="Q1536" s="1">
        <v>36463</v>
      </c>
      <c r="R1536">
        <v>15</v>
      </c>
      <c r="S1536" s="2">
        <v>0.02</v>
      </c>
      <c r="T1536" s="3">
        <v>2.3638888888888889</v>
      </c>
      <c r="U1536" s="2">
        <v>0.34</v>
      </c>
      <c r="V1536" t="s">
        <v>3302</v>
      </c>
      <c r="W1536" t="s">
        <v>3303</v>
      </c>
      <c r="X1536" t="b">
        <v>0</v>
      </c>
      <c r="Y1536" t="b">
        <v>0</v>
      </c>
    </row>
    <row r="1537" spans="1:25">
      <c r="A1537">
        <v>15360</v>
      </c>
      <c r="B1537" t="s">
        <v>3251</v>
      </c>
      <c r="C1537" t="s">
        <v>3304</v>
      </c>
      <c r="D1537" t="s">
        <v>3253</v>
      </c>
      <c r="E1537">
        <v>15360</v>
      </c>
      <c r="F1537">
        <v>21.4</v>
      </c>
      <c r="G1537">
        <v>1274</v>
      </c>
      <c r="H1537">
        <v>8</v>
      </c>
      <c r="I1537">
        <v>1879</v>
      </c>
      <c r="J1537">
        <v>12.8</v>
      </c>
      <c r="K1537">
        <v>1802</v>
      </c>
      <c r="L1537">
        <v>18.100000000000001</v>
      </c>
      <c r="M1537">
        <v>1657</v>
      </c>
      <c r="N1537">
        <v>34.4</v>
      </c>
      <c r="O1537">
        <v>1343</v>
      </c>
      <c r="P1537" t="s">
        <v>1613</v>
      </c>
      <c r="Q1537" s="1">
        <v>27413</v>
      </c>
      <c r="R1537">
        <v>29.6</v>
      </c>
      <c r="S1537" s="2">
        <v>0</v>
      </c>
      <c r="T1537" s="3">
        <v>2.4458333333333333</v>
      </c>
      <c r="U1537" s="2">
        <v>0.31</v>
      </c>
      <c r="V1537" t="s">
        <v>3304</v>
      </c>
      <c r="W1537" t="s">
        <v>3305</v>
      </c>
      <c r="X1537" t="b">
        <v>0</v>
      </c>
      <c r="Y1537" t="b">
        <v>0</v>
      </c>
    </row>
    <row r="1538" spans="1:25">
      <c r="A1538">
        <v>15370</v>
      </c>
      <c r="B1538" t="s">
        <v>3251</v>
      </c>
      <c r="C1538" t="s">
        <v>3306</v>
      </c>
      <c r="D1538" t="s">
        <v>3253</v>
      </c>
      <c r="E1538">
        <v>15370</v>
      </c>
      <c r="F1538">
        <v>19.2</v>
      </c>
      <c r="G1538">
        <v>1451</v>
      </c>
      <c r="H1538">
        <v>9.6</v>
      </c>
      <c r="I1538">
        <v>1697</v>
      </c>
      <c r="J1538">
        <v>11.1</v>
      </c>
      <c r="K1538">
        <v>1839</v>
      </c>
      <c r="L1538">
        <v>18.100000000000001</v>
      </c>
      <c r="M1538">
        <v>1658</v>
      </c>
      <c r="N1538">
        <v>26.4</v>
      </c>
      <c r="O1538">
        <v>1647</v>
      </c>
      <c r="P1538" t="s">
        <v>1613</v>
      </c>
      <c r="Q1538" s="1">
        <v>38732</v>
      </c>
      <c r="R1538">
        <v>19.5</v>
      </c>
      <c r="S1538" s="2">
        <v>0</v>
      </c>
      <c r="T1538" s="3">
        <v>2.4458333333333333</v>
      </c>
      <c r="U1538" s="2">
        <v>0.28999999999999998</v>
      </c>
      <c r="V1538" t="s">
        <v>3306</v>
      </c>
      <c r="W1538" t="s">
        <v>3307</v>
      </c>
      <c r="X1538" t="b">
        <v>0</v>
      </c>
      <c r="Y1538" t="b">
        <v>0</v>
      </c>
    </row>
    <row r="1539" spans="1:25">
      <c r="A1539">
        <v>15380</v>
      </c>
      <c r="B1539" t="s">
        <v>3251</v>
      </c>
      <c r="C1539" t="s">
        <v>3308</v>
      </c>
      <c r="D1539" t="s">
        <v>3253</v>
      </c>
      <c r="E1539">
        <v>15380</v>
      </c>
      <c r="F1539">
        <v>22.2</v>
      </c>
      <c r="G1539">
        <v>1207</v>
      </c>
      <c r="H1539">
        <v>9.3000000000000007</v>
      </c>
      <c r="I1539">
        <v>1742</v>
      </c>
      <c r="J1539">
        <v>7.7</v>
      </c>
      <c r="K1539">
        <v>1884</v>
      </c>
      <c r="L1539">
        <v>17.399999999999999</v>
      </c>
      <c r="M1539">
        <v>1708</v>
      </c>
      <c r="N1539">
        <v>26.9</v>
      </c>
      <c r="O1539">
        <v>1617</v>
      </c>
      <c r="P1539" t="s">
        <v>1613</v>
      </c>
      <c r="Q1539" s="1">
        <v>66758</v>
      </c>
      <c r="R1539">
        <v>10.6</v>
      </c>
      <c r="S1539" s="2">
        <v>0.01</v>
      </c>
      <c r="T1539" s="3">
        <v>2.4868055555555557</v>
      </c>
      <c r="U1539" s="2">
        <v>0.3</v>
      </c>
      <c r="V1539" t="s">
        <v>3308</v>
      </c>
      <c r="W1539" t="s">
        <v>3309</v>
      </c>
      <c r="X1539" t="b">
        <v>0</v>
      </c>
      <c r="Y1539" t="b">
        <v>0</v>
      </c>
    </row>
    <row r="1540" spans="1:25">
      <c r="A1540">
        <v>15390</v>
      </c>
      <c r="B1540" t="s">
        <v>3251</v>
      </c>
      <c r="C1540" t="s">
        <v>3310</v>
      </c>
      <c r="D1540" t="s">
        <v>3253</v>
      </c>
      <c r="E1540">
        <v>15390</v>
      </c>
      <c r="F1540">
        <v>17.100000000000001</v>
      </c>
      <c r="G1540">
        <v>1615</v>
      </c>
      <c r="H1540">
        <v>9.1</v>
      </c>
      <c r="I1540">
        <v>1774</v>
      </c>
      <c r="J1540">
        <v>9.1</v>
      </c>
      <c r="K1540">
        <v>1865</v>
      </c>
      <c r="L1540">
        <v>28.8</v>
      </c>
      <c r="M1540">
        <v>1208</v>
      </c>
      <c r="N1540">
        <v>27.4</v>
      </c>
      <c r="O1540">
        <v>1602</v>
      </c>
      <c r="P1540" t="s">
        <v>1613</v>
      </c>
      <c r="Q1540" s="1">
        <v>30889</v>
      </c>
      <c r="R1540">
        <v>17.399999999999999</v>
      </c>
      <c r="S1540" s="2">
        <v>0</v>
      </c>
      <c r="T1540" s="3">
        <v>2.3638888888888889</v>
      </c>
      <c r="U1540" s="2">
        <v>0.26</v>
      </c>
      <c r="V1540" t="s">
        <v>3310</v>
      </c>
      <c r="W1540" t="s">
        <v>3311</v>
      </c>
      <c r="X1540" t="b">
        <v>0</v>
      </c>
      <c r="Y1540" t="b">
        <v>0</v>
      </c>
    </row>
    <row r="1541" spans="1:25">
      <c r="A1541">
        <v>15400</v>
      </c>
      <c r="B1541" t="s">
        <v>3251</v>
      </c>
      <c r="C1541" t="s">
        <v>3312</v>
      </c>
      <c r="D1541" t="s">
        <v>3253</v>
      </c>
      <c r="E1541">
        <v>15400</v>
      </c>
      <c r="F1541">
        <v>13.3</v>
      </c>
      <c r="G1541">
        <v>1831</v>
      </c>
      <c r="H1541">
        <v>9.1</v>
      </c>
      <c r="I1541">
        <v>1775</v>
      </c>
      <c r="J1541">
        <v>17.100000000000001</v>
      </c>
      <c r="K1541">
        <v>1729</v>
      </c>
      <c r="L1541">
        <v>19.8</v>
      </c>
      <c r="M1541">
        <v>1541</v>
      </c>
      <c r="N1541">
        <v>33.4</v>
      </c>
      <c r="O1541">
        <v>1375</v>
      </c>
      <c r="P1541" t="s">
        <v>1613</v>
      </c>
      <c r="Q1541" s="1">
        <v>132850</v>
      </c>
      <c r="R1541">
        <v>48</v>
      </c>
      <c r="S1541" s="2">
        <v>0</v>
      </c>
      <c r="T1541" s="3">
        <v>1.9951388888888888</v>
      </c>
      <c r="U1541" s="2">
        <v>0.23</v>
      </c>
      <c r="V1541" t="s">
        <v>3312</v>
      </c>
      <c r="W1541" t="s">
        <v>3313</v>
      </c>
      <c r="X1541" t="b">
        <v>0</v>
      </c>
      <c r="Y1541" t="b">
        <v>0</v>
      </c>
    </row>
    <row r="1542" spans="1:25">
      <c r="A1542">
        <v>15410</v>
      </c>
      <c r="B1542" t="s">
        <v>3251</v>
      </c>
      <c r="C1542" t="s">
        <v>3314</v>
      </c>
      <c r="D1542" t="s">
        <v>3253</v>
      </c>
      <c r="E1542">
        <v>15410</v>
      </c>
      <c r="F1542">
        <v>19.100000000000001</v>
      </c>
      <c r="G1542">
        <v>1458</v>
      </c>
      <c r="H1542">
        <v>10.5</v>
      </c>
      <c r="I1542">
        <v>1585</v>
      </c>
      <c r="J1542">
        <v>19.100000000000001</v>
      </c>
      <c r="K1542">
        <v>1701</v>
      </c>
      <c r="L1542">
        <v>23.7</v>
      </c>
      <c r="M1542">
        <v>1377</v>
      </c>
      <c r="N1542">
        <v>30</v>
      </c>
      <c r="O1542">
        <v>1496</v>
      </c>
      <c r="P1542" t="s">
        <v>1613</v>
      </c>
      <c r="Q1542" s="1">
        <v>25567</v>
      </c>
      <c r="R1542">
        <v>45.2</v>
      </c>
      <c r="S1542" s="2">
        <v>0.01</v>
      </c>
      <c r="T1542" s="3">
        <v>2.4048611111111109</v>
      </c>
      <c r="U1542" s="2">
        <v>0.28999999999999998</v>
      </c>
      <c r="V1542" t="s">
        <v>3314</v>
      </c>
      <c r="W1542" t="s">
        <v>3315</v>
      </c>
      <c r="X1542" t="b">
        <v>0</v>
      </c>
      <c r="Y1542" t="b">
        <v>0</v>
      </c>
    </row>
    <row r="1543" spans="1:25">
      <c r="A1543">
        <v>15420</v>
      </c>
      <c r="B1543" t="s">
        <v>3251</v>
      </c>
      <c r="C1543" t="s">
        <v>3316</v>
      </c>
      <c r="D1543" t="s">
        <v>3253</v>
      </c>
      <c r="E1543">
        <v>15420</v>
      </c>
      <c r="F1543">
        <v>14.9</v>
      </c>
      <c r="G1543">
        <v>1757</v>
      </c>
      <c r="H1543">
        <v>10</v>
      </c>
      <c r="I1543">
        <v>1638</v>
      </c>
      <c r="J1543">
        <v>14.6</v>
      </c>
      <c r="K1543">
        <v>1774</v>
      </c>
      <c r="L1543">
        <v>24.1</v>
      </c>
      <c r="M1543">
        <v>1363</v>
      </c>
      <c r="N1543">
        <v>33.6</v>
      </c>
      <c r="O1543">
        <v>1367</v>
      </c>
      <c r="P1543" t="s">
        <v>1613</v>
      </c>
      <c r="Q1543" s="1">
        <v>19128</v>
      </c>
      <c r="R1543">
        <v>19.600000000000001</v>
      </c>
      <c r="S1543" s="2">
        <v>0</v>
      </c>
      <c r="T1543" s="3">
        <v>2.1180555555555554</v>
      </c>
      <c r="U1543" s="2">
        <v>0.17</v>
      </c>
      <c r="V1543" t="s">
        <v>3316</v>
      </c>
      <c r="W1543" t="s">
        <v>3317</v>
      </c>
      <c r="X1543" t="b">
        <v>0</v>
      </c>
      <c r="Y1543" t="b">
        <v>0</v>
      </c>
    </row>
    <row r="1544" spans="1:25">
      <c r="A1544">
        <v>15430</v>
      </c>
      <c r="B1544" t="s">
        <v>3251</v>
      </c>
      <c r="C1544" t="s">
        <v>3318</v>
      </c>
      <c r="D1544" t="s">
        <v>3253</v>
      </c>
      <c r="E1544">
        <v>15430</v>
      </c>
      <c r="F1544">
        <v>13</v>
      </c>
      <c r="G1544">
        <v>1843</v>
      </c>
      <c r="H1544">
        <v>9</v>
      </c>
      <c r="I1544">
        <v>1793</v>
      </c>
      <c r="J1544">
        <v>12.6</v>
      </c>
      <c r="K1544">
        <v>1808</v>
      </c>
      <c r="L1544">
        <v>17</v>
      </c>
      <c r="M1544">
        <v>1752</v>
      </c>
      <c r="N1544">
        <v>35.700000000000003</v>
      </c>
      <c r="O1544">
        <v>1288</v>
      </c>
      <c r="P1544" t="s">
        <v>1613</v>
      </c>
      <c r="Q1544" s="1">
        <v>67944</v>
      </c>
      <c r="R1544">
        <v>21.7</v>
      </c>
      <c r="S1544" s="2">
        <v>0.03</v>
      </c>
      <c r="T1544" s="3">
        <v>2.2819444444444446</v>
      </c>
      <c r="U1544" s="2">
        <v>0.3</v>
      </c>
      <c r="V1544" t="s">
        <v>3319</v>
      </c>
      <c r="W1544" t="s">
        <v>3320</v>
      </c>
      <c r="X1544" t="b">
        <v>0</v>
      </c>
      <c r="Y1544" t="b">
        <v>0</v>
      </c>
    </row>
    <row r="1545" spans="1:25">
      <c r="A1545">
        <v>15440</v>
      </c>
      <c r="B1545" t="s">
        <v>3251</v>
      </c>
      <c r="C1545" t="s">
        <v>3321</v>
      </c>
      <c r="D1545" t="s">
        <v>3253</v>
      </c>
      <c r="E1545">
        <v>15440</v>
      </c>
      <c r="F1545">
        <v>34.1</v>
      </c>
      <c r="G1545">
        <v>488</v>
      </c>
      <c r="H1545">
        <v>16.2</v>
      </c>
      <c r="I1545">
        <v>1033</v>
      </c>
      <c r="J1545">
        <v>12.5</v>
      </c>
      <c r="K1545">
        <v>1810</v>
      </c>
      <c r="L1545">
        <v>16.899999999999999</v>
      </c>
      <c r="M1545">
        <v>1759</v>
      </c>
      <c r="N1545">
        <v>35</v>
      </c>
      <c r="O1545">
        <v>1317</v>
      </c>
      <c r="P1545" t="s">
        <v>2290</v>
      </c>
      <c r="Q1545" s="1">
        <v>38030</v>
      </c>
      <c r="R1545">
        <v>11.9</v>
      </c>
      <c r="S1545" s="2">
        <v>0.02</v>
      </c>
      <c r="T1545" s="3">
        <v>2.6506944444444445</v>
      </c>
      <c r="U1545" s="2">
        <v>0.37</v>
      </c>
      <c r="V1545" t="s">
        <v>3321</v>
      </c>
      <c r="W1545" t="s">
        <v>3322</v>
      </c>
      <c r="X1545" t="b">
        <v>0</v>
      </c>
      <c r="Y1545" t="b">
        <v>0</v>
      </c>
    </row>
    <row r="1546" spans="1:25">
      <c r="A1546">
        <v>15450</v>
      </c>
      <c r="B1546" t="s">
        <v>3251</v>
      </c>
      <c r="C1546" t="s">
        <v>3323</v>
      </c>
      <c r="D1546" t="s">
        <v>3253</v>
      </c>
      <c r="E1546">
        <v>15450</v>
      </c>
      <c r="F1546">
        <v>25.1</v>
      </c>
      <c r="G1546">
        <v>991</v>
      </c>
      <c r="H1546">
        <v>12.6</v>
      </c>
      <c r="I1546">
        <v>1346</v>
      </c>
      <c r="J1546">
        <v>19.8</v>
      </c>
      <c r="K1546">
        <v>1683</v>
      </c>
      <c r="L1546">
        <v>28.5</v>
      </c>
      <c r="M1546">
        <v>1219</v>
      </c>
      <c r="N1546">
        <v>20.2</v>
      </c>
      <c r="O1546">
        <v>1862</v>
      </c>
      <c r="P1546" t="s">
        <v>2157</v>
      </c>
      <c r="Q1546" s="1">
        <v>77128</v>
      </c>
      <c r="R1546">
        <v>13.3</v>
      </c>
      <c r="S1546" s="2">
        <v>0</v>
      </c>
      <c r="T1546" s="3">
        <v>2.4048611111111109</v>
      </c>
      <c r="U1546" s="2">
        <v>0.39</v>
      </c>
      <c r="V1546" t="s">
        <v>3323</v>
      </c>
      <c r="W1546" t="s">
        <v>3324</v>
      </c>
      <c r="X1546" t="b">
        <v>0</v>
      </c>
      <c r="Y1546" t="b">
        <v>0</v>
      </c>
    </row>
    <row r="1547" spans="1:25">
      <c r="A1547">
        <v>15460</v>
      </c>
      <c r="B1547" t="s">
        <v>3251</v>
      </c>
      <c r="C1547" t="s">
        <v>3325</v>
      </c>
      <c r="D1547" t="s">
        <v>3253</v>
      </c>
      <c r="E1547">
        <v>15460</v>
      </c>
      <c r="F1547">
        <v>20.100000000000001</v>
      </c>
      <c r="G1547">
        <v>1364</v>
      </c>
      <c r="H1547">
        <v>8.6</v>
      </c>
      <c r="I1547">
        <v>1841</v>
      </c>
      <c r="J1547">
        <v>13.8</v>
      </c>
      <c r="K1547">
        <v>1788</v>
      </c>
      <c r="L1547">
        <v>19.7</v>
      </c>
      <c r="M1547">
        <v>1546</v>
      </c>
      <c r="N1547">
        <v>35.5</v>
      </c>
      <c r="O1547">
        <v>1295</v>
      </c>
      <c r="P1547" t="s">
        <v>3326</v>
      </c>
      <c r="Q1547" s="1">
        <v>23684</v>
      </c>
      <c r="R1547">
        <v>13.2</v>
      </c>
      <c r="S1547" s="2">
        <v>0.02</v>
      </c>
      <c r="T1547" s="3">
        <v>2.7736111111111112</v>
      </c>
      <c r="U1547" s="2">
        <v>0.38</v>
      </c>
      <c r="V1547" t="s">
        <v>3325</v>
      </c>
      <c r="W1547" t="s">
        <v>3327</v>
      </c>
      <c r="X1547" t="b">
        <v>0</v>
      </c>
      <c r="Y1547" t="b">
        <v>0</v>
      </c>
    </row>
    <row r="1548" spans="1:25">
      <c r="A1548">
        <v>15470</v>
      </c>
      <c r="B1548" t="s">
        <v>3251</v>
      </c>
      <c r="C1548" t="s">
        <v>3328</v>
      </c>
      <c r="D1548" t="s">
        <v>3253</v>
      </c>
      <c r="E1548">
        <v>15470</v>
      </c>
      <c r="F1548">
        <v>20</v>
      </c>
      <c r="G1548">
        <v>1372</v>
      </c>
      <c r="H1548">
        <v>12.2</v>
      </c>
      <c r="I1548">
        <v>1387</v>
      </c>
      <c r="J1548">
        <v>15.7</v>
      </c>
      <c r="K1548">
        <v>1753</v>
      </c>
      <c r="L1548">
        <v>29.1</v>
      </c>
      <c r="M1548">
        <v>1199</v>
      </c>
      <c r="N1548">
        <v>22</v>
      </c>
      <c r="O1548">
        <v>1808</v>
      </c>
      <c r="P1548" t="s">
        <v>895</v>
      </c>
      <c r="Q1548" s="1">
        <v>13970</v>
      </c>
      <c r="R1548">
        <v>13.3</v>
      </c>
      <c r="S1548" s="2">
        <v>0.03</v>
      </c>
      <c r="T1548" s="3">
        <v>2.0770833333333334</v>
      </c>
      <c r="U1548" s="2">
        <v>0.1</v>
      </c>
      <c r="V1548" t="s">
        <v>3328</v>
      </c>
      <c r="W1548" t="s">
        <v>3329</v>
      </c>
      <c r="X1548" t="b">
        <v>0</v>
      </c>
      <c r="Y1548" t="b">
        <v>0</v>
      </c>
    </row>
    <row r="1549" spans="1:25">
      <c r="A1549">
        <v>15480</v>
      </c>
      <c r="B1549" t="s">
        <v>3251</v>
      </c>
      <c r="C1549" t="s">
        <v>3330</v>
      </c>
      <c r="D1549" t="s">
        <v>3253</v>
      </c>
      <c r="E1549">
        <v>15480</v>
      </c>
      <c r="F1549">
        <v>23.4</v>
      </c>
      <c r="G1549">
        <v>1118</v>
      </c>
      <c r="H1549">
        <v>7.8</v>
      </c>
      <c r="I1549">
        <v>1890</v>
      </c>
      <c r="J1549">
        <v>14.6</v>
      </c>
      <c r="K1549">
        <v>1775</v>
      </c>
      <c r="L1549">
        <v>16.2</v>
      </c>
      <c r="M1549">
        <v>1836</v>
      </c>
      <c r="N1549">
        <v>26.1</v>
      </c>
      <c r="O1549">
        <v>1661</v>
      </c>
      <c r="P1549" t="s">
        <v>2157</v>
      </c>
      <c r="Q1549" s="1">
        <v>42848</v>
      </c>
      <c r="R1549">
        <v>11.7</v>
      </c>
      <c r="S1549" s="2">
        <v>0</v>
      </c>
      <c r="T1549" s="3">
        <v>2.3229166666666665</v>
      </c>
      <c r="U1549" s="2">
        <v>0.36</v>
      </c>
      <c r="V1549" t="s">
        <v>3330</v>
      </c>
      <c r="W1549" t="s">
        <v>3331</v>
      </c>
      <c r="X1549" t="b">
        <v>0</v>
      </c>
      <c r="Y1549" t="b">
        <v>0</v>
      </c>
    </row>
    <row r="1550" spans="1:25">
      <c r="A1550">
        <v>15490</v>
      </c>
      <c r="B1550" t="s">
        <v>3251</v>
      </c>
      <c r="C1550" t="s">
        <v>3332</v>
      </c>
      <c r="D1550" t="s">
        <v>3253</v>
      </c>
      <c r="E1550">
        <v>15490</v>
      </c>
      <c r="F1550">
        <v>17.5</v>
      </c>
      <c r="G1550">
        <v>1592</v>
      </c>
      <c r="H1550">
        <v>7.9</v>
      </c>
      <c r="I1550">
        <v>1885</v>
      </c>
      <c r="J1550">
        <v>12.2</v>
      </c>
      <c r="K1550">
        <v>1817</v>
      </c>
      <c r="L1550">
        <v>15.9</v>
      </c>
      <c r="M1550">
        <v>1874</v>
      </c>
      <c r="N1550">
        <v>30.4</v>
      </c>
      <c r="O1550">
        <v>1482</v>
      </c>
      <c r="P1550" t="s">
        <v>2290</v>
      </c>
      <c r="Q1550" s="1">
        <v>27867</v>
      </c>
      <c r="R1550">
        <v>23.7</v>
      </c>
      <c r="S1550" s="2">
        <v>0.01</v>
      </c>
      <c r="T1550" s="3">
        <v>2.1590277777777778</v>
      </c>
      <c r="U1550" t="s">
        <v>1292</v>
      </c>
      <c r="V1550" t="s">
        <v>3332</v>
      </c>
      <c r="W1550" t="s">
        <v>3333</v>
      </c>
      <c r="X1550" t="b">
        <v>0</v>
      </c>
      <c r="Y1550" t="b">
        <v>0</v>
      </c>
    </row>
    <row r="1551" spans="1:25">
      <c r="A1551">
        <v>15500</v>
      </c>
      <c r="B1551" t="s">
        <v>3251</v>
      </c>
      <c r="C1551" t="s">
        <v>3334</v>
      </c>
      <c r="D1551" t="s">
        <v>3253</v>
      </c>
      <c r="E1551">
        <v>15500</v>
      </c>
      <c r="F1551">
        <v>13.8</v>
      </c>
      <c r="G1551">
        <v>1811</v>
      </c>
      <c r="H1551">
        <v>8.3000000000000007</v>
      </c>
      <c r="I1551">
        <v>1864</v>
      </c>
      <c r="J1551">
        <v>14.4</v>
      </c>
      <c r="K1551">
        <v>1780</v>
      </c>
      <c r="L1551">
        <v>20.9</v>
      </c>
      <c r="M1551">
        <v>1483</v>
      </c>
      <c r="N1551">
        <v>44.9</v>
      </c>
      <c r="O1551">
        <v>963</v>
      </c>
      <c r="P1551" t="s">
        <v>2290</v>
      </c>
      <c r="Q1551" s="1">
        <v>40752</v>
      </c>
      <c r="R1551">
        <v>23.7</v>
      </c>
      <c r="S1551" s="2">
        <v>0.01</v>
      </c>
      <c r="T1551" s="3">
        <v>2.5687500000000001</v>
      </c>
      <c r="U1551" s="2">
        <v>0.38</v>
      </c>
      <c r="V1551" t="s">
        <v>3334</v>
      </c>
      <c r="W1551" t="s">
        <v>3335</v>
      </c>
      <c r="X1551" t="b">
        <v>0</v>
      </c>
      <c r="Y1551" t="b">
        <v>0</v>
      </c>
    </row>
    <row r="1552" spans="1:25">
      <c r="A1552">
        <v>15510</v>
      </c>
      <c r="B1552" t="s">
        <v>3251</v>
      </c>
      <c r="C1552" t="s">
        <v>3336</v>
      </c>
      <c r="D1552" t="s">
        <v>3253</v>
      </c>
      <c r="E1552">
        <v>15510</v>
      </c>
      <c r="F1552">
        <v>23.4</v>
      </c>
      <c r="G1552">
        <v>1119</v>
      </c>
      <c r="H1552">
        <v>13.7</v>
      </c>
      <c r="I1552">
        <v>1231</v>
      </c>
      <c r="J1552">
        <v>10.6</v>
      </c>
      <c r="K1552">
        <v>1849</v>
      </c>
      <c r="L1552">
        <v>34.1</v>
      </c>
      <c r="M1552">
        <v>1109</v>
      </c>
      <c r="N1552">
        <v>42.3</v>
      </c>
      <c r="O1552">
        <v>1039</v>
      </c>
      <c r="P1552" t="s">
        <v>255</v>
      </c>
      <c r="Q1552" s="1">
        <v>14066</v>
      </c>
      <c r="R1552">
        <v>15.6</v>
      </c>
      <c r="S1552" s="2">
        <v>0.2</v>
      </c>
      <c r="T1552" s="3">
        <v>2.5277777777777777</v>
      </c>
      <c r="U1552" s="2">
        <v>0.23</v>
      </c>
      <c r="V1552" t="s">
        <v>3336</v>
      </c>
      <c r="W1552" t="s">
        <v>3337</v>
      </c>
      <c r="X1552" t="b">
        <v>0</v>
      </c>
      <c r="Y1552" t="b">
        <v>0</v>
      </c>
    </row>
    <row r="1553" spans="1:25">
      <c r="A1553">
        <v>15520</v>
      </c>
      <c r="B1553" t="s">
        <v>3251</v>
      </c>
      <c r="C1553" t="s">
        <v>3338</v>
      </c>
      <c r="D1553" t="s">
        <v>3253</v>
      </c>
      <c r="E1553">
        <v>15520</v>
      </c>
      <c r="F1553">
        <v>15.6</v>
      </c>
      <c r="G1553">
        <v>1723</v>
      </c>
      <c r="H1553">
        <v>9.5</v>
      </c>
      <c r="I1553">
        <v>1706</v>
      </c>
      <c r="J1553">
        <v>17.100000000000001</v>
      </c>
      <c r="K1553">
        <v>1730</v>
      </c>
      <c r="L1553">
        <v>19.399999999999999</v>
      </c>
      <c r="M1553">
        <v>1565</v>
      </c>
      <c r="N1553">
        <v>37.700000000000003</v>
      </c>
      <c r="O1553">
        <v>1210</v>
      </c>
      <c r="P1553" t="s">
        <v>1613</v>
      </c>
      <c r="Q1553" s="1">
        <v>79695</v>
      </c>
      <c r="R1553">
        <v>45.2</v>
      </c>
      <c r="S1553" s="2">
        <v>0.01</v>
      </c>
      <c r="T1553" s="3">
        <v>2.2000000000000002</v>
      </c>
      <c r="U1553" s="2">
        <v>0.36</v>
      </c>
      <c r="V1553" t="s">
        <v>3338</v>
      </c>
      <c r="W1553" t="s">
        <v>3339</v>
      </c>
      <c r="X1553" t="b">
        <v>0</v>
      </c>
      <c r="Y1553" t="b">
        <v>0</v>
      </c>
    </row>
    <row r="1554" spans="1:25">
      <c r="A1554">
        <v>15530</v>
      </c>
      <c r="B1554" t="s">
        <v>3251</v>
      </c>
      <c r="C1554" t="s">
        <v>3340</v>
      </c>
      <c r="D1554" t="s">
        <v>3253</v>
      </c>
      <c r="E1554">
        <v>15530</v>
      </c>
      <c r="F1554">
        <v>15.5</v>
      </c>
      <c r="G1554">
        <v>1729</v>
      </c>
      <c r="H1554">
        <v>5.7</v>
      </c>
      <c r="I1554">
        <v>1904</v>
      </c>
      <c r="J1554">
        <v>35</v>
      </c>
      <c r="K1554">
        <v>1327</v>
      </c>
      <c r="L1554">
        <v>16.399999999999999</v>
      </c>
      <c r="M1554">
        <v>1815</v>
      </c>
      <c r="N1554">
        <v>34.700000000000003</v>
      </c>
      <c r="O1554">
        <v>1332</v>
      </c>
      <c r="P1554" t="s">
        <v>1895</v>
      </c>
      <c r="Q1554" s="1">
        <v>47837</v>
      </c>
      <c r="R1554">
        <v>25.8</v>
      </c>
      <c r="S1554" s="2">
        <v>0</v>
      </c>
      <c r="T1554" s="3">
        <v>2.0770833333333334</v>
      </c>
      <c r="U1554" s="2">
        <v>0.25</v>
      </c>
      <c r="V1554" t="s">
        <v>3340</v>
      </c>
      <c r="W1554" t="s">
        <v>3341</v>
      </c>
      <c r="X1554" t="b">
        <v>0</v>
      </c>
      <c r="Y1554" t="b">
        <v>0</v>
      </c>
    </row>
    <row r="1555" spans="1:25">
      <c r="A1555">
        <v>15540</v>
      </c>
      <c r="B1555" t="s">
        <v>3251</v>
      </c>
      <c r="C1555" t="s">
        <v>3342</v>
      </c>
      <c r="D1555" t="s">
        <v>3253</v>
      </c>
      <c r="E1555">
        <v>15540</v>
      </c>
      <c r="F1555">
        <v>13.9</v>
      </c>
      <c r="G1555">
        <v>1807</v>
      </c>
      <c r="H1555">
        <v>10.3</v>
      </c>
      <c r="I1555">
        <v>1606</v>
      </c>
      <c r="J1555">
        <v>10.7</v>
      </c>
      <c r="K1555">
        <v>1844</v>
      </c>
      <c r="L1555">
        <v>20.9</v>
      </c>
      <c r="M1555">
        <v>1484</v>
      </c>
      <c r="N1555">
        <v>54</v>
      </c>
      <c r="O1555">
        <v>693</v>
      </c>
      <c r="P1555" t="s">
        <v>1093</v>
      </c>
      <c r="Q1555" s="1">
        <v>9010</v>
      </c>
      <c r="R1555">
        <v>18.600000000000001</v>
      </c>
      <c r="S1555" s="2">
        <v>0.06</v>
      </c>
      <c r="T1555" s="3">
        <v>2.8555555555555556</v>
      </c>
      <c r="U1555" s="2">
        <v>0.33</v>
      </c>
      <c r="V1555" t="s">
        <v>3342</v>
      </c>
      <c r="W1555" t="s">
        <v>3343</v>
      </c>
      <c r="X1555" t="b">
        <v>0</v>
      </c>
      <c r="Y1555" t="b">
        <v>0</v>
      </c>
    </row>
    <row r="1556" spans="1:25">
      <c r="A1556">
        <v>15550</v>
      </c>
      <c r="B1556" t="s">
        <v>3251</v>
      </c>
      <c r="C1556" t="s">
        <v>3344</v>
      </c>
      <c r="D1556" t="s">
        <v>3253</v>
      </c>
      <c r="E1556">
        <v>15550</v>
      </c>
      <c r="F1556">
        <v>21.1</v>
      </c>
      <c r="G1556">
        <v>1291</v>
      </c>
      <c r="H1556">
        <v>7.3</v>
      </c>
      <c r="I1556">
        <v>1901</v>
      </c>
      <c r="J1556">
        <v>30.2</v>
      </c>
      <c r="K1556">
        <v>1439</v>
      </c>
      <c r="L1556">
        <v>21.2</v>
      </c>
      <c r="M1556">
        <v>1470</v>
      </c>
      <c r="N1556">
        <v>35.9</v>
      </c>
      <c r="O1556">
        <v>1283</v>
      </c>
      <c r="P1556" t="s">
        <v>528</v>
      </c>
      <c r="Q1556" s="1">
        <v>22563</v>
      </c>
      <c r="R1556">
        <v>14</v>
      </c>
      <c r="S1556" s="2">
        <v>0.02</v>
      </c>
      <c r="T1556" s="3">
        <v>2.3638888888888889</v>
      </c>
      <c r="U1556" s="2">
        <v>0.28000000000000003</v>
      </c>
      <c r="V1556" t="s">
        <v>3344</v>
      </c>
      <c r="W1556" t="s">
        <v>3345</v>
      </c>
      <c r="X1556" t="b">
        <v>0</v>
      </c>
      <c r="Y1556" t="b">
        <v>0</v>
      </c>
    </row>
    <row r="1557" spans="1:25">
      <c r="A1557">
        <v>15560</v>
      </c>
      <c r="B1557" t="s">
        <v>3251</v>
      </c>
      <c r="C1557" t="s">
        <v>3346</v>
      </c>
      <c r="D1557" t="s">
        <v>3253</v>
      </c>
      <c r="E1557">
        <v>15560</v>
      </c>
      <c r="F1557">
        <v>24.8</v>
      </c>
      <c r="G1557">
        <v>1015</v>
      </c>
      <c r="H1557">
        <v>9.4</v>
      </c>
      <c r="I1557">
        <v>1723</v>
      </c>
      <c r="J1557">
        <v>13.5</v>
      </c>
      <c r="K1557">
        <v>1794</v>
      </c>
      <c r="L1557">
        <v>30.4</v>
      </c>
      <c r="M1557">
        <v>1173</v>
      </c>
      <c r="N1557">
        <v>18.8</v>
      </c>
      <c r="O1557">
        <v>1888</v>
      </c>
      <c r="P1557" t="s">
        <v>528</v>
      </c>
      <c r="Q1557" s="1">
        <v>9925</v>
      </c>
      <c r="R1557">
        <v>7.3</v>
      </c>
      <c r="S1557" s="2">
        <v>0</v>
      </c>
      <c r="T1557" s="3">
        <v>2.1180555555555554</v>
      </c>
      <c r="U1557" s="2">
        <v>0.24</v>
      </c>
      <c r="V1557" t="s">
        <v>3346</v>
      </c>
      <c r="W1557" t="s">
        <v>3347</v>
      </c>
      <c r="X1557" t="b">
        <v>0</v>
      </c>
      <c r="Y1557" t="b">
        <v>0</v>
      </c>
    </row>
    <row r="1558" spans="1:25">
      <c r="A1558">
        <v>15570</v>
      </c>
      <c r="B1558" t="s">
        <v>3251</v>
      </c>
      <c r="C1558" t="s">
        <v>3348</v>
      </c>
      <c r="D1558" t="s">
        <v>3253</v>
      </c>
      <c r="E1558">
        <v>15570</v>
      </c>
      <c r="F1558">
        <v>23</v>
      </c>
      <c r="G1558">
        <v>1150</v>
      </c>
      <c r="H1558">
        <v>14.9</v>
      </c>
      <c r="I1558">
        <v>1130</v>
      </c>
      <c r="J1558">
        <v>23.1</v>
      </c>
      <c r="K1558">
        <v>1609</v>
      </c>
      <c r="L1558">
        <v>20.6</v>
      </c>
      <c r="M1558">
        <v>1506</v>
      </c>
      <c r="N1558">
        <v>24.3</v>
      </c>
      <c r="O1558">
        <v>1730</v>
      </c>
      <c r="P1558" t="s">
        <v>1543</v>
      </c>
      <c r="Q1558" s="1">
        <v>6471</v>
      </c>
      <c r="R1558">
        <v>10.8</v>
      </c>
      <c r="S1558" s="2">
        <v>0.03</v>
      </c>
      <c r="T1558" t="s">
        <v>801</v>
      </c>
      <c r="U1558" s="2">
        <v>0.45</v>
      </c>
      <c r="V1558" t="s">
        <v>3348</v>
      </c>
      <c r="W1558" t="s">
        <v>3349</v>
      </c>
      <c r="X1558" t="b">
        <v>0</v>
      </c>
      <c r="Y1558" t="b">
        <v>0</v>
      </c>
    </row>
    <row r="1559" spans="1:25">
      <c r="A1559">
        <v>15580</v>
      </c>
      <c r="B1559" t="s">
        <v>3251</v>
      </c>
      <c r="C1559" t="s">
        <v>3350</v>
      </c>
      <c r="D1559" t="s">
        <v>3253</v>
      </c>
      <c r="E1559">
        <v>15580</v>
      </c>
      <c r="F1559">
        <v>14.5</v>
      </c>
      <c r="G1559">
        <v>1777</v>
      </c>
      <c r="H1559">
        <v>9.5</v>
      </c>
      <c r="I1559">
        <v>1707</v>
      </c>
      <c r="J1559">
        <v>22.8</v>
      </c>
      <c r="K1559">
        <v>1619</v>
      </c>
      <c r="L1559">
        <v>17.8</v>
      </c>
      <c r="M1559">
        <v>1681</v>
      </c>
      <c r="N1559">
        <v>32</v>
      </c>
      <c r="O1559">
        <v>1429</v>
      </c>
      <c r="P1559" t="s">
        <v>895</v>
      </c>
      <c r="Q1559" s="1">
        <v>10386</v>
      </c>
      <c r="R1559">
        <v>16.3</v>
      </c>
      <c r="S1559" s="2">
        <v>0.13</v>
      </c>
      <c r="T1559" t="s">
        <v>658</v>
      </c>
      <c r="U1559" s="2">
        <v>0.33</v>
      </c>
      <c r="V1559" t="s">
        <v>3350</v>
      </c>
      <c r="W1559" t="s">
        <v>3351</v>
      </c>
      <c r="X1559" t="b">
        <v>0</v>
      </c>
      <c r="Y1559" t="b">
        <v>0</v>
      </c>
    </row>
    <row r="1560" spans="1:25">
      <c r="A1560">
        <v>15590</v>
      </c>
      <c r="B1560" t="s">
        <v>3251</v>
      </c>
      <c r="C1560" t="s">
        <v>3352</v>
      </c>
      <c r="D1560" t="s">
        <v>3253</v>
      </c>
      <c r="E1560">
        <v>15590</v>
      </c>
      <c r="F1560">
        <v>12.9</v>
      </c>
      <c r="G1560">
        <v>1849</v>
      </c>
      <c r="H1560">
        <v>12.8</v>
      </c>
      <c r="I1560">
        <v>1320</v>
      </c>
      <c r="J1560">
        <v>13.9</v>
      </c>
      <c r="K1560">
        <v>1786</v>
      </c>
      <c r="L1560">
        <v>19.100000000000001</v>
      </c>
      <c r="M1560">
        <v>1580</v>
      </c>
      <c r="N1560">
        <v>46.7</v>
      </c>
      <c r="O1560">
        <v>902</v>
      </c>
      <c r="P1560" t="s">
        <v>1093</v>
      </c>
      <c r="Q1560" s="1">
        <v>12662</v>
      </c>
      <c r="R1560">
        <v>25.5</v>
      </c>
      <c r="S1560" s="2">
        <v>0.01</v>
      </c>
      <c r="T1560" s="3">
        <v>1.83125</v>
      </c>
      <c r="U1560" s="2">
        <v>0.36</v>
      </c>
      <c r="V1560" t="s">
        <v>3352</v>
      </c>
      <c r="W1560" t="s">
        <v>3353</v>
      </c>
      <c r="X1560" t="b">
        <v>0</v>
      </c>
      <c r="Y1560" t="b">
        <v>0</v>
      </c>
    </row>
    <row r="1561" spans="1:25">
      <c r="A1561">
        <v>15600</v>
      </c>
      <c r="B1561" t="s">
        <v>3251</v>
      </c>
      <c r="C1561" t="s">
        <v>3354</v>
      </c>
      <c r="D1561" t="s">
        <v>3253</v>
      </c>
      <c r="E1561">
        <v>15600</v>
      </c>
      <c r="F1561">
        <v>11.1</v>
      </c>
      <c r="G1561">
        <v>1896</v>
      </c>
      <c r="H1561">
        <v>9.5</v>
      </c>
      <c r="I1561">
        <v>1708</v>
      </c>
      <c r="J1561">
        <v>26.7</v>
      </c>
      <c r="K1561">
        <v>1524</v>
      </c>
      <c r="L1561">
        <v>16.8</v>
      </c>
      <c r="M1561">
        <v>1772</v>
      </c>
      <c r="N1561">
        <v>26.2</v>
      </c>
      <c r="O1561">
        <v>1658</v>
      </c>
      <c r="P1561" t="s">
        <v>795</v>
      </c>
      <c r="Q1561" s="1">
        <v>12245</v>
      </c>
      <c r="R1561">
        <v>36.9</v>
      </c>
      <c r="S1561" s="2">
        <v>0.04</v>
      </c>
      <c r="T1561" s="3">
        <v>2.2409722222222221</v>
      </c>
      <c r="U1561" s="2">
        <v>0.42</v>
      </c>
      <c r="V1561" t="s">
        <v>3354</v>
      </c>
      <c r="W1561" t="s">
        <v>3355</v>
      </c>
      <c r="X1561" t="b">
        <v>0</v>
      </c>
      <c r="Y1561" t="b">
        <v>0</v>
      </c>
    </row>
    <row r="1562" spans="1:25">
      <c r="A1562">
        <v>15610</v>
      </c>
      <c r="B1562" t="s">
        <v>3251</v>
      </c>
      <c r="C1562" t="s">
        <v>3356</v>
      </c>
      <c r="D1562" t="s">
        <v>3253</v>
      </c>
      <c r="E1562">
        <v>15610</v>
      </c>
      <c r="F1562">
        <v>16.3</v>
      </c>
      <c r="G1562">
        <v>1675</v>
      </c>
      <c r="H1562">
        <v>8.6</v>
      </c>
      <c r="I1562">
        <v>1842</v>
      </c>
      <c r="J1562">
        <v>19.3</v>
      </c>
      <c r="K1562">
        <v>1694</v>
      </c>
      <c r="L1562">
        <v>15.9</v>
      </c>
      <c r="M1562">
        <v>1875</v>
      </c>
      <c r="N1562">
        <v>38.1</v>
      </c>
      <c r="O1562">
        <v>1188</v>
      </c>
      <c r="P1562" t="s">
        <v>2290</v>
      </c>
      <c r="Q1562" s="1">
        <v>30508</v>
      </c>
      <c r="R1562">
        <v>21.5</v>
      </c>
      <c r="S1562" s="2">
        <v>0</v>
      </c>
      <c r="T1562" s="3">
        <v>2.6916666666666669</v>
      </c>
      <c r="U1562" s="2">
        <v>0.45</v>
      </c>
      <c r="V1562" t="s">
        <v>3356</v>
      </c>
      <c r="W1562" t="s">
        <v>3357</v>
      </c>
      <c r="X1562" t="b">
        <v>0</v>
      </c>
      <c r="Y1562" t="b">
        <v>0</v>
      </c>
    </row>
    <row r="1563" spans="1:25">
      <c r="A1563">
        <v>15620</v>
      </c>
      <c r="B1563" t="s">
        <v>3251</v>
      </c>
      <c r="C1563" t="s">
        <v>3358</v>
      </c>
      <c r="D1563" t="s">
        <v>3253</v>
      </c>
      <c r="E1563">
        <v>15620</v>
      </c>
      <c r="F1563">
        <v>19.600000000000001</v>
      </c>
      <c r="G1563">
        <v>1410</v>
      </c>
      <c r="H1563">
        <v>8.6</v>
      </c>
      <c r="I1563">
        <v>1843</v>
      </c>
      <c r="J1563">
        <v>14.9</v>
      </c>
      <c r="K1563">
        <v>1768</v>
      </c>
      <c r="L1563">
        <v>16.7</v>
      </c>
      <c r="M1563">
        <v>1782</v>
      </c>
      <c r="N1563">
        <v>36.799999999999997</v>
      </c>
      <c r="O1563">
        <v>1253</v>
      </c>
      <c r="P1563" t="s">
        <v>2290</v>
      </c>
      <c r="Q1563" s="1">
        <v>29433</v>
      </c>
      <c r="R1563">
        <v>20.399999999999999</v>
      </c>
      <c r="S1563" s="2">
        <v>0.01</v>
      </c>
      <c r="T1563" s="3">
        <v>2.6916666666666669</v>
      </c>
      <c r="U1563" s="2">
        <v>0.36</v>
      </c>
      <c r="V1563" t="s">
        <v>3358</v>
      </c>
      <c r="W1563" t="s">
        <v>3359</v>
      </c>
      <c r="X1563" t="b">
        <v>0</v>
      </c>
      <c r="Y1563" t="b">
        <v>0</v>
      </c>
    </row>
    <row r="1564" spans="1:25">
      <c r="A1564">
        <v>15630</v>
      </c>
      <c r="B1564" t="s">
        <v>3251</v>
      </c>
      <c r="C1564" t="s">
        <v>3360</v>
      </c>
      <c r="D1564" t="s">
        <v>3253</v>
      </c>
      <c r="E1564">
        <v>15630</v>
      </c>
      <c r="F1564">
        <v>15.6</v>
      </c>
      <c r="G1564">
        <v>1724</v>
      </c>
      <c r="H1564">
        <v>9.3000000000000007</v>
      </c>
      <c r="I1564">
        <v>1743</v>
      </c>
      <c r="J1564">
        <v>29.2</v>
      </c>
      <c r="K1564">
        <v>1462</v>
      </c>
      <c r="L1564">
        <v>17.399999999999999</v>
      </c>
      <c r="M1564">
        <v>1709</v>
      </c>
      <c r="N1564">
        <v>32.4</v>
      </c>
      <c r="O1564">
        <v>1408</v>
      </c>
      <c r="P1564" t="s">
        <v>895</v>
      </c>
      <c r="Q1564" s="1">
        <v>23820</v>
      </c>
      <c r="R1564">
        <v>22.1</v>
      </c>
      <c r="S1564" s="2">
        <v>0.09</v>
      </c>
      <c r="T1564" s="3">
        <v>2.3229166666666665</v>
      </c>
      <c r="U1564" s="2">
        <v>0.21</v>
      </c>
      <c r="V1564" t="s">
        <v>3360</v>
      </c>
      <c r="W1564" t="s">
        <v>3361</v>
      </c>
      <c r="X1564" t="b">
        <v>0</v>
      </c>
      <c r="Y1564" t="b">
        <v>0</v>
      </c>
    </row>
    <row r="1565" spans="1:25">
      <c r="A1565">
        <v>15640</v>
      </c>
      <c r="B1565" t="s">
        <v>3251</v>
      </c>
      <c r="C1565" t="s">
        <v>3362</v>
      </c>
      <c r="D1565" t="s">
        <v>3253</v>
      </c>
      <c r="E1565">
        <v>15640</v>
      </c>
      <c r="F1565">
        <v>16.100000000000001</v>
      </c>
      <c r="G1565">
        <v>1692</v>
      </c>
      <c r="H1565">
        <v>9.4</v>
      </c>
      <c r="I1565">
        <v>1724</v>
      </c>
      <c r="J1565">
        <v>30.3</v>
      </c>
      <c r="K1565">
        <v>1434</v>
      </c>
      <c r="L1565">
        <v>16.899999999999999</v>
      </c>
      <c r="M1565">
        <v>1760</v>
      </c>
      <c r="N1565">
        <v>28.9</v>
      </c>
      <c r="O1565">
        <v>1546</v>
      </c>
      <c r="P1565" t="s">
        <v>895</v>
      </c>
      <c r="Q1565" s="1">
        <v>13417</v>
      </c>
      <c r="R1565">
        <v>14.4</v>
      </c>
      <c r="S1565" s="2">
        <v>0.05</v>
      </c>
      <c r="T1565" s="3">
        <v>2.1590277777777778</v>
      </c>
      <c r="U1565" s="2">
        <v>0.26</v>
      </c>
      <c r="V1565" t="s">
        <v>3362</v>
      </c>
      <c r="W1565" t="s">
        <v>3363</v>
      </c>
      <c r="X1565" t="b">
        <v>0</v>
      </c>
      <c r="Y1565" t="b">
        <v>0</v>
      </c>
    </row>
    <row r="1566" spans="1:25">
      <c r="A1566">
        <v>15650</v>
      </c>
      <c r="B1566" t="s">
        <v>3251</v>
      </c>
      <c r="C1566" t="s">
        <v>3364</v>
      </c>
      <c r="D1566" t="s">
        <v>3253</v>
      </c>
      <c r="E1566">
        <v>15650</v>
      </c>
      <c r="F1566">
        <v>20.5</v>
      </c>
      <c r="G1566">
        <v>1336</v>
      </c>
      <c r="H1566">
        <v>9.9</v>
      </c>
      <c r="I1566">
        <v>1646</v>
      </c>
      <c r="J1566">
        <v>17.2</v>
      </c>
      <c r="K1566">
        <v>1726</v>
      </c>
      <c r="L1566">
        <v>20.399999999999999</v>
      </c>
      <c r="M1566">
        <v>1517</v>
      </c>
      <c r="N1566">
        <v>25.7</v>
      </c>
      <c r="O1566">
        <v>1674</v>
      </c>
      <c r="P1566" t="s">
        <v>1955</v>
      </c>
      <c r="Q1566" s="1">
        <v>55332</v>
      </c>
      <c r="R1566">
        <v>14.4</v>
      </c>
      <c r="S1566" s="2">
        <v>0.01</v>
      </c>
      <c r="T1566" s="3">
        <v>2.3638888888888889</v>
      </c>
      <c r="U1566" s="2">
        <v>0.22</v>
      </c>
      <c r="V1566" t="s">
        <v>3364</v>
      </c>
      <c r="W1566" t="s">
        <v>3365</v>
      </c>
      <c r="X1566" t="b">
        <v>0</v>
      </c>
      <c r="Y1566" t="b">
        <v>0</v>
      </c>
    </row>
    <row r="1567" spans="1:25">
      <c r="A1567">
        <v>15660</v>
      </c>
      <c r="B1567" t="s">
        <v>3251</v>
      </c>
      <c r="C1567" t="s">
        <v>3366</v>
      </c>
      <c r="D1567" t="s">
        <v>3253</v>
      </c>
      <c r="E1567">
        <v>15660</v>
      </c>
      <c r="F1567">
        <v>16</v>
      </c>
      <c r="G1567">
        <v>1697</v>
      </c>
      <c r="H1567">
        <v>9.8000000000000007</v>
      </c>
      <c r="I1567">
        <v>1668</v>
      </c>
      <c r="J1567">
        <v>10.3</v>
      </c>
      <c r="K1567">
        <v>1852</v>
      </c>
      <c r="L1567">
        <v>20.9</v>
      </c>
      <c r="M1567">
        <v>1485</v>
      </c>
      <c r="N1567">
        <v>27.6</v>
      </c>
      <c r="O1567">
        <v>1598</v>
      </c>
      <c r="P1567" t="s">
        <v>1448</v>
      </c>
      <c r="Q1567" s="1">
        <v>24431</v>
      </c>
      <c r="R1567">
        <v>17.399999999999999</v>
      </c>
      <c r="S1567" s="2">
        <v>0.02</v>
      </c>
      <c r="T1567" s="3">
        <v>2.7736111111111112</v>
      </c>
      <c r="U1567" s="2">
        <v>0.25</v>
      </c>
      <c r="V1567" t="s">
        <v>3366</v>
      </c>
      <c r="W1567" t="s">
        <v>3367</v>
      </c>
      <c r="X1567" t="b">
        <v>0</v>
      </c>
      <c r="Y1567" t="b">
        <v>0</v>
      </c>
    </row>
    <row r="1568" spans="1:25">
      <c r="A1568">
        <v>15670</v>
      </c>
      <c r="B1568" t="s">
        <v>3251</v>
      </c>
      <c r="C1568" t="s">
        <v>3368</v>
      </c>
      <c r="D1568" t="s">
        <v>3253</v>
      </c>
      <c r="E1568">
        <v>15670</v>
      </c>
      <c r="F1568">
        <v>13.7</v>
      </c>
      <c r="G1568">
        <v>1814</v>
      </c>
      <c r="H1568">
        <v>9.4</v>
      </c>
      <c r="I1568">
        <v>1725</v>
      </c>
      <c r="J1568">
        <v>30.4</v>
      </c>
      <c r="K1568">
        <v>1430</v>
      </c>
      <c r="L1568">
        <v>18.5</v>
      </c>
      <c r="M1568">
        <v>1625</v>
      </c>
      <c r="N1568">
        <v>29.7</v>
      </c>
      <c r="O1568">
        <v>1505</v>
      </c>
      <c r="P1568" t="s">
        <v>895</v>
      </c>
      <c r="Q1568" s="1">
        <v>8696</v>
      </c>
      <c r="R1568">
        <v>18.5</v>
      </c>
      <c r="S1568" s="2">
        <v>0.08</v>
      </c>
      <c r="T1568" s="3">
        <v>2.036111111111111</v>
      </c>
      <c r="U1568" s="2">
        <v>0.36</v>
      </c>
      <c r="V1568" t="s">
        <v>3368</v>
      </c>
      <c r="W1568" t="s">
        <v>3369</v>
      </c>
      <c r="X1568" t="b">
        <v>0</v>
      </c>
      <c r="Y1568" t="b">
        <v>0</v>
      </c>
    </row>
    <row r="1569" spans="1:25">
      <c r="A1569">
        <v>15680</v>
      </c>
      <c r="B1569" t="s">
        <v>3251</v>
      </c>
      <c r="C1569" t="s">
        <v>3370</v>
      </c>
      <c r="D1569" t="s">
        <v>3253</v>
      </c>
      <c r="E1569">
        <v>15680</v>
      </c>
      <c r="F1569">
        <v>18.8</v>
      </c>
      <c r="G1569">
        <v>1476</v>
      </c>
      <c r="H1569">
        <v>10.4</v>
      </c>
      <c r="I1569">
        <v>1599</v>
      </c>
      <c r="J1569">
        <v>20</v>
      </c>
      <c r="K1569">
        <v>1677</v>
      </c>
      <c r="L1569">
        <v>31</v>
      </c>
      <c r="M1569">
        <v>1157</v>
      </c>
      <c r="N1569">
        <v>32.299999999999997</v>
      </c>
      <c r="O1569">
        <v>1413</v>
      </c>
      <c r="P1569" t="s">
        <v>895</v>
      </c>
      <c r="Q1569" s="1">
        <v>41901</v>
      </c>
      <c r="R1569">
        <v>24.2</v>
      </c>
      <c r="S1569" s="2">
        <v>0.1</v>
      </c>
      <c r="T1569" s="3">
        <v>2.1180555555555554</v>
      </c>
      <c r="U1569" s="2">
        <v>0.23</v>
      </c>
      <c r="V1569" t="s">
        <v>3370</v>
      </c>
      <c r="W1569" t="s">
        <v>3371</v>
      </c>
      <c r="X1569" t="b">
        <v>0</v>
      </c>
      <c r="Y1569" t="b">
        <v>0</v>
      </c>
    </row>
    <row r="1570" spans="1:25">
      <c r="A1570">
        <v>15690</v>
      </c>
      <c r="B1570" t="s">
        <v>3251</v>
      </c>
      <c r="C1570" t="s">
        <v>3372</v>
      </c>
      <c r="D1570" t="s">
        <v>3253</v>
      </c>
      <c r="E1570">
        <v>15690</v>
      </c>
      <c r="F1570">
        <v>10.1</v>
      </c>
      <c r="G1570">
        <v>1901</v>
      </c>
      <c r="H1570">
        <v>11</v>
      </c>
      <c r="I1570">
        <v>1521</v>
      </c>
      <c r="J1570">
        <v>9</v>
      </c>
      <c r="K1570">
        <v>1869</v>
      </c>
      <c r="L1570">
        <v>53.2</v>
      </c>
      <c r="M1570">
        <v>747</v>
      </c>
      <c r="N1570">
        <v>32.200000000000003</v>
      </c>
      <c r="O1570">
        <v>1419</v>
      </c>
      <c r="P1570" t="s">
        <v>1820</v>
      </c>
      <c r="Q1570" s="1">
        <v>27456</v>
      </c>
      <c r="R1570">
        <v>58.2</v>
      </c>
      <c r="S1570" s="2">
        <v>0</v>
      </c>
      <c r="T1570" s="3">
        <v>2.0770833333333334</v>
      </c>
      <c r="U1570" s="2">
        <v>0.16</v>
      </c>
      <c r="V1570" t="s">
        <v>3372</v>
      </c>
      <c r="W1570" t="s">
        <v>3373</v>
      </c>
      <c r="X1570" t="b">
        <v>0</v>
      </c>
      <c r="Y1570" t="b">
        <v>0</v>
      </c>
    </row>
    <row r="1571" spans="1:25">
      <c r="A1571">
        <v>15700</v>
      </c>
      <c r="B1571" t="s">
        <v>3251</v>
      </c>
      <c r="C1571" t="s">
        <v>3374</v>
      </c>
      <c r="D1571" t="s">
        <v>3253</v>
      </c>
      <c r="E1571">
        <v>15700</v>
      </c>
      <c r="F1571">
        <v>12.5</v>
      </c>
      <c r="G1571">
        <v>1861</v>
      </c>
      <c r="H1571">
        <v>9.5</v>
      </c>
      <c r="I1571">
        <v>1710</v>
      </c>
      <c r="J1571">
        <v>22.7</v>
      </c>
      <c r="K1571">
        <v>1623</v>
      </c>
      <c r="L1571">
        <v>15.6</v>
      </c>
      <c r="M1571">
        <v>1900</v>
      </c>
      <c r="N1571">
        <v>41</v>
      </c>
      <c r="O1571">
        <v>1081</v>
      </c>
      <c r="P1571" t="s">
        <v>895</v>
      </c>
      <c r="Q1571" s="1">
        <v>10567</v>
      </c>
      <c r="R1571">
        <v>19.899999999999999</v>
      </c>
      <c r="S1571" s="2">
        <v>0.2</v>
      </c>
      <c r="T1571" s="3">
        <v>2.2409722222222221</v>
      </c>
      <c r="U1571" s="2">
        <v>0.28000000000000003</v>
      </c>
      <c r="V1571" t="s">
        <v>3374</v>
      </c>
      <c r="W1571" t="s">
        <v>3375</v>
      </c>
      <c r="X1571" t="b">
        <v>0</v>
      </c>
      <c r="Y1571" t="b">
        <v>0</v>
      </c>
    </row>
    <row r="1572" spans="1:25">
      <c r="A1572">
        <v>15710</v>
      </c>
      <c r="B1572" t="s">
        <v>3251</v>
      </c>
      <c r="C1572" t="s">
        <v>3376</v>
      </c>
      <c r="D1572" t="s">
        <v>3253</v>
      </c>
      <c r="E1572">
        <v>15710</v>
      </c>
      <c r="F1572">
        <v>15.4</v>
      </c>
      <c r="G1572">
        <v>1735</v>
      </c>
      <c r="H1572">
        <v>10.5</v>
      </c>
      <c r="I1572">
        <v>1586</v>
      </c>
      <c r="J1572">
        <v>11.7</v>
      </c>
      <c r="K1572">
        <v>1830</v>
      </c>
      <c r="L1572">
        <v>19</v>
      </c>
      <c r="M1572">
        <v>1589</v>
      </c>
      <c r="N1572">
        <v>35.700000000000003</v>
      </c>
      <c r="O1572">
        <v>1289</v>
      </c>
      <c r="P1572" t="s">
        <v>577</v>
      </c>
      <c r="Q1572" s="1">
        <v>10064</v>
      </c>
      <c r="R1572">
        <v>22.6</v>
      </c>
      <c r="S1572" s="2">
        <v>0</v>
      </c>
      <c r="T1572" s="3">
        <v>2.2409722222222221</v>
      </c>
      <c r="U1572" s="2">
        <v>0.12</v>
      </c>
      <c r="V1572" t="s">
        <v>3376</v>
      </c>
      <c r="W1572" t="s">
        <v>3377</v>
      </c>
      <c r="X1572" t="b">
        <v>0</v>
      </c>
      <c r="Y1572" t="b">
        <v>0</v>
      </c>
    </row>
    <row r="1573" spans="1:25">
      <c r="A1573">
        <v>15720</v>
      </c>
      <c r="B1573" t="s">
        <v>3251</v>
      </c>
      <c r="C1573" t="s">
        <v>3378</v>
      </c>
      <c r="D1573" t="s">
        <v>3253</v>
      </c>
      <c r="E1573">
        <v>15720</v>
      </c>
      <c r="F1573">
        <v>14.2</v>
      </c>
      <c r="G1573">
        <v>1793</v>
      </c>
      <c r="H1573">
        <v>15.2</v>
      </c>
      <c r="I1573">
        <v>1105</v>
      </c>
      <c r="J1573">
        <v>29</v>
      </c>
      <c r="K1573">
        <v>1470</v>
      </c>
      <c r="L1573">
        <v>18.2</v>
      </c>
      <c r="M1573">
        <v>1649</v>
      </c>
      <c r="N1573">
        <v>58</v>
      </c>
      <c r="O1573">
        <v>623</v>
      </c>
      <c r="P1573" t="s">
        <v>1093</v>
      </c>
      <c r="Q1573" s="1">
        <v>11528</v>
      </c>
      <c r="R1573">
        <v>20.3</v>
      </c>
      <c r="S1573" s="2">
        <v>0.03</v>
      </c>
      <c r="T1573" s="3">
        <v>1.9541666666666666</v>
      </c>
      <c r="U1573" s="2">
        <v>0.32</v>
      </c>
      <c r="V1573" t="s">
        <v>3378</v>
      </c>
      <c r="W1573" t="s">
        <v>3379</v>
      </c>
      <c r="X1573" t="b">
        <v>0</v>
      </c>
      <c r="Y1573" t="b">
        <v>0</v>
      </c>
    </row>
    <row r="1574" spans="1:25">
      <c r="A1574">
        <v>15730</v>
      </c>
      <c r="B1574" t="s">
        <v>3251</v>
      </c>
      <c r="C1574" t="s">
        <v>3380</v>
      </c>
      <c r="D1574" t="s">
        <v>3253</v>
      </c>
      <c r="E1574">
        <v>15730</v>
      </c>
      <c r="F1574">
        <v>13.4</v>
      </c>
      <c r="G1574">
        <v>1826</v>
      </c>
      <c r="H1574">
        <v>13.4</v>
      </c>
      <c r="I1574">
        <v>1263</v>
      </c>
      <c r="J1574">
        <v>19.3</v>
      </c>
      <c r="K1574">
        <v>1695</v>
      </c>
      <c r="L1574">
        <v>15.8</v>
      </c>
      <c r="M1574">
        <v>1883</v>
      </c>
      <c r="N1574">
        <v>57.5</v>
      </c>
      <c r="O1574">
        <v>632</v>
      </c>
      <c r="P1574" t="s">
        <v>1093</v>
      </c>
      <c r="Q1574" s="1">
        <v>10891</v>
      </c>
      <c r="R1574">
        <v>21.1</v>
      </c>
      <c r="S1574" s="2">
        <v>0.03</v>
      </c>
      <c r="T1574" s="3">
        <v>2.4458333333333333</v>
      </c>
      <c r="U1574" s="2">
        <v>0.23</v>
      </c>
      <c r="V1574" t="s">
        <v>3380</v>
      </c>
      <c r="W1574" t="s">
        <v>3381</v>
      </c>
      <c r="X1574" t="b">
        <v>0</v>
      </c>
      <c r="Y1574" t="b">
        <v>0</v>
      </c>
    </row>
    <row r="1575" spans="1:25">
      <c r="A1575">
        <v>15740</v>
      </c>
      <c r="B1575" t="s">
        <v>3251</v>
      </c>
      <c r="C1575" t="s">
        <v>3382</v>
      </c>
      <c r="D1575" t="s">
        <v>3253</v>
      </c>
      <c r="E1575">
        <v>15740</v>
      </c>
      <c r="F1575">
        <v>13.2</v>
      </c>
      <c r="G1575">
        <v>1834</v>
      </c>
      <c r="H1575">
        <v>14.9</v>
      </c>
      <c r="I1575">
        <v>1132</v>
      </c>
      <c r="J1575">
        <v>22.9</v>
      </c>
      <c r="K1575">
        <v>1615</v>
      </c>
      <c r="L1575">
        <v>16.899999999999999</v>
      </c>
      <c r="M1575">
        <v>1761</v>
      </c>
      <c r="N1575">
        <v>48.9</v>
      </c>
      <c r="O1575">
        <v>833</v>
      </c>
      <c r="P1575" t="s">
        <v>1093</v>
      </c>
      <c r="Q1575" s="1">
        <v>9879</v>
      </c>
      <c r="R1575">
        <v>22.9</v>
      </c>
      <c r="S1575" s="2">
        <v>0</v>
      </c>
      <c r="T1575" s="3">
        <v>2.3638888888888889</v>
      </c>
      <c r="U1575" s="2">
        <v>0.32</v>
      </c>
      <c r="V1575" t="s">
        <v>3382</v>
      </c>
      <c r="W1575" t="s">
        <v>3383</v>
      </c>
      <c r="X1575" t="b">
        <v>0</v>
      </c>
      <c r="Y1575" t="b">
        <v>0</v>
      </c>
    </row>
    <row r="1576" spans="1:25">
      <c r="A1576">
        <v>15750</v>
      </c>
      <c r="B1576" t="s">
        <v>3251</v>
      </c>
      <c r="C1576" t="s">
        <v>3384</v>
      </c>
      <c r="D1576" t="s">
        <v>3253</v>
      </c>
      <c r="E1576">
        <v>15750</v>
      </c>
      <c r="F1576">
        <v>15.9</v>
      </c>
      <c r="G1576">
        <v>1701</v>
      </c>
      <c r="H1576">
        <v>9.4</v>
      </c>
      <c r="I1576">
        <v>1726</v>
      </c>
      <c r="J1576">
        <v>11.8</v>
      </c>
      <c r="K1576">
        <v>1827</v>
      </c>
      <c r="L1576">
        <v>22.3</v>
      </c>
      <c r="M1576">
        <v>1427</v>
      </c>
      <c r="N1576">
        <v>21.6</v>
      </c>
      <c r="O1576">
        <v>1821</v>
      </c>
      <c r="P1576" t="s">
        <v>577</v>
      </c>
      <c r="Q1576" s="1">
        <v>15054</v>
      </c>
      <c r="R1576">
        <v>30.4</v>
      </c>
      <c r="S1576" s="2">
        <v>0</v>
      </c>
      <c r="T1576" s="3">
        <v>2.2409722222222221</v>
      </c>
      <c r="U1576" s="2">
        <v>0.23</v>
      </c>
      <c r="V1576" t="s">
        <v>3384</v>
      </c>
      <c r="W1576" t="s">
        <v>3385</v>
      </c>
      <c r="X1576" t="b">
        <v>0</v>
      </c>
      <c r="Y1576" t="b">
        <v>0</v>
      </c>
    </row>
    <row r="1577" spans="1:25">
      <c r="A1577">
        <v>15760</v>
      </c>
      <c r="B1577" t="s">
        <v>3251</v>
      </c>
      <c r="C1577" t="s">
        <v>3386</v>
      </c>
      <c r="D1577" t="s">
        <v>3253</v>
      </c>
      <c r="E1577">
        <v>15760</v>
      </c>
      <c r="F1577">
        <v>21.1</v>
      </c>
      <c r="G1577">
        <v>1292</v>
      </c>
      <c r="H1577">
        <v>11.4</v>
      </c>
      <c r="I1577">
        <v>1475</v>
      </c>
      <c r="J1577">
        <v>8.9</v>
      </c>
      <c r="K1577">
        <v>1871</v>
      </c>
      <c r="L1577">
        <v>17.899999999999999</v>
      </c>
      <c r="M1577">
        <v>1673</v>
      </c>
      <c r="N1577">
        <v>20.2</v>
      </c>
      <c r="O1577">
        <v>1863</v>
      </c>
      <c r="P1577" t="s">
        <v>577</v>
      </c>
      <c r="Q1577" s="1">
        <v>16305</v>
      </c>
      <c r="R1577">
        <v>14.7</v>
      </c>
      <c r="S1577" s="2">
        <v>0</v>
      </c>
      <c r="T1577" s="3">
        <v>2.2819444444444446</v>
      </c>
      <c r="U1577" s="2">
        <v>0.13</v>
      </c>
      <c r="V1577" t="s">
        <v>3386</v>
      </c>
      <c r="W1577" t="s">
        <v>3387</v>
      </c>
      <c r="X1577" t="b">
        <v>0</v>
      </c>
      <c r="Y1577" t="b">
        <v>0</v>
      </c>
    </row>
    <row r="1578" spans="1:25">
      <c r="A1578">
        <v>15770</v>
      </c>
      <c r="B1578" t="s">
        <v>3251</v>
      </c>
      <c r="C1578" t="s">
        <v>3388</v>
      </c>
      <c r="D1578" t="s">
        <v>3253</v>
      </c>
      <c r="E1578">
        <v>15770</v>
      </c>
      <c r="F1578">
        <v>14.9</v>
      </c>
      <c r="G1578">
        <v>1759</v>
      </c>
      <c r="H1578">
        <v>5.2</v>
      </c>
      <c r="I1578">
        <v>1905</v>
      </c>
      <c r="J1578">
        <v>21.6</v>
      </c>
      <c r="K1578">
        <v>1645</v>
      </c>
      <c r="L1578">
        <v>16.7</v>
      </c>
      <c r="M1578">
        <v>1783</v>
      </c>
      <c r="N1578">
        <v>22</v>
      </c>
      <c r="O1578">
        <v>1809</v>
      </c>
      <c r="P1578" t="s">
        <v>895</v>
      </c>
      <c r="Q1578" s="1">
        <v>28224</v>
      </c>
      <c r="R1578">
        <v>17.899999999999999</v>
      </c>
      <c r="S1578" s="2">
        <v>0.03</v>
      </c>
      <c r="T1578" s="3">
        <v>2.036111111111111</v>
      </c>
      <c r="U1578" s="2">
        <v>0.26</v>
      </c>
      <c r="V1578" t="s">
        <v>3388</v>
      </c>
      <c r="W1578" t="s">
        <v>3389</v>
      </c>
      <c r="X1578" t="b">
        <v>0</v>
      </c>
      <c r="Y1578" t="b">
        <v>0</v>
      </c>
    </row>
    <row r="1579" spans="1:25">
      <c r="A1579">
        <v>15780</v>
      </c>
      <c r="B1579" t="s">
        <v>3251</v>
      </c>
      <c r="C1579" t="s">
        <v>3390</v>
      </c>
      <c r="D1579" t="s">
        <v>3253</v>
      </c>
      <c r="E1579">
        <v>15780</v>
      </c>
      <c r="F1579">
        <v>12.4</v>
      </c>
      <c r="G1579">
        <v>1866</v>
      </c>
      <c r="H1579">
        <v>9.6999999999999993</v>
      </c>
      <c r="I1579">
        <v>1685</v>
      </c>
      <c r="J1579">
        <v>18.2</v>
      </c>
      <c r="K1579">
        <v>1712</v>
      </c>
      <c r="L1579">
        <v>16.7</v>
      </c>
      <c r="M1579">
        <v>1784</v>
      </c>
      <c r="N1579">
        <v>30.6</v>
      </c>
      <c r="O1579">
        <v>1476</v>
      </c>
      <c r="P1579" t="s">
        <v>577</v>
      </c>
      <c r="Q1579" s="1">
        <v>18816</v>
      </c>
      <c r="R1579">
        <v>21</v>
      </c>
      <c r="S1579" s="2">
        <v>0</v>
      </c>
      <c r="T1579" t="s">
        <v>696</v>
      </c>
      <c r="U1579" s="2">
        <v>0.41</v>
      </c>
      <c r="V1579" t="s">
        <v>3390</v>
      </c>
      <c r="W1579" t="s">
        <v>3391</v>
      </c>
      <c r="X1579" t="b">
        <v>0</v>
      </c>
      <c r="Y1579" t="b">
        <v>0</v>
      </c>
    </row>
    <row r="1580" spans="1:25">
      <c r="A1580">
        <v>15790</v>
      </c>
      <c r="B1580" t="s">
        <v>3251</v>
      </c>
      <c r="C1580" t="s">
        <v>3392</v>
      </c>
      <c r="D1580" t="s">
        <v>3253</v>
      </c>
      <c r="E1580">
        <v>15790</v>
      </c>
      <c r="F1580">
        <v>19.2</v>
      </c>
      <c r="G1580">
        <v>1452</v>
      </c>
      <c r="H1580">
        <v>9.1</v>
      </c>
      <c r="I1580">
        <v>1777</v>
      </c>
      <c r="J1580">
        <v>5.8</v>
      </c>
      <c r="K1580">
        <v>1896</v>
      </c>
      <c r="L1580">
        <v>16.399999999999999</v>
      </c>
      <c r="M1580">
        <v>1816</v>
      </c>
      <c r="N1580">
        <v>37.1</v>
      </c>
      <c r="O1580">
        <v>1235</v>
      </c>
      <c r="P1580" t="s">
        <v>1820</v>
      </c>
      <c r="Q1580" s="1">
        <v>6612</v>
      </c>
      <c r="R1580">
        <v>13.6</v>
      </c>
      <c r="S1580" s="2">
        <v>0.03</v>
      </c>
      <c r="T1580" s="3">
        <v>2.8965277777777776</v>
      </c>
      <c r="U1580" s="2">
        <v>0.06</v>
      </c>
      <c r="V1580" t="s">
        <v>3392</v>
      </c>
      <c r="W1580" t="s">
        <v>3393</v>
      </c>
      <c r="X1580" t="b">
        <v>0</v>
      </c>
      <c r="Y1580" t="b">
        <v>0</v>
      </c>
    </row>
    <row r="1581" spans="1:25">
      <c r="A1581">
        <v>15800</v>
      </c>
      <c r="B1581" t="s">
        <v>3251</v>
      </c>
      <c r="C1581" t="s">
        <v>3394</v>
      </c>
      <c r="D1581" t="s">
        <v>3253</v>
      </c>
      <c r="E1581">
        <v>15800</v>
      </c>
      <c r="F1581">
        <v>14.1</v>
      </c>
      <c r="G1581">
        <v>1797</v>
      </c>
      <c r="H1581">
        <v>18.2</v>
      </c>
      <c r="I1581">
        <v>907</v>
      </c>
      <c r="J1581">
        <v>28.2</v>
      </c>
      <c r="K1581">
        <v>1489</v>
      </c>
      <c r="L1581">
        <v>47</v>
      </c>
      <c r="M1581">
        <v>864</v>
      </c>
      <c r="N1581">
        <v>38.9</v>
      </c>
      <c r="O1581">
        <v>1154</v>
      </c>
      <c r="P1581" t="s">
        <v>389</v>
      </c>
      <c r="Q1581" s="1">
        <v>14432</v>
      </c>
      <c r="R1581">
        <v>37.5</v>
      </c>
      <c r="S1581" s="2">
        <v>0.05</v>
      </c>
      <c r="T1581" s="3">
        <v>2.3229166666666665</v>
      </c>
      <c r="U1581" s="2">
        <v>0.44</v>
      </c>
      <c r="V1581" t="s">
        <v>3394</v>
      </c>
      <c r="W1581" t="s">
        <v>3395</v>
      </c>
      <c r="X1581" t="b">
        <v>0</v>
      </c>
      <c r="Y1581" t="b">
        <v>0</v>
      </c>
    </row>
    <row r="1582" spans="1:25">
      <c r="A1582">
        <v>15810</v>
      </c>
      <c r="B1582" t="s">
        <v>3251</v>
      </c>
      <c r="C1582" t="s">
        <v>3396</v>
      </c>
      <c r="D1582" t="s">
        <v>3253</v>
      </c>
      <c r="E1582">
        <v>15810</v>
      </c>
      <c r="F1582">
        <v>17.399999999999999</v>
      </c>
      <c r="G1582">
        <v>1598</v>
      </c>
      <c r="H1582">
        <v>7.9</v>
      </c>
      <c r="I1582">
        <v>1886</v>
      </c>
      <c r="J1582">
        <v>30.4</v>
      </c>
      <c r="K1582">
        <v>1431</v>
      </c>
      <c r="L1582">
        <v>23.2</v>
      </c>
      <c r="M1582">
        <v>1391</v>
      </c>
      <c r="N1582">
        <v>29.8</v>
      </c>
      <c r="O1582">
        <v>1500</v>
      </c>
      <c r="P1582" t="s">
        <v>29</v>
      </c>
      <c r="Q1582" s="1">
        <v>9986</v>
      </c>
      <c r="R1582">
        <v>16.3</v>
      </c>
      <c r="S1582" s="2">
        <v>0.01</v>
      </c>
      <c r="T1582" s="3">
        <v>2.8555555555555556</v>
      </c>
      <c r="U1582" s="2">
        <v>0.24</v>
      </c>
      <c r="V1582" t="s">
        <v>3396</v>
      </c>
      <c r="W1582" t="s">
        <v>3397</v>
      </c>
      <c r="X1582" t="b">
        <v>0</v>
      </c>
      <c r="Y1582" t="b">
        <v>0</v>
      </c>
    </row>
    <row r="1583" spans="1:25">
      <c r="A1583">
        <v>15820</v>
      </c>
      <c r="B1583" t="s">
        <v>3251</v>
      </c>
      <c r="C1583" t="s">
        <v>3398</v>
      </c>
      <c r="D1583" t="s">
        <v>3253</v>
      </c>
      <c r="E1583">
        <v>15820</v>
      </c>
      <c r="F1583">
        <v>12.3</v>
      </c>
      <c r="G1583">
        <v>1869</v>
      </c>
      <c r="H1583">
        <v>10.7</v>
      </c>
      <c r="I1583">
        <v>1557</v>
      </c>
      <c r="J1583">
        <v>10.7</v>
      </c>
      <c r="K1583">
        <v>1845</v>
      </c>
      <c r="L1583">
        <v>17</v>
      </c>
      <c r="M1583">
        <v>1754</v>
      </c>
      <c r="N1583">
        <v>25.9</v>
      </c>
      <c r="O1583">
        <v>1664</v>
      </c>
      <c r="P1583" t="s">
        <v>255</v>
      </c>
      <c r="Q1583" s="1">
        <v>11226</v>
      </c>
      <c r="R1583">
        <v>24.3</v>
      </c>
      <c r="S1583" s="2">
        <v>0.02</v>
      </c>
      <c r="T1583" s="3">
        <v>2.6097222222222221</v>
      </c>
      <c r="U1583" s="2">
        <v>0.24</v>
      </c>
      <c r="V1583" t="s">
        <v>3398</v>
      </c>
      <c r="W1583" t="s">
        <v>3399</v>
      </c>
      <c r="X1583" t="b">
        <v>0</v>
      </c>
      <c r="Y1583" t="b">
        <v>0</v>
      </c>
    </row>
    <row r="1584" spans="1:25">
      <c r="A1584">
        <v>15830</v>
      </c>
      <c r="B1584" t="s">
        <v>3251</v>
      </c>
      <c r="C1584" t="s">
        <v>3400</v>
      </c>
      <c r="D1584" t="s">
        <v>3253</v>
      </c>
      <c r="E1584">
        <v>15830</v>
      </c>
      <c r="F1584">
        <v>14.8</v>
      </c>
      <c r="G1584">
        <v>1767</v>
      </c>
      <c r="H1584">
        <v>8.8000000000000007</v>
      </c>
      <c r="I1584">
        <v>1821</v>
      </c>
      <c r="J1584">
        <v>13</v>
      </c>
      <c r="K1584">
        <v>1801</v>
      </c>
      <c r="L1584">
        <v>26.1</v>
      </c>
      <c r="M1584">
        <v>1295</v>
      </c>
      <c r="N1584">
        <v>20.9</v>
      </c>
      <c r="O1584">
        <v>1845</v>
      </c>
      <c r="P1584" t="s">
        <v>94</v>
      </c>
      <c r="Q1584" s="1">
        <v>9979</v>
      </c>
      <c r="R1584">
        <v>24.4</v>
      </c>
      <c r="S1584" s="2">
        <v>0.02</v>
      </c>
      <c r="T1584">
        <v>0.68402777777777779</v>
      </c>
      <c r="U1584" s="2">
        <v>0.45</v>
      </c>
      <c r="V1584" t="s">
        <v>3400</v>
      </c>
      <c r="W1584" t="s">
        <v>3401</v>
      </c>
      <c r="X1584" t="b">
        <v>0</v>
      </c>
      <c r="Y1584" t="b">
        <v>0</v>
      </c>
    </row>
    <row r="1585" spans="1:25">
      <c r="A1585">
        <v>15840</v>
      </c>
      <c r="B1585" t="s">
        <v>3251</v>
      </c>
      <c r="C1585" t="s">
        <v>3402</v>
      </c>
      <c r="D1585" t="s">
        <v>3253</v>
      </c>
      <c r="E1585">
        <v>15840</v>
      </c>
      <c r="F1585">
        <v>13.9</v>
      </c>
      <c r="G1585">
        <v>1808</v>
      </c>
      <c r="H1585">
        <v>10</v>
      </c>
      <c r="I1585">
        <v>1639</v>
      </c>
      <c r="J1585">
        <v>16.8</v>
      </c>
      <c r="K1585">
        <v>1736</v>
      </c>
      <c r="L1585">
        <v>26.1</v>
      </c>
      <c r="M1585">
        <v>1296</v>
      </c>
      <c r="N1585">
        <v>29.8</v>
      </c>
      <c r="O1585">
        <v>1501</v>
      </c>
      <c r="P1585" t="s">
        <v>389</v>
      </c>
      <c r="Q1585" s="1">
        <v>23152</v>
      </c>
      <c r="R1585">
        <v>23.5</v>
      </c>
      <c r="S1585" s="2">
        <v>0.06</v>
      </c>
      <c r="T1585" s="3">
        <v>2.1180555555555554</v>
      </c>
      <c r="U1585" s="2">
        <v>0.26</v>
      </c>
      <c r="V1585" t="s">
        <v>3402</v>
      </c>
      <c r="W1585" t="s">
        <v>3403</v>
      </c>
      <c r="X1585" t="b">
        <v>0</v>
      </c>
      <c r="Y1585" t="b">
        <v>0</v>
      </c>
    </row>
    <row r="1586" spans="1:25">
      <c r="A1586">
        <v>15850</v>
      </c>
      <c r="B1586" t="s">
        <v>3251</v>
      </c>
      <c r="C1586" t="s">
        <v>3404</v>
      </c>
      <c r="D1586" t="s">
        <v>3253</v>
      </c>
      <c r="E1586">
        <v>15850</v>
      </c>
      <c r="F1586">
        <v>13.4</v>
      </c>
      <c r="G1586">
        <v>1827</v>
      </c>
      <c r="H1586">
        <v>10.8</v>
      </c>
      <c r="I1586">
        <v>1546</v>
      </c>
      <c r="J1586">
        <v>28.8</v>
      </c>
      <c r="K1586">
        <v>1476</v>
      </c>
      <c r="L1586">
        <v>18.899999999999999</v>
      </c>
      <c r="M1586">
        <v>1598</v>
      </c>
      <c r="N1586">
        <v>26.7</v>
      </c>
      <c r="O1586">
        <v>1631</v>
      </c>
      <c r="P1586" t="s">
        <v>2536</v>
      </c>
      <c r="Q1586" s="1">
        <v>23437</v>
      </c>
      <c r="R1586">
        <v>34.5</v>
      </c>
      <c r="S1586" s="2">
        <v>0.02</v>
      </c>
      <c r="T1586" s="3">
        <v>2.4458333333333333</v>
      </c>
      <c r="U1586" s="2">
        <v>0.44</v>
      </c>
      <c r="V1586" t="s">
        <v>3404</v>
      </c>
      <c r="W1586" t="s">
        <v>3405</v>
      </c>
      <c r="X1586" t="b">
        <v>0</v>
      </c>
      <c r="Y1586" t="b">
        <v>0</v>
      </c>
    </row>
    <row r="1587" spans="1:25">
      <c r="A1587">
        <v>15860</v>
      </c>
      <c r="B1587" t="s">
        <v>3251</v>
      </c>
      <c r="C1587" t="s">
        <v>3406</v>
      </c>
      <c r="D1587" t="s">
        <v>3253</v>
      </c>
      <c r="E1587">
        <v>15860</v>
      </c>
      <c r="F1587">
        <v>17.100000000000001</v>
      </c>
      <c r="G1587">
        <v>1616</v>
      </c>
      <c r="H1587">
        <v>11.9</v>
      </c>
      <c r="I1587">
        <v>1415</v>
      </c>
      <c r="J1587">
        <v>15.9</v>
      </c>
      <c r="K1587">
        <v>1748</v>
      </c>
      <c r="L1587">
        <v>33.4</v>
      </c>
      <c r="M1587">
        <v>1124</v>
      </c>
      <c r="N1587">
        <v>34.1</v>
      </c>
      <c r="O1587">
        <v>1351</v>
      </c>
      <c r="P1587" t="s">
        <v>94</v>
      </c>
      <c r="Q1587" s="1">
        <v>8929</v>
      </c>
      <c r="R1587">
        <v>17.100000000000001</v>
      </c>
      <c r="S1587" s="2">
        <v>0.02</v>
      </c>
      <c r="T1587" t="s">
        <v>529</v>
      </c>
      <c r="U1587" s="2">
        <v>0.28999999999999998</v>
      </c>
      <c r="V1587" t="s">
        <v>3406</v>
      </c>
      <c r="W1587" t="s">
        <v>3407</v>
      </c>
      <c r="X1587" t="b">
        <v>0</v>
      </c>
      <c r="Y1587" t="b">
        <v>0</v>
      </c>
    </row>
    <row r="1588" spans="1:25">
      <c r="A1588">
        <v>15870</v>
      </c>
      <c r="B1588" t="s">
        <v>3251</v>
      </c>
      <c r="C1588" t="s">
        <v>3408</v>
      </c>
      <c r="D1588" t="s">
        <v>3253</v>
      </c>
      <c r="E1588">
        <v>15870</v>
      </c>
      <c r="F1588">
        <v>18.7</v>
      </c>
      <c r="G1588">
        <v>1484</v>
      </c>
      <c r="H1588">
        <v>12.7</v>
      </c>
      <c r="I1588">
        <v>1334</v>
      </c>
      <c r="J1588">
        <v>15.5</v>
      </c>
      <c r="K1588">
        <v>1756</v>
      </c>
      <c r="L1588">
        <v>27.2</v>
      </c>
      <c r="M1588">
        <v>1255</v>
      </c>
      <c r="N1588">
        <v>30.4</v>
      </c>
      <c r="O1588">
        <v>1483</v>
      </c>
      <c r="P1588" t="s">
        <v>94</v>
      </c>
      <c r="Q1588" s="1">
        <v>26161</v>
      </c>
      <c r="R1588">
        <v>35.6</v>
      </c>
      <c r="S1588" s="2">
        <v>0.04</v>
      </c>
      <c r="T1588" t="s">
        <v>696</v>
      </c>
      <c r="U1588" s="2">
        <v>0.4</v>
      </c>
      <c r="V1588" t="s">
        <v>3408</v>
      </c>
      <c r="W1588" t="s">
        <v>3409</v>
      </c>
      <c r="X1588" t="b">
        <v>0</v>
      </c>
      <c r="Y1588" t="b">
        <v>0</v>
      </c>
    </row>
    <row r="1589" spans="1:25">
      <c r="A1589">
        <v>15880</v>
      </c>
      <c r="B1589" t="s">
        <v>3251</v>
      </c>
      <c r="C1589" t="s">
        <v>3410</v>
      </c>
      <c r="D1589" t="s">
        <v>3253</v>
      </c>
      <c r="E1589">
        <v>15880</v>
      </c>
      <c r="F1589">
        <v>21.6</v>
      </c>
      <c r="G1589">
        <v>1257</v>
      </c>
      <c r="H1589">
        <v>8</v>
      </c>
      <c r="I1589">
        <v>1880</v>
      </c>
      <c r="J1589">
        <v>12.4</v>
      </c>
      <c r="K1589">
        <v>1814</v>
      </c>
      <c r="L1589">
        <v>20</v>
      </c>
      <c r="M1589">
        <v>1529</v>
      </c>
      <c r="N1589">
        <v>31.6</v>
      </c>
      <c r="O1589">
        <v>1444</v>
      </c>
      <c r="P1589" t="s">
        <v>1613</v>
      </c>
      <c r="Q1589" s="1">
        <v>14288</v>
      </c>
      <c r="R1589">
        <v>9.3000000000000007</v>
      </c>
      <c r="S1589" s="2">
        <v>0</v>
      </c>
      <c r="T1589" s="3">
        <v>2.3229166666666665</v>
      </c>
      <c r="U1589" s="2">
        <v>0.25</v>
      </c>
      <c r="V1589" t="s">
        <v>3410</v>
      </c>
      <c r="W1589" t="s">
        <v>3411</v>
      </c>
      <c r="X1589" t="b">
        <v>0</v>
      </c>
      <c r="Y1589" t="b">
        <v>0</v>
      </c>
    </row>
    <row r="1590" spans="1:25">
      <c r="A1590">
        <v>15890</v>
      </c>
      <c r="B1590" t="s">
        <v>3251</v>
      </c>
      <c r="C1590" t="s">
        <v>3412</v>
      </c>
      <c r="D1590" t="s">
        <v>3253</v>
      </c>
      <c r="E1590">
        <v>15890</v>
      </c>
      <c r="F1590">
        <v>18.3</v>
      </c>
      <c r="G1590">
        <v>1526</v>
      </c>
      <c r="H1590">
        <v>15.7</v>
      </c>
      <c r="I1590">
        <v>1068</v>
      </c>
      <c r="J1590">
        <v>26.3</v>
      </c>
      <c r="K1590">
        <v>1532</v>
      </c>
      <c r="L1590">
        <v>31.4</v>
      </c>
      <c r="M1590">
        <v>1152</v>
      </c>
      <c r="N1590">
        <v>44.2</v>
      </c>
      <c r="O1590">
        <v>983</v>
      </c>
      <c r="P1590" t="s">
        <v>386</v>
      </c>
      <c r="Q1590" s="1">
        <v>9765</v>
      </c>
      <c r="R1590">
        <v>21</v>
      </c>
      <c r="S1590" s="2">
        <v>7.0000000000000007E-2</v>
      </c>
      <c r="T1590" s="3">
        <v>2.3229166666666665</v>
      </c>
      <c r="U1590" s="2">
        <v>0.25</v>
      </c>
      <c r="V1590" t="s">
        <v>3412</v>
      </c>
      <c r="W1590" t="s">
        <v>3413</v>
      </c>
      <c r="X1590" t="b">
        <v>0</v>
      </c>
      <c r="Y1590" t="b">
        <v>0</v>
      </c>
    </row>
    <row r="1591" spans="1:25">
      <c r="A1591">
        <v>15900</v>
      </c>
      <c r="B1591" t="s">
        <v>3251</v>
      </c>
      <c r="C1591" t="s">
        <v>3414</v>
      </c>
      <c r="D1591" t="s">
        <v>3253</v>
      </c>
      <c r="E1591">
        <v>15900</v>
      </c>
      <c r="F1591">
        <v>27.5</v>
      </c>
      <c r="G1591">
        <v>841</v>
      </c>
      <c r="H1591">
        <v>17.3</v>
      </c>
      <c r="I1591">
        <v>948</v>
      </c>
      <c r="J1591">
        <v>15.5</v>
      </c>
      <c r="K1591">
        <v>1757</v>
      </c>
      <c r="L1591">
        <v>37.6</v>
      </c>
      <c r="M1591">
        <v>1026</v>
      </c>
      <c r="N1591">
        <v>23.4</v>
      </c>
      <c r="O1591">
        <v>1762</v>
      </c>
      <c r="P1591" t="s">
        <v>54</v>
      </c>
      <c r="Q1591" s="1">
        <v>17316</v>
      </c>
      <c r="R1591">
        <v>15.3</v>
      </c>
      <c r="S1591" s="2">
        <v>0.03</v>
      </c>
      <c r="T1591" s="3">
        <v>2.9375</v>
      </c>
      <c r="U1591" s="2">
        <v>0.46</v>
      </c>
      <c r="V1591" t="s">
        <v>3414</v>
      </c>
      <c r="W1591" t="s">
        <v>3415</v>
      </c>
      <c r="X1591" t="b">
        <v>0</v>
      </c>
      <c r="Y1591" t="b">
        <v>0</v>
      </c>
    </row>
    <row r="1592" spans="1:25">
      <c r="A1592">
        <v>15910</v>
      </c>
      <c r="B1592" t="s">
        <v>3251</v>
      </c>
      <c r="C1592" t="s">
        <v>3416</v>
      </c>
      <c r="D1592" t="s">
        <v>3253</v>
      </c>
      <c r="E1592">
        <v>15910</v>
      </c>
      <c r="F1592">
        <v>21.2</v>
      </c>
      <c r="G1592">
        <v>1285</v>
      </c>
      <c r="H1592">
        <v>10.7</v>
      </c>
      <c r="I1592">
        <v>1559</v>
      </c>
      <c r="J1592">
        <v>30.4</v>
      </c>
      <c r="K1592">
        <v>1432</v>
      </c>
      <c r="L1592">
        <v>28.2</v>
      </c>
      <c r="M1592">
        <v>1230</v>
      </c>
      <c r="N1592">
        <v>27.3</v>
      </c>
      <c r="O1592">
        <v>1605</v>
      </c>
      <c r="P1592" t="s">
        <v>1543</v>
      </c>
      <c r="Q1592" s="1">
        <v>13510</v>
      </c>
      <c r="R1592">
        <v>12.2</v>
      </c>
      <c r="S1592" s="2">
        <v>0.05</v>
      </c>
      <c r="T1592" t="s">
        <v>801</v>
      </c>
      <c r="U1592" s="2">
        <v>0.47</v>
      </c>
      <c r="V1592" t="s">
        <v>3416</v>
      </c>
      <c r="W1592" t="s">
        <v>3417</v>
      </c>
      <c r="X1592" t="b">
        <v>0</v>
      </c>
      <c r="Y1592" t="b">
        <v>0</v>
      </c>
    </row>
    <row r="1593" spans="1:25">
      <c r="A1593">
        <v>15920</v>
      </c>
      <c r="B1593" t="s">
        <v>3251</v>
      </c>
      <c r="C1593" t="s">
        <v>3418</v>
      </c>
      <c r="D1593" t="s">
        <v>3253</v>
      </c>
      <c r="E1593">
        <v>15920</v>
      </c>
      <c r="F1593">
        <v>18.3</v>
      </c>
      <c r="G1593">
        <v>1527</v>
      </c>
      <c r="H1593">
        <v>11.5</v>
      </c>
      <c r="I1593">
        <v>1460</v>
      </c>
      <c r="J1593">
        <v>25.2</v>
      </c>
      <c r="K1593">
        <v>1558</v>
      </c>
      <c r="L1593">
        <v>18.399999999999999</v>
      </c>
      <c r="M1593">
        <v>1634</v>
      </c>
      <c r="N1593">
        <v>24</v>
      </c>
      <c r="O1593">
        <v>1741</v>
      </c>
      <c r="P1593" t="s">
        <v>1853</v>
      </c>
      <c r="Q1593" s="1">
        <v>16907</v>
      </c>
      <c r="R1593">
        <v>20.9</v>
      </c>
      <c r="S1593" s="2">
        <v>0.04</v>
      </c>
      <c r="T1593" s="3">
        <v>2.1180555555555554</v>
      </c>
      <c r="U1593" s="2">
        <v>0.39</v>
      </c>
      <c r="V1593" t="s">
        <v>3418</v>
      </c>
      <c r="W1593" t="s">
        <v>3419</v>
      </c>
      <c r="X1593" t="b">
        <v>0</v>
      </c>
      <c r="Y1593" t="b">
        <v>0</v>
      </c>
    </row>
    <row r="1594" spans="1:25">
      <c r="A1594">
        <v>15930</v>
      </c>
      <c r="B1594" t="s">
        <v>3251</v>
      </c>
      <c r="C1594" t="s">
        <v>3420</v>
      </c>
      <c r="D1594" t="s">
        <v>3253</v>
      </c>
      <c r="E1594">
        <v>15930</v>
      </c>
      <c r="F1594">
        <v>17.7</v>
      </c>
      <c r="G1594">
        <v>1580</v>
      </c>
      <c r="H1594">
        <v>11.4</v>
      </c>
      <c r="I1594">
        <v>1476</v>
      </c>
      <c r="J1594">
        <v>27</v>
      </c>
      <c r="K1594">
        <v>1519</v>
      </c>
      <c r="L1594">
        <v>17.899999999999999</v>
      </c>
      <c r="M1594">
        <v>1674</v>
      </c>
      <c r="N1594">
        <v>27.9</v>
      </c>
      <c r="O1594">
        <v>1581</v>
      </c>
      <c r="P1594" t="s">
        <v>795</v>
      </c>
      <c r="Q1594" s="1">
        <v>4709</v>
      </c>
      <c r="R1594">
        <v>15.9</v>
      </c>
      <c r="S1594" s="2">
        <v>0</v>
      </c>
      <c r="T1594" s="3">
        <v>2.8965277777777776</v>
      </c>
      <c r="U1594" s="2">
        <v>0.47</v>
      </c>
      <c r="V1594" t="s">
        <v>3420</v>
      </c>
      <c r="W1594" t="s">
        <v>3421</v>
      </c>
      <c r="X1594" t="b">
        <v>0</v>
      </c>
      <c r="Y1594" t="b">
        <v>0</v>
      </c>
    </row>
    <row r="1595" spans="1:25">
      <c r="A1595">
        <v>15940</v>
      </c>
      <c r="B1595" t="s">
        <v>3251</v>
      </c>
      <c r="C1595" t="s">
        <v>3422</v>
      </c>
      <c r="D1595" t="s">
        <v>3253</v>
      </c>
      <c r="E1595">
        <v>15940</v>
      </c>
      <c r="F1595">
        <v>14.4</v>
      </c>
      <c r="G1595">
        <v>1780</v>
      </c>
      <c r="H1595">
        <v>10.3</v>
      </c>
      <c r="I1595">
        <v>1607</v>
      </c>
      <c r="J1595">
        <v>28.2</v>
      </c>
      <c r="K1595">
        <v>1490</v>
      </c>
      <c r="L1595">
        <v>21.7</v>
      </c>
      <c r="M1595">
        <v>1452</v>
      </c>
      <c r="N1595">
        <v>49.5</v>
      </c>
      <c r="O1595">
        <v>819</v>
      </c>
      <c r="P1595" t="s">
        <v>2446</v>
      </c>
      <c r="Q1595" s="1">
        <v>36666</v>
      </c>
      <c r="R1595">
        <v>21.1</v>
      </c>
      <c r="S1595" s="2">
        <v>0</v>
      </c>
      <c r="T1595" s="3">
        <v>1.9951388888888888</v>
      </c>
      <c r="U1595" s="2">
        <v>0.25</v>
      </c>
      <c r="V1595" t="s">
        <v>3422</v>
      </c>
      <c r="W1595" t="s">
        <v>3423</v>
      </c>
      <c r="X1595" t="b">
        <v>0</v>
      </c>
      <c r="Y1595" t="b">
        <v>0</v>
      </c>
    </row>
    <row r="1596" spans="1:25">
      <c r="A1596">
        <v>15950</v>
      </c>
      <c r="B1596" t="s">
        <v>3251</v>
      </c>
      <c r="C1596" t="s">
        <v>3424</v>
      </c>
      <c r="D1596" t="s">
        <v>3253</v>
      </c>
      <c r="E1596">
        <v>15950</v>
      </c>
      <c r="F1596">
        <v>19.600000000000001</v>
      </c>
      <c r="G1596">
        <v>1412</v>
      </c>
      <c r="H1596">
        <v>12.8</v>
      </c>
      <c r="I1596">
        <v>1322</v>
      </c>
      <c r="J1596">
        <v>31.3</v>
      </c>
      <c r="K1596">
        <v>1417</v>
      </c>
      <c r="L1596">
        <v>17.399999999999999</v>
      </c>
      <c r="M1596">
        <v>1712</v>
      </c>
      <c r="N1596">
        <v>29.3</v>
      </c>
      <c r="O1596">
        <v>1527</v>
      </c>
      <c r="P1596" t="s">
        <v>2229</v>
      </c>
      <c r="Q1596" s="1">
        <v>14905</v>
      </c>
      <c r="R1596">
        <v>14.5</v>
      </c>
      <c r="S1596" s="2">
        <v>0.03</v>
      </c>
      <c r="T1596" s="3">
        <v>2.1180555555555554</v>
      </c>
      <c r="U1596" s="2">
        <v>0.39</v>
      </c>
      <c r="V1596" t="s">
        <v>3425</v>
      </c>
      <c r="W1596" t="s">
        <v>3426</v>
      </c>
      <c r="X1596" t="b">
        <v>0</v>
      </c>
      <c r="Y1596" t="b">
        <v>0</v>
      </c>
    </row>
    <row r="1597" spans="1:25">
      <c r="A1597">
        <v>15960</v>
      </c>
      <c r="B1597" t="s">
        <v>3251</v>
      </c>
      <c r="C1597" t="s">
        <v>3427</v>
      </c>
      <c r="D1597" t="s">
        <v>3253</v>
      </c>
      <c r="E1597">
        <v>15960</v>
      </c>
      <c r="F1597">
        <v>11.1</v>
      </c>
      <c r="G1597">
        <v>1897</v>
      </c>
      <c r="H1597">
        <v>9.9</v>
      </c>
      <c r="I1597">
        <v>1650</v>
      </c>
      <c r="J1597">
        <v>31.1</v>
      </c>
      <c r="K1597">
        <v>1421</v>
      </c>
      <c r="L1597">
        <v>18.899999999999999</v>
      </c>
      <c r="M1597">
        <v>1599</v>
      </c>
      <c r="N1597">
        <v>51.5</v>
      </c>
      <c r="O1597">
        <v>754</v>
      </c>
      <c r="P1597" t="s">
        <v>1433</v>
      </c>
      <c r="Q1597" s="1">
        <v>16714</v>
      </c>
      <c r="R1597">
        <v>27.4</v>
      </c>
      <c r="S1597" s="2">
        <v>0</v>
      </c>
      <c r="T1597" s="3">
        <v>1.83125</v>
      </c>
      <c r="U1597" s="2">
        <v>0.19</v>
      </c>
      <c r="V1597" t="s">
        <v>3427</v>
      </c>
      <c r="W1597" t="s">
        <v>3428</v>
      </c>
      <c r="X1597" t="b">
        <v>0</v>
      </c>
      <c r="Y1597" t="b">
        <v>0</v>
      </c>
    </row>
    <row r="1598" spans="1:25">
      <c r="A1598">
        <v>15970</v>
      </c>
      <c r="B1598" t="s">
        <v>3251</v>
      </c>
      <c r="C1598" t="s">
        <v>3429</v>
      </c>
      <c r="D1598" t="s">
        <v>3253</v>
      </c>
      <c r="E1598">
        <v>15970</v>
      </c>
      <c r="F1598">
        <v>30.3</v>
      </c>
      <c r="G1598">
        <v>674</v>
      </c>
      <c r="H1598">
        <v>16.899999999999999</v>
      </c>
      <c r="I1598">
        <v>977</v>
      </c>
      <c r="J1598">
        <v>12.7</v>
      </c>
      <c r="K1598">
        <v>1805</v>
      </c>
      <c r="L1598">
        <v>53</v>
      </c>
      <c r="M1598">
        <v>752</v>
      </c>
      <c r="N1598">
        <v>21.9</v>
      </c>
      <c r="O1598">
        <v>1812</v>
      </c>
      <c r="P1598" t="s">
        <v>895</v>
      </c>
      <c r="Q1598" s="1">
        <v>32454</v>
      </c>
      <c r="R1598">
        <v>17.5</v>
      </c>
      <c r="S1598" s="2">
        <v>0.04</v>
      </c>
      <c r="T1598" s="3">
        <v>1.9131944444444444</v>
      </c>
      <c r="U1598" s="2">
        <v>0.17</v>
      </c>
      <c r="V1598" t="s">
        <v>3429</v>
      </c>
      <c r="W1598" t="s">
        <v>3430</v>
      </c>
      <c r="X1598" t="b">
        <v>0</v>
      </c>
      <c r="Y1598" t="b">
        <v>0</v>
      </c>
    </row>
    <row r="1599" spans="1:25">
      <c r="A1599">
        <v>15980</v>
      </c>
      <c r="B1599" t="s">
        <v>3251</v>
      </c>
      <c r="C1599" t="s">
        <v>3431</v>
      </c>
      <c r="D1599" t="s">
        <v>3253</v>
      </c>
      <c r="E1599">
        <v>15980</v>
      </c>
      <c r="F1599">
        <v>27.1</v>
      </c>
      <c r="G1599">
        <v>868</v>
      </c>
      <c r="H1599">
        <v>15.4</v>
      </c>
      <c r="I1599">
        <v>1088</v>
      </c>
      <c r="J1599">
        <v>19.100000000000001</v>
      </c>
      <c r="K1599">
        <v>1702</v>
      </c>
      <c r="L1599">
        <v>42.9</v>
      </c>
      <c r="M1599">
        <v>925</v>
      </c>
      <c r="N1599">
        <v>35.1</v>
      </c>
      <c r="O1599">
        <v>1312</v>
      </c>
      <c r="P1599" t="s">
        <v>1955</v>
      </c>
      <c r="Q1599" s="1">
        <v>35688</v>
      </c>
      <c r="R1599">
        <v>18</v>
      </c>
      <c r="S1599" s="2">
        <v>0.02</v>
      </c>
      <c r="T1599" s="3">
        <v>2.3638888888888889</v>
      </c>
      <c r="U1599" s="2">
        <v>0.24</v>
      </c>
      <c r="V1599" t="s">
        <v>3431</v>
      </c>
      <c r="W1599" t="s">
        <v>3432</v>
      </c>
      <c r="X1599" t="b">
        <v>0</v>
      </c>
      <c r="Y1599" t="b">
        <v>0</v>
      </c>
    </row>
    <row r="1600" spans="1:25">
      <c r="A1600">
        <v>15990</v>
      </c>
      <c r="B1600" t="s">
        <v>3251</v>
      </c>
      <c r="C1600" t="s">
        <v>3433</v>
      </c>
      <c r="D1600" t="s">
        <v>3253</v>
      </c>
      <c r="E1600">
        <v>15990</v>
      </c>
      <c r="F1600">
        <v>26.7</v>
      </c>
      <c r="G1600">
        <v>890</v>
      </c>
      <c r="H1600">
        <v>10.3</v>
      </c>
      <c r="I1600">
        <v>1608</v>
      </c>
      <c r="J1600">
        <v>22</v>
      </c>
      <c r="K1600">
        <v>1639</v>
      </c>
      <c r="L1600">
        <v>37.9</v>
      </c>
      <c r="M1600">
        <v>1021</v>
      </c>
      <c r="N1600">
        <v>19.100000000000001</v>
      </c>
      <c r="O1600">
        <v>1886</v>
      </c>
      <c r="P1600" t="s">
        <v>94</v>
      </c>
      <c r="Q1600" s="1">
        <v>1314</v>
      </c>
      <c r="R1600">
        <v>1.2</v>
      </c>
      <c r="S1600" s="2">
        <v>0.01</v>
      </c>
      <c r="T1600" s="3">
        <v>2.2409722222222221</v>
      </c>
      <c r="U1600" s="2">
        <v>0.03</v>
      </c>
      <c r="V1600" t="s">
        <v>3433</v>
      </c>
      <c r="W1600" t="s">
        <v>3434</v>
      </c>
      <c r="X1600" t="b">
        <v>0</v>
      </c>
      <c r="Y1600" t="b">
        <v>0</v>
      </c>
    </row>
    <row r="1601" spans="1:25">
      <c r="A1601">
        <v>16000</v>
      </c>
      <c r="B1601" t="s">
        <v>3251</v>
      </c>
      <c r="C1601" t="s">
        <v>3435</v>
      </c>
      <c r="D1601" t="s">
        <v>3253</v>
      </c>
      <c r="E1601">
        <v>16000</v>
      </c>
      <c r="F1601">
        <v>17.899999999999999</v>
      </c>
      <c r="G1601">
        <v>1556</v>
      </c>
      <c r="H1601">
        <v>10.9</v>
      </c>
      <c r="I1601">
        <v>1535</v>
      </c>
      <c r="J1601">
        <v>11.1</v>
      </c>
      <c r="K1601">
        <v>1840</v>
      </c>
      <c r="L1601">
        <v>30.7</v>
      </c>
      <c r="M1601">
        <v>1167</v>
      </c>
      <c r="N1601">
        <v>35.5</v>
      </c>
      <c r="O1601">
        <v>1296</v>
      </c>
      <c r="P1601" t="s">
        <v>94</v>
      </c>
      <c r="Q1601" s="1">
        <v>27624</v>
      </c>
      <c r="R1601">
        <v>18.600000000000001</v>
      </c>
      <c r="S1601" s="2">
        <v>0.04</v>
      </c>
      <c r="T1601" s="3">
        <v>1.7902777777777779</v>
      </c>
      <c r="U1601" s="2">
        <v>0.34</v>
      </c>
      <c r="V1601" t="s">
        <v>3435</v>
      </c>
      <c r="W1601" t="s">
        <v>3436</v>
      </c>
      <c r="X1601" t="b">
        <v>0</v>
      </c>
      <c r="Y1601" t="b">
        <v>0</v>
      </c>
    </row>
    <row r="1602" spans="1:25">
      <c r="A1602">
        <v>16010</v>
      </c>
      <c r="B1602" t="s">
        <v>3251</v>
      </c>
      <c r="C1602" t="s">
        <v>3437</v>
      </c>
      <c r="D1602" t="s">
        <v>3253</v>
      </c>
      <c r="E1602">
        <v>16010</v>
      </c>
      <c r="F1602">
        <v>10.9</v>
      </c>
      <c r="G1602">
        <v>1899</v>
      </c>
      <c r="H1602">
        <v>7.8</v>
      </c>
      <c r="I1602">
        <v>1891</v>
      </c>
      <c r="J1602">
        <v>23.3</v>
      </c>
      <c r="K1602">
        <v>1602</v>
      </c>
      <c r="L1602">
        <v>19.8</v>
      </c>
      <c r="M1602">
        <v>1543</v>
      </c>
      <c r="N1602">
        <v>38.5</v>
      </c>
      <c r="O1602">
        <v>1171</v>
      </c>
      <c r="P1602" t="s">
        <v>895</v>
      </c>
      <c r="Q1602" s="1">
        <v>44749</v>
      </c>
      <c r="R1602">
        <v>44.4</v>
      </c>
      <c r="S1602" s="2">
        <v>0.19</v>
      </c>
      <c r="T1602" t="s">
        <v>658</v>
      </c>
      <c r="U1602" s="2">
        <v>0.3</v>
      </c>
      <c r="V1602" t="s">
        <v>3437</v>
      </c>
      <c r="W1602" t="s">
        <v>3438</v>
      </c>
      <c r="X1602" t="b">
        <v>0</v>
      </c>
      <c r="Y1602" t="b">
        <v>0</v>
      </c>
    </row>
    <row r="1603" spans="1:25">
      <c r="A1603">
        <v>16020</v>
      </c>
      <c r="B1603" t="s">
        <v>3251</v>
      </c>
      <c r="C1603" t="s">
        <v>3439</v>
      </c>
      <c r="D1603" t="s">
        <v>3253</v>
      </c>
      <c r="E1603">
        <v>16020</v>
      </c>
      <c r="F1603">
        <v>19.8</v>
      </c>
      <c r="G1603">
        <v>1389</v>
      </c>
      <c r="H1603">
        <v>9.1999999999999993</v>
      </c>
      <c r="I1603">
        <v>1757</v>
      </c>
      <c r="J1603">
        <v>17.5</v>
      </c>
      <c r="K1603">
        <v>1722</v>
      </c>
      <c r="L1603">
        <v>16.399999999999999</v>
      </c>
      <c r="M1603">
        <v>1817</v>
      </c>
      <c r="N1603">
        <v>46.1</v>
      </c>
      <c r="O1603">
        <v>928</v>
      </c>
      <c r="P1603" t="s">
        <v>1853</v>
      </c>
      <c r="Q1603" s="1">
        <v>12481</v>
      </c>
      <c r="R1603">
        <v>16</v>
      </c>
      <c r="S1603" s="2">
        <v>0.22</v>
      </c>
      <c r="T1603" s="3">
        <v>2.4458333333333333</v>
      </c>
      <c r="U1603" s="2">
        <v>0.35</v>
      </c>
      <c r="V1603" t="s">
        <v>3439</v>
      </c>
      <c r="W1603" t="s">
        <v>3440</v>
      </c>
      <c r="X1603" t="b">
        <v>0</v>
      </c>
      <c r="Y1603" t="b">
        <v>0</v>
      </c>
    </row>
    <row r="1604" spans="1:25">
      <c r="A1604">
        <v>16030</v>
      </c>
      <c r="B1604" t="s">
        <v>3251</v>
      </c>
      <c r="C1604" t="s">
        <v>3441</v>
      </c>
      <c r="D1604" t="s">
        <v>3253</v>
      </c>
      <c r="E1604">
        <v>16030</v>
      </c>
      <c r="F1604">
        <v>17</v>
      </c>
      <c r="G1604">
        <v>1622</v>
      </c>
      <c r="H1604">
        <v>11</v>
      </c>
      <c r="I1604">
        <v>1522</v>
      </c>
      <c r="J1604">
        <v>16.5</v>
      </c>
      <c r="K1604">
        <v>1740</v>
      </c>
      <c r="L1604">
        <v>16.5</v>
      </c>
      <c r="M1604">
        <v>1806</v>
      </c>
      <c r="N1604">
        <v>44.7</v>
      </c>
      <c r="O1604">
        <v>968</v>
      </c>
      <c r="P1604" t="s">
        <v>1820</v>
      </c>
      <c r="Q1604" s="1">
        <v>11298</v>
      </c>
      <c r="R1604">
        <v>18.8</v>
      </c>
      <c r="S1604" s="2">
        <v>0.01</v>
      </c>
      <c r="T1604" s="3">
        <v>1.8722222222222222</v>
      </c>
      <c r="U1604" s="2">
        <v>0.37</v>
      </c>
      <c r="V1604" t="s">
        <v>3441</v>
      </c>
      <c r="W1604" t="s">
        <v>3442</v>
      </c>
      <c r="X1604" t="b">
        <v>0</v>
      </c>
      <c r="Y1604" t="b">
        <v>0</v>
      </c>
    </row>
    <row r="1605" spans="1:25">
      <c r="A1605">
        <v>16040</v>
      </c>
      <c r="B1605" t="s">
        <v>3251</v>
      </c>
      <c r="C1605" t="s">
        <v>3443</v>
      </c>
      <c r="D1605" t="s">
        <v>3253</v>
      </c>
      <c r="E1605">
        <v>16040</v>
      </c>
      <c r="F1605">
        <v>23.7</v>
      </c>
      <c r="G1605">
        <v>1101</v>
      </c>
      <c r="H1605">
        <v>9.3000000000000007</v>
      </c>
      <c r="I1605">
        <v>1745</v>
      </c>
      <c r="J1605">
        <v>20</v>
      </c>
      <c r="K1605">
        <v>1678</v>
      </c>
      <c r="L1605">
        <v>16.899999999999999</v>
      </c>
      <c r="M1605">
        <v>1763</v>
      </c>
      <c r="N1605">
        <v>46.6</v>
      </c>
      <c r="O1605">
        <v>912</v>
      </c>
      <c r="P1605" t="s">
        <v>1820</v>
      </c>
      <c r="Q1605" s="1">
        <v>12702</v>
      </c>
      <c r="R1605">
        <v>6.8</v>
      </c>
      <c r="S1605" s="2">
        <v>0.02</v>
      </c>
      <c r="T1605" s="3">
        <v>2.6097222222222221</v>
      </c>
      <c r="U1605" s="2">
        <v>0.06</v>
      </c>
      <c r="V1605" t="s">
        <v>3443</v>
      </c>
      <c r="W1605" t="s">
        <v>3444</v>
      </c>
      <c r="X1605" t="b">
        <v>0</v>
      </c>
      <c r="Y1605" t="b">
        <v>0</v>
      </c>
    </row>
    <row r="1606" spans="1:25">
      <c r="A1606">
        <v>16050</v>
      </c>
      <c r="B1606" t="s">
        <v>3251</v>
      </c>
      <c r="C1606" t="s">
        <v>3445</v>
      </c>
      <c r="D1606" t="s">
        <v>3253</v>
      </c>
      <c r="E1606">
        <v>16050</v>
      </c>
      <c r="F1606">
        <v>12</v>
      </c>
      <c r="G1606">
        <v>1877</v>
      </c>
      <c r="H1606">
        <v>8.6999999999999993</v>
      </c>
      <c r="I1606">
        <v>1827</v>
      </c>
      <c r="J1606">
        <v>37.6</v>
      </c>
      <c r="K1606">
        <v>1265</v>
      </c>
      <c r="L1606">
        <v>16.600000000000001</v>
      </c>
      <c r="M1606">
        <v>1795</v>
      </c>
      <c r="N1606">
        <v>23.7</v>
      </c>
      <c r="O1606">
        <v>1752</v>
      </c>
      <c r="P1606" t="s">
        <v>895</v>
      </c>
      <c r="Q1606" s="1">
        <v>24096</v>
      </c>
      <c r="R1606">
        <v>21.9</v>
      </c>
      <c r="S1606" s="2">
        <v>0.04</v>
      </c>
      <c r="T1606" s="3">
        <v>2.0770833333333334</v>
      </c>
      <c r="U1606" s="2">
        <v>0.18</v>
      </c>
      <c r="V1606" t="s">
        <v>3445</v>
      </c>
      <c r="W1606" t="s">
        <v>3446</v>
      </c>
      <c r="X1606" t="b">
        <v>0</v>
      </c>
      <c r="Y1606" t="b">
        <v>0</v>
      </c>
    </row>
    <row r="1607" spans="1:25">
      <c r="A1607">
        <v>16060</v>
      </c>
      <c r="B1607" t="s">
        <v>3251</v>
      </c>
      <c r="C1607" t="s">
        <v>3447</v>
      </c>
      <c r="D1607" t="s">
        <v>3253</v>
      </c>
      <c r="E1607">
        <v>16060</v>
      </c>
      <c r="F1607">
        <v>18.2</v>
      </c>
      <c r="G1607">
        <v>1536</v>
      </c>
      <c r="H1607">
        <v>9.4</v>
      </c>
      <c r="I1607">
        <v>1729</v>
      </c>
      <c r="J1607">
        <v>29</v>
      </c>
      <c r="K1607">
        <v>1472</v>
      </c>
      <c r="L1607">
        <v>18.600000000000001</v>
      </c>
      <c r="M1607">
        <v>1619</v>
      </c>
      <c r="N1607">
        <v>52.1</v>
      </c>
      <c r="O1607">
        <v>737</v>
      </c>
      <c r="P1607" t="s">
        <v>2513</v>
      </c>
      <c r="Q1607" s="1">
        <v>7458</v>
      </c>
      <c r="R1607">
        <v>13.2</v>
      </c>
      <c r="S1607" s="2">
        <v>0.01</v>
      </c>
      <c r="T1607" t="s">
        <v>336</v>
      </c>
      <c r="U1607" s="2">
        <v>0.45</v>
      </c>
      <c r="V1607" t="s">
        <v>3447</v>
      </c>
      <c r="W1607" t="s">
        <v>3448</v>
      </c>
      <c r="X1607" t="b">
        <v>0</v>
      </c>
      <c r="Y1607" t="b">
        <v>0</v>
      </c>
    </row>
    <row r="1608" spans="1:25">
      <c r="A1608">
        <v>16070</v>
      </c>
      <c r="B1608" t="s">
        <v>3251</v>
      </c>
      <c r="C1608" t="s">
        <v>3449</v>
      </c>
      <c r="D1608" t="s">
        <v>3253</v>
      </c>
      <c r="E1608">
        <v>16070</v>
      </c>
      <c r="F1608">
        <v>21.5</v>
      </c>
      <c r="G1608">
        <v>1263</v>
      </c>
      <c r="H1608">
        <v>16.600000000000001</v>
      </c>
      <c r="I1608">
        <v>1000</v>
      </c>
      <c r="J1608">
        <v>20.5</v>
      </c>
      <c r="K1608">
        <v>1671</v>
      </c>
      <c r="L1608">
        <v>19.2</v>
      </c>
      <c r="M1608">
        <v>1573</v>
      </c>
      <c r="N1608">
        <v>27</v>
      </c>
      <c r="O1608">
        <v>1615</v>
      </c>
      <c r="P1608" t="s">
        <v>895</v>
      </c>
      <c r="Q1608" s="1">
        <v>30301</v>
      </c>
      <c r="R1608">
        <v>17.5</v>
      </c>
      <c r="S1608" s="2">
        <v>7.0000000000000007E-2</v>
      </c>
      <c r="T1608" s="3">
        <v>1.9131944444444444</v>
      </c>
      <c r="U1608" s="2">
        <v>0.25</v>
      </c>
      <c r="V1608" t="s">
        <v>3449</v>
      </c>
      <c r="W1608" t="s">
        <v>3450</v>
      </c>
      <c r="X1608" t="b">
        <v>0</v>
      </c>
      <c r="Y1608" t="b">
        <v>0</v>
      </c>
    </row>
    <row r="1609" spans="1:25">
      <c r="A1609">
        <v>16080</v>
      </c>
      <c r="B1609" t="s">
        <v>3251</v>
      </c>
      <c r="C1609" t="s">
        <v>3451</v>
      </c>
      <c r="D1609" t="s">
        <v>3253</v>
      </c>
      <c r="E1609">
        <v>16080</v>
      </c>
      <c r="F1609">
        <v>26.5</v>
      </c>
      <c r="G1609">
        <v>910</v>
      </c>
      <c r="H1609">
        <v>11</v>
      </c>
      <c r="I1609">
        <v>1523</v>
      </c>
      <c r="J1609">
        <v>15.7</v>
      </c>
      <c r="K1609">
        <v>1754</v>
      </c>
      <c r="L1609">
        <v>17</v>
      </c>
      <c r="M1609">
        <v>1755</v>
      </c>
      <c r="N1609">
        <v>21.2</v>
      </c>
      <c r="O1609">
        <v>1837</v>
      </c>
      <c r="P1609" t="s">
        <v>577</v>
      </c>
      <c r="Q1609" s="1">
        <v>12417</v>
      </c>
      <c r="R1609">
        <v>11.5</v>
      </c>
      <c r="S1609" s="2">
        <v>0.01</v>
      </c>
      <c r="T1609" s="3">
        <v>2.2819444444444446</v>
      </c>
      <c r="U1609" s="2">
        <v>0.25</v>
      </c>
      <c r="V1609" t="s">
        <v>3451</v>
      </c>
      <c r="W1609" t="s">
        <v>3452</v>
      </c>
      <c r="X1609" t="b">
        <v>0</v>
      </c>
      <c r="Y1609" t="b">
        <v>0</v>
      </c>
    </row>
    <row r="1610" spans="1:25">
      <c r="A1610">
        <v>16090</v>
      </c>
      <c r="B1610" t="s">
        <v>3251</v>
      </c>
      <c r="C1610" t="s">
        <v>3453</v>
      </c>
      <c r="D1610" t="s">
        <v>3253</v>
      </c>
      <c r="E1610">
        <v>16090</v>
      </c>
      <c r="F1610">
        <v>21.1</v>
      </c>
      <c r="G1610">
        <v>1294</v>
      </c>
      <c r="H1610">
        <v>10.9</v>
      </c>
      <c r="I1610">
        <v>1536</v>
      </c>
      <c r="J1610">
        <v>21.6</v>
      </c>
      <c r="K1610">
        <v>1646</v>
      </c>
      <c r="L1610">
        <v>22.3</v>
      </c>
      <c r="M1610">
        <v>1428</v>
      </c>
      <c r="N1610">
        <v>34.5</v>
      </c>
      <c r="O1610">
        <v>1338</v>
      </c>
      <c r="P1610" t="s">
        <v>577</v>
      </c>
      <c r="Q1610" s="1">
        <v>7105</v>
      </c>
      <c r="R1610">
        <v>22.8</v>
      </c>
      <c r="S1610" s="2">
        <v>0</v>
      </c>
      <c r="T1610" s="3">
        <v>2.5687500000000001</v>
      </c>
      <c r="U1610" s="2">
        <v>0.24</v>
      </c>
      <c r="V1610" t="s">
        <v>3453</v>
      </c>
      <c r="W1610" t="s">
        <v>3454</v>
      </c>
      <c r="X1610" t="b">
        <v>0</v>
      </c>
      <c r="Y1610" t="b">
        <v>0</v>
      </c>
    </row>
    <row r="1611" spans="1:25">
      <c r="A1611">
        <v>16100</v>
      </c>
      <c r="B1611" t="s">
        <v>3251</v>
      </c>
      <c r="C1611" t="s">
        <v>3455</v>
      </c>
      <c r="D1611" t="s">
        <v>3253</v>
      </c>
      <c r="E1611">
        <v>16100</v>
      </c>
      <c r="F1611">
        <v>28.9</v>
      </c>
      <c r="G1611">
        <v>748</v>
      </c>
      <c r="H1611">
        <v>13.8</v>
      </c>
      <c r="I1611">
        <v>1225</v>
      </c>
      <c r="J1611">
        <v>20.2</v>
      </c>
      <c r="K1611">
        <v>1673</v>
      </c>
      <c r="L1611">
        <v>21.2</v>
      </c>
      <c r="M1611">
        <v>1473</v>
      </c>
      <c r="N1611">
        <v>22</v>
      </c>
      <c r="O1611">
        <v>1810</v>
      </c>
      <c r="P1611" t="s">
        <v>577</v>
      </c>
      <c r="Q1611" s="1">
        <v>18706</v>
      </c>
      <c r="R1611">
        <v>12.2</v>
      </c>
      <c r="S1611" s="2">
        <v>0</v>
      </c>
      <c r="T1611" s="3">
        <v>2.2409722222222221</v>
      </c>
      <c r="U1611" s="2">
        <v>0.24</v>
      </c>
      <c r="V1611" t="s">
        <v>3455</v>
      </c>
      <c r="W1611" t="s">
        <v>3456</v>
      </c>
      <c r="X1611" t="b">
        <v>0</v>
      </c>
      <c r="Y1611" t="b">
        <v>0</v>
      </c>
    </row>
    <row r="1612" spans="1:25">
      <c r="A1612">
        <v>16110</v>
      </c>
      <c r="B1612" t="s">
        <v>3251</v>
      </c>
      <c r="C1612" t="s">
        <v>3457</v>
      </c>
      <c r="D1612" t="s">
        <v>3253</v>
      </c>
      <c r="E1612">
        <v>16110</v>
      </c>
      <c r="F1612">
        <v>27.6</v>
      </c>
      <c r="G1612">
        <v>831</v>
      </c>
      <c r="H1612">
        <v>9.8000000000000007</v>
      </c>
      <c r="I1612">
        <v>1669</v>
      </c>
      <c r="J1612">
        <v>7.4</v>
      </c>
      <c r="K1612">
        <v>1889</v>
      </c>
      <c r="L1612">
        <v>17.2</v>
      </c>
      <c r="M1612">
        <v>1736</v>
      </c>
      <c r="N1612">
        <v>20.399999999999999</v>
      </c>
      <c r="O1612">
        <v>1855</v>
      </c>
      <c r="P1612" t="s">
        <v>577</v>
      </c>
      <c r="Q1612" s="1">
        <v>12529</v>
      </c>
      <c r="R1612">
        <v>9.9</v>
      </c>
      <c r="S1612" s="2">
        <v>0</v>
      </c>
      <c r="T1612" s="3">
        <v>2.5277777777777777</v>
      </c>
      <c r="U1612" s="2">
        <v>0.26</v>
      </c>
      <c r="V1612" t="s">
        <v>3457</v>
      </c>
      <c r="W1612" t="s">
        <v>3458</v>
      </c>
      <c r="X1612" t="b">
        <v>0</v>
      </c>
      <c r="Y1612" t="b">
        <v>0</v>
      </c>
    </row>
    <row r="1613" spans="1:25">
      <c r="A1613">
        <v>16120</v>
      </c>
      <c r="B1613" t="s">
        <v>3251</v>
      </c>
      <c r="C1613" t="s">
        <v>3459</v>
      </c>
      <c r="D1613" t="s">
        <v>3253</v>
      </c>
      <c r="E1613">
        <v>16120</v>
      </c>
      <c r="F1613">
        <v>15.6</v>
      </c>
      <c r="G1613">
        <v>1725</v>
      </c>
      <c r="H1613">
        <v>8</v>
      </c>
      <c r="I1613">
        <v>1881</v>
      </c>
      <c r="J1613">
        <v>24.5</v>
      </c>
      <c r="K1613">
        <v>1575</v>
      </c>
      <c r="L1613">
        <v>17</v>
      </c>
      <c r="M1613">
        <v>1756</v>
      </c>
      <c r="N1613">
        <v>31.4</v>
      </c>
      <c r="O1613">
        <v>1448</v>
      </c>
      <c r="P1613" t="s">
        <v>1895</v>
      </c>
      <c r="Q1613" s="1">
        <v>17433</v>
      </c>
      <c r="R1613">
        <v>26.5</v>
      </c>
      <c r="S1613" s="2">
        <v>0</v>
      </c>
      <c r="T1613" s="3">
        <v>2.2000000000000002</v>
      </c>
      <c r="U1613" s="2">
        <v>0.32</v>
      </c>
      <c r="V1613" t="s">
        <v>3459</v>
      </c>
      <c r="W1613" t="s">
        <v>3460</v>
      </c>
      <c r="X1613" t="b">
        <v>0</v>
      </c>
      <c r="Y1613" t="b">
        <v>0</v>
      </c>
    </row>
    <row r="1614" spans="1:25">
      <c r="A1614">
        <v>16130</v>
      </c>
      <c r="B1614" t="s">
        <v>3251</v>
      </c>
      <c r="C1614" t="s">
        <v>3461</v>
      </c>
      <c r="D1614" t="s">
        <v>3253</v>
      </c>
      <c r="E1614">
        <v>16130</v>
      </c>
      <c r="F1614">
        <v>21.2</v>
      </c>
      <c r="G1614">
        <v>1286</v>
      </c>
      <c r="H1614">
        <v>12.8</v>
      </c>
      <c r="I1614">
        <v>1325</v>
      </c>
      <c r="J1614">
        <v>25.1</v>
      </c>
      <c r="K1614">
        <v>1559</v>
      </c>
      <c r="L1614">
        <v>21.2</v>
      </c>
      <c r="M1614">
        <v>1474</v>
      </c>
      <c r="N1614">
        <v>26.1</v>
      </c>
      <c r="O1614">
        <v>1662</v>
      </c>
      <c r="P1614" t="s">
        <v>577</v>
      </c>
      <c r="Q1614" s="1">
        <v>4183</v>
      </c>
      <c r="R1614">
        <v>11.6</v>
      </c>
      <c r="S1614" s="2">
        <v>0.01</v>
      </c>
      <c r="T1614" s="3">
        <v>2.9375</v>
      </c>
      <c r="U1614" s="2">
        <v>0.05</v>
      </c>
      <c r="V1614" t="s">
        <v>3461</v>
      </c>
      <c r="W1614" t="s">
        <v>3462</v>
      </c>
      <c r="X1614" t="b">
        <v>0</v>
      </c>
      <c r="Y1614" t="b">
        <v>0</v>
      </c>
    </row>
    <row r="1615" spans="1:25">
      <c r="A1615">
        <v>16140</v>
      </c>
      <c r="B1615" t="s">
        <v>3251</v>
      </c>
      <c r="C1615" t="s">
        <v>3463</v>
      </c>
      <c r="D1615" t="s">
        <v>3253</v>
      </c>
      <c r="E1615">
        <v>16140</v>
      </c>
      <c r="F1615">
        <v>17.7</v>
      </c>
      <c r="G1615">
        <v>1581</v>
      </c>
      <c r="H1615">
        <v>9.6</v>
      </c>
      <c r="I1615">
        <v>1699</v>
      </c>
      <c r="J1615">
        <v>21.3</v>
      </c>
      <c r="K1615">
        <v>1653</v>
      </c>
      <c r="L1615">
        <v>20.5</v>
      </c>
      <c r="M1615">
        <v>1510</v>
      </c>
      <c r="N1615">
        <v>28</v>
      </c>
      <c r="O1615">
        <v>1577</v>
      </c>
      <c r="P1615" t="s">
        <v>577</v>
      </c>
      <c r="Q1615" s="1">
        <v>8608</v>
      </c>
      <c r="R1615">
        <v>17.3</v>
      </c>
      <c r="S1615" s="2">
        <v>0.01</v>
      </c>
      <c r="T1615" t="s">
        <v>105</v>
      </c>
      <c r="U1615" s="2">
        <v>0.47</v>
      </c>
      <c r="V1615" t="s">
        <v>3463</v>
      </c>
      <c r="W1615" t="s">
        <v>3464</v>
      </c>
      <c r="X1615" t="b">
        <v>0</v>
      </c>
      <c r="Y1615" t="b">
        <v>0</v>
      </c>
    </row>
    <row r="1616" spans="1:25">
      <c r="A1616">
        <v>16150</v>
      </c>
      <c r="B1616" t="s">
        <v>3251</v>
      </c>
      <c r="C1616" t="s">
        <v>3465</v>
      </c>
      <c r="D1616" t="s">
        <v>3253</v>
      </c>
      <c r="E1616">
        <v>16150</v>
      </c>
      <c r="F1616">
        <v>18.5</v>
      </c>
      <c r="G1616">
        <v>1506</v>
      </c>
      <c r="H1616">
        <v>12.1</v>
      </c>
      <c r="I1616">
        <v>1399</v>
      </c>
      <c r="J1616">
        <v>27.5</v>
      </c>
      <c r="K1616">
        <v>1507</v>
      </c>
      <c r="L1616">
        <v>18.600000000000001</v>
      </c>
      <c r="M1616">
        <v>1620</v>
      </c>
      <c r="N1616">
        <v>29.8</v>
      </c>
      <c r="O1616">
        <v>1502</v>
      </c>
      <c r="P1616" t="s">
        <v>577</v>
      </c>
      <c r="Q1616" s="1">
        <v>26483</v>
      </c>
      <c r="R1616">
        <v>16.600000000000001</v>
      </c>
      <c r="S1616" s="2">
        <v>0</v>
      </c>
      <c r="T1616" s="3">
        <v>2.1180555555555554</v>
      </c>
      <c r="U1616" s="2">
        <v>0.28000000000000003</v>
      </c>
      <c r="V1616" t="s">
        <v>3465</v>
      </c>
      <c r="W1616" t="s">
        <v>3466</v>
      </c>
      <c r="X1616" t="b">
        <v>0</v>
      </c>
      <c r="Y1616" t="b">
        <v>0</v>
      </c>
    </row>
    <row r="1617" spans="1:25">
      <c r="A1617">
        <v>16160</v>
      </c>
      <c r="B1617" t="s">
        <v>3251</v>
      </c>
      <c r="C1617" t="s">
        <v>3467</v>
      </c>
      <c r="D1617" t="s">
        <v>3253</v>
      </c>
      <c r="E1617">
        <v>16160</v>
      </c>
      <c r="F1617">
        <v>15.2</v>
      </c>
      <c r="G1617">
        <v>1742</v>
      </c>
      <c r="H1617">
        <v>10.3</v>
      </c>
      <c r="I1617">
        <v>1609</v>
      </c>
      <c r="J1617">
        <v>14.5</v>
      </c>
      <c r="K1617">
        <v>1777</v>
      </c>
      <c r="L1617">
        <v>18.7</v>
      </c>
      <c r="M1617">
        <v>1611</v>
      </c>
      <c r="N1617">
        <v>23.2</v>
      </c>
      <c r="O1617">
        <v>1771</v>
      </c>
      <c r="P1617" t="s">
        <v>577</v>
      </c>
      <c r="Q1617" s="1">
        <v>37016</v>
      </c>
      <c r="R1617">
        <v>19.2</v>
      </c>
      <c r="S1617" s="2">
        <v>0</v>
      </c>
      <c r="T1617" s="3">
        <v>2.1590277777777778</v>
      </c>
      <c r="U1617" s="2">
        <v>0.2</v>
      </c>
      <c r="V1617" t="s">
        <v>3467</v>
      </c>
      <c r="W1617" t="s">
        <v>3468</v>
      </c>
      <c r="X1617" t="b">
        <v>0</v>
      </c>
      <c r="Y1617" t="b">
        <v>0</v>
      </c>
    </row>
    <row r="1618" spans="1:25">
      <c r="A1618">
        <v>16170</v>
      </c>
      <c r="B1618" t="s">
        <v>3251</v>
      </c>
      <c r="C1618" t="s">
        <v>3469</v>
      </c>
      <c r="D1618" t="s">
        <v>3253</v>
      </c>
      <c r="E1618">
        <v>16170</v>
      </c>
      <c r="F1618">
        <v>21.4</v>
      </c>
      <c r="G1618">
        <v>1276</v>
      </c>
      <c r="H1618">
        <v>11.7</v>
      </c>
      <c r="I1618">
        <v>1436</v>
      </c>
      <c r="J1618">
        <v>22.3</v>
      </c>
      <c r="K1618">
        <v>1629</v>
      </c>
      <c r="L1618">
        <v>33</v>
      </c>
      <c r="M1618">
        <v>1129</v>
      </c>
      <c r="N1618">
        <v>28.9</v>
      </c>
      <c r="O1618">
        <v>1548</v>
      </c>
      <c r="P1618" t="s">
        <v>577</v>
      </c>
      <c r="Q1618" s="1">
        <v>26725</v>
      </c>
      <c r="R1618">
        <v>15</v>
      </c>
      <c r="S1618" s="2">
        <v>0.01</v>
      </c>
      <c r="T1618" s="3">
        <v>2.3229166666666665</v>
      </c>
      <c r="U1618" s="2">
        <v>0.22</v>
      </c>
      <c r="V1618" t="s">
        <v>3469</v>
      </c>
      <c r="W1618" t="s">
        <v>3470</v>
      </c>
      <c r="X1618" t="b">
        <v>0</v>
      </c>
      <c r="Y1618" t="b">
        <v>0</v>
      </c>
    </row>
    <row r="1619" spans="1:25">
      <c r="A1619">
        <v>16180</v>
      </c>
      <c r="B1619" t="s">
        <v>3251</v>
      </c>
      <c r="C1619" t="s">
        <v>3471</v>
      </c>
      <c r="D1619" t="s">
        <v>3253</v>
      </c>
      <c r="E1619">
        <v>16180</v>
      </c>
      <c r="F1619">
        <v>22.1</v>
      </c>
      <c r="G1619">
        <v>1223</v>
      </c>
      <c r="H1619">
        <v>12</v>
      </c>
      <c r="I1619">
        <v>1407</v>
      </c>
      <c r="J1619">
        <v>20.7</v>
      </c>
      <c r="K1619">
        <v>1665</v>
      </c>
      <c r="L1619">
        <v>25.5</v>
      </c>
      <c r="M1619">
        <v>1317</v>
      </c>
      <c r="N1619">
        <v>24.7</v>
      </c>
      <c r="O1619">
        <v>1716</v>
      </c>
      <c r="P1619" t="s">
        <v>577</v>
      </c>
      <c r="Q1619" s="1">
        <v>14799</v>
      </c>
      <c r="R1619">
        <v>16.3</v>
      </c>
      <c r="S1619" s="2">
        <v>0.01</v>
      </c>
      <c r="T1619" s="3">
        <v>2.0770833333333334</v>
      </c>
      <c r="U1619" s="2">
        <v>0.33</v>
      </c>
      <c r="V1619" t="s">
        <v>3471</v>
      </c>
      <c r="W1619" t="s">
        <v>3472</v>
      </c>
      <c r="X1619" t="b">
        <v>0</v>
      </c>
      <c r="Y1619" t="b">
        <v>0</v>
      </c>
    </row>
    <row r="1620" spans="1:25">
      <c r="A1620">
        <v>16190</v>
      </c>
      <c r="B1620" t="s">
        <v>3251</v>
      </c>
      <c r="C1620" t="s">
        <v>3473</v>
      </c>
      <c r="D1620" t="s">
        <v>3253</v>
      </c>
      <c r="E1620">
        <v>16190</v>
      </c>
      <c r="F1620">
        <v>22.6</v>
      </c>
      <c r="G1620">
        <v>1176</v>
      </c>
      <c r="H1620">
        <v>11.7</v>
      </c>
      <c r="I1620">
        <v>1437</v>
      </c>
      <c r="J1620">
        <v>21.3</v>
      </c>
      <c r="K1620">
        <v>1654</v>
      </c>
      <c r="L1620">
        <v>21.7</v>
      </c>
      <c r="M1620">
        <v>1453</v>
      </c>
      <c r="N1620">
        <v>26.8</v>
      </c>
      <c r="O1620">
        <v>1622</v>
      </c>
      <c r="P1620" t="s">
        <v>577</v>
      </c>
      <c r="Q1620" s="1">
        <v>46837</v>
      </c>
      <c r="R1620">
        <v>17.7</v>
      </c>
      <c r="S1620" s="2">
        <v>0</v>
      </c>
      <c r="T1620" s="3">
        <v>2.2000000000000002</v>
      </c>
      <c r="U1620" s="2">
        <v>0.24</v>
      </c>
      <c r="V1620" t="s">
        <v>3473</v>
      </c>
      <c r="W1620" t="s">
        <v>3474</v>
      </c>
      <c r="X1620" t="b">
        <v>0</v>
      </c>
      <c r="Y1620" t="b">
        <v>0</v>
      </c>
    </row>
    <row r="1621" spans="1:25">
      <c r="A1621">
        <v>16200</v>
      </c>
      <c r="B1621" t="s">
        <v>3251</v>
      </c>
      <c r="C1621" t="s">
        <v>3475</v>
      </c>
      <c r="D1621" t="s">
        <v>3253</v>
      </c>
      <c r="E1621">
        <v>16200</v>
      </c>
      <c r="F1621">
        <v>25</v>
      </c>
      <c r="G1621">
        <v>1005</v>
      </c>
      <c r="H1621">
        <v>11</v>
      </c>
      <c r="I1621">
        <v>1524</v>
      </c>
      <c r="J1621">
        <v>19.100000000000001</v>
      </c>
      <c r="K1621">
        <v>1703</v>
      </c>
      <c r="L1621">
        <v>20</v>
      </c>
      <c r="M1621">
        <v>1530</v>
      </c>
      <c r="N1621">
        <v>23.4</v>
      </c>
      <c r="O1621">
        <v>1763</v>
      </c>
      <c r="P1621" t="s">
        <v>577</v>
      </c>
      <c r="Q1621" s="1">
        <v>14347</v>
      </c>
      <c r="R1621">
        <v>12.3</v>
      </c>
      <c r="S1621" s="2">
        <v>0</v>
      </c>
      <c r="T1621" s="3">
        <v>2.0770833333333334</v>
      </c>
      <c r="U1621" s="2">
        <v>0.24</v>
      </c>
      <c r="V1621" t="s">
        <v>3475</v>
      </c>
      <c r="W1621" t="s">
        <v>3476</v>
      </c>
      <c r="X1621" t="b">
        <v>0</v>
      </c>
      <c r="Y1621" t="b">
        <v>0</v>
      </c>
    </row>
    <row r="1622" spans="1:25">
      <c r="A1622">
        <v>16210</v>
      </c>
      <c r="B1622" t="s">
        <v>3251</v>
      </c>
      <c r="C1622" t="s">
        <v>3477</v>
      </c>
      <c r="D1622" t="s">
        <v>3253</v>
      </c>
      <c r="E1622">
        <v>16210</v>
      </c>
      <c r="F1622">
        <v>19.100000000000001</v>
      </c>
      <c r="G1622">
        <v>1459</v>
      </c>
      <c r="H1622">
        <v>9</v>
      </c>
      <c r="I1622">
        <v>1795</v>
      </c>
      <c r="J1622">
        <v>5.7</v>
      </c>
      <c r="K1622">
        <v>1898</v>
      </c>
      <c r="L1622">
        <v>16.600000000000001</v>
      </c>
      <c r="M1622">
        <v>1796</v>
      </c>
      <c r="N1622">
        <v>18.3</v>
      </c>
      <c r="O1622">
        <v>1896</v>
      </c>
      <c r="P1622" t="s">
        <v>577</v>
      </c>
      <c r="Q1622" s="1">
        <v>8687</v>
      </c>
      <c r="R1622">
        <v>12.4</v>
      </c>
      <c r="S1622" s="2">
        <v>0</v>
      </c>
      <c r="T1622" s="3">
        <v>2.0770833333333334</v>
      </c>
      <c r="U1622" s="2">
        <v>0.26</v>
      </c>
      <c r="V1622" t="s">
        <v>3477</v>
      </c>
      <c r="W1622" t="s">
        <v>3478</v>
      </c>
      <c r="X1622" t="b">
        <v>0</v>
      </c>
      <c r="Y1622" t="b">
        <v>0</v>
      </c>
    </row>
    <row r="1623" spans="1:25">
      <c r="A1623">
        <v>16220</v>
      </c>
      <c r="B1623" t="s">
        <v>3251</v>
      </c>
      <c r="C1623" t="s">
        <v>3479</v>
      </c>
      <c r="D1623" t="s">
        <v>3253</v>
      </c>
      <c r="E1623">
        <v>16220</v>
      </c>
      <c r="F1623">
        <v>17</v>
      </c>
      <c r="G1623">
        <v>1623</v>
      </c>
      <c r="H1623">
        <v>10.4</v>
      </c>
      <c r="I1623">
        <v>1600</v>
      </c>
      <c r="J1623">
        <v>36.4</v>
      </c>
      <c r="K1623">
        <v>1295</v>
      </c>
      <c r="L1623">
        <v>18.100000000000001</v>
      </c>
      <c r="M1623">
        <v>1660</v>
      </c>
      <c r="N1623">
        <v>28.1</v>
      </c>
      <c r="O1623">
        <v>1573</v>
      </c>
      <c r="P1623" t="s">
        <v>577</v>
      </c>
      <c r="Q1623" s="1">
        <v>26133</v>
      </c>
      <c r="R1623">
        <v>16</v>
      </c>
      <c r="S1623" s="2">
        <v>0</v>
      </c>
      <c r="T1623" s="3">
        <v>2.2000000000000002</v>
      </c>
      <c r="U1623" s="2">
        <v>0.23</v>
      </c>
      <c r="V1623" t="s">
        <v>3479</v>
      </c>
      <c r="W1623" t="s">
        <v>3480</v>
      </c>
      <c r="X1623" t="b">
        <v>0</v>
      </c>
      <c r="Y1623" t="b">
        <v>0</v>
      </c>
    </row>
    <row r="1624" spans="1:25">
      <c r="A1624">
        <v>16230</v>
      </c>
      <c r="B1624" t="s">
        <v>3251</v>
      </c>
      <c r="C1624" t="s">
        <v>3481</v>
      </c>
      <c r="D1624" t="s">
        <v>3253</v>
      </c>
      <c r="E1624">
        <v>16230</v>
      </c>
      <c r="F1624">
        <v>21</v>
      </c>
      <c r="G1624">
        <v>1299</v>
      </c>
      <c r="H1624">
        <v>13.1</v>
      </c>
      <c r="I1624">
        <v>1291</v>
      </c>
      <c r="J1624">
        <v>27.8</v>
      </c>
      <c r="K1624">
        <v>1497</v>
      </c>
      <c r="L1624">
        <v>22.5</v>
      </c>
      <c r="M1624">
        <v>1418</v>
      </c>
      <c r="N1624">
        <v>30.8</v>
      </c>
      <c r="O1624">
        <v>1471</v>
      </c>
      <c r="P1624" t="s">
        <v>577</v>
      </c>
      <c r="Q1624" s="1">
        <v>70629</v>
      </c>
      <c r="R1624">
        <v>20.8</v>
      </c>
      <c r="S1624" s="2">
        <v>0.01</v>
      </c>
      <c r="T1624" s="3">
        <v>1.9951388888888888</v>
      </c>
      <c r="U1624" s="2">
        <v>0.28999999999999998</v>
      </c>
      <c r="V1624" t="s">
        <v>3481</v>
      </c>
      <c r="W1624" t="s">
        <v>3482</v>
      </c>
      <c r="X1624" t="b">
        <v>0</v>
      </c>
      <c r="Y1624" t="b">
        <v>0</v>
      </c>
    </row>
    <row r="1625" spans="1:25">
      <c r="A1625">
        <v>16240</v>
      </c>
      <c r="B1625" t="s">
        <v>3251</v>
      </c>
      <c r="C1625" t="s">
        <v>3483</v>
      </c>
      <c r="D1625" t="s">
        <v>3253</v>
      </c>
      <c r="E1625">
        <v>16240</v>
      </c>
      <c r="F1625">
        <v>14.3</v>
      </c>
      <c r="G1625">
        <v>1786</v>
      </c>
      <c r="H1625">
        <v>9.4</v>
      </c>
      <c r="I1625">
        <v>1730</v>
      </c>
      <c r="J1625">
        <v>33.6</v>
      </c>
      <c r="K1625">
        <v>1362</v>
      </c>
      <c r="L1625">
        <v>16.899999999999999</v>
      </c>
      <c r="M1625">
        <v>1764</v>
      </c>
      <c r="N1625">
        <v>37.799999999999997</v>
      </c>
      <c r="O1625">
        <v>1206</v>
      </c>
      <c r="P1625" t="s">
        <v>577</v>
      </c>
      <c r="Q1625" s="1">
        <v>21048</v>
      </c>
      <c r="R1625">
        <v>20.3</v>
      </c>
      <c r="S1625" s="2">
        <v>0</v>
      </c>
      <c r="T1625" s="3">
        <v>2.1590277777777778</v>
      </c>
      <c r="U1625" s="2">
        <v>0.18</v>
      </c>
      <c r="V1625" t="s">
        <v>3483</v>
      </c>
      <c r="W1625" t="s">
        <v>3484</v>
      </c>
      <c r="X1625" t="b">
        <v>0</v>
      </c>
      <c r="Y1625" t="b">
        <v>0</v>
      </c>
    </row>
    <row r="1626" spans="1:25">
      <c r="A1626">
        <v>16250</v>
      </c>
      <c r="B1626" t="s">
        <v>3251</v>
      </c>
      <c r="C1626" t="s">
        <v>3485</v>
      </c>
      <c r="D1626" t="s">
        <v>3253</v>
      </c>
      <c r="E1626">
        <v>16250</v>
      </c>
      <c r="F1626">
        <v>20.2</v>
      </c>
      <c r="G1626">
        <v>1356</v>
      </c>
      <c r="H1626">
        <v>8.1</v>
      </c>
      <c r="I1626">
        <v>1872</v>
      </c>
      <c r="J1626">
        <v>13.5</v>
      </c>
      <c r="K1626">
        <v>1795</v>
      </c>
      <c r="L1626">
        <v>18.2</v>
      </c>
      <c r="M1626">
        <v>1651</v>
      </c>
      <c r="N1626">
        <v>38.299999999999997</v>
      </c>
      <c r="O1626">
        <v>1178</v>
      </c>
      <c r="P1626" t="s">
        <v>2290</v>
      </c>
      <c r="Q1626" s="1">
        <v>32394</v>
      </c>
      <c r="R1626">
        <v>16.2</v>
      </c>
      <c r="S1626" s="2">
        <v>0.01</v>
      </c>
      <c r="T1626" s="3">
        <v>2.7326388888888888</v>
      </c>
      <c r="U1626" s="2">
        <v>0.37</v>
      </c>
      <c r="V1626" t="s">
        <v>3485</v>
      </c>
      <c r="W1626" t="s">
        <v>3486</v>
      </c>
      <c r="X1626" t="b">
        <v>0</v>
      </c>
      <c r="Y1626" t="b">
        <v>0</v>
      </c>
    </row>
    <row r="1627" spans="1:25">
      <c r="A1627">
        <v>16260</v>
      </c>
      <c r="B1627" t="s">
        <v>3251</v>
      </c>
      <c r="C1627" t="s">
        <v>3487</v>
      </c>
      <c r="D1627" t="s">
        <v>3253</v>
      </c>
      <c r="E1627">
        <v>16260</v>
      </c>
      <c r="F1627">
        <v>15.9</v>
      </c>
      <c r="G1627">
        <v>1703</v>
      </c>
      <c r="H1627">
        <v>8.6</v>
      </c>
      <c r="I1627">
        <v>1844</v>
      </c>
      <c r="J1627">
        <v>11.6</v>
      </c>
      <c r="K1627">
        <v>1832</v>
      </c>
      <c r="L1627">
        <v>16.3</v>
      </c>
      <c r="M1627">
        <v>1827</v>
      </c>
      <c r="N1627">
        <v>40.6</v>
      </c>
      <c r="O1627">
        <v>1098</v>
      </c>
      <c r="P1627" t="s">
        <v>2513</v>
      </c>
      <c r="Q1627" s="1">
        <v>19314</v>
      </c>
      <c r="R1627">
        <v>14.5</v>
      </c>
      <c r="S1627" s="2">
        <v>0.01</v>
      </c>
      <c r="T1627" t="s">
        <v>501</v>
      </c>
      <c r="U1627" s="2">
        <v>0.42</v>
      </c>
      <c r="V1627" t="s">
        <v>3487</v>
      </c>
      <c r="W1627" t="s">
        <v>3488</v>
      </c>
      <c r="X1627" t="b">
        <v>0</v>
      </c>
      <c r="Y1627" t="b">
        <v>0</v>
      </c>
    </row>
    <row r="1628" spans="1:25">
      <c r="A1628">
        <v>16270</v>
      </c>
      <c r="B1628" t="s">
        <v>3251</v>
      </c>
      <c r="C1628" t="s">
        <v>3489</v>
      </c>
      <c r="D1628" t="s">
        <v>3253</v>
      </c>
      <c r="E1628">
        <v>16270</v>
      </c>
      <c r="F1628">
        <v>26</v>
      </c>
      <c r="G1628">
        <v>935</v>
      </c>
      <c r="H1628">
        <v>12.4</v>
      </c>
      <c r="I1628">
        <v>1363</v>
      </c>
      <c r="J1628">
        <v>16.399999999999999</v>
      </c>
      <c r="K1628">
        <v>1741</v>
      </c>
      <c r="L1628">
        <v>37.9</v>
      </c>
      <c r="M1628">
        <v>1022</v>
      </c>
      <c r="N1628">
        <v>26.5</v>
      </c>
      <c r="O1628">
        <v>1640</v>
      </c>
      <c r="P1628" t="s">
        <v>94</v>
      </c>
      <c r="Q1628" s="1">
        <v>4803</v>
      </c>
      <c r="R1628">
        <v>7.6</v>
      </c>
      <c r="S1628" s="2">
        <v>0.02</v>
      </c>
      <c r="T1628" t="s">
        <v>529</v>
      </c>
      <c r="U1628" s="2">
        <v>0.26</v>
      </c>
      <c r="V1628" t="s">
        <v>3489</v>
      </c>
      <c r="W1628" t="s">
        <v>3490</v>
      </c>
      <c r="X1628" t="b">
        <v>0</v>
      </c>
      <c r="Y1628" t="b">
        <v>0</v>
      </c>
    </row>
    <row r="1629" spans="1:25">
      <c r="A1629">
        <v>16280</v>
      </c>
      <c r="B1629" t="s">
        <v>3251</v>
      </c>
      <c r="C1629" t="s">
        <v>3491</v>
      </c>
      <c r="D1629" t="s">
        <v>3253</v>
      </c>
      <c r="E1629">
        <v>16280</v>
      </c>
      <c r="F1629">
        <v>23.5</v>
      </c>
      <c r="G1629">
        <v>1109</v>
      </c>
      <c r="H1629">
        <v>9.6999999999999993</v>
      </c>
      <c r="I1629">
        <v>1686</v>
      </c>
      <c r="J1629">
        <v>17.899999999999999</v>
      </c>
      <c r="K1629">
        <v>1718</v>
      </c>
      <c r="L1629">
        <v>37.1</v>
      </c>
      <c r="M1629">
        <v>1043</v>
      </c>
      <c r="N1629">
        <v>24.4</v>
      </c>
      <c r="O1629">
        <v>1727</v>
      </c>
      <c r="P1629" t="s">
        <v>94</v>
      </c>
      <c r="Q1629" s="1">
        <v>19536</v>
      </c>
      <c r="R1629">
        <v>8.6999999999999993</v>
      </c>
      <c r="S1629" s="2">
        <v>0.01</v>
      </c>
      <c r="T1629" t="s">
        <v>658</v>
      </c>
      <c r="U1629" s="2">
        <v>0.18</v>
      </c>
      <c r="V1629" t="s">
        <v>3491</v>
      </c>
      <c r="W1629" t="s">
        <v>3492</v>
      </c>
      <c r="X1629" t="b">
        <v>0</v>
      </c>
      <c r="Y1629" t="b">
        <v>0</v>
      </c>
    </row>
    <row r="1630" spans="1:25">
      <c r="A1630">
        <v>16290</v>
      </c>
      <c r="B1630" t="s">
        <v>3251</v>
      </c>
      <c r="C1630" t="s">
        <v>3493</v>
      </c>
      <c r="D1630" t="s">
        <v>3253</v>
      </c>
      <c r="E1630">
        <v>16290</v>
      </c>
      <c r="F1630">
        <v>20.8</v>
      </c>
      <c r="G1630">
        <v>1314</v>
      </c>
      <c r="H1630">
        <v>9.4</v>
      </c>
      <c r="I1630">
        <v>1731</v>
      </c>
      <c r="J1630">
        <v>28.9</v>
      </c>
      <c r="K1630">
        <v>1474</v>
      </c>
      <c r="L1630">
        <v>16.7</v>
      </c>
      <c r="M1630">
        <v>1785</v>
      </c>
      <c r="N1630">
        <v>42.8</v>
      </c>
      <c r="O1630">
        <v>1025</v>
      </c>
      <c r="P1630" t="s">
        <v>2171</v>
      </c>
      <c r="Q1630" s="1">
        <v>12714</v>
      </c>
      <c r="R1630">
        <v>12.4</v>
      </c>
      <c r="S1630" s="2">
        <v>0.01</v>
      </c>
      <c r="T1630" s="3">
        <v>3.1013888888888888</v>
      </c>
      <c r="U1630" s="2">
        <v>0.42</v>
      </c>
      <c r="V1630" t="s">
        <v>3493</v>
      </c>
      <c r="W1630" t="s">
        <v>3494</v>
      </c>
      <c r="X1630" t="b">
        <v>0</v>
      </c>
      <c r="Y1630" t="b">
        <v>0</v>
      </c>
    </row>
    <row r="1631" spans="1:25">
      <c r="A1631">
        <v>16300</v>
      </c>
      <c r="B1631" t="s">
        <v>3251</v>
      </c>
      <c r="C1631" t="s">
        <v>3495</v>
      </c>
      <c r="D1631" t="s">
        <v>3253</v>
      </c>
      <c r="E1631">
        <v>16300</v>
      </c>
      <c r="F1631">
        <v>15.6</v>
      </c>
      <c r="G1631">
        <v>1726</v>
      </c>
      <c r="H1631">
        <v>10.8</v>
      </c>
      <c r="I1631">
        <v>1549</v>
      </c>
      <c r="J1631">
        <v>33</v>
      </c>
      <c r="K1631">
        <v>1376</v>
      </c>
      <c r="L1631">
        <v>20.100000000000001</v>
      </c>
      <c r="M1631">
        <v>1525</v>
      </c>
      <c r="N1631">
        <v>39.5</v>
      </c>
      <c r="O1631">
        <v>1134</v>
      </c>
      <c r="P1631" t="s">
        <v>895</v>
      </c>
      <c r="Q1631" s="1">
        <v>31977</v>
      </c>
      <c r="R1631">
        <v>38.1</v>
      </c>
      <c r="S1631" s="2">
        <v>0.12</v>
      </c>
      <c r="T1631" s="3">
        <v>1.9951388888888888</v>
      </c>
      <c r="U1631" s="2">
        <v>0.25</v>
      </c>
      <c r="V1631" t="s">
        <v>3495</v>
      </c>
      <c r="W1631" t="s">
        <v>3496</v>
      </c>
      <c r="X1631" t="b">
        <v>0</v>
      </c>
      <c r="Y1631" t="b">
        <v>0</v>
      </c>
    </row>
    <row r="1632" spans="1:25">
      <c r="A1632">
        <v>16310</v>
      </c>
      <c r="B1632" t="s">
        <v>3251</v>
      </c>
      <c r="C1632" t="s">
        <v>3497</v>
      </c>
      <c r="D1632" t="s">
        <v>3253</v>
      </c>
      <c r="E1632">
        <v>16310</v>
      </c>
      <c r="F1632">
        <v>32.4</v>
      </c>
      <c r="G1632">
        <v>574</v>
      </c>
      <c r="H1632">
        <v>9.3000000000000007</v>
      </c>
      <c r="I1632">
        <v>1746</v>
      </c>
      <c r="J1632">
        <v>22.2</v>
      </c>
      <c r="K1632">
        <v>1634</v>
      </c>
      <c r="L1632">
        <v>16.100000000000001</v>
      </c>
      <c r="M1632">
        <v>1849</v>
      </c>
      <c r="N1632">
        <v>40.799999999999997</v>
      </c>
      <c r="O1632">
        <v>1089</v>
      </c>
      <c r="P1632" t="s">
        <v>2836</v>
      </c>
      <c r="Q1632" s="1">
        <v>19873</v>
      </c>
      <c r="R1632">
        <v>15</v>
      </c>
      <c r="S1632" s="2">
        <v>0.02</v>
      </c>
      <c r="T1632">
        <v>0.11041666666666666</v>
      </c>
      <c r="U1632" s="2">
        <v>0.43</v>
      </c>
      <c r="V1632" t="s">
        <v>3497</v>
      </c>
      <c r="W1632" t="s">
        <v>3498</v>
      </c>
      <c r="X1632" t="b">
        <v>0</v>
      </c>
      <c r="Y1632" t="b">
        <v>0</v>
      </c>
    </row>
    <row r="1633" spans="1:25">
      <c r="A1633">
        <v>16320</v>
      </c>
      <c r="B1633" t="s">
        <v>3251</v>
      </c>
      <c r="C1633" t="s">
        <v>3499</v>
      </c>
      <c r="D1633" t="s">
        <v>3253</v>
      </c>
      <c r="E1633">
        <v>16320</v>
      </c>
      <c r="F1633">
        <v>18.600000000000001</v>
      </c>
      <c r="G1633">
        <v>1491</v>
      </c>
      <c r="H1633">
        <v>8.6999999999999993</v>
      </c>
      <c r="I1633">
        <v>1828</v>
      </c>
      <c r="J1633">
        <v>34</v>
      </c>
      <c r="K1633">
        <v>1350</v>
      </c>
      <c r="L1633">
        <v>16.8</v>
      </c>
      <c r="M1633">
        <v>1774</v>
      </c>
      <c r="N1633">
        <v>48.6</v>
      </c>
      <c r="O1633">
        <v>847</v>
      </c>
      <c r="P1633" t="s">
        <v>1483</v>
      </c>
      <c r="Q1633" s="1">
        <v>12332</v>
      </c>
      <c r="R1633">
        <v>12.8</v>
      </c>
      <c r="S1633" s="2">
        <v>0.02</v>
      </c>
      <c r="T1633" s="3">
        <v>1.83125</v>
      </c>
      <c r="U1633" s="2">
        <v>0.34</v>
      </c>
      <c r="V1633" t="s">
        <v>3499</v>
      </c>
      <c r="W1633" t="s">
        <v>3500</v>
      </c>
      <c r="X1633" t="b">
        <v>0</v>
      </c>
      <c r="Y1633" t="b">
        <v>0</v>
      </c>
    </row>
    <row r="1634" spans="1:25">
      <c r="A1634">
        <v>16330</v>
      </c>
      <c r="B1634" t="s">
        <v>3251</v>
      </c>
      <c r="C1634" t="s">
        <v>3501</v>
      </c>
      <c r="D1634" t="s">
        <v>3253</v>
      </c>
      <c r="E1634">
        <v>16330</v>
      </c>
      <c r="F1634">
        <v>15.9</v>
      </c>
      <c r="G1634">
        <v>1704</v>
      </c>
      <c r="H1634">
        <v>9.6</v>
      </c>
      <c r="I1634">
        <v>1700</v>
      </c>
      <c r="J1634">
        <v>23.2</v>
      </c>
      <c r="K1634">
        <v>1604</v>
      </c>
      <c r="L1634">
        <v>26.2</v>
      </c>
      <c r="M1634">
        <v>1289</v>
      </c>
      <c r="N1634">
        <v>32.1</v>
      </c>
      <c r="O1634">
        <v>1422</v>
      </c>
      <c r="P1634" t="s">
        <v>1853</v>
      </c>
      <c r="Q1634" s="1">
        <v>13357</v>
      </c>
      <c r="R1634">
        <v>20.8</v>
      </c>
      <c r="S1634" s="2">
        <v>0.09</v>
      </c>
      <c r="T1634" t="s">
        <v>357</v>
      </c>
      <c r="U1634" s="2">
        <v>0.47</v>
      </c>
      <c r="V1634" t="s">
        <v>3501</v>
      </c>
      <c r="W1634" t="s">
        <v>3502</v>
      </c>
      <c r="X1634" t="b">
        <v>0</v>
      </c>
      <c r="Y1634" t="b">
        <v>0</v>
      </c>
    </row>
    <row r="1635" spans="1:25">
      <c r="A1635">
        <v>16340</v>
      </c>
      <c r="B1635" t="s">
        <v>3251</v>
      </c>
      <c r="C1635" t="s">
        <v>3503</v>
      </c>
      <c r="D1635" t="s">
        <v>3253</v>
      </c>
      <c r="E1635">
        <v>16340</v>
      </c>
      <c r="F1635">
        <v>19.600000000000001</v>
      </c>
      <c r="G1635">
        <v>1413</v>
      </c>
      <c r="H1635">
        <v>9.3000000000000007</v>
      </c>
      <c r="I1635">
        <v>1747</v>
      </c>
      <c r="J1635">
        <v>20.8</v>
      </c>
      <c r="K1635">
        <v>1662</v>
      </c>
      <c r="L1635">
        <v>19</v>
      </c>
      <c r="M1635">
        <v>1590</v>
      </c>
      <c r="N1635">
        <v>25.2</v>
      </c>
      <c r="O1635">
        <v>1697</v>
      </c>
      <c r="P1635" t="s">
        <v>528</v>
      </c>
      <c r="Q1635" s="1">
        <v>23730</v>
      </c>
      <c r="R1635">
        <v>13.9</v>
      </c>
      <c r="S1635" s="2">
        <v>0.01</v>
      </c>
      <c r="T1635" t="s">
        <v>40</v>
      </c>
      <c r="U1635" s="2">
        <v>0.38</v>
      </c>
      <c r="V1635" t="s">
        <v>3503</v>
      </c>
      <c r="W1635" t="s">
        <v>3504</v>
      </c>
      <c r="X1635" t="b">
        <v>0</v>
      </c>
      <c r="Y1635" t="b">
        <v>0</v>
      </c>
    </row>
    <row r="1636" spans="1:25">
      <c r="A1636">
        <v>16350</v>
      </c>
      <c r="B1636" t="s">
        <v>3251</v>
      </c>
      <c r="C1636" t="s">
        <v>3505</v>
      </c>
      <c r="D1636" t="s">
        <v>3253</v>
      </c>
      <c r="E1636">
        <v>16350</v>
      </c>
      <c r="F1636">
        <v>32.1</v>
      </c>
      <c r="G1636">
        <v>585</v>
      </c>
      <c r="H1636">
        <v>12.4</v>
      </c>
      <c r="I1636">
        <v>1364</v>
      </c>
      <c r="J1636">
        <v>23</v>
      </c>
      <c r="K1636">
        <v>1612</v>
      </c>
      <c r="L1636">
        <v>18.600000000000001</v>
      </c>
      <c r="M1636">
        <v>1621</v>
      </c>
      <c r="N1636">
        <v>24.1</v>
      </c>
      <c r="O1636">
        <v>1736</v>
      </c>
      <c r="P1636" t="s">
        <v>528</v>
      </c>
      <c r="Q1636" s="1">
        <v>2820</v>
      </c>
      <c r="R1636">
        <v>11.8</v>
      </c>
      <c r="S1636" s="2">
        <v>0.03</v>
      </c>
      <c r="T1636" s="3">
        <v>2.7326388888888888</v>
      </c>
      <c r="U1636" s="2">
        <v>0.39</v>
      </c>
      <c r="V1636" t="s">
        <v>3505</v>
      </c>
      <c r="W1636" t="s">
        <v>3506</v>
      </c>
      <c r="X1636" t="b">
        <v>0</v>
      </c>
      <c r="Y1636" t="b">
        <v>0</v>
      </c>
    </row>
    <row r="1637" spans="1:25">
      <c r="A1637">
        <v>16360</v>
      </c>
      <c r="B1637" t="s">
        <v>3251</v>
      </c>
      <c r="C1637" t="s">
        <v>3507</v>
      </c>
      <c r="D1637" t="s">
        <v>3253</v>
      </c>
      <c r="E1637">
        <v>16360</v>
      </c>
      <c r="F1637">
        <v>22.5</v>
      </c>
      <c r="G1637">
        <v>1189</v>
      </c>
      <c r="H1637">
        <v>10.1</v>
      </c>
      <c r="I1637">
        <v>1632</v>
      </c>
      <c r="J1637">
        <v>18.899999999999999</v>
      </c>
      <c r="K1637">
        <v>1705</v>
      </c>
      <c r="L1637">
        <v>22.5</v>
      </c>
      <c r="M1637">
        <v>1419</v>
      </c>
      <c r="N1637">
        <v>42.1</v>
      </c>
      <c r="O1637">
        <v>1048</v>
      </c>
      <c r="P1637" t="s">
        <v>1853</v>
      </c>
      <c r="Q1637" s="1">
        <v>9765</v>
      </c>
      <c r="R1637">
        <v>10.8</v>
      </c>
      <c r="S1637" s="2">
        <v>0.26</v>
      </c>
      <c r="T1637" s="3">
        <v>2.8555555555555556</v>
      </c>
      <c r="U1637" s="2">
        <v>0.1</v>
      </c>
      <c r="V1637" t="s">
        <v>3507</v>
      </c>
      <c r="W1637" t="s">
        <v>3508</v>
      </c>
      <c r="X1637" t="b">
        <v>0</v>
      </c>
      <c r="Y1637" t="b">
        <v>0</v>
      </c>
    </row>
    <row r="1638" spans="1:25">
      <c r="A1638">
        <v>16370</v>
      </c>
      <c r="B1638" t="s">
        <v>3251</v>
      </c>
      <c r="C1638" t="s">
        <v>3509</v>
      </c>
      <c r="D1638" t="s">
        <v>3253</v>
      </c>
      <c r="E1638">
        <v>16370</v>
      </c>
      <c r="F1638">
        <v>16.3</v>
      </c>
      <c r="G1638">
        <v>1677</v>
      </c>
      <c r="H1638">
        <v>8.8000000000000007</v>
      </c>
      <c r="I1638">
        <v>1822</v>
      </c>
      <c r="J1638">
        <v>13.7</v>
      </c>
      <c r="K1638">
        <v>1789</v>
      </c>
      <c r="L1638">
        <v>18</v>
      </c>
      <c r="M1638">
        <v>1667</v>
      </c>
      <c r="N1638">
        <v>31.2</v>
      </c>
      <c r="O1638">
        <v>1454</v>
      </c>
      <c r="P1638" t="s">
        <v>1613</v>
      </c>
      <c r="Q1638" s="1">
        <v>140348</v>
      </c>
      <c r="R1638">
        <v>19.3</v>
      </c>
      <c r="S1638" s="2">
        <v>0</v>
      </c>
      <c r="T1638" s="3">
        <v>2.3229166666666665</v>
      </c>
      <c r="U1638" s="2">
        <v>0.22</v>
      </c>
      <c r="V1638" t="s">
        <v>3510</v>
      </c>
      <c r="W1638" t="s">
        <v>3511</v>
      </c>
      <c r="X1638" t="b">
        <v>0</v>
      </c>
      <c r="Y1638" t="b">
        <v>0</v>
      </c>
    </row>
    <row r="1639" spans="1:25">
      <c r="A1639">
        <v>16380</v>
      </c>
      <c r="B1639" t="s">
        <v>3251</v>
      </c>
      <c r="C1639" t="s">
        <v>3512</v>
      </c>
      <c r="D1639" t="s">
        <v>3253</v>
      </c>
      <c r="E1639">
        <v>16380</v>
      </c>
      <c r="F1639">
        <v>16.2</v>
      </c>
      <c r="G1639">
        <v>1683</v>
      </c>
      <c r="H1639">
        <v>9.3000000000000007</v>
      </c>
      <c r="I1639">
        <v>1748</v>
      </c>
      <c r="J1639">
        <v>13.4</v>
      </c>
      <c r="K1639">
        <v>1797</v>
      </c>
      <c r="L1639">
        <v>20.5</v>
      </c>
      <c r="M1639">
        <v>1511</v>
      </c>
      <c r="N1639">
        <v>36.4</v>
      </c>
      <c r="O1639">
        <v>1264</v>
      </c>
      <c r="P1639" t="s">
        <v>1613</v>
      </c>
      <c r="Q1639" s="1">
        <v>30317</v>
      </c>
      <c r="R1639">
        <v>21.4</v>
      </c>
      <c r="S1639" s="2">
        <v>0.02</v>
      </c>
      <c r="T1639" s="3">
        <v>2.3229166666666665</v>
      </c>
      <c r="U1639" s="2">
        <v>0.38</v>
      </c>
      <c r="V1639" t="s">
        <v>3512</v>
      </c>
      <c r="W1639" t="s">
        <v>3513</v>
      </c>
      <c r="X1639" t="b">
        <v>0</v>
      </c>
      <c r="Y1639" t="b">
        <v>0</v>
      </c>
    </row>
    <row r="1640" spans="1:25">
      <c r="A1640">
        <v>16390</v>
      </c>
      <c r="B1640" t="s">
        <v>3251</v>
      </c>
      <c r="C1640" t="s">
        <v>3514</v>
      </c>
      <c r="D1640" t="s">
        <v>3253</v>
      </c>
      <c r="E1640">
        <v>16390</v>
      </c>
      <c r="F1640">
        <v>23.4</v>
      </c>
      <c r="G1640">
        <v>1121</v>
      </c>
      <c r="H1640">
        <v>10.5</v>
      </c>
      <c r="I1640">
        <v>1587</v>
      </c>
      <c r="J1640">
        <v>12.5</v>
      </c>
      <c r="K1640">
        <v>1811</v>
      </c>
      <c r="L1640">
        <v>38.200000000000003</v>
      </c>
      <c r="M1640">
        <v>1017</v>
      </c>
      <c r="N1640">
        <v>26.8</v>
      </c>
      <c r="O1640">
        <v>1623</v>
      </c>
      <c r="P1640" t="s">
        <v>255</v>
      </c>
      <c r="Q1640" s="1">
        <v>9371</v>
      </c>
      <c r="R1640">
        <v>12.2</v>
      </c>
      <c r="S1640" s="2">
        <v>7.0000000000000007E-2</v>
      </c>
      <c r="T1640" t="s">
        <v>51</v>
      </c>
      <c r="U1640" s="2">
        <v>0.47</v>
      </c>
      <c r="V1640" t="s">
        <v>3514</v>
      </c>
      <c r="W1640" t="s">
        <v>3515</v>
      </c>
      <c r="X1640" t="b">
        <v>0</v>
      </c>
      <c r="Y1640" t="b">
        <v>0</v>
      </c>
    </row>
    <row r="1641" spans="1:25">
      <c r="A1641">
        <v>16400</v>
      </c>
      <c r="B1641" t="s">
        <v>3251</v>
      </c>
      <c r="C1641" t="s">
        <v>3516</v>
      </c>
      <c r="D1641" t="s">
        <v>3253</v>
      </c>
      <c r="E1641">
        <v>16400</v>
      </c>
      <c r="F1641">
        <v>15.7</v>
      </c>
      <c r="G1641">
        <v>1718</v>
      </c>
      <c r="H1641">
        <v>15.7</v>
      </c>
      <c r="I1641">
        <v>1071</v>
      </c>
      <c r="J1641">
        <v>27.4</v>
      </c>
      <c r="K1641">
        <v>1509</v>
      </c>
      <c r="L1641">
        <v>43.4</v>
      </c>
      <c r="M1641">
        <v>916</v>
      </c>
      <c r="N1641">
        <v>39.700000000000003</v>
      </c>
      <c r="O1641">
        <v>1127</v>
      </c>
      <c r="P1641" t="s">
        <v>1468</v>
      </c>
      <c r="Q1641" s="1">
        <v>37891</v>
      </c>
      <c r="R1641">
        <v>34.1</v>
      </c>
      <c r="S1641" s="2">
        <v>0</v>
      </c>
      <c r="T1641">
        <v>0.88888888888888884</v>
      </c>
      <c r="U1641" s="2">
        <v>0.46</v>
      </c>
      <c r="V1641" t="s">
        <v>3516</v>
      </c>
      <c r="W1641" t="s">
        <v>3517</v>
      </c>
      <c r="X1641" t="b">
        <v>0</v>
      </c>
      <c r="Y1641" t="b">
        <v>0</v>
      </c>
    </row>
    <row r="1642" spans="1:25">
      <c r="A1642">
        <v>16410</v>
      </c>
      <c r="B1642" t="s">
        <v>3251</v>
      </c>
      <c r="C1642" t="s">
        <v>3518</v>
      </c>
      <c r="D1642" t="s">
        <v>3253</v>
      </c>
      <c r="E1642">
        <v>16410</v>
      </c>
      <c r="F1642">
        <v>18.8</v>
      </c>
      <c r="G1642">
        <v>1478</v>
      </c>
      <c r="H1642">
        <v>11.2</v>
      </c>
      <c r="I1642">
        <v>1500</v>
      </c>
      <c r="J1642">
        <v>25.8</v>
      </c>
      <c r="K1642">
        <v>1547</v>
      </c>
      <c r="L1642">
        <v>27.5</v>
      </c>
      <c r="M1642">
        <v>1250</v>
      </c>
      <c r="N1642">
        <v>19.8</v>
      </c>
      <c r="O1642">
        <v>1874</v>
      </c>
      <c r="P1642" t="s">
        <v>1955</v>
      </c>
      <c r="Q1642" s="1">
        <v>38942</v>
      </c>
      <c r="R1642">
        <v>16.600000000000001</v>
      </c>
      <c r="S1642" s="2">
        <v>0</v>
      </c>
      <c r="T1642" s="3">
        <v>2.1590277777777778</v>
      </c>
      <c r="U1642" s="2">
        <v>0.21</v>
      </c>
      <c r="V1642" t="s">
        <v>3518</v>
      </c>
      <c r="W1642" t="s">
        <v>3519</v>
      </c>
      <c r="X1642" t="b">
        <v>0</v>
      </c>
      <c r="Y1642" t="b">
        <v>0</v>
      </c>
    </row>
    <row r="1643" spans="1:25">
      <c r="A1643">
        <v>16420</v>
      </c>
      <c r="B1643" t="s">
        <v>3251</v>
      </c>
      <c r="C1643" t="s">
        <v>3520</v>
      </c>
      <c r="D1643" t="s">
        <v>3253</v>
      </c>
      <c r="E1643">
        <v>16420</v>
      </c>
      <c r="F1643">
        <v>24.9</v>
      </c>
      <c r="G1643">
        <v>1010</v>
      </c>
      <c r="H1643">
        <v>10.3</v>
      </c>
      <c r="I1643">
        <v>1611</v>
      </c>
      <c r="J1643">
        <v>19.2</v>
      </c>
      <c r="K1643">
        <v>1698</v>
      </c>
      <c r="L1643">
        <v>16.600000000000001</v>
      </c>
      <c r="M1643">
        <v>1798</v>
      </c>
      <c r="N1643">
        <v>23.6</v>
      </c>
      <c r="O1643">
        <v>1756</v>
      </c>
      <c r="P1643" t="s">
        <v>2536</v>
      </c>
      <c r="Q1643" s="1">
        <v>50518</v>
      </c>
      <c r="R1643">
        <v>88.2</v>
      </c>
      <c r="S1643" s="2">
        <v>0.02</v>
      </c>
      <c r="T1643" s="3">
        <v>2.036111111111111</v>
      </c>
      <c r="U1643" s="2">
        <v>0.39</v>
      </c>
      <c r="V1643" t="s">
        <v>3520</v>
      </c>
      <c r="W1643" t="s">
        <v>3521</v>
      </c>
      <c r="X1643" t="b">
        <v>0</v>
      </c>
      <c r="Y1643" t="b">
        <v>0</v>
      </c>
    </row>
    <row r="1644" spans="1:25">
      <c r="A1644">
        <v>16430</v>
      </c>
      <c r="B1644" t="s">
        <v>3251</v>
      </c>
      <c r="C1644" t="s">
        <v>3522</v>
      </c>
      <c r="D1644" t="s">
        <v>3253</v>
      </c>
      <c r="E1644">
        <v>16430</v>
      </c>
      <c r="F1644">
        <v>15.5</v>
      </c>
      <c r="G1644">
        <v>1731</v>
      </c>
      <c r="H1644">
        <v>12.3</v>
      </c>
      <c r="I1644">
        <v>1378</v>
      </c>
      <c r="J1644">
        <v>20.7</v>
      </c>
      <c r="K1644">
        <v>1667</v>
      </c>
      <c r="L1644">
        <v>32.700000000000003</v>
      </c>
      <c r="M1644">
        <v>1133</v>
      </c>
      <c r="N1644">
        <v>41.9</v>
      </c>
      <c r="O1644">
        <v>1055</v>
      </c>
      <c r="P1644" t="s">
        <v>2290</v>
      </c>
      <c r="Q1644" s="1">
        <v>30200</v>
      </c>
      <c r="R1644">
        <v>22</v>
      </c>
      <c r="S1644" s="2">
        <v>0.01</v>
      </c>
      <c r="T1644" s="3">
        <v>3.0194444444444444</v>
      </c>
      <c r="U1644" s="2">
        <v>0.42</v>
      </c>
      <c r="V1644" t="s">
        <v>3522</v>
      </c>
      <c r="W1644" t="s">
        <v>3523</v>
      </c>
      <c r="X1644" t="b">
        <v>0</v>
      </c>
      <c r="Y1644" t="b">
        <v>0</v>
      </c>
    </row>
    <row r="1645" spans="1:25">
      <c r="A1645">
        <v>16440</v>
      </c>
      <c r="B1645" t="s">
        <v>3251</v>
      </c>
      <c r="C1645" t="s">
        <v>3524</v>
      </c>
      <c r="D1645" t="s">
        <v>3253</v>
      </c>
      <c r="E1645">
        <v>16440</v>
      </c>
      <c r="F1645">
        <v>28.1</v>
      </c>
      <c r="G1645">
        <v>804</v>
      </c>
      <c r="H1645">
        <v>11.8</v>
      </c>
      <c r="I1645">
        <v>1426</v>
      </c>
      <c r="J1645">
        <v>10.8</v>
      </c>
      <c r="K1645">
        <v>1843</v>
      </c>
      <c r="L1645">
        <v>33.9</v>
      </c>
      <c r="M1645">
        <v>1111</v>
      </c>
      <c r="N1645">
        <v>53</v>
      </c>
      <c r="O1645">
        <v>713</v>
      </c>
      <c r="P1645" t="s">
        <v>3525</v>
      </c>
      <c r="Q1645" s="1">
        <v>15584</v>
      </c>
      <c r="R1645">
        <v>9</v>
      </c>
      <c r="S1645" s="2">
        <v>0.05</v>
      </c>
      <c r="T1645" s="3">
        <v>2.6916666666666669</v>
      </c>
      <c r="U1645" s="2">
        <v>0.28000000000000003</v>
      </c>
      <c r="V1645" t="s">
        <v>3524</v>
      </c>
      <c r="W1645" t="s">
        <v>3526</v>
      </c>
      <c r="X1645" t="b">
        <v>0</v>
      </c>
      <c r="Y1645" t="b">
        <v>0</v>
      </c>
    </row>
    <row r="1646" spans="1:25">
      <c r="A1646">
        <v>16450</v>
      </c>
      <c r="B1646" t="s">
        <v>3251</v>
      </c>
      <c r="C1646" t="s">
        <v>3527</v>
      </c>
      <c r="D1646" t="s">
        <v>3253</v>
      </c>
      <c r="E1646">
        <v>16450</v>
      </c>
      <c r="F1646">
        <v>22.4</v>
      </c>
      <c r="G1646">
        <v>1194</v>
      </c>
      <c r="H1646">
        <v>8.5</v>
      </c>
      <c r="I1646">
        <v>1853</v>
      </c>
      <c r="J1646">
        <v>34.200000000000003</v>
      </c>
      <c r="K1646">
        <v>1346</v>
      </c>
      <c r="L1646">
        <v>15.8</v>
      </c>
      <c r="M1646">
        <v>1884</v>
      </c>
      <c r="N1646">
        <v>26.2</v>
      </c>
      <c r="O1646">
        <v>1659</v>
      </c>
      <c r="P1646" t="s">
        <v>1220</v>
      </c>
      <c r="Q1646" s="1">
        <v>19612</v>
      </c>
      <c r="R1646">
        <v>6.8</v>
      </c>
      <c r="S1646" s="2">
        <v>0.01</v>
      </c>
      <c r="T1646" s="3">
        <v>2.5277777777777777</v>
      </c>
      <c r="U1646" s="2">
        <v>0.3</v>
      </c>
      <c r="V1646" t="s">
        <v>3527</v>
      </c>
      <c r="W1646" t="s">
        <v>3528</v>
      </c>
      <c r="X1646" t="b">
        <v>0</v>
      </c>
      <c r="Y1646" t="b">
        <v>0</v>
      </c>
    </row>
    <row r="1647" spans="1:25">
      <c r="A1647">
        <v>16460</v>
      </c>
      <c r="B1647" t="s">
        <v>3251</v>
      </c>
      <c r="C1647" t="s">
        <v>3529</v>
      </c>
      <c r="D1647" t="s">
        <v>3253</v>
      </c>
      <c r="E1647">
        <v>16460</v>
      </c>
      <c r="F1647">
        <v>20.2</v>
      </c>
      <c r="G1647">
        <v>1357</v>
      </c>
      <c r="H1647">
        <v>11.5</v>
      </c>
      <c r="I1647">
        <v>1464</v>
      </c>
      <c r="J1647">
        <v>9.8000000000000007</v>
      </c>
      <c r="K1647">
        <v>1860</v>
      </c>
      <c r="L1647">
        <v>17.600000000000001</v>
      </c>
      <c r="M1647">
        <v>1693</v>
      </c>
      <c r="N1647">
        <v>39.200000000000003</v>
      </c>
      <c r="O1647">
        <v>1143</v>
      </c>
      <c r="P1647" t="s">
        <v>255</v>
      </c>
      <c r="Q1647" s="1">
        <v>15645</v>
      </c>
      <c r="R1647">
        <v>15.4</v>
      </c>
      <c r="S1647" s="2">
        <v>0.18</v>
      </c>
      <c r="T1647" s="3">
        <v>3.1423611111111112</v>
      </c>
      <c r="U1647" s="2">
        <v>0.21</v>
      </c>
      <c r="V1647" t="s">
        <v>3529</v>
      </c>
      <c r="W1647" t="s">
        <v>3530</v>
      </c>
      <c r="X1647" t="b">
        <v>0</v>
      </c>
      <c r="Y1647" t="b">
        <v>0</v>
      </c>
    </row>
    <row r="1648" spans="1:25">
      <c r="A1648">
        <v>16470</v>
      </c>
      <c r="B1648" t="s">
        <v>3251</v>
      </c>
      <c r="C1648" t="s">
        <v>3531</v>
      </c>
      <c r="D1648" t="s">
        <v>3253</v>
      </c>
      <c r="E1648">
        <v>16470</v>
      </c>
      <c r="F1648">
        <v>21.9</v>
      </c>
      <c r="G1648">
        <v>1237</v>
      </c>
      <c r="H1648">
        <v>9.3000000000000007</v>
      </c>
      <c r="I1648">
        <v>1749</v>
      </c>
      <c r="J1648">
        <v>33.6</v>
      </c>
      <c r="K1648">
        <v>1363</v>
      </c>
      <c r="L1648">
        <v>16.3</v>
      </c>
      <c r="M1648">
        <v>1828</v>
      </c>
      <c r="N1648">
        <v>23.4</v>
      </c>
      <c r="O1648">
        <v>1766</v>
      </c>
      <c r="P1648" t="s">
        <v>528</v>
      </c>
      <c r="Q1648" s="1">
        <v>7325</v>
      </c>
      <c r="R1648">
        <v>11.3</v>
      </c>
      <c r="S1648" s="2">
        <v>0.01</v>
      </c>
      <c r="T1648" s="3">
        <v>1.9951388888888888</v>
      </c>
      <c r="U1648" s="2">
        <v>0.45</v>
      </c>
      <c r="V1648" t="s">
        <v>3531</v>
      </c>
      <c r="W1648" t="s">
        <v>3532</v>
      </c>
      <c r="X1648" t="b">
        <v>0</v>
      </c>
      <c r="Y1648" t="b">
        <v>0</v>
      </c>
    </row>
    <row r="1649" spans="1:25">
      <c r="A1649">
        <v>16480</v>
      </c>
      <c r="B1649" t="s">
        <v>3251</v>
      </c>
      <c r="C1649" t="s">
        <v>3533</v>
      </c>
      <c r="D1649" t="s">
        <v>3253</v>
      </c>
      <c r="E1649">
        <v>16480</v>
      </c>
      <c r="F1649">
        <v>15.2</v>
      </c>
      <c r="G1649">
        <v>1743</v>
      </c>
      <c r="H1649">
        <v>9.8000000000000007</v>
      </c>
      <c r="I1649">
        <v>1671</v>
      </c>
      <c r="J1649">
        <v>15.1</v>
      </c>
      <c r="K1649">
        <v>1767</v>
      </c>
      <c r="L1649">
        <v>16.5</v>
      </c>
      <c r="M1649">
        <v>1808</v>
      </c>
      <c r="N1649">
        <v>22.8</v>
      </c>
      <c r="O1649">
        <v>1781</v>
      </c>
      <c r="P1649" t="s">
        <v>895</v>
      </c>
      <c r="Q1649" s="1">
        <v>10501</v>
      </c>
      <c r="R1649">
        <v>22.6</v>
      </c>
      <c r="S1649" s="2">
        <v>0.04</v>
      </c>
      <c r="T1649" s="3">
        <v>2.036111111111111</v>
      </c>
      <c r="U1649" s="2">
        <v>0.21</v>
      </c>
      <c r="V1649" t="s">
        <v>3533</v>
      </c>
      <c r="W1649" t="s">
        <v>3534</v>
      </c>
      <c r="X1649" t="b">
        <v>0</v>
      </c>
      <c r="Y1649" t="b">
        <v>0</v>
      </c>
    </row>
    <row r="1650" spans="1:25">
      <c r="A1650">
        <v>16490</v>
      </c>
      <c r="B1650" t="s">
        <v>3251</v>
      </c>
      <c r="C1650" t="s">
        <v>3535</v>
      </c>
      <c r="D1650" t="s">
        <v>3253</v>
      </c>
      <c r="E1650">
        <v>16490</v>
      </c>
      <c r="F1650">
        <v>15.2</v>
      </c>
      <c r="G1650">
        <v>1744</v>
      </c>
      <c r="H1650">
        <v>11</v>
      </c>
      <c r="I1650">
        <v>1525</v>
      </c>
      <c r="J1650">
        <v>34</v>
      </c>
      <c r="K1650">
        <v>1351</v>
      </c>
      <c r="L1650">
        <v>23.9</v>
      </c>
      <c r="M1650">
        <v>1370</v>
      </c>
      <c r="N1650">
        <v>38.299999999999997</v>
      </c>
      <c r="O1650">
        <v>1179</v>
      </c>
      <c r="P1650" t="s">
        <v>94</v>
      </c>
      <c r="Q1650" s="1">
        <v>29180</v>
      </c>
      <c r="R1650">
        <v>37.700000000000003</v>
      </c>
      <c r="S1650" s="2">
        <v>0.05</v>
      </c>
      <c r="T1650" t="s">
        <v>696</v>
      </c>
      <c r="U1650" s="2">
        <v>0.38</v>
      </c>
      <c r="V1650" t="s">
        <v>3535</v>
      </c>
      <c r="W1650" t="s">
        <v>3536</v>
      </c>
      <c r="X1650" t="b">
        <v>0</v>
      </c>
      <c r="Y1650" t="b">
        <v>0</v>
      </c>
    </row>
    <row r="1651" spans="1:25">
      <c r="A1651">
        <v>16500</v>
      </c>
      <c r="B1651" t="s">
        <v>3251</v>
      </c>
      <c r="C1651" t="s">
        <v>3537</v>
      </c>
      <c r="D1651" t="s">
        <v>3253</v>
      </c>
      <c r="E1651">
        <v>16500</v>
      </c>
      <c r="F1651">
        <v>13.3</v>
      </c>
      <c r="G1651">
        <v>1832</v>
      </c>
      <c r="H1651">
        <v>8.6999999999999993</v>
      </c>
      <c r="I1651">
        <v>1830</v>
      </c>
      <c r="J1651">
        <v>16.399999999999999</v>
      </c>
      <c r="K1651">
        <v>1742</v>
      </c>
      <c r="L1651">
        <v>16.2</v>
      </c>
      <c r="M1651">
        <v>1837</v>
      </c>
      <c r="N1651">
        <v>49.2</v>
      </c>
      <c r="O1651">
        <v>824</v>
      </c>
      <c r="P1651" t="s">
        <v>1468</v>
      </c>
      <c r="Q1651" s="1">
        <v>48943</v>
      </c>
      <c r="R1651">
        <v>23</v>
      </c>
      <c r="S1651" s="2">
        <v>0.01</v>
      </c>
      <c r="T1651" s="3">
        <v>2.3638888888888889</v>
      </c>
      <c r="U1651" s="2">
        <v>0.24</v>
      </c>
      <c r="V1651" t="s">
        <v>3537</v>
      </c>
      <c r="W1651" t="s">
        <v>3538</v>
      </c>
      <c r="X1651" t="b">
        <v>0</v>
      </c>
      <c r="Y1651" t="b">
        <v>0</v>
      </c>
    </row>
    <row r="1652" spans="1:25">
      <c r="A1652">
        <v>16510</v>
      </c>
      <c r="B1652" t="s">
        <v>3251</v>
      </c>
      <c r="C1652" t="s">
        <v>3539</v>
      </c>
      <c r="D1652" t="s">
        <v>3253</v>
      </c>
      <c r="E1652">
        <v>16510</v>
      </c>
      <c r="F1652">
        <v>22.5</v>
      </c>
      <c r="G1652">
        <v>1190</v>
      </c>
      <c r="H1652">
        <v>13.2</v>
      </c>
      <c r="I1652">
        <v>1286</v>
      </c>
      <c r="J1652">
        <v>11.8</v>
      </c>
      <c r="K1652">
        <v>1828</v>
      </c>
      <c r="L1652">
        <v>56.5</v>
      </c>
      <c r="M1652">
        <v>710</v>
      </c>
      <c r="N1652">
        <v>24.6</v>
      </c>
      <c r="O1652">
        <v>1722</v>
      </c>
      <c r="P1652" t="s">
        <v>94</v>
      </c>
      <c r="Q1652" s="1">
        <v>6540</v>
      </c>
      <c r="R1652">
        <v>12.4</v>
      </c>
      <c r="S1652" s="2">
        <v>0.03</v>
      </c>
      <c r="T1652" s="3">
        <v>1.7493055555555554</v>
      </c>
      <c r="U1652" s="2">
        <v>0.37</v>
      </c>
      <c r="V1652" t="s">
        <v>3539</v>
      </c>
      <c r="W1652" t="s">
        <v>3540</v>
      </c>
      <c r="X1652" t="b">
        <v>0</v>
      </c>
      <c r="Y1652" t="b">
        <v>0</v>
      </c>
    </row>
    <row r="1653" spans="1:25">
      <c r="A1653">
        <v>16520</v>
      </c>
      <c r="B1653" t="s">
        <v>3251</v>
      </c>
      <c r="C1653" t="s">
        <v>3541</v>
      </c>
      <c r="D1653" t="s">
        <v>3253</v>
      </c>
      <c r="E1653">
        <v>16520</v>
      </c>
      <c r="F1653">
        <v>18.899999999999999</v>
      </c>
      <c r="G1653">
        <v>1473</v>
      </c>
      <c r="H1653">
        <v>12.5</v>
      </c>
      <c r="I1653">
        <v>1359</v>
      </c>
      <c r="J1653">
        <v>12.2</v>
      </c>
      <c r="K1653">
        <v>1818</v>
      </c>
      <c r="L1653">
        <v>36.9</v>
      </c>
      <c r="M1653">
        <v>1050</v>
      </c>
      <c r="N1653">
        <v>27.4</v>
      </c>
      <c r="O1653">
        <v>1603</v>
      </c>
      <c r="P1653" t="s">
        <v>94</v>
      </c>
      <c r="Q1653" s="1">
        <v>7741</v>
      </c>
      <c r="R1653">
        <v>14.8</v>
      </c>
      <c r="S1653" s="2">
        <v>0.03</v>
      </c>
      <c r="T1653" t="s">
        <v>113</v>
      </c>
      <c r="U1653" s="2">
        <v>0.38</v>
      </c>
      <c r="V1653" t="s">
        <v>3541</v>
      </c>
      <c r="W1653" t="s">
        <v>3542</v>
      </c>
      <c r="X1653" t="b">
        <v>0</v>
      </c>
      <c r="Y1653" t="b">
        <v>0</v>
      </c>
    </row>
    <row r="1654" spans="1:25">
      <c r="A1654">
        <v>16530</v>
      </c>
      <c r="B1654" t="s">
        <v>3251</v>
      </c>
      <c r="C1654" t="s">
        <v>3543</v>
      </c>
      <c r="D1654" t="s">
        <v>3253</v>
      </c>
      <c r="E1654">
        <v>16530</v>
      </c>
      <c r="F1654">
        <v>14.4</v>
      </c>
      <c r="G1654">
        <v>1781</v>
      </c>
      <c r="H1654">
        <v>12.2</v>
      </c>
      <c r="I1654">
        <v>1388</v>
      </c>
      <c r="J1654">
        <v>11.6</v>
      </c>
      <c r="K1654">
        <v>1833</v>
      </c>
      <c r="L1654">
        <v>31.5</v>
      </c>
      <c r="M1654">
        <v>1149</v>
      </c>
      <c r="N1654">
        <v>38</v>
      </c>
      <c r="O1654">
        <v>1198</v>
      </c>
      <c r="P1654" t="s">
        <v>1820</v>
      </c>
      <c r="Q1654" s="1">
        <v>21413</v>
      </c>
      <c r="R1654">
        <v>23.4</v>
      </c>
      <c r="S1654" s="2">
        <v>0.01</v>
      </c>
      <c r="T1654" s="3">
        <v>1.9131944444444444</v>
      </c>
      <c r="U1654" s="2">
        <v>0.35</v>
      </c>
      <c r="V1654" t="s">
        <v>3543</v>
      </c>
      <c r="W1654" t="s">
        <v>3544</v>
      </c>
      <c r="X1654" t="b">
        <v>0</v>
      </c>
      <c r="Y1654" t="b">
        <v>0</v>
      </c>
    </row>
    <row r="1655" spans="1:25">
      <c r="A1655">
        <v>16540</v>
      </c>
      <c r="B1655" t="s">
        <v>3251</v>
      </c>
      <c r="C1655" t="s">
        <v>3545</v>
      </c>
      <c r="D1655" t="s">
        <v>3253</v>
      </c>
      <c r="E1655">
        <v>16540</v>
      </c>
      <c r="F1655">
        <v>19.5</v>
      </c>
      <c r="G1655">
        <v>1420</v>
      </c>
      <c r="H1655">
        <v>8.4</v>
      </c>
      <c r="I1655">
        <v>1858</v>
      </c>
      <c r="J1655">
        <v>14</v>
      </c>
      <c r="K1655">
        <v>1784</v>
      </c>
      <c r="L1655">
        <v>18.3</v>
      </c>
      <c r="M1655">
        <v>1645</v>
      </c>
      <c r="N1655">
        <v>23.1</v>
      </c>
      <c r="O1655">
        <v>1774</v>
      </c>
      <c r="P1655" t="s">
        <v>255</v>
      </c>
      <c r="Q1655" s="1">
        <v>11396</v>
      </c>
      <c r="R1655">
        <v>11.4</v>
      </c>
      <c r="S1655" s="2">
        <v>0.06</v>
      </c>
      <c r="T1655" t="s">
        <v>350</v>
      </c>
      <c r="U1655" s="2">
        <v>0.5</v>
      </c>
      <c r="V1655" t="s">
        <v>3545</v>
      </c>
      <c r="W1655" t="s">
        <v>3546</v>
      </c>
      <c r="X1655" t="b">
        <v>0</v>
      </c>
      <c r="Y1655" t="b">
        <v>0</v>
      </c>
    </row>
    <row r="1656" spans="1:25">
      <c r="A1656">
        <v>16550</v>
      </c>
      <c r="B1656" t="s">
        <v>3251</v>
      </c>
      <c r="C1656" t="s">
        <v>3547</v>
      </c>
      <c r="D1656" t="s">
        <v>3253</v>
      </c>
      <c r="E1656">
        <v>16550</v>
      </c>
      <c r="F1656">
        <v>17.8</v>
      </c>
      <c r="G1656">
        <v>1569</v>
      </c>
      <c r="H1656">
        <v>9.4</v>
      </c>
      <c r="I1656">
        <v>1732</v>
      </c>
      <c r="J1656">
        <v>21.5</v>
      </c>
      <c r="K1656">
        <v>1649</v>
      </c>
      <c r="L1656">
        <v>18</v>
      </c>
      <c r="M1656">
        <v>1668</v>
      </c>
      <c r="N1656">
        <v>21.1</v>
      </c>
      <c r="O1656">
        <v>1840</v>
      </c>
      <c r="P1656" t="s">
        <v>895</v>
      </c>
      <c r="Q1656" s="1">
        <v>36388</v>
      </c>
      <c r="R1656">
        <v>22.2</v>
      </c>
      <c r="S1656" s="2">
        <v>0.03</v>
      </c>
      <c r="T1656" s="3">
        <v>2.1590277777777778</v>
      </c>
      <c r="U1656" s="2">
        <v>0.2</v>
      </c>
      <c r="V1656" t="s">
        <v>3547</v>
      </c>
      <c r="W1656" t="s">
        <v>3548</v>
      </c>
      <c r="X1656" t="b">
        <v>0</v>
      </c>
      <c r="Y1656" t="b">
        <v>0</v>
      </c>
    </row>
    <row r="1657" spans="1:25">
      <c r="A1657">
        <v>16560</v>
      </c>
      <c r="B1657" t="s">
        <v>3251</v>
      </c>
      <c r="C1657" t="s">
        <v>3549</v>
      </c>
      <c r="D1657" t="s">
        <v>3253</v>
      </c>
      <c r="E1657">
        <v>16560</v>
      </c>
      <c r="F1657">
        <v>20.7</v>
      </c>
      <c r="G1657">
        <v>1321</v>
      </c>
      <c r="H1657">
        <v>9.9</v>
      </c>
      <c r="I1657">
        <v>1652</v>
      </c>
      <c r="J1657">
        <v>14.5</v>
      </c>
      <c r="K1657">
        <v>1778</v>
      </c>
      <c r="L1657">
        <v>26.7</v>
      </c>
      <c r="M1657">
        <v>1273</v>
      </c>
      <c r="N1657">
        <v>25.5</v>
      </c>
      <c r="O1657">
        <v>1684</v>
      </c>
      <c r="P1657" t="s">
        <v>1613</v>
      </c>
      <c r="Q1657" s="1">
        <v>141583</v>
      </c>
      <c r="R1657">
        <v>13</v>
      </c>
      <c r="S1657" s="2">
        <v>0</v>
      </c>
      <c r="T1657" s="3">
        <v>1.7902777777777779</v>
      </c>
      <c r="U1657" s="2">
        <v>0.33</v>
      </c>
      <c r="V1657" t="s">
        <v>3549</v>
      </c>
      <c r="W1657" t="s">
        <v>3550</v>
      </c>
      <c r="X1657" t="b">
        <v>0</v>
      </c>
      <c r="Y1657" t="b">
        <v>0</v>
      </c>
    </row>
    <row r="1658" spans="1:25">
      <c r="A1658">
        <v>16570</v>
      </c>
      <c r="B1658" t="s">
        <v>3251</v>
      </c>
      <c r="C1658" t="s">
        <v>3551</v>
      </c>
      <c r="D1658" t="s">
        <v>3253</v>
      </c>
      <c r="E1658">
        <v>16570</v>
      </c>
      <c r="F1658">
        <v>9.6</v>
      </c>
      <c r="G1658">
        <v>1904</v>
      </c>
      <c r="H1658">
        <v>9.4</v>
      </c>
      <c r="I1658">
        <v>1733</v>
      </c>
      <c r="J1658">
        <v>36.5</v>
      </c>
      <c r="K1658">
        <v>1292</v>
      </c>
      <c r="L1658">
        <v>20.100000000000001</v>
      </c>
      <c r="M1658">
        <v>1526</v>
      </c>
      <c r="N1658">
        <v>30.7</v>
      </c>
      <c r="O1658">
        <v>1472</v>
      </c>
      <c r="P1658" t="s">
        <v>1220</v>
      </c>
      <c r="Q1658" s="1">
        <v>59370</v>
      </c>
      <c r="R1658">
        <v>38</v>
      </c>
      <c r="S1658" s="2">
        <v>0.02</v>
      </c>
      <c r="T1658" s="3">
        <v>1.8722222222222222</v>
      </c>
      <c r="U1658" s="2">
        <v>0.33</v>
      </c>
      <c r="V1658" t="s">
        <v>3551</v>
      </c>
      <c r="W1658" t="s">
        <v>3552</v>
      </c>
      <c r="X1658" t="b">
        <v>0</v>
      </c>
      <c r="Y1658" t="b">
        <v>0</v>
      </c>
    </row>
    <row r="1659" spans="1:25">
      <c r="A1659">
        <v>16580</v>
      </c>
      <c r="B1659" t="s">
        <v>3251</v>
      </c>
      <c r="C1659" t="s">
        <v>3553</v>
      </c>
      <c r="D1659" t="s">
        <v>3253</v>
      </c>
      <c r="E1659">
        <v>16580</v>
      </c>
      <c r="F1659">
        <v>21.7</v>
      </c>
      <c r="G1659">
        <v>1253</v>
      </c>
      <c r="H1659">
        <v>9.6</v>
      </c>
      <c r="I1659">
        <v>1701</v>
      </c>
      <c r="J1659">
        <v>23.4</v>
      </c>
      <c r="K1659">
        <v>1599</v>
      </c>
      <c r="L1659">
        <v>24.2</v>
      </c>
      <c r="M1659">
        <v>1360</v>
      </c>
      <c r="N1659">
        <v>33.799999999999997</v>
      </c>
      <c r="O1659">
        <v>1363</v>
      </c>
      <c r="P1659" t="s">
        <v>255</v>
      </c>
      <c r="Q1659" s="1">
        <v>9732</v>
      </c>
      <c r="R1659">
        <v>10.6</v>
      </c>
      <c r="S1659" s="2">
        <v>0.13</v>
      </c>
      <c r="T1659" t="s">
        <v>696</v>
      </c>
      <c r="U1659" s="2">
        <v>0.44</v>
      </c>
      <c r="V1659" t="s">
        <v>3553</v>
      </c>
      <c r="W1659" t="s">
        <v>3554</v>
      </c>
      <c r="X1659" t="b">
        <v>0</v>
      </c>
      <c r="Y1659" t="b">
        <v>0</v>
      </c>
    </row>
    <row r="1660" spans="1:25">
      <c r="A1660">
        <v>16590</v>
      </c>
      <c r="B1660" t="s">
        <v>3251</v>
      </c>
      <c r="C1660" t="s">
        <v>3555</v>
      </c>
      <c r="D1660" t="s">
        <v>3253</v>
      </c>
      <c r="E1660">
        <v>16590</v>
      </c>
      <c r="F1660">
        <v>18.600000000000001</v>
      </c>
      <c r="G1660">
        <v>1493</v>
      </c>
      <c r="H1660">
        <v>11.5</v>
      </c>
      <c r="I1660">
        <v>1465</v>
      </c>
      <c r="J1660">
        <v>9.1</v>
      </c>
      <c r="K1660">
        <v>1866</v>
      </c>
      <c r="L1660">
        <v>18.899999999999999</v>
      </c>
      <c r="M1660">
        <v>1600</v>
      </c>
      <c r="N1660">
        <v>28.1</v>
      </c>
      <c r="O1660">
        <v>1574</v>
      </c>
      <c r="P1660" t="s">
        <v>255</v>
      </c>
      <c r="Q1660" s="1">
        <v>13496</v>
      </c>
      <c r="R1660">
        <v>14.2</v>
      </c>
      <c r="S1660" s="2">
        <v>0.04</v>
      </c>
      <c r="T1660" s="3">
        <v>2.8555555555555556</v>
      </c>
      <c r="U1660" s="2">
        <v>0.35</v>
      </c>
      <c r="V1660" t="s">
        <v>3555</v>
      </c>
      <c r="W1660" t="s">
        <v>3556</v>
      </c>
      <c r="X1660" t="b">
        <v>0</v>
      </c>
      <c r="Y1660" t="b">
        <v>0</v>
      </c>
    </row>
    <row r="1661" spans="1:25">
      <c r="A1661">
        <v>16600</v>
      </c>
      <c r="B1661" t="s">
        <v>3251</v>
      </c>
      <c r="C1661" t="s">
        <v>3557</v>
      </c>
      <c r="D1661" t="s">
        <v>3253</v>
      </c>
      <c r="E1661">
        <v>16600</v>
      </c>
      <c r="F1661">
        <v>15.8</v>
      </c>
      <c r="G1661">
        <v>1710</v>
      </c>
      <c r="H1661">
        <v>9.6999999999999993</v>
      </c>
      <c r="I1661">
        <v>1687</v>
      </c>
      <c r="J1661">
        <v>12.5</v>
      </c>
      <c r="K1661">
        <v>1812</v>
      </c>
      <c r="L1661">
        <v>17.3</v>
      </c>
      <c r="M1661">
        <v>1724</v>
      </c>
      <c r="N1661">
        <v>35.5</v>
      </c>
      <c r="O1661">
        <v>1298</v>
      </c>
      <c r="P1661" t="s">
        <v>1955</v>
      </c>
      <c r="Q1661" s="1">
        <v>22998</v>
      </c>
      <c r="R1661">
        <v>26.5</v>
      </c>
      <c r="S1661" s="2">
        <v>0.04</v>
      </c>
      <c r="T1661" s="3">
        <v>2.036111111111111</v>
      </c>
      <c r="U1661" s="2">
        <v>0.26</v>
      </c>
      <c r="V1661" t="s">
        <v>3557</v>
      </c>
      <c r="W1661" t="s">
        <v>3558</v>
      </c>
      <c r="X1661" t="b">
        <v>0</v>
      </c>
      <c r="Y1661" t="b">
        <v>0</v>
      </c>
    </row>
    <row r="1662" spans="1:25">
      <c r="A1662">
        <v>16610</v>
      </c>
      <c r="B1662" t="s">
        <v>3251</v>
      </c>
      <c r="C1662" t="s">
        <v>3559</v>
      </c>
      <c r="D1662" t="s">
        <v>3253</v>
      </c>
      <c r="E1662">
        <v>16610</v>
      </c>
      <c r="F1662">
        <v>17</v>
      </c>
      <c r="G1662">
        <v>1624</v>
      </c>
      <c r="H1662">
        <v>9.1999999999999993</v>
      </c>
      <c r="I1662">
        <v>1759</v>
      </c>
      <c r="J1662">
        <v>32.299999999999997</v>
      </c>
      <c r="K1662">
        <v>1395</v>
      </c>
      <c r="L1662">
        <v>15.8</v>
      </c>
      <c r="M1662">
        <v>1885</v>
      </c>
      <c r="N1662">
        <v>56.9</v>
      </c>
      <c r="O1662">
        <v>645</v>
      </c>
      <c r="P1662" t="s">
        <v>895</v>
      </c>
      <c r="Q1662" s="1">
        <v>28851</v>
      </c>
      <c r="R1662">
        <v>26.3</v>
      </c>
      <c r="S1662" s="2">
        <v>0.13</v>
      </c>
      <c r="T1662" s="3">
        <v>2.1590277777777778</v>
      </c>
      <c r="U1662" s="2">
        <v>0.25</v>
      </c>
      <c r="V1662" t="s">
        <v>3559</v>
      </c>
      <c r="W1662" t="s">
        <v>3560</v>
      </c>
      <c r="X1662" t="b">
        <v>0</v>
      </c>
      <c r="Y1662" t="b">
        <v>0</v>
      </c>
    </row>
    <row r="1663" spans="1:25">
      <c r="A1663">
        <v>16620</v>
      </c>
      <c r="B1663" t="s">
        <v>3251</v>
      </c>
      <c r="C1663" t="s">
        <v>3561</v>
      </c>
      <c r="D1663" t="s">
        <v>3253</v>
      </c>
      <c r="E1663">
        <v>16620</v>
      </c>
      <c r="F1663">
        <v>14.6</v>
      </c>
      <c r="G1663">
        <v>1774</v>
      </c>
      <c r="H1663">
        <v>10.6</v>
      </c>
      <c r="I1663">
        <v>1572</v>
      </c>
      <c r="J1663">
        <v>33.299999999999997</v>
      </c>
      <c r="K1663">
        <v>1371</v>
      </c>
      <c r="L1663">
        <v>20.6</v>
      </c>
      <c r="M1663">
        <v>1507</v>
      </c>
      <c r="N1663">
        <v>44</v>
      </c>
      <c r="O1663">
        <v>991</v>
      </c>
      <c r="P1663" t="s">
        <v>895</v>
      </c>
      <c r="Q1663" s="1">
        <v>26110</v>
      </c>
      <c r="R1663">
        <v>20</v>
      </c>
      <c r="S1663" s="2">
        <v>0.16</v>
      </c>
      <c r="T1663" s="3">
        <v>2.7326388888888888</v>
      </c>
      <c r="U1663" s="2">
        <v>0.15</v>
      </c>
      <c r="V1663" t="s">
        <v>3561</v>
      </c>
      <c r="W1663" t="s">
        <v>3562</v>
      </c>
      <c r="X1663" t="b">
        <v>0</v>
      </c>
      <c r="Y1663" t="b">
        <v>0</v>
      </c>
    </row>
    <row r="1664" spans="1:25">
      <c r="A1664">
        <v>16630</v>
      </c>
      <c r="B1664" t="s">
        <v>3251</v>
      </c>
      <c r="C1664" t="s">
        <v>3563</v>
      </c>
      <c r="D1664" t="s">
        <v>3253</v>
      </c>
      <c r="E1664">
        <v>16630</v>
      </c>
      <c r="F1664">
        <v>15.9</v>
      </c>
      <c r="G1664">
        <v>1705</v>
      </c>
      <c r="H1664">
        <v>11.3</v>
      </c>
      <c r="I1664">
        <v>1488</v>
      </c>
      <c r="J1664">
        <v>22.2</v>
      </c>
      <c r="K1664">
        <v>1635</v>
      </c>
      <c r="L1664">
        <v>18</v>
      </c>
      <c r="M1664">
        <v>1669</v>
      </c>
      <c r="N1664">
        <v>46.7</v>
      </c>
      <c r="O1664">
        <v>905</v>
      </c>
      <c r="P1664" t="s">
        <v>2836</v>
      </c>
      <c r="Q1664" s="1">
        <v>23278</v>
      </c>
      <c r="R1664">
        <v>30.6</v>
      </c>
      <c r="S1664" s="2">
        <v>0.03</v>
      </c>
      <c r="T1664" s="3">
        <v>2.5687500000000001</v>
      </c>
      <c r="U1664" s="2">
        <v>0.41</v>
      </c>
      <c r="V1664" t="s">
        <v>3563</v>
      </c>
      <c r="W1664" t="s">
        <v>3564</v>
      </c>
      <c r="X1664" t="b">
        <v>0</v>
      </c>
      <c r="Y1664" t="b">
        <v>0</v>
      </c>
    </row>
    <row r="1665" spans="1:25">
      <c r="A1665">
        <v>16640</v>
      </c>
      <c r="B1665" t="s">
        <v>3251</v>
      </c>
      <c r="C1665" t="s">
        <v>3565</v>
      </c>
      <c r="D1665" t="s">
        <v>3253</v>
      </c>
      <c r="E1665">
        <v>16640</v>
      </c>
      <c r="F1665">
        <v>16.399999999999999</v>
      </c>
      <c r="G1665">
        <v>1670</v>
      </c>
      <c r="H1665">
        <v>9.6999999999999993</v>
      </c>
      <c r="I1665">
        <v>1688</v>
      </c>
      <c r="J1665">
        <v>7</v>
      </c>
      <c r="K1665">
        <v>1894</v>
      </c>
      <c r="L1665">
        <v>21.3</v>
      </c>
      <c r="M1665">
        <v>1467</v>
      </c>
      <c r="N1665">
        <v>25</v>
      </c>
      <c r="O1665">
        <v>1706</v>
      </c>
      <c r="P1665" t="s">
        <v>255</v>
      </c>
      <c r="Q1665" s="1">
        <v>3652</v>
      </c>
      <c r="R1665">
        <v>16.8</v>
      </c>
      <c r="S1665" s="2">
        <v>0.06</v>
      </c>
      <c r="T1665" s="3">
        <v>1.8722222222222222</v>
      </c>
      <c r="U1665" s="2">
        <v>0.47</v>
      </c>
      <c r="V1665" t="s">
        <v>3565</v>
      </c>
      <c r="W1665" t="s">
        <v>3566</v>
      </c>
      <c r="X1665" t="b">
        <v>0</v>
      </c>
      <c r="Y1665" t="b">
        <v>0</v>
      </c>
    </row>
    <row r="1666" spans="1:25">
      <c r="A1666">
        <v>16650</v>
      </c>
      <c r="B1666" t="s">
        <v>3251</v>
      </c>
      <c r="C1666" t="s">
        <v>3567</v>
      </c>
      <c r="D1666" t="s">
        <v>3253</v>
      </c>
      <c r="E1666">
        <v>16650</v>
      </c>
      <c r="F1666">
        <v>22.3</v>
      </c>
      <c r="G1666">
        <v>1204</v>
      </c>
      <c r="H1666">
        <v>11.2</v>
      </c>
      <c r="I1666">
        <v>1502</v>
      </c>
      <c r="J1666">
        <v>12.6</v>
      </c>
      <c r="K1666">
        <v>1809</v>
      </c>
      <c r="L1666">
        <v>38.5</v>
      </c>
      <c r="M1666">
        <v>1012</v>
      </c>
      <c r="N1666">
        <v>28.2</v>
      </c>
      <c r="O1666">
        <v>1572</v>
      </c>
      <c r="P1666" t="s">
        <v>94</v>
      </c>
      <c r="Q1666" s="1">
        <v>5316</v>
      </c>
      <c r="R1666">
        <v>13.6</v>
      </c>
      <c r="S1666" s="2">
        <v>0.03</v>
      </c>
      <c r="T1666" t="s">
        <v>40</v>
      </c>
      <c r="U1666" s="2">
        <v>0.27</v>
      </c>
      <c r="V1666" t="s">
        <v>3567</v>
      </c>
      <c r="W1666" t="s">
        <v>3568</v>
      </c>
      <c r="X1666" t="b">
        <v>0</v>
      </c>
      <c r="Y1666" t="b">
        <v>0</v>
      </c>
    </row>
    <row r="1667" spans="1:25">
      <c r="A1667">
        <v>16660</v>
      </c>
      <c r="B1667" t="s">
        <v>3251</v>
      </c>
      <c r="C1667" t="s">
        <v>3569</v>
      </c>
      <c r="D1667" t="s">
        <v>3253</v>
      </c>
      <c r="E1667">
        <v>16660</v>
      </c>
      <c r="F1667">
        <v>16.7</v>
      </c>
      <c r="G1667">
        <v>1652</v>
      </c>
      <c r="H1667">
        <v>11.2</v>
      </c>
      <c r="I1667">
        <v>1503</v>
      </c>
      <c r="J1667">
        <v>36.700000000000003</v>
      </c>
      <c r="K1667">
        <v>1286</v>
      </c>
      <c r="L1667">
        <v>26.2</v>
      </c>
      <c r="M1667">
        <v>1291</v>
      </c>
      <c r="N1667">
        <v>32.5</v>
      </c>
      <c r="O1667">
        <v>1403</v>
      </c>
      <c r="P1667" t="s">
        <v>895</v>
      </c>
      <c r="Q1667" s="1">
        <v>6750</v>
      </c>
      <c r="R1667">
        <v>14.7</v>
      </c>
      <c r="S1667" s="2">
        <v>0.02</v>
      </c>
      <c r="T1667" s="3">
        <v>2.2819444444444446</v>
      </c>
      <c r="U1667" s="2">
        <v>0.28999999999999998</v>
      </c>
      <c r="V1667" t="s">
        <v>3569</v>
      </c>
      <c r="W1667" t="s">
        <v>3570</v>
      </c>
      <c r="X1667" t="b">
        <v>0</v>
      </c>
      <c r="Y1667" t="b">
        <v>0</v>
      </c>
    </row>
    <row r="1668" spans="1:25">
      <c r="A1668">
        <v>16670</v>
      </c>
      <c r="B1668" t="s">
        <v>3251</v>
      </c>
      <c r="C1668" t="s">
        <v>3571</v>
      </c>
      <c r="D1668" t="s">
        <v>3253</v>
      </c>
      <c r="E1668">
        <v>16670</v>
      </c>
      <c r="F1668">
        <v>16.100000000000001</v>
      </c>
      <c r="G1668">
        <v>1694</v>
      </c>
      <c r="H1668">
        <v>13.6</v>
      </c>
      <c r="I1668">
        <v>1238</v>
      </c>
      <c r="J1668">
        <v>15.3</v>
      </c>
      <c r="K1668">
        <v>1761</v>
      </c>
      <c r="L1668">
        <v>18</v>
      </c>
      <c r="M1668">
        <v>1670</v>
      </c>
      <c r="N1668">
        <v>38.200000000000003</v>
      </c>
      <c r="O1668">
        <v>1184</v>
      </c>
      <c r="P1668" t="s">
        <v>984</v>
      </c>
      <c r="Q1668" s="1">
        <v>7887</v>
      </c>
      <c r="R1668">
        <v>17.7</v>
      </c>
      <c r="S1668" s="2">
        <v>0.03</v>
      </c>
      <c r="T1668" s="3">
        <v>2.7736111111111112</v>
      </c>
      <c r="U1668" s="2">
        <v>0.35</v>
      </c>
      <c r="V1668" t="s">
        <v>3571</v>
      </c>
      <c r="W1668" t="s">
        <v>3572</v>
      </c>
      <c r="X1668" t="b">
        <v>0</v>
      </c>
      <c r="Y1668" t="b">
        <v>0</v>
      </c>
    </row>
    <row r="1669" spans="1:25">
      <c r="A1669">
        <v>16680</v>
      </c>
      <c r="B1669" t="s">
        <v>3251</v>
      </c>
      <c r="C1669" t="s">
        <v>3573</v>
      </c>
      <c r="D1669" t="s">
        <v>3253</v>
      </c>
      <c r="E1669">
        <v>16680</v>
      </c>
      <c r="F1669">
        <v>21.3</v>
      </c>
      <c r="G1669">
        <v>1282</v>
      </c>
      <c r="H1669">
        <v>12.3</v>
      </c>
      <c r="I1669">
        <v>1379</v>
      </c>
      <c r="J1669">
        <v>11.9</v>
      </c>
      <c r="K1669">
        <v>1826</v>
      </c>
      <c r="L1669">
        <v>18.399999999999999</v>
      </c>
      <c r="M1669">
        <v>1636</v>
      </c>
      <c r="N1669">
        <v>27.9</v>
      </c>
      <c r="O1669">
        <v>1582</v>
      </c>
      <c r="P1669" t="s">
        <v>1543</v>
      </c>
      <c r="Q1669" s="1">
        <v>10010</v>
      </c>
      <c r="R1669">
        <v>11.2</v>
      </c>
      <c r="S1669" s="2">
        <v>0.03</v>
      </c>
      <c r="T1669" s="3">
        <v>3.0194444444444444</v>
      </c>
      <c r="U1669" s="2">
        <v>0.2</v>
      </c>
      <c r="V1669" t="s">
        <v>3573</v>
      </c>
      <c r="W1669" t="s">
        <v>3574</v>
      </c>
      <c r="X1669" t="b">
        <v>0</v>
      </c>
      <c r="Y1669" t="b">
        <v>0</v>
      </c>
    </row>
    <row r="1670" spans="1:25">
      <c r="A1670">
        <v>16690</v>
      </c>
      <c r="B1670" t="s">
        <v>3251</v>
      </c>
      <c r="C1670" t="s">
        <v>3575</v>
      </c>
      <c r="D1670" t="s">
        <v>3253</v>
      </c>
      <c r="E1670">
        <v>16690</v>
      </c>
      <c r="F1670">
        <v>14.3</v>
      </c>
      <c r="G1670">
        <v>1787</v>
      </c>
      <c r="H1670">
        <v>13.6</v>
      </c>
      <c r="I1670">
        <v>1239</v>
      </c>
      <c r="J1670">
        <v>13.6</v>
      </c>
      <c r="K1670">
        <v>1791</v>
      </c>
      <c r="L1670">
        <v>27.5</v>
      </c>
      <c r="M1670">
        <v>1251</v>
      </c>
      <c r="N1670">
        <v>60.8</v>
      </c>
      <c r="O1670">
        <v>568</v>
      </c>
      <c r="P1670" t="s">
        <v>125</v>
      </c>
      <c r="Q1670" s="1">
        <v>27655</v>
      </c>
      <c r="R1670">
        <v>39</v>
      </c>
      <c r="S1670" s="2">
        <v>0.18</v>
      </c>
      <c r="T1670" s="3">
        <v>2.7736111111111112</v>
      </c>
      <c r="U1670" s="2">
        <v>0.18</v>
      </c>
      <c r="V1670" t="s">
        <v>3575</v>
      </c>
      <c r="W1670" t="s">
        <v>3576</v>
      </c>
      <c r="X1670" t="b">
        <v>0</v>
      </c>
      <c r="Y1670" t="b">
        <v>0</v>
      </c>
    </row>
    <row r="1671" spans="1:25">
      <c r="A1671">
        <v>16700</v>
      </c>
      <c r="B1671" t="s">
        <v>3251</v>
      </c>
      <c r="C1671" t="s">
        <v>3577</v>
      </c>
      <c r="D1671" t="s">
        <v>3253</v>
      </c>
      <c r="E1671">
        <v>16700</v>
      </c>
      <c r="F1671">
        <v>11.1</v>
      </c>
      <c r="G1671">
        <v>1898</v>
      </c>
      <c r="H1671">
        <v>9.1</v>
      </c>
      <c r="I1671">
        <v>1780</v>
      </c>
      <c r="J1671">
        <v>23</v>
      </c>
      <c r="K1671">
        <v>1613</v>
      </c>
      <c r="L1671">
        <v>18.100000000000001</v>
      </c>
      <c r="M1671">
        <v>1662</v>
      </c>
      <c r="N1671">
        <v>21.3</v>
      </c>
      <c r="O1671">
        <v>1834</v>
      </c>
      <c r="P1671" t="s">
        <v>1955</v>
      </c>
      <c r="Q1671" s="1">
        <v>36654</v>
      </c>
      <c r="R1671">
        <v>30.2</v>
      </c>
      <c r="S1671" s="2">
        <v>0</v>
      </c>
      <c r="T1671" s="3">
        <v>2.7736111111111112</v>
      </c>
      <c r="U1671" s="2">
        <v>0.23</v>
      </c>
      <c r="V1671" t="s">
        <v>3577</v>
      </c>
      <c r="W1671" t="s">
        <v>3578</v>
      </c>
      <c r="X1671" t="b">
        <v>0</v>
      </c>
      <c r="Y1671" t="b">
        <v>0</v>
      </c>
    </row>
    <row r="1672" spans="1:25">
      <c r="A1672">
        <v>16710</v>
      </c>
      <c r="B1672" t="s">
        <v>3251</v>
      </c>
      <c r="C1672" t="s">
        <v>3579</v>
      </c>
      <c r="D1672" t="s">
        <v>3253</v>
      </c>
      <c r="E1672">
        <v>16710</v>
      </c>
      <c r="F1672">
        <v>16.7</v>
      </c>
      <c r="G1672">
        <v>1653</v>
      </c>
      <c r="H1672">
        <v>9.1999999999999993</v>
      </c>
      <c r="I1672">
        <v>1761</v>
      </c>
      <c r="J1672">
        <v>27.6</v>
      </c>
      <c r="K1672">
        <v>1504</v>
      </c>
      <c r="L1672">
        <v>33.6</v>
      </c>
      <c r="M1672">
        <v>1121</v>
      </c>
      <c r="N1672">
        <v>22</v>
      </c>
      <c r="O1672">
        <v>1811</v>
      </c>
      <c r="P1672" t="s">
        <v>54</v>
      </c>
      <c r="Q1672" s="1">
        <v>20774</v>
      </c>
      <c r="R1672">
        <v>15.1</v>
      </c>
      <c r="S1672" s="2">
        <v>0.01</v>
      </c>
      <c r="T1672" s="3">
        <v>2.3638888888888889</v>
      </c>
      <c r="U1672" s="2">
        <v>0.35</v>
      </c>
      <c r="V1672" t="s">
        <v>3579</v>
      </c>
      <c r="W1672" t="s">
        <v>3580</v>
      </c>
      <c r="X1672" t="b">
        <v>0</v>
      </c>
      <c r="Y1672" t="b">
        <v>0</v>
      </c>
    </row>
    <row r="1673" spans="1:25">
      <c r="A1673">
        <v>16720</v>
      </c>
      <c r="B1673" t="s">
        <v>3251</v>
      </c>
      <c r="C1673" t="s">
        <v>3581</v>
      </c>
      <c r="D1673" t="s">
        <v>3253</v>
      </c>
      <c r="E1673">
        <v>16720</v>
      </c>
      <c r="F1673">
        <v>12.8</v>
      </c>
      <c r="G1673">
        <v>1855</v>
      </c>
      <c r="H1673">
        <v>8.8000000000000007</v>
      </c>
      <c r="I1673">
        <v>1823</v>
      </c>
      <c r="J1673">
        <v>12.7</v>
      </c>
      <c r="K1673">
        <v>1806</v>
      </c>
      <c r="L1673">
        <v>16</v>
      </c>
      <c r="M1673">
        <v>1862</v>
      </c>
      <c r="N1673">
        <v>37.5</v>
      </c>
      <c r="O1673">
        <v>1221</v>
      </c>
      <c r="P1673" t="s">
        <v>2290</v>
      </c>
      <c r="Q1673" s="1">
        <v>23690</v>
      </c>
      <c r="R1673">
        <v>22.4</v>
      </c>
      <c r="S1673" s="2">
        <v>0</v>
      </c>
      <c r="T1673" s="3">
        <v>3.0194444444444444</v>
      </c>
      <c r="U1673" s="2">
        <v>0.45</v>
      </c>
      <c r="V1673" t="s">
        <v>3581</v>
      </c>
      <c r="W1673" t="s">
        <v>3582</v>
      </c>
      <c r="X1673" t="b">
        <v>0</v>
      </c>
      <c r="Y1673" t="b">
        <v>0</v>
      </c>
    </row>
    <row r="1674" spans="1:25">
      <c r="A1674">
        <v>16730</v>
      </c>
      <c r="B1674" t="s">
        <v>3251</v>
      </c>
      <c r="C1674" t="s">
        <v>3583</v>
      </c>
      <c r="D1674" t="s">
        <v>3253</v>
      </c>
      <c r="E1674">
        <v>16730</v>
      </c>
      <c r="F1674">
        <v>17.600000000000001</v>
      </c>
      <c r="G1674">
        <v>1585</v>
      </c>
      <c r="H1674">
        <v>8.3000000000000007</v>
      </c>
      <c r="I1674">
        <v>1865</v>
      </c>
      <c r="J1674">
        <v>11.4</v>
      </c>
      <c r="K1674">
        <v>1835</v>
      </c>
      <c r="L1674">
        <v>24.4</v>
      </c>
      <c r="M1674">
        <v>1356</v>
      </c>
      <c r="N1674">
        <v>38.700000000000003</v>
      </c>
      <c r="O1674">
        <v>1163</v>
      </c>
      <c r="P1674" t="s">
        <v>94</v>
      </c>
      <c r="Q1674" s="1">
        <v>17730</v>
      </c>
      <c r="R1674">
        <v>14.5</v>
      </c>
      <c r="S1674" s="2">
        <v>0.04</v>
      </c>
      <c r="T1674" t="s">
        <v>105</v>
      </c>
      <c r="U1674" s="2">
        <v>0.41</v>
      </c>
      <c r="V1674" t="s">
        <v>3583</v>
      </c>
      <c r="W1674" t="s">
        <v>3584</v>
      </c>
      <c r="X1674" t="b">
        <v>0</v>
      </c>
      <c r="Y1674" t="b">
        <v>0</v>
      </c>
    </row>
    <row r="1675" spans="1:25">
      <c r="A1675">
        <v>16740</v>
      </c>
      <c r="B1675" t="s">
        <v>3251</v>
      </c>
      <c r="C1675" t="s">
        <v>3585</v>
      </c>
      <c r="D1675" t="s">
        <v>3253</v>
      </c>
      <c r="E1675">
        <v>16740</v>
      </c>
      <c r="F1675">
        <v>26.6</v>
      </c>
      <c r="G1675">
        <v>903</v>
      </c>
      <c r="H1675">
        <v>10.199999999999999</v>
      </c>
      <c r="I1675">
        <v>1625</v>
      </c>
      <c r="J1675">
        <v>17.3</v>
      </c>
      <c r="K1675">
        <v>1723</v>
      </c>
      <c r="L1675">
        <v>29.7</v>
      </c>
      <c r="M1675">
        <v>1191</v>
      </c>
      <c r="N1675">
        <v>21.2</v>
      </c>
      <c r="O1675">
        <v>1838</v>
      </c>
      <c r="P1675" t="s">
        <v>94</v>
      </c>
      <c r="Q1675" s="1">
        <v>1063</v>
      </c>
      <c r="R1675">
        <v>2.1</v>
      </c>
      <c r="S1675" s="2">
        <v>0.01</v>
      </c>
      <c r="T1675" s="3">
        <v>2.3229166666666665</v>
      </c>
      <c r="U1675" s="2">
        <v>0.04</v>
      </c>
      <c r="V1675" t="s">
        <v>3585</v>
      </c>
      <c r="W1675" t="s">
        <v>1769</v>
      </c>
      <c r="X1675" t="b">
        <v>0</v>
      </c>
      <c r="Y1675" t="b">
        <v>0</v>
      </c>
    </row>
    <row r="1676" spans="1:25">
      <c r="A1676">
        <v>16750</v>
      </c>
      <c r="B1676" t="s">
        <v>3251</v>
      </c>
      <c r="C1676" t="s">
        <v>3586</v>
      </c>
      <c r="D1676" t="s">
        <v>3253</v>
      </c>
      <c r="E1676">
        <v>16750</v>
      </c>
      <c r="F1676">
        <v>20.2</v>
      </c>
      <c r="G1676">
        <v>1359</v>
      </c>
      <c r="H1676">
        <v>8.3000000000000007</v>
      </c>
      <c r="I1676">
        <v>1866</v>
      </c>
      <c r="J1676">
        <v>7.3</v>
      </c>
      <c r="K1676">
        <v>1891</v>
      </c>
      <c r="L1676">
        <v>25.5</v>
      </c>
      <c r="M1676">
        <v>1318</v>
      </c>
      <c r="N1676">
        <v>33.4</v>
      </c>
      <c r="O1676">
        <v>1378</v>
      </c>
      <c r="P1676" t="s">
        <v>94</v>
      </c>
      <c r="Q1676" s="1">
        <v>30026</v>
      </c>
      <c r="R1676">
        <v>12.3</v>
      </c>
      <c r="S1676" s="2">
        <v>0.04</v>
      </c>
      <c r="T1676" s="3">
        <v>1.7493055555555554</v>
      </c>
      <c r="U1676" s="2">
        <v>0.34</v>
      </c>
      <c r="V1676" t="s">
        <v>3586</v>
      </c>
      <c r="W1676" t="s">
        <v>3587</v>
      </c>
      <c r="X1676" t="b">
        <v>0</v>
      </c>
      <c r="Y1676" t="b">
        <v>0</v>
      </c>
    </row>
    <row r="1677" spans="1:25">
      <c r="A1677">
        <v>16760</v>
      </c>
      <c r="B1677" t="s">
        <v>3251</v>
      </c>
      <c r="C1677" t="s">
        <v>3588</v>
      </c>
      <c r="D1677" t="s">
        <v>3253</v>
      </c>
      <c r="E1677">
        <v>16760</v>
      </c>
      <c r="F1677">
        <v>14.1</v>
      </c>
      <c r="G1677">
        <v>1798</v>
      </c>
      <c r="H1677">
        <v>10.6</v>
      </c>
      <c r="I1677">
        <v>1575</v>
      </c>
      <c r="J1677">
        <v>19.5</v>
      </c>
      <c r="K1677">
        <v>1691</v>
      </c>
      <c r="L1677">
        <v>24.5</v>
      </c>
      <c r="M1677">
        <v>1353</v>
      </c>
      <c r="N1677">
        <v>44.4</v>
      </c>
      <c r="O1677">
        <v>978</v>
      </c>
      <c r="P1677" t="s">
        <v>1102</v>
      </c>
      <c r="Q1677" s="1">
        <v>47337</v>
      </c>
      <c r="R1677">
        <v>39.299999999999997</v>
      </c>
      <c r="S1677" s="2">
        <v>0</v>
      </c>
      <c r="T1677" s="3">
        <v>2.5277777777777777</v>
      </c>
      <c r="U1677" s="2">
        <v>0.22</v>
      </c>
      <c r="V1677" t="s">
        <v>3588</v>
      </c>
      <c r="W1677" t="s">
        <v>3589</v>
      </c>
      <c r="X1677" t="b">
        <v>0</v>
      </c>
      <c r="Y1677" t="b">
        <v>0</v>
      </c>
    </row>
    <row r="1678" spans="1:25">
      <c r="A1678">
        <v>16770</v>
      </c>
      <c r="B1678" t="s">
        <v>3251</v>
      </c>
      <c r="C1678" t="s">
        <v>3590</v>
      </c>
      <c r="D1678" t="s">
        <v>3253</v>
      </c>
      <c r="E1678">
        <v>16770</v>
      </c>
      <c r="F1678">
        <v>19.3</v>
      </c>
      <c r="G1678">
        <v>1442</v>
      </c>
      <c r="H1678">
        <v>10.1</v>
      </c>
      <c r="I1678">
        <v>1633</v>
      </c>
      <c r="J1678">
        <v>27.8</v>
      </c>
      <c r="K1678">
        <v>1500</v>
      </c>
      <c r="L1678">
        <v>22.4</v>
      </c>
      <c r="M1678">
        <v>1423</v>
      </c>
      <c r="N1678">
        <v>22.7</v>
      </c>
      <c r="O1678">
        <v>1783</v>
      </c>
      <c r="P1678" t="s">
        <v>895</v>
      </c>
      <c r="Q1678" s="1">
        <v>30690</v>
      </c>
      <c r="R1678">
        <v>14</v>
      </c>
      <c r="S1678" s="2">
        <v>0.05</v>
      </c>
      <c r="T1678" s="3">
        <v>1.8722222222222222</v>
      </c>
      <c r="U1678" s="2">
        <v>0.3</v>
      </c>
      <c r="V1678" t="s">
        <v>3590</v>
      </c>
      <c r="W1678" t="s">
        <v>3591</v>
      </c>
      <c r="X1678" t="b">
        <v>0</v>
      </c>
      <c r="Y1678" t="b">
        <v>0</v>
      </c>
    </row>
    <row r="1679" spans="1:25">
      <c r="A1679">
        <v>16780</v>
      </c>
      <c r="B1679" t="s">
        <v>3251</v>
      </c>
      <c r="C1679" t="s">
        <v>3592</v>
      </c>
      <c r="D1679" t="s">
        <v>3253</v>
      </c>
      <c r="E1679">
        <v>16780</v>
      </c>
      <c r="F1679">
        <v>20</v>
      </c>
      <c r="G1679">
        <v>1374</v>
      </c>
      <c r="H1679">
        <v>8.6</v>
      </c>
      <c r="I1679">
        <v>1845</v>
      </c>
      <c r="J1679">
        <v>16</v>
      </c>
      <c r="K1679">
        <v>1745</v>
      </c>
      <c r="L1679">
        <v>17.3</v>
      </c>
      <c r="M1679">
        <v>1725</v>
      </c>
      <c r="N1679">
        <v>29.4</v>
      </c>
      <c r="O1679">
        <v>1524</v>
      </c>
      <c r="P1679" t="s">
        <v>2290</v>
      </c>
      <c r="Q1679" s="1">
        <v>33148</v>
      </c>
      <c r="R1679">
        <v>26.4</v>
      </c>
      <c r="S1679" s="2">
        <v>0</v>
      </c>
      <c r="T1679" s="3">
        <v>2.4048611111111109</v>
      </c>
      <c r="U1679" s="2">
        <v>0.43</v>
      </c>
      <c r="V1679" t="s">
        <v>3592</v>
      </c>
      <c r="W1679" t="s">
        <v>3593</v>
      </c>
      <c r="X1679" t="b">
        <v>0</v>
      </c>
      <c r="Y1679" t="b">
        <v>0</v>
      </c>
    </row>
    <row r="1680" spans="1:25">
      <c r="A1680">
        <v>16790</v>
      </c>
      <c r="B1680" t="s">
        <v>3251</v>
      </c>
      <c r="C1680" t="s">
        <v>3594</v>
      </c>
      <c r="D1680" t="s">
        <v>3253</v>
      </c>
      <c r="E1680">
        <v>16790</v>
      </c>
      <c r="F1680">
        <v>18.100000000000001</v>
      </c>
      <c r="G1680">
        <v>1544</v>
      </c>
      <c r="H1680">
        <v>12.6</v>
      </c>
      <c r="I1680">
        <v>1348</v>
      </c>
      <c r="J1680">
        <v>23.5</v>
      </c>
      <c r="K1680">
        <v>1597</v>
      </c>
      <c r="L1680">
        <v>25.7</v>
      </c>
      <c r="M1680">
        <v>1309</v>
      </c>
      <c r="N1680">
        <v>33.799999999999997</v>
      </c>
      <c r="O1680">
        <v>1364</v>
      </c>
      <c r="P1680" t="s">
        <v>1448</v>
      </c>
      <c r="Q1680" s="1">
        <v>70633</v>
      </c>
      <c r="R1680">
        <v>18.7</v>
      </c>
      <c r="S1680" s="2">
        <v>0.01</v>
      </c>
      <c r="T1680" s="3">
        <v>2.6097222222222221</v>
      </c>
      <c r="U1680" s="2">
        <v>0.28999999999999998</v>
      </c>
      <c r="V1680" t="s">
        <v>3594</v>
      </c>
      <c r="W1680" t="s">
        <v>3595</v>
      </c>
      <c r="X1680" t="b">
        <v>0</v>
      </c>
      <c r="Y1680" t="b">
        <v>0</v>
      </c>
    </row>
    <row r="1681" spans="1:25">
      <c r="A1681">
        <v>16800</v>
      </c>
      <c r="B1681" t="s">
        <v>3251</v>
      </c>
      <c r="C1681" t="s">
        <v>3596</v>
      </c>
      <c r="D1681" t="s">
        <v>3253</v>
      </c>
      <c r="E1681">
        <v>16800</v>
      </c>
      <c r="F1681">
        <v>11.6</v>
      </c>
      <c r="G1681">
        <v>1886</v>
      </c>
      <c r="H1681">
        <v>11.6</v>
      </c>
      <c r="I1681">
        <v>1455</v>
      </c>
      <c r="J1681">
        <v>35.799999999999997</v>
      </c>
      <c r="K1681">
        <v>1308</v>
      </c>
      <c r="L1681">
        <v>15.9</v>
      </c>
      <c r="M1681">
        <v>1878</v>
      </c>
      <c r="N1681">
        <v>35.5</v>
      </c>
      <c r="O1681">
        <v>1300</v>
      </c>
      <c r="P1681" t="s">
        <v>895</v>
      </c>
      <c r="Q1681" s="1">
        <v>18233</v>
      </c>
      <c r="R1681">
        <v>36.799999999999997</v>
      </c>
      <c r="S1681" s="2">
        <v>0.12</v>
      </c>
      <c r="T1681" s="3">
        <v>1.83125</v>
      </c>
      <c r="U1681" s="2">
        <v>0.27</v>
      </c>
      <c r="V1681" t="s">
        <v>3596</v>
      </c>
      <c r="W1681" t="s">
        <v>3597</v>
      </c>
      <c r="X1681" t="b">
        <v>0</v>
      </c>
      <c r="Y1681" t="b">
        <v>0</v>
      </c>
    </row>
    <row r="1682" spans="1:25">
      <c r="A1682">
        <v>16810</v>
      </c>
      <c r="B1682" t="s">
        <v>3251</v>
      </c>
      <c r="C1682" t="s">
        <v>3598</v>
      </c>
      <c r="D1682" t="s">
        <v>3253</v>
      </c>
      <c r="E1682">
        <v>16810</v>
      </c>
      <c r="F1682">
        <v>18.8</v>
      </c>
      <c r="G1682">
        <v>1479</v>
      </c>
      <c r="H1682">
        <v>10.8</v>
      </c>
      <c r="I1682">
        <v>1551</v>
      </c>
      <c r="J1682">
        <v>24.9</v>
      </c>
      <c r="K1682">
        <v>1566</v>
      </c>
      <c r="L1682">
        <v>42.6</v>
      </c>
      <c r="M1682">
        <v>930</v>
      </c>
      <c r="N1682">
        <v>31.7</v>
      </c>
      <c r="O1682">
        <v>1440</v>
      </c>
      <c r="P1682" t="s">
        <v>255</v>
      </c>
      <c r="Q1682" s="1">
        <v>7516</v>
      </c>
      <c r="R1682">
        <v>16.7</v>
      </c>
      <c r="S1682" s="2">
        <v>0.12</v>
      </c>
      <c r="T1682" t="s">
        <v>796</v>
      </c>
      <c r="U1682" s="2">
        <v>0.43</v>
      </c>
      <c r="V1682" t="s">
        <v>3598</v>
      </c>
      <c r="W1682" t="s">
        <v>3599</v>
      </c>
      <c r="X1682" t="b">
        <v>0</v>
      </c>
      <c r="Y1682" t="b">
        <v>0</v>
      </c>
    </row>
    <row r="1683" spans="1:25">
      <c r="A1683">
        <v>16820</v>
      </c>
      <c r="B1683" t="s">
        <v>3251</v>
      </c>
      <c r="C1683" t="s">
        <v>3600</v>
      </c>
      <c r="D1683" t="s">
        <v>3253</v>
      </c>
      <c r="E1683">
        <v>16820</v>
      </c>
      <c r="F1683">
        <v>21.9</v>
      </c>
      <c r="G1683">
        <v>1238</v>
      </c>
      <c r="H1683">
        <v>8.8000000000000007</v>
      </c>
      <c r="I1683">
        <v>1824</v>
      </c>
      <c r="J1683">
        <v>12.4</v>
      </c>
      <c r="K1683">
        <v>1815</v>
      </c>
      <c r="L1683">
        <v>36.1</v>
      </c>
      <c r="M1683">
        <v>1071</v>
      </c>
      <c r="N1683">
        <v>35.4</v>
      </c>
      <c r="O1683">
        <v>1304</v>
      </c>
      <c r="P1683" t="s">
        <v>255</v>
      </c>
      <c r="Q1683" s="1">
        <v>13088</v>
      </c>
      <c r="R1683">
        <v>11.6</v>
      </c>
      <c r="S1683" s="2">
        <v>0.16</v>
      </c>
      <c r="T1683" t="s">
        <v>658</v>
      </c>
      <c r="U1683" s="2">
        <v>0.37</v>
      </c>
      <c r="V1683" t="s">
        <v>3600</v>
      </c>
      <c r="W1683" t="s">
        <v>3601</v>
      </c>
      <c r="X1683" t="b">
        <v>0</v>
      </c>
      <c r="Y1683" t="b">
        <v>0</v>
      </c>
    </row>
    <row r="1684" spans="1:25">
      <c r="A1684">
        <v>16830</v>
      </c>
      <c r="B1684" t="s">
        <v>3251</v>
      </c>
      <c r="C1684" t="s">
        <v>3602</v>
      </c>
      <c r="D1684" t="s">
        <v>3253</v>
      </c>
      <c r="E1684">
        <v>16830</v>
      </c>
      <c r="F1684">
        <v>40.5</v>
      </c>
      <c r="G1684">
        <v>293</v>
      </c>
      <c r="H1684">
        <v>10.3</v>
      </c>
      <c r="I1684">
        <v>1612</v>
      </c>
      <c r="J1684">
        <v>7.3</v>
      </c>
      <c r="K1684">
        <v>1892</v>
      </c>
      <c r="L1684">
        <v>17.100000000000001</v>
      </c>
      <c r="M1684">
        <v>1746</v>
      </c>
      <c r="N1684">
        <v>45.2</v>
      </c>
      <c r="O1684">
        <v>957</v>
      </c>
      <c r="P1684" t="s">
        <v>255</v>
      </c>
      <c r="Q1684" s="1">
        <v>5891</v>
      </c>
      <c r="R1684">
        <v>10.7</v>
      </c>
      <c r="S1684" s="2">
        <v>0.31</v>
      </c>
      <c r="T1684" s="3">
        <v>2.6506944444444445</v>
      </c>
      <c r="U1684" s="2">
        <v>0.06</v>
      </c>
      <c r="V1684" t="s">
        <v>3602</v>
      </c>
      <c r="W1684" t="s">
        <v>253</v>
      </c>
      <c r="X1684" t="b">
        <v>0</v>
      </c>
      <c r="Y1684" t="b">
        <v>0</v>
      </c>
    </row>
    <row r="1685" spans="1:25">
      <c r="A1685">
        <v>16840</v>
      </c>
      <c r="B1685" t="s">
        <v>3251</v>
      </c>
      <c r="C1685" t="s">
        <v>3603</v>
      </c>
      <c r="D1685" t="s">
        <v>3253</v>
      </c>
      <c r="E1685">
        <v>16840</v>
      </c>
      <c r="F1685">
        <v>16.8</v>
      </c>
      <c r="G1685">
        <v>1643</v>
      </c>
      <c r="H1685">
        <v>8.1</v>
      </c>
      <c r="I1685">
        <v>1873</v>
      </c>
      <c r="J1685">
        <v>12</v>
      </c>
      <c r="K1685">
        <v>1823</v>
      </c>
      <c r="L1685">
        <v>17.2</v>
      </c>
      <c r="M1685">
        <v>1738</v>
      </c>
      <c r="N1685">
        <v>36.200000000000003</v>
      </c>
      <c r="O1685">
        <v>1270</v>
      </c>
      <c r="P1685" t="s">
        <v>2275</v>
      </c>
      <c r="Q1685" s="1">
        <v>17699</v>
      </c>
      <c r="R1685">
        <v>15.6</v>
      </c>
      <c r="S1685" s="2">
        <v>0.03</v>
      </c>
      <c r="T1685" s="3">
        <v>2.7736111111111112</v>
      </c>
      <c r="U1685" s="2">
        <v>0.17</v>
      </c>
      <c r="V1685" t="s">
        <v>3603</v>
      </c>
      <c r="W1685" t="s">
        <v>3604</v>
      </c>
      <c r="X1685" t="b">
        <v>0</v>
      </c>
      <c r="Y1685" t="b">
        <v>0</v>
      </c>
    </row>
    <row r="1686" spans="1:25">
      <c r="A1686">
        <v>16850</v>
      </c>
      <c r="B1686" t="s">
        <v>3251</v>
      </c>
      <c r="C1686" t="s">
        <v>3605</v>
      </c>
      <c r="D1686" t="s">
        <v>3253</v>
      </c>
      <c r="E1686">
        <v>16850</v>
      </c>
      <c r="F1686">
        <v>14.9</v>
      </c>
      <c r="G1686">
        <v>1761</v>
      </c>
      <c r="H1686">
        <v>10.1</v>
      </c>
      <c r="I1686">
        <v>1634</v>
      </c>
      <c r="J1686">
        <v>8.6</v>
      </c>
      <c r="K1686">
        <v>1875</v>
      </c>
      <c r="L1686">
        <v>18.2</v>
      </c>
      <c r="M1686">
        <v>1654</v>
      </c>
      <c r="N1686">
        <v>24.3</v>
      </c>
      <c r="O1686">
        <v>1732</v>
      </c>
      <c r="P1686" t="s">
        <v>255</v>
      </c>
      <c r="Q1686" s="1">
        <v>14842</v>
      </c>
      <c r="R1686">
        <v>18.5</v>
      </c>
      <c r="S1686" s="2">
        <v>7.0000000000000007E-2</v>
      </c>
      <c r="T1686" s="3">
        <v>2.6506944444444445</v>
      </c>
      <c r="U1686" s="2">
        <v>0.25</v>
      </c>
      <c r="V1686" t="s">
        <v>3605</v>
      </c>
      <c r="W1686" t="s">
        <v>3606</v>
      </c>
      <c r="X1686" t="b">
        <v>0</v>
      </c>
      <c r="Y1686" t="b">
        <v>0</v>
      </c>
    </row>
    <row r="1687" spans="1:25">
      <c r="A1687">
        <v>16860</v>
      </c>
      <c r="B1687" t="s">
        <v>3251</v>
      </c>
      <c r="C1687" t="s">
        <v>3607</v>
      </c>
      <c r="D1687" t="s">
        <v>3253</v>
      </c>
      <c r="E1687">
        <v>16860</v>
      </c>
      <c r="F1687">
        <v>18.3</v>
      </c>
      <c r="G1687">
        <v>1529</v>
      </c>
      <c r="H1687">
        <v>7.7</v>
      </c>
      <c r="I1687">
        <v>1893</v>
      </c>
      <c r="J1687">
        <v>10.7</v>
      </c>
      <c r="K1687">
        <v>1846</v>
      </c>
      <c r="L1687">
        <v>15.8</v>
      </c>
      <c r="M1687">
        <v>1886</v>
      </c>
      <c r="N1687">
        <v>22.6</v>
      </c>
      <c r="O1687">
        <v>1786</v>
      </c>
      <c r="P1687" t="s">
        <v>2157</v>
      </c>
      <c r="Q1687" s="1">
        <v>21735</v>
      </c>
      <c r="R1687">
        <v>15.8</v>
      </c>
      <c r="S1687" s="2">
        <v>0</v>
      </c>
      <c r="T1687" s="3">
        <v>2.2819444444444446</v>
      </c>
      <c r="U1687" s="2">
        <v>0.33</v>
      </c>
      <c r="V1687" t="s">
        <v>3607</v>
      </c>
      <c r="W1687" t="s">
        <v>3608</v>
      </c>
      <c r="X1687" t="b">
        <v>0</v>
      </c>
      <c r="Y1687" t="b">
        <v>0</v>
      </c>
    </row>
    <row r="1688" spans="1:25">
      <c r="A1688">
        <v>16870</v>
      </c>
      <c r="B1688" t="s">
        <v>3251</v>
      </c>
      <c r="C1688" t="s">
        <v>3609</v>
      </c>
      <c r="D1688" t="s">
        <v>3253</v>
      </c>
      <c r="E1688">
        <v>16870</v>
      </c>
      <c r="F1688">
        <v>16.5</v>
      </c>
      <c r="G1688">
        <v>1661</v>
      </c>
      <c r="H1688">
        <v>22.9</v>
      </c>
      <c r="I1688">
        <v>690</v>
      </c>
      <c r="J1688">
        <v>19.2</v>
      </c>
      <c r="K1688">
        <v>1699</v>
      </c>
      <c r="L1688">
        <v>55</v>
      </c>
      <c r="M1688">
        <v>724</v>
      </c>
      <c r="N1688">
        <v>30.7</v>
      </c>
      <c r="O1688">
        <v>1473</v>
      </c>
      <c r="P1688" t="s">
        <v>1448</v>
      </c>
      <c r="Q1688" s="1">
        <v>25482</v>
      </c>
      <c r="R1688">
        <v>23</v>
      </c>
      <c r="S1688" s="2">
        <v>0.01</v>
      </c>
      <c r="T1688" s="3">
        <v>2.2000000000000002</v>
      </c>
      <c r="U1688" s="2">
        <v>0.41</v>
      </c>
      <c r="V1688" t="s">
        <v>3609</v>
      </c>
      <c r="W1688" t="s">
        <v>3610</v>
      </c>
      <c r="X1688" t="b">
        <v>0</v>
      </c>
      <c r="Y1688" t="b">
        <v>0</v>
      </c>
    </row>
    <row r="1689" spans="1:25">
      <c r="A1689">
        <v>16880</v>
      </c>
      <c r="B1689" t="s">
        <v>3251</v>
      </c>
      <c r="C1689" t="s">
        <v>3611</v>
      </c>
      <c r="D1689" t="s">
        <v>3253</v>
      </c>
      <c r="E1689">
        <v>16880</v>
      </c>
      <c r="F1689">
        <v>14.3</v>
      </c>
      <c r="G1689">
        <v>1788</v>
      </c>
      <c r="H1689">
        <v>18.8</v>
      </c>
      <c r="I1689">
        <v>879</v>
      </c>
      <c r="J1689">
        <v>17.2</v>
      </c>
      <c r="K1689">
        <v>1727</v>
      </c>
      <c r="L1689">
        <v>20.3</v>
      </c>
      <c r="M1689">
        <v>1519</v>
      </c>
      <c r="N1689">
        <v>18.8</v>
      </c>
      <c r="O1689">
        <v>1889</v>
      </c>
      <c r="P1689" t="s">
        <v>895</v>
      </c>
      <c r="Q1689" s="1">
        <v>27869</v>
      </c>
      <c r="R1689">
        <v>47.7</v>
      </c>
      <c r="S1689" s="2">
        <v>0.01</v>
      </c>
      <c r="T1689" s="3">
        <v>2.0770833333333334</v>
      </c>
      <c r="U1689" s="2">
        <v>0.22</v>
      </c>
      <c r="V1689" t="s">
        <v>3611</v>
      </c>
      <c r="W1689" t="s">
        <v>3612</v>
      </c>
      <c r="X1689" t="b">
        <v>0</v>
      </c>
      <c r="Y1689" t="b">
        <v>0</v>
      </c>
    </row>
    <row r="1690" spans="1:25">
      <c r="A1690">
        <v>16890</v>
      </c>
      <c r="B1690" t="s">
        <v>3251</v>
      </c>
      <c r="C1690" t="s">
        <v>3613</v>
      </c>
      <c r="D1690" t="s">
        <v>3253</v>
      </c>
      <c r="E1690">
        <v>16890</v>
      </c>
      <c r="F1690">
        <v>11.8</v>
      </c>
      <c r="G1690">
        <v>1882</v>
      </c>
      <c r="H1690">
        <v>9.8000000000000007</v>
      </c>
      <c r="I1690">
        <v>1673</v>
      </c>
      <c r="J1690">
        <v>18.399999999999999</v>
      </c>
      <c r="K1690">
        <v>1710</v>
      </c>
      <c r="L1690">
        <v>16.5</v>
      </c>
      <c r="M1690">
        <v>1810</v>
      </c>
      <c r="N1690">
        <v>37.299999999999997</v>
      </c>
      <c r="O1690">
        <v>1228</v>
      </c>
      <c r="P1690" t="s">
        <v>895</v>
      </c>
      <c r="Q1690" s="1">
        <v>12506</v>
      </c>
      <c r="R1690">
        <v>24.6</v>
      </c>
      <c r="S1690" s="2">
        <v>0.17</v>
      </c>
      <c r="T1690" s="3">
        <v>2.1180555555555554</v>
      </c>
      <c r="U1690" s="2">
        <v>0.25</v>
      </c>
      <c r="V1690" t="s">
        <v>3613</v>
      </c>
      <c r="W1690" t="s">
        <v>3614</v>
      </c>
      <c r="X1690" t="b">
        <v>0</v>
      </c>
      <c r="Y1690" t="b">
        <v>0</v>
      </c>
    </row>
    <row r="1691" spans="1:25">
      <c r="A1691">
        <v>16900</v>
      </c>
      <c r="B1691" t="s">
        <v>3251</v>
      </c>
      <c r="C1691" t="s">
        <v>3615</v>
      </c>
      <c r="D1691" t="s">
        <v>3253</v>
      </c>
      <c r="E1691">
        <v>16900</v>
      </c>
      <c r="F1691">
        <v>14.3</v>
      </c>
      <c r="G1691">
        <v>1789</v>
      </c>
      <c r="H1691">
        <v>9.6999999999999993</v>
      </c>
      <c r="I1691">
        <v>1690</v>
      </c>
      <c r="J1691">
        <v>22.1</v>
      </c>
      <c r="K1691">
        <v>1638</v>
      </c>
      <c r="L1691">
        <v>23.7</v>
      </c>
      <c r="M1691">
        <v>1378</v>
      </c>
      <c r="N1691">
        <v>25.8</v>
      </c>
      <c r="O1691">
        <v>1671</v>
      </c>
      <c r="P1691" t="s">
        <v>895</v>
      </c>
      <c r="Q1691" s="1">
        <v>66547</v>
      </c>
      <c r="R1691">
        <v>47.2</v>
      </c>
      <c r="S1691" s="2">
        <v>0.02</v>
      </c>
      <c r="T1691" s="3">
        <v>1.7493055555555554</v>
      </c>
      <c r="U1691" s="2">
        <v>0.26</v>
      </c>
      <c r="V1691" t="s">
        <v>3615</v>
      </c>
      <c r="W1691" t="s">
        <v>3616</v>
      </c>
      <c r="X1691" t="b">
        <v>0</v>
      </c>
      <c r="Y1691" t="b">
        <v>0</v>
      </c>
    </row>
    <row r="1692" spans="1:25">
      <c r="A1692">
        <v>16910</v>
      </c>
      <c r="B1692" t="s">
        <v>3251</v>
      </c>
      <c r="C1692" t="s">
        <v>3617</v>
      </c>
      <c r="D1692" t="s">
        <v>3253</v>
      </c>
      <c r="E1692">
        <v>16910</v>
      </c>
      <c r="F1692">
        <v>24.7</v>
      </c>
      <c r="G1692">
        <v>1029</v>
      </c>
      <c r="H1692">
        <v>12.3</v>
      </c>
      <c r="I1692">
        <v>1380</v>
      </c>
      <c r="J1692">
        <v>21.8</v>
      </c>
      <c r="K1692">
        <v>1641</v>
      </c>
      <c r="L1692">
        <v>41.5</v>
      </c>
      <c r="M1692">
        <v>948</v>
      </c>
      <c r="N1692">
        <v>26.8</v>
      </c>
      <c r="O1692">
        <v>1625</v>
      </c>
      <c r="P1692" t="s">
        <v>94</v>
      </c>
      <c r="Q1692" s="1">
        <v>5459</v>
      </c>
      <c r="R1692">
        <v>8.3000000000000007</v>
      </c>
      <c r="S1692" s="2">
        <v>0.01</v>
      </c>
      <c r="T1692" s="3">
        <v>1.8722222222222222</v>
      </c>
      <c r="U1692" s="2">
        <v>0.24</v>
      </c>
      <c r="V1692" t="s">
        <v>3617</v>
      </c>
      <c r="W1692" t="s">
        <v>3618</v>
      </c>
      <c r="X1692" t="b">
        <v>0</v>
      </c>
      <c r="Y1692" t="b">
        <v>0</v>
      </c>
    </row>
    <row r="1693" spans="1:25">
      <c r="A1693">
        <v>16920</v>
      </c>
      <c r="B1693" t="s">
        <v>3251</v>
      </c>
      <c r="C1693" t="s">
        <v>3619</v>
      </c>
      <c r="D1693" t="s">
        <v>3253</v>
      </c>
      <c r="E1693">
        <v>16920</v>
      </c>
      <c r="F1693">
        <v>17.600000000000001</v>
      </c>
      <c r="G1693">
        <v>1586</v>
      </c>
      <c r="H1693">
        <v>15.6</v>
      </c>
      <c r="I1693">
        <v>1074</v>
      </c>
      <c r="J1693">
        <v>15.9</v>
      </c>
      <c r="K1693">
        <v>1749</v>
      </c>
      <c r="L1693">
        <v>68.400000000000006</v>
      </c>
      <c r="M1693">
        <v>469</v>
      </c>
      <c r="N1693">
        <v>39.1</v>
      </c>
      <c r="O1693">
        <v>1147</v>
      </c>
      <c r="P1693" t="s">
        <v>94</v>
      </c>
      <c r="Q1693" s="1">
        <v>2579</v>
      </c>
      <c r="R1693">
        <v>20.3</v>
      </c>
      <c r="S1693" s="2">
        <v>0.02</v>
      </c>
      <c r="T1693" t="s">
        <v>162</v>
      </c>
      <c r="U1693" s="2">
        <v>0.42</v>
      </c>
      <c r="V1693" t="s">
        <v>3619</v>
      </c>
      <c r="W1693" t="s">
        <v>3620</v>
      </c>
      <c r="X1693" t="b">
        <v>0</v>
      </c>
      <c r="Y1693" t="b">
        <v>0</v>
      </c>
    </row>
    <row r="1694" spans="1:25">
      <c r="A1694">
        <v>16930</v>
      </c>
      <c r="B1694" t="s">
        <v>3251</v>
      </c>
      <c r="C1694" t="s">
        <v>3621</v>
      </c>
      <c r="D1694" t="s">
        <v>3253</v>
      </c>
      <c r="E1694">
        <v>16930</v>
      </c>
      <c r="F1694">
        <v>16.8</v>
      </c>
      <c r="G1694">
        <v>1644</v>
      </c>
      <c r="H1694">
        <v>11.3</v>
      </c>
      <c r="I1694">
        <v>1489</v>
      </c>
      <c r="J1694">
        <v>26.3</v>
      </c>
      <c r="K1694">
        <v>1534</v>
      </c>
      <c r="L1694">
        <v>32.700000000000003</v>
      </c>
      <c r="M1694">
        <v>1134</v>
      </c>
      <c r="N1694">
        <v>25</v>
      </c>
      <c r="O1694">
        <v>1707</v>
      </c>
      <c r="P1694" t="s">
        <v>94</v>
      </c>
      <c r="Q1694" s="1">
        <v>6553</v>
      </c>
      <c r="R1694">
        <v>18.3</v>
      </c>
      <c r="S1694" s="2">
        <v>0.02</v>
      </c>
      <c r="T1694">
        <v>0.80694444444444446</v>
      </c>
      <c r="U1694" s="2">
        <v>0.4</v>
      </c>
      <c r="V1694" t="s">
        <v>3622</v>
      </c>
      <c r="W1694" t="s">
        <v>3623</v>
      </c>
      <c r="X1694" t="b">
        <v>0</v>
      </c>
      <c r="Y1694" t="b">
        <v>0</v>
      </c>
    </row>
    <row r="1695" spans="1:25">
      <c r="A1695">
        <v>16940</v>
      </c>
      <c r="B1695" t="s">
        <v>3251</v>
      </c>
      <c r="C1695" t="s">
        <v>3624</v>
      </c>
      <c r="D1695" t="s">
        <v>3253</v>
      </c>
      <c r="E1695">
        <v>16940</v>
      </c>
      <c r="F1695">
        <v>24.5</v>
      </c>
      <c r="G1695">
        <v>1044</v>
      </c>
      <c r="H1695">
        <v>14.3</v>
      </c>
      <c r="I1695">
        <v>1179</v>
      </c>
      <c r="J1695">
        <v>20.100000000000001</v>
      </c>
      <c r="K1695">
        <v>1675</v>
      </c>
      <c r="L1695">
        <v>37</v>
      </c>
      <c r="M1695">
        <v>1049</v>
      </c>
      <c r="N1695">
        <v>36.1</v>
      </c>
      <c r="O1695">
        <v>1272</v>
      </c>
      <c r="P1695" t="s">
        <v>181</v>
      </c>
      <c r="Q1695" s="1">
        <v>17514</v>
      </c>
      <c r="R1695">
        <v>11.6</v>
      </c>
      <c r="S1695" s="2">
        <v>0.11</v>
      </c>
      <c r="T1695" s="3">
        <v>2.1180555555555554</v>
      </c>
      <c r="U1695" s="2">
        <v>0.38</v>
      </c>
      <c r="V1695" t="s">
        <v>3624</v>
      </c>
      <c r="W1695" t="s">
        <v>3625</v>
      </c>
      <c r="X1695" t="b">
        <v>0</v>
      </c>
      <c r="Y1695" t="b">
        <v>0</v>
      </c>
    </row>
    <row r="1696" spans="1:25">
      <c r="A1696">
        <v>16950</v>
      </c>
      <c r="B1696" t="s">
        <v>3251</v>
      </c>
      <c r="C1696" t="s">
        <v>3626</v>
      </c>
      <c r="D1696" t="s">
        <v>3253</v>
      </c>
      <c r="E1696">
        <v>16950</v>
      </c>
      <c r="F1696">
        <v>23.6</v>
      </c>
      <c r="G1696">
        <v>1105</v>
      </c>
      <c r="H1696">
        <v>9</v>
      </c>
      <c r="I1696">
        <v>1796</v>
      </c>
      <c r="J1696">
        <v>24.3</v>
      </c>
      <c r="K1696">
        <v>1578</v>
      </c>
      <c r="L1696">
        <v>25.5</v>
      </c>
      <c r="M1696">
        <v>1319</v>
      </c>
      <c r="N1696">
        <v>43.7</v>
      </c>
      <c r="O1696">
        <v>999</v>
      </c>
      <c r="P1696" t="s">
        <v>664</v>
      </c>
      <c r="Q1696" s="1">
        <v>15516</v>
      </c>
      <c r="R1696">
        <v>11.9</v>
      </c>
      <c r="S1696" s="2">
        <v>0.05</v>
      </c>
      <c r="T1696" s="3">
        <v>1.83125</v>
      </c>
      <c r="U1696" s="2">
        <v>0.4</v>
      </c>
      <c r="V1696" t="s">
        <v>3626</v>
      </c>
      <c r="W1696" t="s">
        <v>3627</v>
      </c>
      <c r="X1696" t="b">
        <v>0</v>
      </c>
      <c r="Y1696" t="b">
        <v>0</v>
      </c>
    </row>
    <row r="1697" spans="1:25">
      <c r="A1697">
        <v>16960</v>
      </c>
      <c r="B1697" t="s">
        <v>3251</v>
      </c>
      <c r="C1697" t="s">
        <v>3628</v>
      </c>
      <c r="D1697" t="s">
        <v>3253</v>
      </c>
      <c r="E1697">
        <v>16960</v>
      </c>
      <c r="F1697">
        <v>20</v>
      </c>
      <c r="G1697">
        <v>1376</v>
      </c>
      <c r="H1697">
        <v>8.6999999999999993</v>
      </c>
      <c r="I1697">
        <v>1831</v>
      </c>
      <c r="J1697">
        <v>18</v>
      </c>
      <c r="K1697">
        <v>1717</v>
      </c>
      <c r="L1697">
        <v>16.7</v>
      </c>
      <c r="M1697">
        <v>1787</v>
      </c>
      <c r="N1697">
        <v>29.5</v>
      </c>
      <c r="O1697">
        <v>1521</v>
      </c>
      <c r="P1697" t="s">
        <v>2157</v>
      </c>
      <c r="Q1697" s="1">
        <v>28175</v>
      </c>
      <c r="R1697">
        <v>12.3</v>
      </c>
      <c r="S1697" s="2">
        <v>0</v>
      </c>
      <c r="T1697" s="3">
        <v>2.7326388888888888</v>
      </c>
      <c r="U1697" s="2">
        <v>0.33</v>
      </c>
      <c r="V1697" t="s">
        <v>3628</v>
      </c>
      <c r="W1697" t="s">
        <v>3629</v>
      </c>
      <c r="X1697" t="b">
        <v>0</v>
      </c>
      <c r="Y1697" t="b">
        <v>0</v>
      </c>
    </row>
    <row r="1698" spans="1:25">
      <c r="A1698">
        <v>16970</v>
      </c>
      <c r="B1698" t="s">
        <v>3251</v>
      </c>
      <c r="C1698" t="s">
        <v>3630</v>
      </c>
      <c r="D1698" t="s">
        <v>3253</v>
      </c>
      <c r="E1698">
        <v>16970</v>
      </c>
      <c r="F1698">
        <v>15.7</v>
      </c>
      <c r="G1698">
        <v>1719</v>
      </c>
      <c r="H1698">
        <v>9.5</v>
      </c>
      <c r="I1698">
        <v>1713</v>
      </c>
      <c r="J1698">
        <v>15.4</v>
      </c>
      <c r="K1698">
        <v>1759</v>
      </c>
      <c r="L1698">
        <v>20.7</v>
      </c>
      <c r="M1698">
        <v>1500</v>
      </c>
      <c r="N1698">
        <v>40.9</v>
      </c>
      <c r="O1698">
        <v>1086</v>
      </c>
      <c r="P1698" t="s">
        <v>94</v>
      </c>
      <c r="Q1698" s="1">
        <v>25232</v>
      </c>
      <c r="R1698">
        <v>24.7</v>
      </c>
      <c r="S1698" s="2">
        <v>0.04</v>
      </c>
      <c r="T1698" s="3">
        <v>2.0770833333333334</v>
      </c>
      <c r="U1698" s="2">
        <v>0.39</v>
      </c>
      <c r="V1698" t="s">
        <v>3630</v>
      </c>
      <c r="W1698" t="s">
        <v>3631</v>
      </c>
      <c r="X1698" t="b">
        <v>0</v>
      </c>
      <c r="Y1698" t="b">
        <v>0</v>
      </c>
    </row>
    <row r="1699" spans="1:25">
      <c r="A1699">
        <v>16980</v>
      </c>
      <c r="B1699" t="s">
        <v>3251</v>
      </c>
      <c r="C1699" t="s">
        <v>3632</v>
      </c>
      <c r="D1699" t="s">
        <v>3253</v>
      </c>
      <c r="E1699">
        <v>16980</v>
      </c>
      <c r="F1699">
        <v>14.3</v>
      </c>
      <c r="G1699">
        <v>1790</v>
      </c>
      <c r="H1699">
        <v>9.1</v>
      </c>
      <c r="I1699">
        <v>1782</v>
      </c>
      <c r="J1699">
        <v>14.9</v>
      </c>
      <c r="K1699">
        <v>1769</v>
      </c>
      <c r="L1699">
        <v>22.4</v>
      </c>
      <c r="M1699">
        <v>1424</v>
      </c>
      <c r="N1699">
        <v>44.8</v>
      </c>
      <c r="O1699">
        <v>965</v>
      </c>
      <c r="P1699" t="s">
        <v>94</v>
      </c>
      <c r="Q1699" s="1">
        <v>12551</v>
      </c>
      <c r="R1699">
        <v>21.9</v>
      </c>
      <c r="S1699" s="2">
        <v>0.02</v>
      </c>
      <c r="T1699" t="s">
        <v>113</v>
      </c>
      <c r="U1699" s="2">
        <v>0.39</v>
      </c>
      <c r="V1699" t="s">
        <v>3632</v>
      </c>
      <c r="W1699" t="s">
        <v>3633</v>
      </c>
      <c r="X1699" t="b">
        <v>0</v>
      </c>
      <c r="Y1699" t="b">
        <v>0</v>
      </c>
    </row>
    <row r="1700" spans="1:25">
      <c r="A1700">
        <v>16990</v>
      </c>
      <c r="B1700" t="s">
        <v>3251</v>
      </c>
      <c r="C1700" t="s">
        <v>3634</v>
      </c>
      <c r="D1700" t="s">
        <v>3253</v>
      </c>
      <c r="E1700">
        <v>16990</v>
      </c>
      <c r="F1700">
        <v>16.2</v>
      </c>
      <c r="G1700">
        <v>1687</v>
      </c>
      <c r="H1700">
        <v>11.1</v>
      </c>
      <c r="I1700">
        <v>1513</v>
      </c>
      <c r="J1700">
        <v>28</v>
      </c>
      <c r="K1700">
        <v>1492</v>
      </c>
      <c r="L1700">
        <v>32</v>
      </c>
      <c r="M1700">
        <v>1144</v>
      </c>
      <c r="N1700">
        <v>32.5</v>
      </c>
      <c r="O1700">
        <v>1404</v>
      </c>
      <c r="P1700" t="s">
        <v>1895</v>
      </c>
      <c r="Q1700" s="1">
        <v>28289</v>
      </c>
      <c r="R1700">
        <v>53.1</v>
      </c>
      <c r="S1700" s="2">
        <v>0</v>
      </c>
      <c r="T1700" s="3">
        <v>2.0770833333333334</v>
      </c>
      <c r="U1700" s="2">
        <v>0.33</v>
      </c>
      <c r="V1700" t="s">
        <v>3634</v>
      </c>
      <c r="W1700" t="s">
        <v>3635</v>
      </c>
      <c r="X1700" t="b">
        <v>0</v>
      </c>
      <c r="Y1700" t="b">
        <v>0</v>
      </c>
    </row>
    <row r="1701" spans="1:25">
      <c r="A1701">
        <v>17000</v>
      </c>
      <c r="B1701" t="s">
        <v>3251</v>
      </c>
      <c r="C1701" t="s">
        <v>3636</v>
      </c>
      <c r="D1701" t="s">
        <v>3253</v>
      </c>
      <c r="E1701">
        <v>17000</v>
      </c>
      <c r="F1701">
        <v>14</v>
      </c>
      <c r="G1701">
        <v>1803</v>
      </c>
      <c r="H1701">
        <v>8.6</v>
      </c>
      <c r="I1701">
        <v>1846</v>
      </c>
      <c r="J1701">
        <v>17.2</v>
      </c>
      <c r="K1701">
        <v>1728</v>
      </c>
      <c r="L1701">
        <v>15.9</v>
      </c>
      <c r="M1701">
        <v>1879</v>
      </c>
      <c r="N1701">
        <v>39.700000000000003</v>
      </c>
      <c r="O1701">
        <v>1129</v>
      </c>
      <c r="P1701" t="s">
        <v>2290</v>
      </c>
      <c r="Q1701" s="1">
        <v>30088</v>
      </c>
      <c r="R1701">
        <v>29.8</v>
      </c>
      <c r="S1701" s="2">
        <v>0</v>
      </c>
      <c r="T1701" s="3">
        <v>1.9541666666666666</v>
      </c>
      <c r="U1701" s="2">
        <v>0.37</v>
      </c>
      <c r="V1701" t="s">
        <v>3636</v>
      </c>
      <c r="W1701" t="s">
        <v>3637</v>
      </c>
      <c r="X1701" t="b">
        <v>0</v>
      </c>
      <c r="Y1701" t="b">
        <v>0</v>
      </c>
    </row>
    <row r="1702" spans="1:25">
      <c r="A1702">
        <v>17010</v>
      </c>
      <c r="B1702" t="s">
        <v>3251</v>
      </c>
      <c r="C1702" t="s">
        <v>3638</v>
      </c>
      <c r="D1702" t="s">
        <v>3253</v>
      </c>
      <c r="E1702">
        <v>17010</v>
      </c>
      <c r="F1702">
        <v>12.9</v>
      </c>
      <c r="G1702">
        <v>1850</v>
      </c>
      <c r="H1702">
        <v>9.3000000000000007</v>
      </c>
      <c r="I1702">
        <v>1750</v>
      </c>
      <c r="J1702">
        <v>25.3</v>
      </c>
      <c r="K1702">
        <v>1556</v>
      </c>
      <c r="L1702">
        <v>16</v>
      </c>
      <c r="M1702">
        <v>1863</v>
      </c>
      <c r="N1702">
        <v>41.9</v>
      </c>
      <c r="O1702">
        <v>1057</v>
      </c>
      <c r="P1702" t="s">
        <v>1895</v>
      </c>
      <c r="Q1702" s="1">
        <v>28722</v>
      </c>
      <c r="R1702">
        <v>35.6</v>
      </c>
      <c r="S1702" s="2">
        <v>0</v>
      </c>
      <c r="T1702" s="3">
        <v>1.9131944444444444</v>
      </c>
      <c r="U1702" s="2">
        <v>0.22</v>
      </c>
      <c r="V1702" t="s">
        <v>3638</v>
      </c>
      <c r="W1702" t="s">
        <v>3639</v>
      </c>
      <c r="X1702" t="b">
        <v>0</v>
      </c>
      <c r="Y1702" t="b">
        <v>0</v>
      </c>
    </row>
    <row r="1703" spans="1:25">
      <c r="A1703">
        <v>17020</v>
      </c>
      <c r="B1703" t="s">
        <v>3251</v>
      </c>
      <c r="C1703" t="s">
        <v>3640</v>
      </c>
      <c r="D1703" t="s">
        <v>3253</v>
      </c>
      <c r="E1703">
        <v>17020</v>
      </c>
      <c r="F1703">
        <v>16.5</v>
      </c>
      <c r="G1703">
        <v>1662</v>
      </c>
      <c r="H1703">
        <v>9.6</v>
      </c>
      <c r="I1703">
        <v>1702</v>
      </c>
      <c r="J1703">
        <v>37.6</v>
      </c>
      <c r="K1703">
        <v>1268</v>
      </c>
      <c r="L1703">
        <v>16.100000000000001</v>
      </c>
      <c r="M1703">
        <v>1853</v>
      </c>
      <c r="N1703">
        <v>40.6</v>
      </c>
      <c r="O1703">
        <v>1100</v>
      </c>
      <c r="P1703" t="s">
        <v>1102</v>
      </c>
      <c r="Q1703" s="1">
        <v>11857</v>
      </c>
      <c r="R1703">
        <v>21.3</v>
      </c>
      <c r="S1703" s="2">
        <v>0</v>
      </c>
      <c r="T1703" s="3">
        <v>4.166666666666667</v>
      </c>
      <c r="U1703" s="2">
        <v>0.28999999999999998</v>
      </c>
      <c r="V1703" t="s">
        <v>3640</v>
      </c>
      <c r="W1703" t="s">
        <v>3641</v>
      </c>
      <c r="X1703" t="b">
        <v>0</v>
      </c>
      <c r="Y1703" t="b">
        <v>0</v>
      </c>
    </row>
    <row r="1704" spans="1:25">
      <c r="A1704">
        <v>17030</v>
      </c>
      <c r="B1704" t="s">
        <v>3251</v>
      </c>
      <c r="C1704" t="s">
        <v>3642</v>
      </c>
      <c r="D1704" t="s">
        <v>3253</v>
      </c>
      <c r="E1704">
        <v>17030</v>
      </c>
      <c r="F1704">
        <v>17.100000000000001</v>
      </c>
      <c r="G1704">
        <v>1618</v>
      </c>
      <c r="H1704">
        <v>8.1</v>
      </c>
      <c r="I1704">
        <v>1874</v>
      </c>
      <c r="J1704">
        <v>26.3</v>
      </c>
      <c r="K1704">
        <v>1535</v>
      </c>
      <c r="L1704">
        <v>16.8</v>
      </c>
      <c r="M1704">
        <v>1775</v>
      </c>
      <c r="N1704">
        <v>18.399999999999999</v>
      </c>
      <c r="O1704">
        <v>1894</v>
      </c>
      <c r="P1704" t="s">
        <v>1955</v>
      </c>
      <c r="Q1704" s="1">
        <v>34807</v>
      </c>
      <c r="R1704">
        <v>13.1</v>
      </c>
      <c r="S1704" s="2">
        <v>0</v>
      </c>
      <c r="T1704" s="3">
        <v>2.5277777777777777</v>
      </c>
      <c r="U1704" s="2">
        <v>0.24</v>
      </c>
      <c r="V1704" t="s">
        <v>3642</v>
      </c>
      <c r="W1704" t="s">
        <v>3643</v>
      </c>
      <c r="X1704" t="b">
        <v>0</v>
      </c>
      <c r="Y1704" t="b">
        <v>0</v>
      </c>
    </row>
    <row r="1705" spans="1:25">
      <c r="A1705">
        <v>17040</v>
      </c>
      <c r="B1705" t="s">
        <v>3251</v>
      </c>
      <c r="C1705" t="s">
        <v>3644</v>
      </c>
      <c r="D1705" t="s">
        <v>3253</v>
      </c>
      <c r="E1705">
        <v>17040</v>
      </c>
      <c r="F1705">
        <v>16.3</v>
      </c>
      <c r="G1705">
        <v>1679</v>
      </c>
      <c r="H1705">
        <v>17.3</v>
      </c>
      <c r="I1705">
        <v>950</v>
      </c>
      <c r="J1705">
        <v>15.8</v>
      </c>
      <c r="K1705">
        <v>1750</v>
      </c>
      <c r="L1705">
        <v>30.5</v>
      </c>
      <c r="M1705">
        <v>1172</v>
      </c>
      <c r="N1705">
        <v>24.1</v>
      </c>
      <c r="O1705">
        <v>1738</v>
      </c>
      <c r="P1705" t="s">
        <v>2410</v>
      </c>
      <c r="Q1705" s="1">
        <v>3991</v>
      </c>
      <c r="R1705">
        <v>21.3</v>
      </c>
      <c r="S1705" s="2">
        <v>0.04</v>
      </c>
      <c r="T1705" s="3">
        <v>2.1180555555555554</v>
      </c>
      <c r="U1705" s="2">
        <v>0.28000000000000003</v>
      </c>
      <c r="V1705" t="s">
        <v>3644</v>
      </c>
      <c r="W1705" t="s">
        <v>3645</v>
      </c>
      <c r="X1705" t="b">
        <v>0</v>
      </c>
      <c r="Y1705" t="b">
        <v>0</v>
      </c>
    </row>
    <row r="1706" spans="1:25">
      <c r="A1706">
        <v>17050</v>
      </c>
      <c r="B1706" t="s">
        <v>3251</v>
      </c>
      <c r="C1706" t="s">
        <v>3646</v>
      </c>
      <c r="D1706" t="s">
        <v>3253</v>
      </c>
      <c r="E1706">
        <v>17050</v>
      </c>
      <c r="F1706">
        <v>20.2</v>
      </c>
      <c r="G1706">
        <v>1360</v>
      </c>
      <c r="H1706">
        <v>11.7</v>
      </c>
      <c r="I1706">
        <v>1440</v>
      </c>
      <c r="J1706">
        <v>30.3</v>
      </c>
      <c r="K1706">
        <v>1436</v>
      </c>
      <c r="L1706">
        <v>19.100000000000001</v>
      </c>
      <c r="M1706">
        <v>1581</v>
      </c>
      <c r="N1706">
        <v>20.7</v>
      </c>
      <c r="O1706">
        <v>1847</v>
      </c>
      <c r="P1706" t="s">
        <v>1543</v>
      </c>
      <c r="Q1706" s="1">
        <v>7355</v>
      </c>
      <c r="R1706">
        <v>11.6</v>
      </c>
      <c r="S1706" s="2">
        <v>0.02</v>
      </c>
      <c r="T1706" s="3">
        <v>2.7326388888888888</v>
      </c>
      <c r="U1706" s="2">
        <v>0.23</v>
      </c>
      <c r="V1706" t="s">
        <v>3646</v>
      </c>
      <c r="W1706" t="s">
        <v>3647</v>
      </c>
      <c r="X1706" t="b">
        <v>0</v>
      </c>
      <c r="Y1706" t="b">
        <v>0</v>
      </c>
    </row>
    <row r="1707" spans="1:25">
      <c r="A1707">
        <v>17060</v>
      </c>
      <c r="B1707" t="s">
        <v>3251</v>
      </c>
      <c r="C1707" t="s">
        <v>3648</v>
      </c>
      <c r="D1707" t="s">
        <v>3253</v>
      </c>
      <c r="E1707">
        <v>17060</v>
      </c>
      <c r="F1707">
        <v>21.9</v>
      </c>
      <c r="G1707">
        <v>1241</v>
      </c>
      <c r="H1707">
        <v>11.6</v>
      </c>
      <c r="I1707">
        <v>1456</v>
      </c>
      <c r="J1707">
        <v>21.1</v>
      </c>
      <c r="K1707">
        <v>1658</v>
      </c>
      <c r="L1707">
        <v>15.7</v>
      </c>
      <c r="M1707">
        <v>1897</v>
      </c>
      <c r="N1707">
        <v>54.2</v>
      </c>
      <c r="O1707">
        <v>692</v>
      </c>
      <c r="P1707" t="s">
        <v>1306</v>
      </c>
      <c r="Q1707" s="1">
        <v>19632</v>
      </c>
      <c r="R1707">
        <v>13.5</v>
      </c>
      <c r="S1707" s="2">
        <v>0.04</v>
      </c>
      <c r="T1707" s="3">
        <v>2.5277777777777777</v>
      </c>
      <c r="U1707" s="2">
        <v>0.4</v>
      </c>
      <c r="V1707" t="s">
        <v>3649</v>
      </c>
      <c r="W1707" t="s">
        <v>3650</v>
      </c>
      <c r="X1707" t="b">
        <v>0</v>
      </c>
      <c r="Y1707" t="b">
        <v>0</v>
      </c>
    </row>
    <row r="1708" spans="1:25">
      <c r="A1708">
        <v>17070</v>
      </c>
      <c r="B1708" t="s">
        <v>3251</v>
      </c>
      <c r="C1708" t="s">
        <v>3651</v>
      </c>
      <c r="D1708" t="s">
        <v>3253</v>
      </c>
      <c r="E1708">
        <v>17070</v>
      </c>
      <c r="F1708">
        <v>31.8</v>
      </c>
      <c r="G1708">
        <v>598</v>
      </c>
      <c r="H1708">
        <v>13.4</v>
      </c>
      <c r="I1708">
        <v>1268</v>
      </c>
      <c r="J1708">
        <v>14.7</v>
      </c>
      <c r="K1708">
        <v>1773</v>
      </c>
      <c r="L1708">
        <v>32.700000000000003</v>
      </c>
      <c r="M1708">
        <v>1135</v>
      </c>
      <c r="N1708">
        <v>38.5</v>
      </c>
      <c r="O1708">
        <v>1172</v>
      </c>
      <c r="P1708" t="s">
        <v>255</v>
      </c>
      <c r="Q1708" s="1">
        <v>19457</v>
      </c>
      <c r="R1708">
        <v>10.6</v>
      </c>
      <c r="S1708" s="2">
        <v>0.12</v>
      </c>
      <c r="T1708" s="3">
        <v>2.1590277777777778</v>
      </c>
      <c r="U1708" s="2">
        <v>0.39</v>
      </c>
      <c r="V1708" t="s">
        <v>3651</v>
      </c>
      <c r="W1708" t="s">
        <v>3652</v>
      </c>
      <c r="X1708" t="b">
        <v>0</v>
      </c>
      <c r="Y1708" t="b">
        <v>0</v>
      </c>
    </row>
    <row r="1709" spans="1:25">
      <c r="A1709">
        <v>17080</v>
      </c>
      <c r="B1709" t="s">
        <v>3251</v>
      </c>
      <c r="C1709" t="s">
        <v>3653</v>
      </c>
      <c r="D1709" t="s">
        <v>3253</v>
      </c>
      <c r="E1709">
        <v>17080</v>
      </c>
      <c r="F1709">
        <v>20.6</v>
      </c>
      <c r="G1709">
        <v>1331</v>
      </c>
      <c r="H1709">
        <v>15.6</v>
      </c>
      <c r="I1709">
        <v>1076</v>
      </c>
      <c r="J1709">
        <v>28.8</v>
      </c>
      <c r="K1709">
        <v>1478</v>
      </c>
      <c r="L1709">
        <v>19.2</v>
      </c>
      <c r="M1709">
        <v>1574</v>
      </c>
      <c r="N1709">
        <v>35.5</v>
      </c>
      <c r="O1709">
        <v>1301</v>
      </c>
      <c r="P1709" t="s">
        <v>1543</v>
      </c>
      <c r="Q1709" s="1">
        <v>21633</v>
      </c>
      <c r="R1709">
        <v>14</v>
      </c>
      <c r="S1709" s="2">
        <v>0.09</v>
      </c>
      <c r="T1709" s="3">
        <v>2.6097222222222221</v>
      </c>
      <c r="U1709" s="2">
        <v>0.2</v>
      </c>
      <c r="V1709" t="s">
        <v>3654</v>
      </c>
      <c r="W1709" t="s">
        <v>3655</v>
      </c>
      <c r="X1709" t="b">
        <v>0</v>
      </c>
      <c r="Y1709" t="b">
        <v>0</v>
      </c>
    </row>
    <row r="1710" spans="1:25">
      <c r="A1710">
        <v>17090</v>
      </c>
      <c r="B1710" t="s">
        <v>3251</v>
      </c>
      <c r="C1710" t="s">
        <v>3656</v>
      </c>
      <c r="D1710" t="s">
        <v>3253</v>
      </c>
      <c r="E1710">
        <v>17090</v>
      </c>
      <c r="F1710">
        <v>30.3</v>
      </c>
      <c r="G1710">
        <v>675</v>
      </c>
      <c r="H1710">
        <v>16.100000000000001</v>
      </c>
      <c r="I1710">
        <v>1043</v>
      </c>
      <c r="J1710">
        <v>19.600000000000001</v>
      </c>
      <c r="K1710">
        <v>1689</v>
      </c>
      <c r="L1710">
        <v>34.799999999999997</v>
      </c>
      <c r="M1710">
        <v>1098</v>
      </c>
      <c r="N1710">
        <v>23.9</v>
      </c>
      <c r="O1710">
        <v>1746</v>
      </c>
      <c r="P1710" t="s">
        <v>577</v>
      </c>
      <c r="Q1710" s="1">
        <v>21220</v>
      </c>
      <c r="R1710">
        <v>10.9</v>
      </c>
      <c r="S1710" s="2">
        <v>0.01</v>
      </c>
      <c r="T1710" s="3">
        <v>2.4868055555555557</v>
      </c>
      <c r="U1710" s="2">
        <v>0.17</v>
      </c>
      <c r="V1710" t="s">
        <v>3656</v>
      </c>
      <c r="W1710" t="s">
        <v>3657</v>
      </c>
      <c r="X1710" t="b">
        <v>0</v>
      </c>
      <c r="Y1710" t="b">
        <v>0</v>
      </c>
    </row>
    <row r="1711" spans="1:25">
      <c r="A1711">
        <v>17100</v>
      </c>
      <c r="B1711" t="s">
        <v>3251</v>
      </c>
      <c r="C1711" t="s">
        <v>3658</v>
      </c>
      <c r="D1711" t="s">
        <v>3253</v>
      </c>
      <c r="E1711">
        <v>17100</v>
      </c>
      <c r="F1711">
        <v>15.9</v>
      </c>
      <c r="G1711">
        <v>1706</v>
      </c>
      <c r="H1711">
        <v>14.1</v>
      </c>
      <c r="I1711">
        <v>1197</v>
      </c>
      <c r="J1711">
        <v>25.8</v>
      </c>
      <c r="K1711">
        <v>1548</v>
      </c>
      <c r="L1711">
        <v>16</v>
      </c>
      <c r="M1711">
        <v>1864</v>
      </c>
      <c r="N1711">
        <v>49.5</v>
      </c>
      <c r="O1711">
        <v>820</v>
      </c>
      <c r="P1711" t="s">
        <v>1093</v>
      </c>
      <c r="Q1711" s="1">
        <v>5995</v>
      </c>
      <c r="R1711">
        <v>17.399999999999999</v>
      </c>
      <c r="S1711" s="2">
        <v>0</v>
      </c>
      <c r="T1711" s="3">
        <v>2.5277777777777777</v>
      </c>
      <c r="U1711" s="2">
        <v>0.16</v>
      </c>
      <c r="V1711" t="s">
        <v>3658</v>
      </c>
      <c r="W1711" t="s">
        <v>3659</v>
      </c>
      <c r="X1711" t="b">
        <v>0</v>
      </c>
      <c r="Y1711" t="b">
        <v>0</v>
      </c>
    </row>
    <row r="1712" spans="1:25">
      <c r="A1712">
        <v>17110</v>
      </c>
      <c r="B1712" t="s">
        <v>3251</v>
      </c>
      <c r="C1712" t="s">
        <v>3660</v>
      </c>
      <c r="D1712" t="s">
        <v>3253</v>
      </c>
      <c r="E1712">
        <v>17110</v>
      </c>
      <c r="F1712">
        <v>18.5</v>
      </c>
      <c r="G1712">
        <v>1507</v>
      </c>
      <c r="H1712">
        <v>14</v>
      </c>
      <c r="I1712">
        <v>1206</v>
      </c>
      <c r="J1712">
        <v>29.7</v>
      </c>
      <c r="K1712">
        <v>1454</v>
      </c>
      <c r="L1712">
        <v>16.8</v>
      </c>
      <c r="M1712">
        <v>1776</v>
      </c>
      <c r="N1712">
        <v>28.4</v>
      </c>
      <c r="O1712">
        <v>1565</v>
      </c>
      <c r="P1712" t="s">
        <v>1853</v>
      </c>
      <c r="Q1712" s="1">
        <v>13369</v>
      </c>
      <c r="R1712">
        <v>16.5</v>
      </c>
      <c r="S1712" s="2">
        <v>0.03</v>
      </c>
      <c r="T1712" s="3">
        <v>2.4868055555555557</v>
      </c>
      <c r="U1712" s="2">
        <v>0.25</v>
      </c>
      <c r="V1712" t="s">
        <v>3660</v>
      </c>
      <c r="W1712" t="s">
        <v>3661</v>
      </c>
      <c r="X1712" t="b">
        <v>0</v>
      </c>
      <c r="Y1712" t="b">
        <v>0</v>
      </c>
    </row>
    <row r="1713" spans="1:25">
      <c r="A1713">
        <v>17120</v>
      </c>
      <c r="B1713" t="s">
        <v>3251</v>
      </c>
      <c r="C1713" t="s">
        <v>3662</v>
      </c>
      <c r="D1713" t="s">
        <v>3253</v>
      </c>
      <c r="E1713">
        <v>17120</v>
      </c>
      <c r="F1713">
        <v>28.4</v>
      </c>
      <c r="G1713">
        <v>783</v>
      </c>
      <c r="H1713">
        <v>10.3</v>
      </c>
      <c r="I1713">
        <v>1613</v>
      </c>
      <c r="J1713">
        <v>26.5</v>
      </c>
      <c r="K1713">
        <v>1527</v>
      </c>
      <c r="L1713">
        <v>18</v>
      </c>
      <c r="M1713">
        <v>1671</v>
      </c>
      <c r="N1713">
        <v>23.1</v>
      </c>
      <c r="O1713">
        <v>1775</v>
      </c>
      <c r="P1713" t="s">
        <v>528</v>
      </c>
      <c r="Q1713" s="1">
        <v>18173</v>
      </c>
      <c r="R1713">
        <v>29.4</v>
      </c>
      <c r="S1713" s="2">
        <v>0.02</v>
      </c>
      <c r="T1713" s="3">
        <v>1.9131944444444444</v>
      </c>
      <c r="U1713" s="2">
        <v>0.32</v>
      </c>
      <c r="V1713" t="s">
        <v>3662</v>
      </c>
      <c r="W1713" t="s">
        <v>3663</v>
      </c>
      <c r="X1713" t="b">
        <v>0</v>
      </c>
      <c r="Y1713" t="b">
        <v>0</v>
      </c>
    </row>
    <row r="1714" spans="1:25">
      <c r="A1714">
        <v>17130</v>
      </c>
      <c r="B1714" t="s">
        <v>3251</v>
      </c>
      <c r="C1714" t="s">
        <v>3664</v>
      </c>
      <c r="D1714" t="s">
        <v>3253</v>
      </c>
      <c r="E1714">
        <v>17130</v>
      </c>
      <c r="F1714">
        <v>16.2</v>
      </c>
      <c r="G1714">
        <v>1688</v>
      </c>
      <c r="H1714">
        <v>18.100000000000001</v>
      </c>
      <c r="I1714">
        <v>914</v>
      </c>
      <c r="J1714">
        <v>24.6</v>
      </c>
      <c r="K1714">
        <v>1574</v>
      </c>
      <c r="L1714">
        <v>15.6</v>
      </c>
      <c r="M1714">
        <v>1901</v>
      </c>
      <c r="N1714">
        <v>37.299999999999997</v>
      </c>
      <c r="O1714">
        <v>1230</v>
      </c>
      <c r="P1714" t="s">
        <v>397</v>
      </c>
      <c r="Q1714" s="1">
        <v>12042</v>
      </c>
      <c r="R1714">
        <v>27</v>
      </c>
      <c r="S1714" s="2">
        <v>0.04</v>
      </c>
      <c r="T1714" s="3">
        <v>3.1423611111111112</v>
      </c>
      <c r="U1714" s="2">
        <v>0.11</v>
      </c>
      <c r="V1714" t="s">
        <v>3664</v>
      </c>
      <c r="W1714" t="s">
        <v>3665</v>
      </c>
      <c r="X1714" t="b">
        <v>0</v>
      </c>
      <c r="Y1714" t="b">
        <v>0</v>
      </c>
    </row>
    <row r="1715" spans="1:25">
      <c r="A1715">
        <v>17140</v>
      </c>
      <c r="B1715" t="s">
        <v>3251</v>
      </c>
      <c r="C1715" t="s">
        <v>3666</v>
      </c>
      <c r="D1715" t="s">
        <v>3253</v>
      </c>
      <c r="E1715">
        <v>17140</v>
      </c>
      <c r="F1715">
        <v>17.399999999999999</v>
      </c>
      <c r="G1715">
        <v>1601</v>
      </c>
      <c r="H1715">
        <v>10.8</v>
      </c>
      <c r="I1715">
        <v>1552</v>
      </c>
      <c r="J1715">
        <v>12.4</v>
      </c>
      <c r="K1715">
        <v>1816</v>
      </c>
      <c r="L1715">
        <v>20.7</v>
      </c>
      <c r="M1715">
        <v>1501</v>
      </c>
      <c r="N1715">
        <v>28.7</v>
      </c>
      <c r="O1715">
        <v>1554</v>
      </c>
      <c r="P1715" t="s">
        <v>577</v>
      </c>
      <c r="Q1715" s="1">
        <v>27487</v>
      </c>
      <c r="R1715">
        <v>28.1</v>
      </c>
      <c r="S1715" s="2">
        <v>0</v>
      </c>
      <c r="T1715" s="3">
        <v>2.1590277777777778</v>
      </c>
      <c r="U1715" s="2">
        <v>0.31</v>
      </c>
      <c r="V1715" t="s">
        <v>3667</v>
      </c>
      <c r="W1715" t="s">
        <v>3668</v>
      </c>
      <c r="X1715" t="b">
        <v>0</v>
      </c>
      <c r="Y1715" t="b">
        <v>0</v>
      </c>
    </row>
    <row r="1716" spans="1:25">
      <c r="A1716">
        <v>17150</v>
      </c>
      <c r="B1716" t="s">
        <v>3251</v>
      </c>
      <c r="C1716" t="s">
        <v>3669</v>
      </c>
      <c r="D1716" t="s">
        <v>3253</v>
      </c>
      <c r="E1716">
        <v>17150</v>
      </c>
      <c r="F1716">
        <v>18.8</v>
      </c>
      <c r="G1716">
        <v>1480</v>
      </c>
      <c r="H1716">
        <v>8.5</v>
      </c>
      <c r="I1716">
        <v>1854</v>
      </c>
      <c r="J1716">
        <v>10.5</v>
      </c>
      <c r="K1716">
        <v>1850</v>
      </c>
      <c r="L1716">
        <v>17</v>
      </c>
      <c r="M1716">
        <v>1757</v>
      </c>
      <c r="N1716">
        <v>25</v>
      </c>
      <c r="O1716">
        <v>1708</v>
      </c>
      <c r="P1716" t="s">
        <v>1448</v>
      </c>
      <c r="Q1716" s="1">
        <v>37679</v>
      </c>
      <c r="R1716">
        <v>30.2</v>
      </c>
      <c r="S1716" s="2">
        <v>0.02</v>
      </c>
      <c r="T1716" s="3">
        <v>2.7736111111111112</v>
      </c>
      <c r="U1716" s="2">
        <v>0.21</v>
      </c>
      <c r="V1716" t="s">
        <v>3669</v>
      </c>
      <c r="W1716" t="s">
        <v>3670</v>
      </c>
      <c r="X1716" t="b">
        <v>0</v>
      </c>
      <c r="Y1716" t="b">
        <v>0</v>
      </c>
    </row>
    <row r="1717" spans="1:25">
      <c r="A1717">
        <v>17160</v>
      </c>
      <c r="B1717" t="s">
        <v>3251</v>
      </c>
      <c r="C1717" t="s">
        <v>3671</v>
      </c>
      <c r="D1717" t="s">
        <v>3253</v>
      </c>
      <c r="E1717">
        <v>17160</v>
      </c>
      <c r="F1717">
        <v>16.100000000000001</v>
      </c>
      <c r="G1717">
        <v>1695</v>
      </c>
      <c r="H1717">
        <v>13</v>
      </c>
      <c r="I1717">
        <v>1305</v>
      </c>
      <c r="J1717">
        <v>32.6</v>
      </c>
      <c r="K1717">
        <v>1388</v>
      </c>
      <c r="L1717">
        <v>16.2</v>
      </c>
      <c r="M1717">
        <v>1839</v>
      </c>
      <c r="N1717">
        <v>41.9</v>
      </c>
      <c r="O1717">
        <v>1058</v>
      </c>
      <c r="P1717" t="s">
        <v>664</v>
      </c>
      <c r="Q1717" s="1">
        <v>9238</v>
      </c>
      <c r="R1717">
        <v>19.899999999999999</v>
      </c>
      <c r="S1717" s="2">
        <v>0.03</v>
      </c>
      <c r="T1717" s="3">
        <v>2.9784722222222224</v>
      </c>
      <c r="U1717" s="2">
        <v>0.28000000000000003</v>
      </c>
      <c r="V1717" t="s">
        <v>3671</v>
      </c>
      <c r="W1717" t="s">
        <v>3672</v>
      </c>
      <c r="X1717" t="b">
        <v>0</v>
      </c>
      <c r="Y1717" t="b">
        <v>0</v>
      </c>
    </row>
    <row r="1718" spans="1:25">
      <c r="A1718">
        <v>17170</v>
      </c>
      <c r="B1718" t="s">
        <v>3251</v>
      </c>
      <c r="C1718" t="s">
        <v>3673</v>
      </c>
      <c r="D1718" t="s">
        <v>3253</v>
      </c>
      <c r="E1718">
        <v>17170</v>
      </c>
      <c r="F1718">
        <v>21.6</v>
      </c>
      <c r="G1718">
        <v>1260</v>
      </c>
      <c r="H1718">
        <v>19.3</v>
      </c>
      <c r="I1718">
        <v>851</v>
      </c>
      <c r="J1718">
        <v>22.4</v>
      </c>
      <c r="K1718">
        <v>1627</v>
      </c>
      <c r="L1718">
        <v>22.7</v>
      </c>
      <c r="M1718">
        <v>1413</v>
      </c>
      <c r="N1718">
        <v>33.4</v>
      </c>
      <c r="O1718">
        <v>1379</v>
      </c>
      <c r="P1718" t="s">
        <v>1543</v>
      </c>
      <c r="Q1718" s="1">
        <v>16937</v>
      </c>
      <c r="R1718">
        <v>11.7</v>
      </c>
      <c r="S1718" s="2">
        <v>0.09</v>
      </c>
      <c r="T1718" s="3">
        <v>2.8555555555555556</v>
      </c>
      <c r="U1718" s="2">
        <v>0.3</v>
      </c>
      <c r="V1718" t="s">
        <v>3673</v>
      </c>
      <c r="W1718" t="s">
        <v>3674</v>
      </c>
      <c r="X1718" t="b">
        <v>0</v>
      </c>
      <c r="Y1718" t="b">
        <v>0</v>
      </c>
    </row>
    <row r="1719" spans="1:25">
      <c r="A1719">
        <v>17180</v>
      </c>
      <c r="B1719" t="s">
        <v>3251</v>
      </c>
      <c r="C1719" t="s">
        <v>3675</v>
      </c>
      <c r="D1719" t="s">
        <v>3253</v>
      </c>
      <c r="E1719">
        <v>17180</v>
      </c>
      <c r="F1719">
        <v>17</v>
      </c>
      <c r="G1719">
        <v>1626</v>
      </c>
      <c r="H1719">
        <v>11.7</v>
      </c>
      <c r="I1719">
        <v>1441</v>
      </c>
      <c r="J1719">
        <v>31.9</v>
      </c>
      <c r="K1719">
        <v>1404</v>
      </c>
      <c r="L1719">
        <v>26.9</v>
      </c>
      <c r="M1719">
        <v>1263</v>
      </c>
      <c r="N1719">
        <v>30.7</v>
      </c>
      <c r="O1719">
        <v>1474</v>
      </c>
      <c r="P1719" t="s">
        <v>895</v>
      </c>
      <c r="Q1719" s="1">
        <v>62991</v>
      </c>
      <c r="R1719">
        <v>30.6</v>
      </c>
      <c r="S1719" s="2">
        <v>0.05</v>
      </c>
      <c r="T1719" s="3">
        <v>2.1590277777777778</v>
      </c>
      <c r="U1719" s="2">
        <v>0.2</v>
      </c>
      <c r="V1719" t="s">
        <v>3675</v>
      </c>
      <c r="W1719" t="s">
        <v>3676</v>
      </c>
      <c r="X1719" t="b">
        <v>0</v>
      </c>
      <c r="Y1719" t="b">
        <v>0</v>
      </c>
    </row>
    <row r="1720" spans="1:25">
      <c r="A1720">
        <v>17190</v>
      </c>
      <c r="B1720" t="s">
        <v>3251</v>
      </c>
      <c r="C1720" t="s">
        <v>3677</v>
      </c>
      <c r="D1720" t="s">
        <v>3253</v>
      </c>
      <c r="E1720">
        <v>17190</v>
      </c>
      <c r="F1720">
        <v>13.7</v>
      </c>
      <c r="G1720">
        <v>1816</v>
      </c>
      <c r="H1720">
        <v>7.5</v>
      </c>
      <c r="I1720">
        <v>1898</v>
      </c>
      <c r="J1720">
        <v>31.4</v>
      </c>
      <c r="K1720">
        <v>1415</v>
      </c>
      <c r="L1720">
        <v>16.100000000000001</v>
      </c>
      <c r="M1720">
        <v>1854</v>
      </c>
      <c r="N1720">
        <v>43.2</v>
      </c>
      <c r="O1720">
        <v>1011</v>
      </c>
      <c r="P1720" t="s">
        <v>2290</v>
      </c>
      <c r="Q1720" s="1">
        <v>21663</v>
      </c>
      <c r="R1720">
        <v>23.8</v>
      </c>
      <c r="S1720" s="2">
        <v>0</v>
      </c>
      <c r="T1720" s="3">
        <v>2.6097222222222221</v>
      </c>
      <c r="U1720" s="2">
        <v>0.41</v>
      </c>
      <c r="V1720" t="s">
        <v>3677</v>
      </c>
      <c r="W1720" t="s">
        <v>3678</v>
      </c>
      <c r="X1720" t="b">
        <v>0</v>
      </c>
      <c r="Y1720" t="b">
        <v>0</v>
      </c>
    </row>
    <row r="1721" spans="1:25">
      <c r="A1721">
        <v>17200</v>
      </c>
      <c r="B1721" t="s">
        <v>3251</v>
      </c>
      <c r="C1721" t="s">
        <v>3679</v>
      </c>
      <c r="D1721" t="s">
        <v>3253</v>
      </c>
      <c r="E1721">
        <v>17200</v>
      </c>
      <c r="F1721">
        <v>19.399999999999999</v>
      </c>
      <c r="G1721">
        <v>1432</v>
      </c>
      <c r="H1721">
        <v>13.9</v>
      </c>
      <c r="I1721">
        <v>1212</v>
      </c>
      <c r="J1721">
        <v>15.5</v>
      </c>
      <c r="K1721">
        <v>1758</v>
      </c>
      <c r="L1721">
        <v>16.399999999999999</v>
      </c>
      <c r="M1721">
        <v>1819</v>
      </c>
      <c r="N1721">
        <v>40.700000000000003</v>
      </c>
      <c r="O1721">
        <v>1094</v>
      </c>
      <c r="P1721" t="s">
        <v>2278</v>
      </c>
      <c r="Q1721" s="1">
        <v>6834</v>
      </c>
      <c r="R1721">
        <v>14.2</v>
      </c>
      <c r="S1721" s="2">
        <v>0.1</v>
      </c>
      <c r="T1721" s="3">
        <v>2.8145833333333332</v>
      </c>
      <c r="U1721" s="2">
        <v>0.26</v>
      </c>
      <c r="V1721" t="s">
        <v>3679</v>
      </c>
      <c r="W1721" t="s">
        <v>3680</v>
      </c>
      <c r="X1721" t="b">
        <v>0</v>
      </c>
      <c r="Y1721" t="b">
        <v>0</v>
      </c>
    </row>
    <row r="1722" spans="1:25">
      <c r="A1722">
        <v>17210</v>
      </c>
      <c r="B1722" t="s">
        <v>3251</v>
      </c>
      <c r="C1722" t="s">
        <v>3681</v>
      </c>
      <c r="D1722" t="s">
        <v>3253</v>
      </c>
      <c r="E1722">
        <v>17210</v>
      </c>
      <c r="F1722">
        <v>18.600000000000001</v>
      </c>
      <c r="G1722">
        <v>1496</v>
      </c>
      <c r="H1722">
        <v>9.1</v>
      </c>
      <c r="I1722">
        <v>1783</v>
      </c>
      <c r="J1722">
        <v>28.7</v>
      </c>
      <c r="K1722">
        <v>1482</v>
      </c>
      <c r="L1722">
        <v>16</v>
      </c>
      <c r="M1722">
        <v>1865</v>
      </c>
      <c r="N1722">
        <v>49.5</v>
      </c>
      <c r="O1722">
        <v>821</v>
      </c>
      <c r="P1722" t="s">
        <v>1093</v>
      </c>
      <c r="Q1722" s="1">
        <v>22644</v>
      </c>
      <c r="R1722">
        <v>12.1</v>
      </c>
      <c r="S1722" s="2">
        <v>0.01</v>
      </c>
      <c r="T1722" s="3">
        <v>2.036111111111111</v>
      </c>
      <c r="U1722" s="2">
        <v>0.19</v>
      </c>
      <c r="V1722" t="s">
        <v>3681</v>
      </c>
      <c r="W1722" t="s">
        <v>3682</v>
      </c>
      <c r="X1722" t="b">
        <v>0</v>
      </c>
      <c r="Y1722" t="b">
        <v>0</v>
      </c>
    </row>
    <row r="1723" spans="1:25">
      <c r="A1723">
        <v>17220</v>
      </c>
      <c r="B1723" t="s">
        <v>3251</v>
      </c>
      <c r="C1723" t="s">
        <v>3683</v>
      </c>
      <c r="D1723" t="s">
        <v>3253</v>
      </c>
      <c r="E1723">
        <v>17220</v>
      </c>
      <c r="F1723">
        <v>16.3</v>
      </c>
      <c r="G1723">
        <v>1680</v>
      </c>
      <c r="H1723">
        <v>12.1</v>
      </c>
      <c r="I1723">
        <v>1400</v>
      </c>
      <c r="J1723">
        <v>13.5</v>
      </c>
      <c r="K1723">
        <v>1796</v>
      </c>
      <c r="L1723">
        <v>40.799999999999997</v>
      </c>
      <c r="M1723">
        <v>962</v>
      </c>
      <c r="N1723">
        <v>31.4</v>
      </c>
      <c r="O1723">
        <v>1449</v>
      </c>
      <c r="P1723" t="s">
        <v>94</v>
      </c>
      <c r="Q1723" s="1">
        <v>32810</v>
      </c>
      <c r="R1723">
        <v>34</v>
      </c>
      <c r="S1723" s="2">
        <v>0.05</v>
      </c>
      <c r="T1723" t="s">
        <v>350</v>
      </c>
      <c r="U1723" s="2">
        <v>0.36</v>
      </c>
      <c r="V1723" t="s">
        <v>3683</v>
      </c>
      <c r="W1723" t="s">
        <v>3684</v>
      </c>
      <c r="X1723" t="b">
        <v>0</v>
      </c>
      <c r="Y1723" t="b">
        <v>0</v>
      </c>
    </row>
    <row r="1724" spans="1:25">
      <c r="A1724">
        <v>17230</v>
      </c>
      <c r="B1724" t="s">
        <v>3251</v>
      </c>
      <c r="C1724" t="s">
        <v>3685</v>
      </c>
      <c r="D1724" t="s">
        <v>3253</v>
      </c>
      <c r="E1724">
        <v>17230</v>
      </c>
      <c r="F1724">
        <v>14.5</v>
      </c>
      <c r="G1724">
        <v>1779</v>
      </c>
      <c r="H1724">
        <v>12.1</v>
      </c>
      <c r="I1724">
        <v>1401</v>
      </c>
      <c r="J1724">
        <v>11.6</v>
      </c>
      <c r="K1724">
        <v>1834</v>
      </c>
      <c r="L1724">
        <v>42.8</v>
      </c>
      <c r="M1724">
        <v>927</v>
      </c>
      <c r="N1724">
        <v>27.3</v>
      </c>
      <c r="O1724">
        <v>1606</v>
      </c>
      <c r="P1724" t="s">
        <v>94</v>
      </c>
      <c r="Q1724" s="1">
        <v>15000</v>
      </c>
      <c r="R1724">
        <v>30.7</v>
      </c>
      <c r="S1724" s="2">
        <v>0.01</v>
      </c>
      <c r="T1724" t="s">
        <v>113</v>
      </c>
      <c r="U1724" s="2">
        <v>0.31</v>
      </c>
      <c r="V1724" t="s">
        <v>3685</v>
      </c>
      <c r="W1724" t="s">
        <v>3686</v>
      </c>
      <c r="X1724" t="b">
        <v>0</v>
      </c>
      <c r="Y1724" t="b">
        <v>0</v>
      </c>
    </row>
    <row r="1725" spans="1:25">
      <c r="A1725">
        <v>17240</v>
      </c>
      <c r="B1725" t="s">
        <v>3251</v>
      </c>
      <c r="C1725" t="s">
        <v>3687</v>
      </c>
      <c r="D1725" t="s">
        <v>3253</v>
      </c>
      <c r="E1725">
        <v>17240</v>
      </c>
      <c r="F1725">
        <v>19.600000000000001</v>
      </c>
      <c r="G1725">
        <v>1414</v>
      </c>
      <c r="H1725">
        <v>14.1</v>
      </c>
      <c r="I1725">
        <v>1198</v>
      </c>
      <c r="J1725">
        <v>14.3</v>
      </c>
      <c r="K1725">
        <v>1781</v>
      </c>
      <c r="L1725">
        <v>43.4</v>
      </c>
      <c r="M1725">
        <v>917</v>
      </c>
      <c r="N1725">
        <v>23.6</v>
      </c>
      <c r="O1725">
        <v>1757</v>
      </c>
      <c r="P1725" t="s">
        <v>255</v>
      </c>
      <c r="Q1725" s="1">
        <v>7338</v>
      </c>
      <c r="R1725">
        <v>14.9</v>
      </c>
      <c r="S1725" s="2">
        <v>0.06</v>
      </c>
      <c r="T1725" s="3">
        <v>2.3638888888888889</v>
      </c>
      <c r="U1725" s="2">
        <v>0.42</v>
      </c>
      <c r="V1725" t="s">
        <v>3687</v>
      </c>
      <c r="W1725" t="s">
        <v>3688</v>
      </c>
      <c r="X1725" t="b">
        <v>0</v>
      </c>
      <c r="Y1725" t="b">
        <v>0</v>
      </c>
    </row>
    <row r="1726" spans="1:25">
      <c r="A1726">
        <v>17250</v>
      </c>
      <c r="B1726" t="s">
        <v>3251</v>
      </c>
      <c r="C1726" t="s">
        <v>3689</v>
      </c>
      <c r="D1726" t="s">
        <v>3253</v>
      </c>
      <c r="E1726">
        <v>17250</v>
      </c>
      <c r="F1726">
        <v>15.2</v>
      </c>
      <c r="G1726">
        <v>1745</v>
      </c>
      <c r="H1726">
        <v>8.1</v>
      </c>
      <c r="I1726">
        <v>1876</v>
      </c>
      <c r="J1726">
        <v>21.3</v>
      </c>
      <c r="K1726">
        <v>1655</v>
      </c>
      <c r="L1726">
        <v>16.3</v>
      </c>
      <c r="M1726">
        <v>1830</v>
      </c>
      <c r="N1726">
        <v>32.700000000000003</v>
      </c>
      <c r="O1726">
        <v>1399</v>
      </c>
      <c r="P1726" t="s">
        <v>2290</v>
      </c>
      <c r="Q1726" s="1">
        <v>32215</v>
      </c>
      <c r="R1726">
        <v>22.6</v>
      </c>
      <c r="S1726" s="2">
        <v>0.01</v>
      </c>
      <c r="T1726" s="3">
        <v>2.4868055555555557</v>
      </c>
      <c r="U1726" s="2">
        <v>0.44</v>
      </c>
      <c r="V1726" t="s">
        <v>3689</v>
      </c>
      <c r="W1726" t="s">
        <v>3690</v>
      </c>
      <c r="X1726" t="b">
        <v>0</v>
      </c>
      <c r="Y1726" t="b">
        <v>0</v>
      </c>
    </row>
    <row r="1727" spans="1:25">
      <c r="A1727">
        <v>17260</v>
      </c>
      <c r="B1727" t="s">
        <v>3251</v>
      </c>
      <c r="C1727" t="s">
        <v>3691</v>
      </c>
      <c r="D1727" t="s">
        <v>3253</v>
      </c>
      <c r="E1727">
        <v>17260</v>
      </c>
      <c r="F1727">
        <v>9.4</v>
      </c>
      <c r="G1727">
        <v>1906</v>
      </c>
      <c r="H1727">
        <v>7.5</v>
      </c>
      <c r="I1727">
        <v>1899</v>
      </c>
      <c r="J1727">
        <v>23.7</v>
      </c>
      <c r="K1727">
        <v>1592</v>
      </c>
      <c r="L1727">
        <v>16.899999999999999</v>
      </c>
      <c r="M1727">
        <v>1766</v>
      </c>
      <c r="N1727">
        <v>26.8</v>
      </c>
      <c r="O1727">
        <v>1626</v>
      </c>
      <c r="P1727" t="s">
        <v>2157</v>
      </c>
      <c r="Q1727" s="1">
        <v>45510</v>
      </c>
      <c r="R1727">
        <v>33.6</v>
      </c>
      <c r="S1727" s="2">
        <v>0</v>
      </c>
      <c r="T1727" s="3">
        <v>1.7902777777777779</v>
      </c>
      <c r="U1727" s="2">
        <v>0.44</v>
      </c>
      <c r="V1727" t="s">
        <v>3691</v>
      </c>
      <c r="W1727" t="s">
        <v>3692</v>
      </c>
      <c r="X1727" t="b">
        <v>0</v>
      </c>
      <c r="Y1727" t="b">
        <v>0</v>
      </c>
    </row>
    <row r="1728" spans="1:25">
      <c r="A1728">
        <v>17270</v>
      </c>
      <c r="B1728" t="s">
        <v>3251</v>
      </c>
      <c r="C1728" t="s">
        <v>3693</v>
      </c>
      <c r="D1728" t="s">
        <v>3253</v>
      </c>
      <c r="E1728">
        <v>17270</v>
      </c>
      <c r="F1728">
        <v>13.4</v>
      </c>
      <c r="G1728">
        <v>1829</v>
      </c>
      <c r="H1728">
        <v>12</v>
      </c>
      <c r="I1728">
        <v>1409</v>
      </c>
      <c r="J1728">
        <v>22.6</v>
      </c>
      <c r="K1728">
        <v>1624</v>
      </c>
      <c r="L1728">
        <v>51</v>
      </c>
      <c r="M1728">
        <v>793</v>
      </c>
      <c r="N1728">
        <v>38.4</v>
      </c>
      <c r="O1728">
        <v>1175</v>
      </c>
      <c r="P1728" t="s">
        <v>389</v>
      </c>
      <c r="Q1728" s="1">
        <v>18146</v>
      </c>
      <c r="R1728">
        <v>21.6</v>
      </c>
      <c r="S1728" s="2">
        <v>0.11</v>
      </c>
      <c r="T1728" s="3">
        <v>2.5687500000000001</v>
      </c>
      <c r="U1728" s="2">
        <v>0.23</v>
      </c>
      <c r="V1728" t="s">
        <v>3693</v>
      </c>
      <c r="W1728" t="s">
        <v>3694</v>
      </c>
      <c r="X1728" t="b">
        <v>0</v>
      </c>
      <c r="Y1728" t="b">
        <v>0</v>
      </c>
    </row>
    <row r="1729" spans="1:25">
      <c r="A1729">
        <v>17280</v>
      </c>
      <c r="B1729" t="s">
        <v>3251</v>
      </c>
      <c r="C1729" t="s">
        <v>3695</v>
      </c>
      <c r="D1729" t="s">
        <v>3253</v>
      </c>
      <c r="E1729">
        <v>17280</v>
      </c>
      <c r="F1729">
        <v>15</v>
      </c>
      <c r="G1729">
        <v>1752</v>
      </c>
      <c r="H1729">
        <v>11.7</v>
      </c>
      <c r="I1729">
        <v>1442</v>
      </c>
      <c r="J1729">
        <v>8.6</v>
      </c>
      <c r="K1729">
        <v>1876</v>
      </c>
      <c r="L1729">
        <v>48.1</v>
      </c>
      <c r="M1729">
        <v>840</v>
      </c>
      <c r="N1729">
        <v>22.2</v>
      </c>
      <c r="O1729">
        <v>1804</v>
      </c>
      <c r="P1729" t="s">
        <v>255</v>
      </c>
      <c r="Q1729" s="1">
        <v>26765</v>
      </c>
      <c r="R1729">
        <v>21.5</v>
      </c>
      <c r="S1729" s="2">
        <v>0.05</v>
      </c>
      <c r="T1729" t="s">
        <v>796</v>
      </c>
      <c r="U1729" s="2">
        <v>0.42</v>
      </c>
      <c r="V1729" t="s">
        <v>3695</v>
      </c>
      <c r="W1729" t="s">
        <v>3696</v>
      </c>
      <c r="X1729" t="b">
        <v>0</v>
      </c>
      <c r="Y1729" t="b">
        <v>0</v>
      </c>
    </row>
    <row r="1730" spans="1:25">
      <c r="A1730">
        <v>17290</v>
      </c>
      <c r="B1730" t="s">
        <v>3251</v>
      </c>
      <c r="C1730" t="s">
        <v>3697</v>
      </c>
      <c r="D1730" t="s">
        <v>3253</v>
      </c>
      <c r="E1730">
        <v>17290</v>
      </c>
      <c r="F1730">
        <v>25.6</v>
      </c>
      <c r="G1730">
        <v>968</v>
      </c>
      <c r="H1730">
        <v>13.4</v>
      </c>
      <c r="I1730">
        <v>1270</v>
      </c>
      <c r="J1730">
        <v>16.100000000000001</v>
      </c>
      <c r="K1730">
        <v>1744</v>
      </c>
      <c r="L1730">
        <v>21.7</v>
      </c>
      <c r="M1730">
        <v>1455</v>
      </c>
      <c r="N1730">
        <v>31.7</v>
      </c>
      <c r="O1730">
        <v>1441</v>
      </c>
      <c r="P1730" t="s">
        <v>691</v>
      </c>
      <c r="Q1730" s="1">
        <v>7808</v>
      </c>
      <c r="R1730">
        <v>14.9</v>
      </c>
      <c r="S1730" s="2">
        <v>0.05</v>
      </c>
      <c r="T1730" s="3">
        <v>2.036111111111111</v>
      </c>
      <c r="U1730" s="2">
        <v>0.5</v>
      </c>
      <c r="V1730" t="s">
        <v>3697</v>
      </c>
      <c r="W1730" t="s">
        <v>3698</v>
      </c>
      <c r="X1730" t="b">
        <v>0</v>
      </c>
      <c r="Y1730" t="b">
        <v>0</v>
      </c>
    </row>
    <row r="1731" spans="1:25">
      <c r="A1731">
        <v>17300</v>
      </c>
      <c r="B1731" t="s">
        <v>3251</v>
      </c>
      <c r="C1731" t="s">
        <v>3699</v>
      </c>
      <c r="D1731" t="s">
        <v>3253</v>
      </c>
      <c r="E1731">
        <v>17300</v>
      </c>
      <c r="F1731">
        <v>27.4</v>
      </c>
      <c r="G1731">
        <v>854</v>
      </c>
      <c r="H1731">
        <v>11.8</v>
      </c>
      <c r="I1731">
        <v>1430</v>
      </c>
      <c r="J1731">
        <v>24.3</v>
      </c>
      <c r="K1731">
        <v>1579</v>
      </c>
      <c r="L1731">
        <v>44</v>
      </c>
      <c r="M1731">
        <v>908</v>
      </c>
      <c r="N1731">
        <v>27.8</v>
      </c>
      <c r="O1731">
        <v>1589</v>
      </c>
      <c r="P1731" t="s">
        <v>94</v>
      </c>
      <c r="Q1731" s="1">
        <v>5447</v>
      </c>
      <c r="R1731">
        <v>7.4</v>
      </c>
      <c r="S1731" s="2">
        <v>0.03</v>
      </c>
      <c r="T1731" t="s">
        <v>801</v>
      </c>
      <c r="U1731" s="2">
        <v>0.19</v>
      </c>
      <c r="V1731" t="s">
        <v>3699</v>
      </c>
      <c r="W1731" t="s">
        <v>3700</v>
      </c>
      <c r="X1731" t="b">
        <v>0</v>
      </c>
      <c r="Y1731" t="b">
        <v>0</v>
      </c>
    </row>
    <row r="1732" spans="1:25">
      <c r="A1732">
        <v>17310</v>
      </c>
      <c r="B1732" t="s">
        <v>3251</v>
      </c>
      <c r="C1732" t="s">
        <v>3701</v>
      </c>
      <c r="D1732" t="s">
        <v>3253</v>
      </c>
      <c r="E1732">
        <v>17310</v>
      </c>
      <c r="F1732">
        <v>18.100000000000001</v>
      </c>
      <c r="G1732">
        <v>1545</v>
      </c>
      <c r="H1732">
        <v>9.1999999999999993</v>
      </c>
      <c r="I1732">
        <v>1764</v>
      </c>
      <c r="J1732">
        <v>10.3</v>
      </c>
      <c r="K1732">
        <v>1853</v>
      </c>
      <c r="L1732">
        <v>17.899999999999999</v>
      </c>
      <c r="M1732">
        <v>1677</v>
      </c>
      <c r="N1732">
        <v>34.299999999999997</v>
      </c>
      <c r="O1732">
        <v>1347</v>
      </c>
      <c r="P1732" t="s">
        <v>2290</v>
      </c>
      <c r="Q1732" s="1">
        <v>35110</v>
      </c>
      <c r="R1732">
        <v>17.7</v>
      </c>
      <c r="S1732" s="2">
        <v>0.01</v>
      </c>
      <c r="T1732" s="3">
        <v>2.3229166666666665</v>
      </c>
      <c r="U1732" s="2">
        <v>0.39</v>
      </c>
      <c r="V1732" t="s">
        <v>3701</v>
      </c>
      <c r="W1732" t="s">
        <v>3702</v>
      </c>
      <c r="X1732" t="b">
        <v>0</v>
      </c>
      <c r="Y1732" t="b">
        <v>0</v>
      </c>
    </row>
    <row r="1733" spans="1:25">
      <c r="A1733">
        <v>17320</v>
      </c>
      <c r="B1733" t="s">
        <v>3251</v>
      </c>
      <c r="C1733" t="s">
        <v>3703</v>
      </c>
      <c r="D1733" t="s">
        <v>3253</v>
      </c>
      <c r="E1733">
        <v>17320</v>
      </c>
      <c r="F1733">
        <v>19.2</v>
      </c>
      <c r="G1733">
        <v>1454</v>
      </c>
      <c r="H1733">
        <v>9.9</v>
      </c>
      <c r="I1733">
        <v>1656</v>
      </c>
      <c r="J1733">
        <v>33.6</v>
      </c>
      <c r="K1733">
        <v>1364</v>
      </c>
      <c r="L1733">
        <v>16.399999999999999</v>
      </c>
      <c r="M1733">
        <v>1820</v>
      </c>
      <c r="N1733">
        <v>35.1</v>
      </c>
      <c r="O1733">
        <v>1314</v>
      </c>
      <c r="P1733" t="s">
        <v>2536</v>
      </c>
      <c r="Q1733" s="1">
        <v>84135</v>
      </c>
      <c r="R1733">
        <v>82.1</v>
      </c>
      <c r="S1733" s="2">
        <v>0.01</v>
      </c>
      <c r="T1733" s="3">
        <v>2.036111111111111</v>
      </c>
      <c r="U1733" s="2">
        <v>0.34</v>
      </c>
      <c r="V1733" t="s">
        <v>3703</v>
      </c>
      <c r="W1733" t="s">
        <v>3704</v>
      </c>
      <c r="X1733" t="b">
        <v>0</v>
      </c>
      <c r="Y1733" t="b">
        <v>0</v>
      </c>
    </row>
    <row r="1734" spans="1:25">
      <c r="A1734">
        <v>17330</v>
      </c>
      <c r="B1734" t="s">
        <v>3251</v>
      </c>
      <c r="C1734" t="s">
        <v>3705</v>
      </c>
      <c r="D1734" t="s">
        <v>3253</v>
      </c>
      <c r="E1734">
        <v>17330</v>
      </c>
      <c r="F1734">
        <v>13</v>
      </c>
      <c r="G1734">
        <v>1844</v>
      </c>
      <c r="H1734">
        <v>12.6</v>
      </c>
      <c r="I1734">
        <v>1350</v>
      </c>
      <c r="J1734">
        <v>23.8</v>
      </c>
      <c r="K1734">
        <v>1589</v>
      </c>
      <c r="L1734">
        <v>25.4</v>
      </c>
      <c r="M1734">
        <v>1323</v>
      </c>
      <c r="N1734">
        <v>41.8</v>
      </c>
      <c r="O1734">
        <v>1061</v>
      </c>
      <c r="P1734" t="s">
        <v>3706</v>
      </c>
      <c r="Q1734" s="1">
        <v>15618</v>
      </c>
      <c r="R1734">
        <v>20.3</v>
      </c>
      <c r="S1734" s="2">
        <v>0.02</v>
      </c>
      <c r="T1734" s="3">
        <v>2.8555555555555556</v>
      </c>
      <c r="U1734" s="2">
        <v>0.28999999999999998</v>
      </c>
      <c r="V1734" t="s">
        <v>3705</v>
      </c>
      <c r="W1734" t="s">
        <v>3707</v>
      </c>
      <c r="X1734" t="b">
        <v>0</v>
      </c>
      <c r="Y1734" t="b">
        <v>0</v>
      </c>
    </row>
    <row r="1735" spans="1:25">
      <c r="A1735">
        <v>17340</v>
      </c>
      <c r="B1735" t="s">
        <v>3251</v>
      </c>
      <c r="C1735" t="s">
        <v>3708</v>
      </c>
      <c r="D1735" t="s">
        <v>3253</v>
      </c>
      <c r="E1735">
        <v>17340</v>
      </c>
      <c r="F1735">
        <v>17</v>
      </c>
      <c r="G1735">
        <v>1627</v>
      </c>
      <c r="H1735">
        <v>10.3</v>
      </c>
      <c r="I1735">
        <v>1614</v>
      </c>
      <c r="J1735">
        <v>11</v>
      </c>
      <c r="K1735">
        <v>1841</v>
      </c>
      <c r="L1735">
        <v>19</v>
      </c>
      <c r="M1735">
        <v>1592</v>
      </c>
      <c r="N1735">
        <v>32.299999999999997</v>
      </c>
      <c r="O1735">
        <v>1415</v>
      </c>
      <c r="P1735" t="s">
        <v>255</v>
      </c>
      <c r="Q1735" s="1">
        <v>10148</v>
      </c>
      <c r="R1735">
        <v>16</v>
      </c>
      <c r="S1735" s="2">
        <v>0.13</v>
      </c>
      <c r="T1735" t="s">
        <v>501</v>
      </c>
      <c r="U1735" s="2">
        <v>0.41</v>
      </c>
      <c r="V1735" t="s">
        <v>3708</v>
      </c>
      <c r="W1735" t="s">
        <v>3709</v>
      </c>
      <c r="X1735" t="b">
        <v>0</v>
      </c>
      <c r="Y1735" t="b">
        <v>0</v>
      </c>
    </row>
    <row r="1736" spans="1:25">
      <c r="A1736">
        <v>17350</v>
      </c>
      <c r="B1736" t="s">
        <v>3251</v>
      </c>
      <c r="C1736" t="s">
        <v>3710</v>
      </c>
      <c r="D1736" t="s">
        <v>3253</v>
      </c>
      <c r="E1736">
        <v>17350</v>
      </c>
      <c r="F1736">
        <v>20.3</v>
      </c>
      <c r="G1736">
        <v>1350</v>
      </c>
      <c r="H1736">
        <v>11.6</v>
      </c>
      <c r="I1736">
        <v>1457</v>
      </c>
      <c r="J1736">
        <v>25.3</v>
      </c>
      <c r="K1736">
        <v>1557</v>
      </c>
      <c r="L1736">
        <v>39.6</v>
      </c>
      <c r="M1736">
        <v>991</v>
      </c>
      <c r="N1736">
        <v>25</v>
      </c>
      <c r="O1736">
        <v>1709</v>
      </c>
      <c r="P1736" t="s">
        <v>255</v>
      </c>
      <c r="Q1736" s="1">
        <v>12468</v>
      </c>
      <c r="R1736">
        <v>13.3</v>
      </c>
      <c r="S1736" s="2">
        <v>7.0000000000000007E-2</v>
      </c>
      <c r="U1736" s="2">
        <v>0.55000000000000004</v>
      </c>
      <c r="V1736" t="s">
        <v>3710</v>
      </c>
      <c r="W1736" t="s">
        <v>3711</v>
      </c>
      <c r="X1736" t="b">
        <v>0</v>
      </c>
      <c r="Y1736" t="b">
        <v>0</v>
      </c>
    </row>
    <row r="1737" spans="1:25">
      <c r="A1737">
        <v>17360</v>
      </c>
      <c r="B1737" t="s">
        <v>3251</v>
      </c>
      <c r="C1737" t="s">
        <v>3712</v>
      </c>
      <c r="D1737" t="s">
        <v>3253</v>
      </c>
      <c r="E1737">
        <v>17360</v>
      </c>
      <c r="F1737">
        <v>14.8</v>
      </c>
      <c r="G1737">
        <v>1768</v>
      </c>
      <c r="H1737">
        <v>9.9</v>
      </c>
      <c r="I1737">
        <v>1657</v>
      </c>
      <c r="J1737">
        <v>16.3</v>
      </c>
      <c r="K1737">
        <v>1743</v>
      </c>
      <c r="L1737">
        <v>28.8</v>
      </c>
      <c r="M1737">
        <v>1210</v>
      </c>
      <c r="N1737">
        <v>20.100000000000001</v>
      </c>
      <c r="O1737">
        <v>1867</v>
      </c>
      <c r="P1737" t="s">
        <v>2157</v>
      </c>
      <c r="Q1737" s="1">
        <v>59250</v>
      </c>
      <c r="R1737">
        <v>20.2</v>
      </c>
      <c r="S1737" s="2">
        <v>0</v>
      </c>
      <c r="T1737" s="3">
        <v>1.9951388888888888</v>
      </c>
      <c r="U1737" s="2">
        <v>0.36</v>
      </c>
      <c r="V1737" t="s">
        <v>3712</v>
      </c>
      <c r="W1737" t="s">
        <v>3713</v>
      </c>
      <c r="X1737" t="b">
        <v>0</v>
      </c>
      <c r="Y1737" t="b">
        <v>0</v>
      </c>
    </row>
    <row r="1738" spans="1:25">
      <c r="A1738">
        <v>17370</v>
      </c>
      <c r="B1738" t="s">
        <v>3251</v>
      </c>
      <c r="C1738" t="s">
        <v>3714</v>
      </c>
      <c r="D1738" t="s">
        <v>3253</v>
      </c>
      <c r="E1738">
        <v>17370</v>
      </c>
      <c r="F1738">
        <v>9.6</v>
      </c>
      <c r="G1738">
        <v>1905</v>
      </c>
      <c r="H1738">
        <v>9.1</v>
      </c>
      <c r="I1738">
        <v>1784</v>
      </c>
      <c r="J1738">
        <v>40.9</v>
      </c>
      <c r="K1738">
        <v>1206</v>
      </c>
      <c r="L1738">
        <v>16.5</v>
      </c>
      <c r="M1738">
        <v>1811</v>
      </c>
      <c r="N1738">
        <v>25.9</v>
      </c>
      <c r="O1738">
        <v>1666</v>
      </c>
      <c r="P1738" t="s">
        <v>2536</v>
      </c>
      <c r="Q1738" s="1">
        <v>80390</v>
      </c>
      <c r="R1738">
        <v>71</v>
      </c>
      <c r="S1738" s="2">
        <v>0</v>
      </c>
      <c r="T1738" s="3">
        <v>2.2819444444444446</v>
      </c>
      <c r="U1738" s="2">
        <v>0.44</v>
      </c>
      <c r="V1738" t="s">
        <v>3714</v>
      </c>
      <c r="W1738" t="s">
        <v>3715</v>
      </c>
      <c r="X1738" t="b">
        <v>0</v>
      </c>
      <c r="Y1738" t="b">
        <v>0</v>
      </c>
    </row>
    <row r="1739" spans="1:25">
      <c r="A1739">
        <v>17380</v>
      </c>
      <c r="B1739" t="s">
        <v>3251</v>
      </c>
      <c r="C1739" t="s">
        <v>3716</v>
      </c>
      <c r="D1739" t="s">
        <v>3253</v>
      </c>
      <c r="E1739">
        <v>17380</v>
      </c>
      <c r="F1739">
        <v>16.8</v>
      </c>
      <c r="G1739">
        <v>1647</v>
      </c>
      <c r="H1739">
        <v>7.6</v>
      </c>
      <c r="I1739">
        <v>1895</v>
      </c>
      <c r="J1739">
        <v>6.6</v>
      </c>
      <c r="K1739">
        <v>1895</v>
      </c>
      <c r="L1739">
        <v>17.2</v>
      </c>
      <c r="M1739">
        <v>1739</v>
      </c>
      <c r="N1739">
        <v>45.4</v>
      </c>
      <c r="O1739">
        <v>950</v>
      </c>
      <c r="P1739" t="s">
        <v>2290</v>
      </c>
      <c r="Q1739" s="1">
        <v>43829</v>
      </c>
      <c r="R1739">
        <v>20.8</v>
      </c>
      <c r="S1739" s="2">
        <v>0</v>
      </c>
      <c r="T1739" s="3">
        <v>2.5687500000000001</v>
      </c>
      <c r="U1739" s="2">
        <v>0.37</v>
      </c>
      <c r="V1739" t="s">
        <v>3716</v>
      </c>
      <c r="W1739" t="s">
        <v>3717</v>
      </c>
      <c r="X1739" t="b">
        <v>0</v>
      </c>
      <c r="Y1739" t="b">
        <v>0</v>
      </c>
    </row>
    <row r="1740" spans="1:25">
      <c r="A1740">
        <v>17390</v>
      </c>
      <c r="B1740" t="s">
        <v>3251</v>
      </c>
      <c r="C1740" t="s">
        <v>3718</v>
      </c>
      <c r="D1740" t="s">
        <v>3253</v>
      </c>
      <c r="E1740">
        <v>17390</v>
      </c>
      <c r="F1740">
        <v>21.7</v>
      </c>
      <c r="G1740">
        <v>1254</v>
      </c>
      <c r="H1740">
        <v>10.6</v>
      </c>
      <c r="I1740">
        <v>1577</v>
      </c>
      <c r="J1740">
        <v>22.9</v>
      </c>
      <c r="K1740">
        <v>1617</v>
      </c>
      <c r="L1740">
        <v>33.5</v>
      </c>
      <c r="M1740">
        <v>1122</v>
      </c>
      <c r="N1740">
        <v>40</v>
      </c>
      <c r="O1740">
        <v>1117</v>
      </c>
      <c r="P1740" t="s">
        <v>94</v>
      </c>
      <c r="Q1740" s="1">
        <v>3364</v>
      </c>
      <c r="R1740">
        <v>20.5</v>
      </c>
      <c r="S1740" s="2">
        <v>0.06</v>
      </c>
      <c r="T1740">
        <v>0.6430555555555556</v>
      </c>
      <c r="U1740" s="2">
        <v>0.42</v>
      </c>
      <c r="V1740" t="s">
        <v>3719</v>
      </c>
      <c r="W1740" t="s">
        <v>3720</v>
      </c>
      <c r="X1740" t="b">
        <v>0</v>
      </c>
      <c r="Y1740" t="b">
        <v>0</v>
      </c>
    </row>
    <row r="1741" spans="1:25">
      <c r="A1741">
        <v>17400</v>
      </c>
      <c r="B1741" t="s">
        <v>3251</v>
      </c>
      <c r="C1741" t="s">
        <v>3721</v>
      </c>
      <c r="D1741" t="s">
        <v>3253</v>
      </c>
      <c r="E1741">
        <v>17400</v>
      </c>
      <c r="F1741">
        <v>25.3</v>
      </c>
      <c r="G1741">
        <v>982</v>
      </c>
      <c r="H1741">
        <v>8.4</v>
      </c>
      <c r="I1741">
        <v>1859</v>
      </c>
      <c r="J1741">
        <v>16</v>
      </c>
      <c r="K1741">
        <v>1746</v>
      </c>
      <c r="L1741">
        <v>19.100000000000001</v>
      </c>
      <c r="M1741">
        <v>1583</v>
      </c>
      <c r="N1741">
        <v>32.5</v>
      </c>
      <c r="O1741">
        <v>1405</v>
      </c>
      <c r="P1741" t="s">
        <v>2157</v>
      </c>
      <c r="Q1741" s="1">
        <v>30964</v>
      </c>
      <c r="R1741">
        <v>6.5</v>
      </c>
      <c r="S1741" s="2">
        <v>0.01</v>
      </c>
      <c r="T1741" s="3">
        <v>2.2000000000000002</v>
      </c>
      <c r="U1741" s="2">
        <v>0.33</v>
      </c>
      <c r="V1741" t="s">
        <v>3721</v>
      </c>
      <c r="W1741" t="s">
        <v>3722</v>
      </c>
      <c r="X1741" t="b">
        <v>0</v>
      </c>
      <c r="Y1741" t="b">
        <v>0</v>
      </c>
    </row>
    <row r="1742" spans="1:25">
      <c r="A1742">
        <v>17410</v>
      </c>
      <c r="B1742" t="s">
        <v>3251</v>
      </c>
      <c r="C1742" t="s">
        <v>3723</v>
      </c>
      <c r="D1742" t="s">
        <v>3253</v>
      </c>
      <c r="E1742">
        <v>17410</v>
      </c>
      <c r="F1742">
        <v>28.2</v>
      </c>
      <c r="G1742">
        <v>797</v>
      </c>
      <c r="H1742">
        <v>9</v>
      </c>
      <c r="I1742">
        <v>1797</v>
      </c>
      <c r="J1742">
        <v>23.2</v>
      </c>
      <c r="K1742">
        <v>1605</v>
      </c>
      <c r="L1742">
        <v>22.3</v>
      </c>
      <c r="M1742">
        <v>1429</v>
      </c>
      <c r="N1742">
        <v>42.3</v>
      </c>
      <c r="O1742">
        <v>1043</v>
      </c>
      <c r="P1742" t="s">
        <v>528</v>
      </c>
      <c r="Q1742" s="1">
        <v>10130</v>
      </c>
      <c r="R1742">
        <v>25.8</v>
      </c>
      <c r="S1742" s="2">
        <v>0.08</v>
      </c>
      <c r="T1742" t="s">
        <v>51</v>
      </c>
      <c r="U1742" s="2">
        <v>0.31</v>
      </c>
      <c r="V1742" t="s">
        <v>3723</v>
      </c>
      <c r="W1742" t="s">
        <v>3724</v>
      </c>
      <c r="X1742" t="b">
        <v>0</v>
      </c>
      <c r="Y1742" t="b">
        <v>0</v>
      </c>
    </row>
    <row r="1743" spans="1:25">
      <c r="A1743">
        <v>17420</v>
      </c>
      <c r="B1743" t="s">
        <v>3251</v>
      </c>
      <c r="C1743" t="s">
        <v>3725</v>
      </c>
      <c r="D1743" t="s">
        <v>3253</v>
      </c>
      <c r="E1743">
        <v>17420</v>
      </c>
      <c r="F1743">
        <v>12</v>
      </c>
      <c r="G1743">
        <v>1878</v>
      </c>
      <c r="H1743">
        <v>9.4</v>
      </c>
      <c r="I1743">
        <v>1737</v>
      </c>
      <c r="J1743">
        <v>16.899999999999999</v>
      </c>
      <c r="K1743">
        <v>1735</v>
      </c>
      <c r="L1743">
        <v>24.1</v>
      </c>
      <c r="M1743">
        <v>1366</v>
      </c>
      <c r="N1743">
        <v>29.2</v>
      </c>
      <c r="O1743">
        <v>1534</v>
      </c>
      <c r="P1743" t="s">
        <v>3726</v>
      </c>
      <c r="Q1743" s="1">
        <v>50145</v>
      </c>
      <c r="R1743">
        <v>35.200000000000003</v>
      </c>
      <c r="S1743" s="2">
        <v>0</v>
      </c>
      <c r="T1743" s="3">
        <v>2.6506944444444445</v>
      </c>
      <c r="U1743" s="2">
        <v>0.31</v>
      </c>
      <c r="V1743" t="s">
        <v>3725</v>
      </c>
      <c r="W1743" t="s">
        <v>3727</v>
      </c>
      <c r="X1743" t="b">
        <v>0</v>
      </c>
      <c r="Y1743" t="b">
        <v>0</v>
      </c>
    </row>
    <row r="1744" spans="1:25">
      <c r="A1744">
        <v>17430</v>
      </c>
      <c r="B1744" t="s">
        <v>3251</v>
      </c>
      <c r="C1744" t="s">
        <v>3728</v>
      </c>
      <c r="D1744" t="s">
        <v>3253</v>
      </c>
      <c r="E1744">
        <v>17430</v>
      </c>
      <c r="F1744">
        <v>24.3</v>
      </c>
      <c r="G1744">
        <v>1058</v>
      </c>
      <c r="H1744">
        <v>8.6999999999999993</v>
      </c>
      <c r="I1744">
        <v>1832</v>
      </c>
      <c r="J1744">
        <v>17.3</v>
      </c>
      <c r="K1744">
        <v>1724</v>
      </c>
      <c r="L1744">
        <v>22.4</v>
      </c>
      <c r="M1744">
        <v>1425</v>
      </c>
      <c r="N1744">
        <v>41.4</v>
      </c>
      <c r="O1744">
        <v>1070</v>
      </c>
      <c r="P1744" t="s">
        <v>94</v>
      </c>
      <c r="Q1744" s="1">
        <v>2592</v>
      </c>
      <c r="R1744">
        <v>8.6999999999999993</v>
      </c>
      <c r="S1744" s="2">
        <v>0.05</v>
      </c>
      <c r="T1744" s="3">
        <v>4.166666666666667</v>
      </c>
      <c r="U1744" s="2">
        <v>0.35</v>
      </c>
      <c r="V1744" t="s">
        <v>3728</v>
      </c>
      <c r="W1744" t="s">
        <v>3729</v>
      </c>
      <c r="X1744" t="b">
        <v>0</v>
      </c>
      <c r="Y1744" t="b">
        <v>0</v>
      </c>
    </row>
    <row r="1745" spans="1:25">
      <c r="A1745">
        <v>17440</v>
      </c>
      <c r="B1745" t="s">
        <v>3251</v>
      </c>
      <c r="C1745" t="s">
        <v>3730</v>
      </c>
      <c r="D1745" t="s">
        <v>3253</v>
      </c>
      <c r="E1745">
        <v>17440</v>
      </c>
      <c r="F1745">
        <v>15.8</v>
      </c>
      <c r="G1745">
        <v>1711</v>
      </c>
      <c r="H1745">
        <v>10.5</v>
      </c>
      <c r="I1745">
        <v>1591</v>
      </c>
      <c r="J1745">
        <v>14.8</v>
      </c>
      <c r="K1745">
        <v>1771</v>
      </c>
      <c r="L1745">
        <v>28.3</v>
      </c>
      <c r="M1745">
        <v>1227</v>
      </c>
      <c r="N1745">
        <v>33.1</v>
      </c>
      <c r="O1745">
        <v>1387</v>
      </c>
      <c r="P1745" t="s">
        <v>1448</v>
      </c>
      <c r="Q1745" s="1">
        <v>27234</v>
      </c>
      <c r="R1745">
        <v>18.3</v>
      </c>
      <c r="S1745" s="2">
        <v>0.01</v>
      </c>
      <c r="T1745" s="3">
        <v>2.8555555555555556</v>
      </c>
      <c r="U1745" s="2">
        <v>0.28000000000000003</v>
      </c>
      <c r="V1745" t="s">
        <v>3730</v>
      </c>
      <c r="W1745" t="s">
        <v>3731</v>
      </c>
      <c r="X1745" t="b">
        <v>0</v>
      </c>
      <c r="Y1745" t="b">
        <v>0</v>
      </c>
    </row>
    <row r="1746" spans="1:25">
      <c r="A1746">
        <v>17450</v>
      </c>
      <c r="B1746" t="s">
        <v>3251</v>
      </c>
      <c r="C1746" t="s">
        <v>3732</v>
      </c>
      <c r="D1746" t="s">
        <v>3253</v>
      </c>
      <c r="E1746">
        <v>17450</v>
      </c>
      <c r="F1746">
        <v>22.2</v>
      </c>
      <c r="G1746">
        <v>1213</v>
      </c>
      <c r="H1746">
        <v>8.6999999999999993</v>
      </c>
      <c r="I1746">
        <v>1833</v>
      </c>
      <c r="J1746">
        <v>35.200000000000003</v>
      </c>
      <c r="K1746">
        <v>1321</v>
      </c>
      <c r="L1746">
        <v>16.399999999999999</v>
      </c>
      <c r="M1746">
        <v>1821</v>
      </c>
      <c r="N1746">
        <v>23.8</v>
      </c>
      <c r="O1746">
        <v>1751</v>
      </c>
      <c r="P1746" t="s">
        <v>1123</v>
      </c>
      <c r="Q1746" s="1">
        <v>13080</v>
      </c>
      <c r="R1746">
        <v>9.8000000000000007</v>
      </c>
      <c r="S1746" s="2">
        <v>0.05</v>
      </c>
      <c r="T1746" t="s">
        <v>501</v>
      </c>
      <c r="U1746" s="2">
        <v>0.45</v>
      </c>
      <c r="V1746" t="s">
        <v>3732</v>
      </c>
      <c r="W1746" t="s">
        <v>3733</v>
      </c>
      <c r="X1746" t="b">
        <v>0</v>
      </c>
      <c r="Y1746" t="b">
        <v>0</v>
      </c>
    </row>
    <row r="1747" spans="1:25">
      <c r="A1747">
        <v>17460</v>
      </c>
      <c r="B1747" t="s">
        <v>3251</v>
      </c>
      <c r="C1747" t="s">
        <v>3734</v>
      </c>
      <c r="D1747" t="s">
        <v>3253</v>
      </c>
      <c r="E1747">
        <v>17460</v>
      </c>
      <c r="F1747">
        <v>14.4</v>
      </c>
      <c r="G1747">
        <v>1782</v>
      </c>
      <c r="H1747">
        <v>14.1</v>
      </c>
      <c r="I1747">
        <v>1199</v>
      </c>
      <c r="J1747">
        <v>21</v>
      </c>
      <c r="K1747">
        <v>1660</v>
      </c>
      <c r="L1747">
        <v>56.7</v>
      </c>
      <c r="M1747">
        <v>706</v>
      </c>
      <c r="N1747">
        <v>21.8</v>
      </c>
      <c r="O1747">
        <v>1816</v>
      </c>
      <c r="P1747" t="s">
        <v>389</v>
      </c>
      <c r="Q1747" s="1">
        <v>11251</v>
      </c>
      <c r="R1747">
        <v>22.5</v>
      </c>
      <c r="S1747" s="2">
        <v>0.03</v>
      </c>
      <c r="T1747" s="3">
        <v>2.0770833333333334</v>
      </c>
      <c r="U1747" s="2">
        <v>0.27</v>
      </c>
      <c r="V1747" t="s">
        <v>3734</v>
      </c>
      <c r="W1747" t="s">
        <v>3735</v>
      </c>
      <c r="X1747" t="b">
        <v>0</v>
      </c>
      <c r="Y1747" t="b">
        <v>0</v>
      </c>
    </row>
    <row r="1748" spans="1:25">
      <c r="A1748">
        <v>17470</v>
      </c>
      <c r="B1748" t="s">
        <v>3251</v>
      </c>
      <c r="C1748" t="s">
        <v>3736</v>
      </c>
      <c r="D1748" t="s">
        <v>3253</v>
      </c>
      <c r="E1748">
        <v>17470</v>
      </c>
      <c r="F1748">
        <v>20</v>
      </c>
      <c r="G1748">
        <v>1377</v>
      </c>
      <c r="H1748">
        <v>18.399999999999999</v>
      </c>
      <c r="I1748">
        <v>897</v>
      </c>
      <c r="J1748">
        <v>13.3</v>
      </c>
      <c r="K1748">
        <v>1798</v>
      </c>
      <c r="L1748">
        <v>72.099999999999994</v>
      </c>
      <c r="M1748">
        <v>384</v>
      </c>
      <c r="N1748">
        <v>32.1</v>
      </c>
      <c r="O1748">
        <v>1425</v>
      </c>
      <c r="P1748" t="s">
        <v>389</v>
      </c>
      <c r="Q1748" s="1">
        <v>5853</v>
      </c>
      <c r="R1748">
        <v>14.7</v>
      </c>
      <c r="S1748" s="2">
        <v>0.09</v>
      </c>
      <c r="T1748" s="3">
        <v>2.2409722222222221</v>
      </c>
      <c r="U1748" s="2">
        <v>0.35</v>
      </c>
      <c r="V1748" t="s">
        <v>3736</v>
      </c>
      <c r="W1748" t="s">
        <v>3737</v>
      </c>
      <c r="X1748" t="b">
        <v>0</v>
      </c>
      <c r="Y1748" t="b">
        <v>0</v>
      </c>
    </row>
    <row r="1749" spans="1:25">
      <c r="A1749">
        <v>17480</v>
      </c>
      <c r="B1749" t="s">
        <v>3251</v>
      </c>
      <c r="C1749" t="s">
        <v>3738</v>
      </c>
      <c r="D1749" t="s">
        <v>3253</v>
      </c>
      <c r="E1749">
        <v>17480</v>
      </c>
      <c r="F1749">
        <v>18</v>
      </c>
      <c r="G1749">
        <v>1552</v>
      </c>
      <c r="H1749">
        <v>10.3</v>
      </c>
      <c r="I1749">
        <v>1615</v>
      </c>
      <c r="J1749">
        <v>20</v>
      </c>
      <c r="K1749">
        <v>1679</v>
      </c>
      <c r="L1749">
        <v>19.399999999999999</v>
      </c>
      <c r="M1749">
        <v>1568</v>
      </c>
      <c r="N1749">
        <v>37.1</v>
      </c>
      <c r="O1749">
        <v>1237</v>
      </c>
      <c r="P1749" t="s">
        <v>3726</v>
      </c>
      <c r="Q1749" s="1">
        <v>174780</v>
      </c>
      <c r="R1749">
        <v>16.899999999999999</v>
      </c>
      <c r="S1749" s="2">
        <v>0.01</v>
      </c>
      <c r="T1749" s="3">
        <v>2.7326388888888888</v>
      </c>
      <c r="U1749" s="2">
        <v>0.25</v>
      </c>
      <c r="V1749" t="s">
        <v>3738</v>
      </c>
      <c r="W1749" t="s">
        <v>3739</v>
      </c>
      <c r="X1749" t="b">
        <v>0</v>
      </c>
      <c r="Y1749" t="b">
        <v>0</v>
      </c>
    </row>
    <row r="1750" spans="1:25">
      <c r="A1750">
        <v>17490</v>
      </c>
      <c r="B1750" t="s">
        <v>3251</v>
      </c>
      <c r="C1750" t="s">
        <v>3740</v>
      </c>
      <c r="D1750" t="s">
        <v>3253</v>
      </c>
      <c r="E1750">
        <v>17490</v>
      </c>
      <c r="F1750">
        <v>21</v>
      </c>
      <c r="G1750">
        <v>1302</v>
      </c>
      <c r="H1750">
        <v>10</v>
      </c>
      <c r="I1750">
        <v>1643</v>
      </c>
      <c r="J1750">
        <v>11.8</v>
      </c>
      <c r="K1750">
        <v>1829</v>
      </c>
      <c r="L1750">
        <v>21.9</v>
      </c>
      <c r="M1750">
        <v>1444</v>
      </c>
      <c r="N1750">
        <v>45</v>
      </c>
      <c r="O1750">
        <v>961</v>
      </c>
      <c r="P1750" t="s">
        <v>2723</v>
      </c>
      <c r="Q1750" s="1">
        <v>20913</v>
      </c>
      <c r="R1750">
        <v>11</v>
      </c>
      <c r="S1750" s="2">
        <v>0.03</v>
      </c>
      <c r="T1750" s="3">
        <v>2.3638888888888889</v>
      </c>
      <c r="U1750" s="2">
        <v>0.25</v>
      </c>
      <c r="V1750" t="s">
        <v>3740</v>
      </c>
      <c r="W1750" t="s">
        <v>3741</v>
      </c>
      <c r="X1750" t="b">
        <v>0</v>
      </c>
      <c r="Y1750" t="b">
        <v>0</v>
      </c>
    </row>
    <row r="1751" spans="1:25">
      <c r="A1751">
        <v>17500</v>
      </c>
      <c r="B1751" t="s">
        <v>3251</v>
      </c>
      <c r="C1751" t="s">
        <v>3742</v>
      </c>
      <c r="D1751" t="s">
        <v>3253</v>
      </c>
      <c r="E1751">
        <v>17500</v>
      </c>
      <c r="F1751">
        <v>14.1</v>
      </c>
      <c r="G1751">
        <v>1799</v>
      </c>
      <c r="H1751">
        <v>11.7</v>
      </c>
      <c r="I1751">
        <v>1443</v>
      </c>
      <c r="J1751">
        <v>8.4</v>
      </c>
      <c r="K1751">
        <v>1878</v>
      </c>
      <c r="L1751">
        <v>38.700000000000003</v>
      </c>
      <c r="M1751">
        <v>1010</v>
      </c>
      <c r="N1751">
        <v>18.5</v>
      </c>
      <c r="O1751">
        <v>1892</v>
      </c>
      <c r="P1751" t="s">
        <v>389</v>
      </c>
      <c r="Q1751" s="1">
        <v>11134</v>
      </c>
      <c r="R1751">
        <v>19.5</v>
      </c>
      <c r="S1751" s="2">
        <v>0.01</v>
      </c>
      <c r="T1751">
        <v>0.97083333333333333</v>
      </c>
      <c r="U1751" s="2">
        <v>0.44</v>
      </c>
      <c r="V1751" t="s">
        <v>3742</v>
      </c>
      <c r="W1751" t="s">
        <v>3743</v>
      </c>
      <c r="X1751" t="b">
        <v>0</v>
      </c>
      <c r="Y1751" t="b">
        <v>0</v>
      </c>
    </row>
    <row r="1752" spans="1:25">
      <c r="A1752">
        <v>17510</v>
      </c>
      <c r="B1752" t="s">
        <v>3251</v>
      </c>
      <c r="C1752" t="s">
        <v>3744</v>
      </c>
      <c r="D1752" t="s">
        <v>3253</v>
      </c>
      <c r="E1752">
        <v>17510</v>
      </c>
      <c r="F1752">
        <v>13.9</v>
      </c>
      <c r="G1752">
        <v>1810</v>
      </c>
      <c r="H1752">
        <v>14.6</v>
      </c>
      <c r="I1752">
        <v>1155</v>
      </c>
      <c r="J1752">
        <v>23.1</v>
      </c>
      <c r="K1752">
        <v>1610</v>
      </c>
      <c r="L1752">
        <v>37.1</v>
      </c>
      <c r="M1752">
        <v>1044</v>
      </c>
      <c r="N1752">
        <v>32.299999999999997</v>
      </c>
      <c r="O1752">
        <v>1416</v>
      </c>
      <c r="P1752" t="s">
        <v>389</v>
      </c>
      <c r="Q1752" s="1">
        <v>5637</v>
      </c>
      <c r="R1752">
        <v>23.8</v>
      </c>
      <c r="S1752" s="2">
        <v>0.02</v>
      </c>
      <c r="T1752" t="s">
        <v>801</v>
      </c>
      <c r="U1752" s="2">
        <v>0.37</v>
      </c>
      <c r="V1752" t="s">
        <v>3744</v>
      </c>
      <c r="W1752" t="s">
        <v>3745</v>
      </c>
      <c r="X1752" t="b">
        <v>0</v>
      </c>
      <c r="Y1752" t="b">
        <v>0</v>
      </c>
    </row>
    <row r="1753" spans="1:25">
      <c r="A1753">
        <v>17520</v>
      </c>
      <c r="B1753" t="s">
        <v>3251</v>
      </c>
      <c r="C1753" t="s">
        <v>3746</v>
      </c>
      <c r="D1753" t="s">
        <v>3253</v>
      </c>
      <c r="E1753">
        <v>17520</v>
      </c>
      <c r="F1753">
        <v>13.3</v>
      </c>
      <c r="G1753">
        <v>1833</v>
      </c>
      <c r="H1753">
        <v>16</v>
      </c>
      <c r="I1753">
        <v>1049</v>
      </c>
      <c r="J1753">
        <v>12.1</v>
      </c>
      <c r="K1753">
        <v>1820</v>
      </c>
      <c r="L1753">
        <v>28.9</v>
      </c>
      <c r="M1753">
        <v>1206</v>
      </c>
      <c r="N1753">
        <v>30.4</v>
      </c>
      <c r="O1753">
        <v>1486</v>
      </c>
      <c r="P1753" t="s">
        <v>389</v>
      </c>
      <c r="Q1753" s="1">
        <v>5916</v>
      </c>
      <c r="R1753">
        <v>25</v>
      </c>
      <c r="S1753" s="2">
        <v>0.04</v>
      </c>
      <c r="T1753" s="3">
        <v>1.7493055555555554</v>
      </c>
      <c r="U1753" s="2">
        <v>0.4</v>
      </c>
      <c r="V1753" t="s">
        <v>3746</v>
      </c>
      <c r="W1753" t="s">
        <v>3747</v>
      </c>
      <c r="X1753" t="b">
        <v>0</v>
      </c>
      <c r="Y1753" t="b">
        <v>0</v>
      </c>
    </row>
    <row r="1754" spans="1:25">
      <c r="A1754">
        <v>17530</v>
      </c>
      <c r="B1754" t="s">
        <v>3251</v>
      </c>
      <c r="C1754" t="s">
        <v>3748</v>
      </c>
      <c r="D1754" t="s">
        <v>3253</v>
      </c>
      <c r="E1754">
        <v>17530</v>
      </c>
      <c r="F1754">
        <v>20.3</v>
      </c>
      <c r="G1754">
        <v>1351</v>
      </c>
      <c r="H1754">
        <v>8.9</v>
      </c>
      <c r="I1754">
        <v>1816</v>
      </c>
      <c r="J1754">
        <v>30.1</v>
      </c>
      <c r="K1754">
        <v>1444</v>
      </c>
      <c r="L1754">
        <v>25.3</v>
      </c>
      <c r="M1754">
        <v>1329</v>
      </c>
      <c r="N1754">
        <v>25.7</v>
      </c>
      <c r="O1754">
        <v>1678</v>
      </c>
      <c r="P1754" t="s">
        <v>1123</v>
      </c>
      <c r="Q1754" s="1">
        <v>17628</v>
      </c>
      <c r="R1754">
        <v>15.2</v>
      </c>
      <c r="S1754" s="2">
        <v>0.01</v>
      </c>
      <c r="T1754" s="3">
        <v>1.9131944444444444</v>
      </c>
      <c r="U1754" s="2">
        <v>0.33</v>
      </c>
      <c r="V1754" t="s">
        <v>3748</v>
      </c>
      <c r="W1754" t="s">
        <v>3749</v>
      </c>
      <c r="X1754" t="b">
        <v>0</v>
      </c>
      <c r="Y1754" t="b">
        <v>0</v>
      </c>
    </row>
    <row r="1755" spans="1:25">
      <c r="A1755">
        <v>17540</v>
      </c>
      <c r="B1755" t="s">
        <v>3251</v>
      </c>
      <c r="C1755" t="s">
        <v>3750</v>
      </c>
      <c r="D1755" t="s">
        <v>3253</v>
      </c>
      <c r="E1755">
        <v>17540</v>
      </c>
      <c r="F1755">
        <v>23.1</v>
      </c>
      <c r="G1755">
        <v>1146</v>
      </c>
      <c r="H1755">
        <v>9.5</v>
      </c>
      <c r="I1755">
        <v>1715</v>
      </c>
      <c r="J1755">
        <v>9.1999999999999993</v>
      </c>
      <c r="K1755">
        <v>1864</v>
      </c>
      <c r="L1755">
        <v>16.2</v>
      </c>
      <c r="M1755">
        <v>1840</v>
      </c>
      <c r="N1755">
        <v>28.4</v>
      </c>
      <c r="O1755">
        <v>1566</v>
      </c>
      <c r="P1755" t="s">
        <v>1102</v>
      </c>
      <c r="Q1755" s="1">
        <v>8693</v>
      </c>
      <c r="R1755">
        <v>4.5999999999999996</v>
      </c>
      <c r="S1755" s="2">
        <v>0.03</v>
      </c>
      <c r="T1755" s="3">
        <v>2.4048611111111109</v>
      </c>
      <c r="U1755" s="2">
        <v>0.05</v>
      </c>
      <c r="V1755" t="s">
        <v>3750</v>
      </c>
      <c r="W1755" t="s">
        <v>3751</v>
      </c>
      <c r="X1755" t="b">
        <v>0</v>
      </c>
      <c r="Y1755" t="b">
        <v>0</v>
      </c>
    </row>
    <row r="1756" spans="1:25">
      <c r="A1756">
        <v>17550</v>
      </c>
      <c r="B1756" t="s">
        <v>3251</v>
      </c>
      <c r="C1756" t="s">
        <v>3752</v>
      </c>
      <c r="D1756" t="s">
        <v>3253</v>
      </c>
      <c r="E1756">
        <v>17550</v>
      </c>
      <c r="F1756">
        <v>26.8</v>
      </c>
      <c r="G1756">
        <v>884</v>
      </c>
      <c r="H1756">
        <v>16.100000000000001</v>
      </c>
      <c r="I1756">
        <v>1044</v>
      </c>
      <c r="J1756">
        <v>17.600000000000001</v>
      </c>
      <c r="K1756">
        <v>1720</v>
      </c>
      <c r="L1756">
        <v>39.1</v>
      </c>
      <c r="M1756">
        <v>1007</v>
      </c>
      <c r="N1756">
        <v>38</v>
      </c>
      <c r="O1756">
        <v>1200</v>
      </c>
      <c r="P1756" t="s">
        <v>255</v>
      </c>
      <c r="Q1756" s="1">
        <v>9664</v>
      </c>
      <c r="R1756">
        <v>9.3000000000000007</v>
      </c>
      <c r="S1756" s="2">
        <v>0.11</v>
      </c>
      <c r="T1756" s="3">
        <v>2.4458333333333333</v>
      </c>
      <c r="U1756" s="2">
        <v>0.39</v>
      </c>
      <c r="V1756" t="s">
        <v>3752</v>
      </c>
      <c r="W1756" t="s">
        <v>3753</v>
      </c>
      <c r="X1756" t="b">
        <v>0</v>
      </c>
      <c r="Y1756" t="b">
        <v>0</v>
      </c>
    </row>
    <row r="1757" spans="1:25">
      <c r="A1757">
        <v>17560</v>
      </c>
      <c r="B1757" t="s">
        <v>3251</v>
      </c>
      <c r="C1757" t="s">
        <v>3754</v>
      </c>
      <c r="D1757" t="s">
        <v>3253</v>
      </c>
      <c r="E1757">
        <v>17560</v>
      </c>
      <c r="F1757">
        <v>19.2</v>
      </c>
      <c r="G1757">
        <v>1455</v>
      </c>
      <c r="H1757">
        <v>10.7</v>
      </c>
      <c r="I1757">
        <v>1563</v>
      </c>
      <c r="J1757">
        <v>26.9</v>
      </c>
      <c r="K1757">
        <v>1521</v>
      </c>
      <c r="L1757">
        <v>24.6</v>
      </c>
      <c r="M1757">
        <v>1350</v>
      </c>
      <c r="N1757">
        <v>45.4</v>
      </c>
      <c r="O1757">
        <v>951</v>
      </c>
      <c r="P1757" t="s">
        <v>3726</v>
      </c>
      <c r="Q1757" s="1">
        <v>16591</v>
      </c>
      <c r="R1757">
        <v>16.3</v>
      </c>
      <c r="S1757" s="2">
        <v>0.05</v>
      </c>
      <c r="T1757" s="3">
        <v>2.5277777777777777</v>
      </c>
      <c r="U1757" s="2">
        <v>0.24</v>
      </c>
      <c r="V1757" t="s">
        <v>3754</v>
      </c>
      <c r="W1757" t="s">
        <v>3755</v>
      </c>
      <c r="X1757" t="b">
        <v>0</v>
      </c>
      <c r="Y1757" t="b">
        <v>0</v>
      </c>
    </row>
    <row r="1758" spans="1:25">
      <c r="A1758">
        <v>17570</v>
      </c>
      <c r="B1758" t="s">
        <v>3251</v>
      </c>
      <c r="C1758" t="s">
        <v>3756</v>
      </c>
      <c r="D1758" t="s">
        <v>3253</v>
      </c>
      <c r="E1758">
        <v>17570</v>
      </c>
      <c r="F1758">
        <v>18.2</v>
      </c>
      <c r="G1758">
        <v>1537</v>
      </c>
      <c r="H1758">
        <v>11.5</v>
      </c>
      <c r="I1758">
        <v>1469</v>
      </c>
      <c r="J1758">
        <v>27.5</v>
      </c>
      <c r="K1758">
        <v>1508</v>
      </c>
      <c r="L1758">
        <v>24.1</v>
      </c>
      <c r="M1758">
        <v>1367</v>
      </c>
      <c r="N1758">
        <v>20.6</v>
      </c>
      <c r="O1758">
        <v>1848</v>
      </c>
      <c r="P1758" t="s">
        <v>389</v>
      </c>
      <c r="Q1758" s="1">
        <v>16191</v>
      </c>
      <c r="R1758">
        <v>12.3</v>
      </c>
      <c r="S1758" s="2">
        <v>0.01</v>
      </c>
      <c r="T1758" s="3">
        <v>2.8965277777777776</v>
      </c>
      <c r="U1758" s="2">
        <v>0.3</v>
      </c>
      <c r="V1758" t="s">
        <v>3756</v>
      </c>
      <c r="W1758" t="s">
        <v>3757</v>
      </c>
      <c r="X1758" t="b">
        <v>0</v>
      </c>
      <c r="Y1758" t="b">
        <v>0</v>
      </c>
    </row>
    <row r="1759" spans="1:25">
      <c r="A1759">
        <v>17580</v>
      </c>
      <c r="B1759" t="s">
        <v>3251</v>
      </c>
      <c r="C1759" t="s">
        <v>3758</v>
      </c>
      <c r="D1759" t="s">
        <v>3253</v>
      </c>
      <c r="E1759">
        <v>17580</v>
      </c>
      <c r="F1759">
        <v>20.6</v>
      </c>
      <c r="G1759">
        <v>1332</v>
      </c>
      <c r="H1759">
        <v>15.1</v>
      </c>
      <c r="I1759">
        <v>1116</v>
      </c>
      <c r="J1759">
        <v>22.4</v>
      </c>
      <c r="K1759">
        <v>1628</v>
      </c>
      <c r="L1759">
        <v>23.3</v>
      </c>
      <c r="M1759">
        <v>1387</v>
      </c>
      <c r="N1759">
        <v>30.5</v>
      </c>
      <c r="O1759">
        <v>1480</v>
      </c>
      <c r="P1759" t="s">
        <v>389</v>
      </c>
      <c r="Q1759" s="1">
        <v>8386</v>
      </c>
      <c r="R1759">
        <v>15.7</v>
      </c>
      <c r="S1759" s="2">
        <v>0.06</v>
      </c>
      <c r="T1759" s="3">
        <v>2.3229166666666665</v>
      </c>
      <c r="U1759" s="2">
        <v>0.2</v>
      </c>
      <c r="V1759" t="s">
        <v>3758</v>
      </c>
      <c r="W1759" t="s">
        <v>3759</v>
      </c>
      <c r="X1759" t="b">
        <v>0</v>
      </c>
      <c r="Y1759" t="b">
        <v>0</v>
      </c>
    </row>
    <row r="1760" spans="1:25">
      <c r="A1760">
        <v>17590</v>
      </c>
      <c r="B1760" t="s">
        <v>3251</v>
      </c>
      <c r="C1760" t="s">
        <v>3760</v>
      </c>
      <c r="D1760" t="s">
        <v>3253</v>
      </c>
      <c r="E1760">
        <v>17590</v>
      </c>
      <c r="F1760">
        <v>13.5</v>
      </c>
      <c r="G1760">
        <v>1820</v>
      </c>
      <c r="H1760">
        <v>11.7</v>
      </c>
      <c r="I1760">
        <v>1444</v>
      </c>
      <c r="J1760">
        <v>15.7</v>
      </c>
      <c r="K1760">
        <v>1755</v>
      </c>
      <c r="L1760">
        <v>41.8</v>
      </c>
      <c r="M1760">
        <v>942</v>
      </c>
      <c r="N1760">
        <v>20.5</v>
      </c>
      <c r="O1760">
        <v>1852</v>
      </c>
      <c r="P1760" t="s">
        <v>389</v>
      </c>
      <c r="Q1760" s="1">
        <v>7415</v>
      </c>
      <c r="R1760">
        <v>20.6</v>
      </c>
      <c r="S1760" s="2">
        <v>0.01</v>
      </c>
      <c r="T1760" t="s">
        <v>324</v>
      </c>
      <c r="U1760" s="2">
        <v>0.39</v>
      </c>
      <c r="V1760" t="s">
        <v>3760</v>
      </c>
      <c r="W1760" t="s">
        <v>3761</v>
      </c>
      <c r="X1760" t="b">
        <v>0</v>
      </c>
      <c r="Y1760" t="b">
        <v>0</v>
      </c>
    </row>
    <row r="1761" spans="1:25">
      <c r="A1761">
        <v>17600</v>
      </c>
      <c r="B1761" t="s">
        <v>3251</v>
      </c>
      <c r="C1761" t="s">
        <v>3762</v>
      </c>
      <c r="D1761" t="s">
        <v>3253</v>
      </c>
      <c r="E1761">
        <v>17600</v>
      </c>
      <c r="F1761">
        <v>12.7</v>
      </c>
      <c r="G1761">
        <v>1858</v>
      </c>
      <c r="H1761">
        <v>13.1</v>
      </c>
      <c r="I1761">
        <v>1293</v>
      </c>
      <c r="J1761">
        <v>19.8</v>
      </c>
      <c r="K1761">
        <v>1684</v>
      </c>
      <c r="L1761">
        <v>26.3</v>
      </c>
      <c r="M1761">
        <v>1287</v>
      </c>
      <c r="N1761">
        <v>49.9</v>
      </c>
      <c r="O1761">
        <v>805</v>
      </c>
      <c r="P1761" t="s">
        <v>1102</v>
      </c>
      <c r="Q1761" s="1">
        <v>12878</v>
      </c>
      <c r="R1761">
        <v>24</v>
      </c>
      <c r="S1761" s="2">
        <v>0</v>
      </c>
      <c r="T1761" t="s">
        <v>40</v>
      </c>
      <c r="U1761" s="2">
        <v>0.48</v>
      </c>
      <c r="V1761" t="s">
        <v>3762</v>
      </c>
      <c r="W1761" t="s">
        <v>3763</v>
      </c>
      <c r="X1761" t="b">
        <v>0</v>
      </c>
      <c r="Y1761" t="b">
        <v>0</v>
      </c>
    </row>
    <row r="1762" spans="1:25">
      <c r="A1762">
        <v>17610</v>
      </c>
      <c r="B1762" t="s">
        <v>3251</v>
      </c>
      <c r="C1762" t="s">
        <v>3764</v>
      </c>
      <c r="D1762" t="s">
        <v>3253</v>
      </c>
      <c r="E1762">
        <v>17610</v>
      </c>
      <c r="F1762">
        <v>13.5</v>
      </c>
      <c r="G1762">
        <v>1821</v>
      </c>
      <c r="H1762">
        <v>9</v>
      </c>
      <c r="I1762">
        <v>1799</v>
      </c>
      <c r="J1762">
        <v>27.2</v>
      </c>
      <c r="K1762">
        <v>1516</v>
      </c>
      <c r="L1762">
        <v>15.6</v>
      </c>
      <c r="M1762">
        <v>1902</v>
      </c>
      <c r="N1762">
        <v>35</v>
      </c>
      <c r="O1762">
        <v>1320</v>
      </c>
      <c r="P1762" t="s">
        <v>1955</v>
      </c>
      <c r="Q1762" s="1">
        <v>35066</v>
      </c>
      <c r="R1762">
        <v>28</v>
      </c>
      <c r="S1762" s="2">
        <v>0.01</v>
      </c>
      <c r="T1762" s="3">
        <v>2.6506944444444445</v>
      </c>
      <c r="U1762" s="2">
        <v>0.17</v>
      </c>
      <c r="V1762" t="s">
        <v>3764</v>
      </c>
      <c r="W1762" t="s">
        <v>3765</v>
      </c>
      <c r="X1762" t="b">
        <v>0</v>
      </c>
      <c r="Y1762" t="b">
        <v>0</v>
      </c>
    </row>
    <row r="1763" spans="1:25">
      <c r="A1763">
        <v>17620</v>
      </c>
      <c r="B1763" t="s">
        <v>3251</v>
      </c>
      <c r="C1763" t="s">
        <v>3766</v>
      </c>
      <c r="D1763" t="s">
        <v>3253</v>
      </c>
      <c r="E1763">
        <v>17620</v>
      </c>
      <c r="F1763">
        <v>17.600000000000001</v>
      </c>
      <c r="G1763">
        <v>1590</v>
      </c>
      <c r="H1763">
        <v>9.6999999999999993</v>
      </c>
      <c r="I1763">
        <v>1691</v>
      </c>
      <c r="J1763">
        <v>10.7</v>
      </c>
      <c r="K1763">
        <v>1848</v>
      </c>
      <c r="L1763">
        <v>39.6</v>
      </c>
      <c r="M1763">
        <v>992</v>
      </c>
      <c r="N1763">
        <v>23.6</v>
      </c>
      <c r="O1763">
        <v>1759</v>
      </c>
      <c r="P1763" t="s">
        <v>255</v>
      </c>
      <c r="Q1763" s="1">
        <v>7931</v>
      </c>
      <c r="R1763">
        <v>14.7</v>
      </c>
      <c r="S1763" s="2">
        <v>0.04</v>
      </c>
      <c r="T1763" t="s">
        <v>162</v>
      </c>
      <c r="U1763" s="2">
        <v>0.45</v>
      </c>
      <c r="V1763" t="s">
        <v>3766</v>
      </c>
      <c r="W1763" t="s">
        <v>3767</v>
      </c>
      <c r="X1763" t="b">
        <v>0</v>
      </c>
      <c r="Y1763" t="b">
        <v>0</v>
      </c>
    </row>
    <row r="1764" spans="1:25">
      <c r="A1764">
        <v>17630</v>
      </c>
      <c r="B1764" t="s">
        <v>3251</v>
      </c>
      <c r="C1764" t="s">
        <v>3768</v>
      </c>
      <c r="D1764" t="s">
        <v>3253</v>
      </c>
      <c r="E1764">
        <v>17630</v>
      </c>
      <c r="F1764">
        <v>18.3</v>
      </c>
      <c r="G1764">
        <v>1530</v>
      </c>
      <c r="H1764">
        <v>8.6999999999999993</v>
      </c>
      <c r="I1764">
        <v>1834</v>
      </c>
      <c r="J1764">
        <v>23.8</v>
      </c>
      <c r="K1764">
        <v>1590</v>
      </c>
      <c r="L1764">
        <v>16</v>
      </c>
      <c r="M1764">
        <v>1866</v>
      </c>
      <c r="N1764">
        <v>32.299999999999997</v>
      </c>
      <c r="O1764">
        <v>1417</v>
      </c>
      <c r="P1764" t="s">
        <v>1895</v>
      </c>
      <c r="Q1764" s="1">
        <v>33856</v>
      </c>
      <c r="R1764">
        <v>15.9</v>
      </c>
      <c r="S1764" s="2">
        <v>0</v>
      </c>
      <c r="T1764" s="3">
        <v>1.9541666666666666</v>
      </c>
      <c r="U1764" s="2">
        <v>0.24</v>
      </c>
      <c r="V1764" t="s">
        <v>3768</v>
      </c>
      <c r="W1764" t="s">
        <v>3769</v>
      </c>
      <c r="X1764" t="b">
        <v>0</v>
      </c>
      <c r="Y1764" t="b">
        <v>0</v>
      </c>
    </row>
    <row r="1765" spans="1:25">
      <c r="A1765">
        <v>17640</v>
      </c>
      <c r="B1765" t="s">
        <v>3251</v>
      </c>
      <c r="C1765" t="s">
        <v>3770</v>
      </c>
      <c r="D1765" t="s">
        <v>3253</v>
      </c>
      <c r="E1765">
        <v>17640</v>
      </c>
      <c r="F1765">
        <v>27.8</v>
      </c>
      <c r="G1765">
        <v>819</v>
      </c>
      <c r="H1765">
        <v>9</v>
      </c>
      <c r="I1765">
        <v>1800</v>
      </c>
      <c r="J1765">
        <v>9.1</v>
      </c>
      <c r="K1765">
        <v>1867</v>
      </c>
      <c r="L1765">
        <v>17.399999999999999</v>
      </c>
      <c r="M1765">
        <v>1715</v>
      </c>
      <c r="N1765">
        <v>33.299999999999997</v>
      </c>
      <c r="O1765">
        <v>1382</v>
      </c>
      <c r="P1765" t="s">
        <v>255</v>
      </c>
      <c r="Q1765" s="1">
        <v>18917</v>
      </c>
      <c r="R1765">
        <v>8</v>
      </c>
      <c r="S1765" s="2">
        <v>0.11</v>
      </c>
      <c r="T1765" s="3">
        <v>2.1590277777777778</v>
      </c>
      <c r="U1765" s="2">
        <v>0.35</v>
      </c>
      <c r="V1765" t="s">
        <v>3770</v>
      </c>
      <c r="W1765" t="s">
        <v>3771</v>
      </c>
      <c r="X1765" t="b">
        <v>0</v>
      </c>
      <c r="Y1765" t="b">
        <v>0</v>
      </c>
    </row>
    <row r="1766" spans="1:25">
      <c r="A1766">
        <v>17650</v>
      </c>
      <c r="B1766" t="s">
        <v>3251</v>
      </c>
      <c r="C1766" t="s">
        <v>3772</v>
      </c>
      <c r="D1766" t="s">
        <v>3253</v>
      </c>
      <c r="E1766">
        <v>17650</v>
      </c>
      <c r="F1766">
        <v>18.3</v>
      </c>
      <c r="G1766">
        <v>1531</v>
      </c>
      <c r="H1766">
        <v>13</v>
      </c>
      <c r="I1766">
        <v>1307</v>
      </c>
      <c r="J1766">
        <v>26</v>
      </c>
      <c r="K1766">
        <v>1544</v>
      </c>
      <c r="L1766">
        <v>24</v>
      </c>
      <c r="M1766">
        <v>1368</v>
      </c>
      <c r="N1766">
        <v>52.8</v>
      </c>
      <c r="O1766">
        <v>722</v>
      </c>
      <c r="P1766" t="s">
        <v>1820</v>
      </c>
      <c r="Q1766" s="1">
        <v>13471</v>
      </c>
      <c r="R1766">
        <v>17.3</v>
      </c>
      <c r="S1766" s="2">
        <v>0</v>
      </c>
      <c r="T1766" s="3">
        <v>2.2000000000000002</v>
      </c>
      <c r="U1766" s="2">
        <v>0.31</v>
      </c>
      <c r="V1766" t="s">
        <v>3773</v>
      </c>
      <c r="W1766" t="s">
        <v>3774</v>
      </c>
      <c r="X1766" t="b">
        <v>0</v>
      </c>
      <c r="Y1766" t="b">
        <v>0</v>
      </c>
    </row>
    <row r="1767" spans="1:25">
      <c r="A1767">
        <v>17660</v>
      </c>
      <c r="B1767" t="s">
        <v>3251</v>
      </c>
      <c r="C1767" t="s">
        <v>3775</v>
      </c>
      <c r="D1767" t="s">
        <v>3253</v>
      </c>
      <c r="E1767">
        <v>17660</v>
      </c>
      <c r="F1767">
        <v>24.7</v>
      </c>
      <c r="G1767">
        <v>1030</v>
      </c>
      <c r="H1767">
        <v>10.1</v>
      </c>
      <c r="I1767">
        <v>1636</v>
      </c>
      <c r="J1767">
        <v>11.2</v>
      </c>
      <c r="K1767">
        <v>1837</v>
      </c>
      <c r="L1767">
        <v>17.5</v>
      </c>
      <c r="M1767">
        <v>1704</v>
      </c>
      <c r="N1767">
        <v>26.5</v>
      </c>
      <c r="O1767">
        <v>1642</v>
      </c>
      <c r="P1767" t="s">
        <v>255</v>
      </c>
      <c r="Q1767" s="1">
        <v>12179</v>
      </c>
      <c r="R1767">
        <v>12.2</v>
      </c>
      <c r="S1767" s="2">
        <v>0.04</v>
      </c>
      <c r="T1767" s="3">
        <v>2.3229166666666665</v>
      </c>
      <c r="U1767" s="2">
        <v>0.3</v>
      </c>
      <c r="V1767" t="s">
        <v>3775</v>
      </c>
      <c r="W1767" t="s">
        <v>3776</v>
      </c>
      <c r="X1767" t="b">
        <v>0</v>
      </c>
      <c r="Y1767" t="b">
        <v>0</v>
      </c>
    </row>
    <row r="1768" spans="1:25">
      <c r="A1768">
        <v>17670</v>
      </c>
      <c r="B1768" t="s">
        <v>3251</v>
      </c>
      <c r="C1768" t="s">
        <v>3777</v>
      </c>
      <c r="D1768" t="s">
        <v>3253</v>
      </c>
      <c r="E1768">
        <v>17670</v>
      </c>
      <c r="F1768">
        <v>20.3</v>
      </c>
      <c r="G1768">
        <v>1352</v>
      </c>
      <c r="H1768">
        <v>11.1</v>
      </c>
      <c r="I1768">
        <v>1515</v>
      </c>
      <c r="J1768">
        <v>7.7</v>
      </c>
      <c r="K1768">
        <v>1885</v>
      </c>
      <c r="L1768">
        <v>19.7</v>
      </c>
      <c r="M1768">
        <v>1550</v>
      </c>
      <c r="N1768">
        <v>31.9</v>
      </c>
      <c r="O1768">
        <v>1433</v>
      </c>
      <c r="P1768" t="s">
        <v>255</v>
      </c>
      <c r="Q1768" s="1">
        <v>8341</v>
      </c>
      <c r="R1768">
        <v>14.9</v>
      </c>
      <c r="S1768" s="2">
        <v>0.09</v>
      </c>
      <c r="T1768" s="3">
        <v>2.036111111111111</v>
      </c>
      <c r="U1768" s="2">
        <v>0.33</v>
      </c>
      <c r="V1768" t="s">
        <v>3777</v>
      </c>
      <c r="W1768" t="s">
        <v>3778</v>
      </c>
      <c r="X1768" t="b">
        <v>0</v>
      </c>
      <c r="Y1768" t="b">
        <v>0</v>
      </c>
    </row>
    <row r="1769" spans="1:25">
      <c r="A1769">
        <v>17680</v>
      </c>
      <c r="B1769" t="s">
        <v>3251</v>
      </c>
      <c r="C1769" t="s">
        <v>3779</v>
      </c>
      <c r="D1769" t="s">
        <v>3253</v>
      </c>
      <c r="E1769">
        <v>17680</v>
      </c>
      <c r="F1769">
        <v>26</v>
      </c>
      <c r="G1769">
        <v>938</v>
      </c>
      <c r="H1769">
        <v>9.8000000000000007</v>
      </c>
      <c r="I1769">
        <v>1675</v>
      </c>
      <c r="J1769">
        <v>7.7</v>
      </c>
      <c r="K1769">
        <v>1886</v>
      </c>
      <c r="L1769">
        <v>17.100000000000001</v>
      </c>
      <c r="M1769">
        <v>1748</v>
      </c>
      <c r="N1769">
        <v>29.7</v>
      </c>
      <c r="O1769">
        <v>1507</v>
      </c>
      <c r="P1769" t="s">
        <v>255</v>
      </c>
      <c r="Q1769" s="1">
        <v>6539</v>
      </c>
      <c r="R1769">
        <v>5.4</v>
      </c>
      <c r="S1769" s="2">
        <v>0.11</v>
      </c>
      <c r="T1769" s="3">
        <v>2.8555555555555556</v>
      </c>
      <c r="U1769" s="2">
        <v>0.05</v>
      </c>
      <c r="V1769" t="s">
        <v>3779</v>
      </c>
      <c r="W1769" t="s">
        <v>253</v>
      </c>
      <c r="X1769" t="b">
        <v>0</v>
      </c>
      <c r="Y1769" t="b">
        <v>0</v>
      </c>
    </row>
    <row r="1770" spans="1:25">
      <c r="A1770">
        <v>17690</v>
      </c>
      <c r="B1770" t="s">
        <v>3251</v>
      </c>
      <c r="C1770" t="s">
        <v>3780</v>
      </c>
      <c r="D1770" t="s">
        <v>3253</v>
      </c>
      <c r="E1770">
        <v>17690</v>
      </c>
      <c r="F1770">
        <v>18</v>
      </c>
      <c r="G1770">
        <v>1553</v>
      </c>
      <c r="H1770">
        <v>9.8000000000000007</v>
      </c>
      <c r="I1770">
        <v>1676</v>
      </c>
      <c r="J1770">
        <v>10</v>
      </c>
      <c r="K1770">
        <v>1858</v>
      </c>
      <c r="L1770">
        <v>17.7</v>
      </c>
      <c r="M1770">
        <v>1689</v>
      </c>
      <c r="N1770">
        <v>21</v>
      </c>
      <c r="O1770">
        <v>1844</v>
      </c>
      <c r="P1770" t="s">
        <v>255</v>
      </c>
      <c r="Q1770" s="1">
        <v>7523</v>
      </c>
      <c r="R1770">
        <v>13.4</v>
      </c>
      <c r="S1770" s="2">
        <v>0.04</v>
      </c>
      <c r="T1770" s="3">
        <v>2.0770833333333334</v>
      </c>
      <c r="U1770" s="2">
        <v>0.41</v>
      </c>
      <c r="V1770" t="s">
        <v>3780</v>
      </c>
      <c r="W1770" t="s">
        <v>3781</v>
      </c>
      <c r="X1770" t="b">
        <v>0</v>
      </c>
      <c r="Y1770" t="b">
        <v>0</v>
      </c>
    </row>
    <row r="1771" spans="1:25">
      <c r="A1771">
        <v>17700</v>
      </c>
      <c r="B1771" t="s">
        <v>3251</v>
      </c>
      <c r="C1771" t="s">
        <v>3782</v>
      </c>
      <c r="D1771" t="s">
        <v>3253</v>
      </c>
      <c r="E1771">
        <v>17700</v>
      </c>
      <c r="F1771">
        <v>17.899999999999999</v>
      </c>
      <c r="G1771">
        <v>1557</v>
      </c>
      <c r="H1771">
        <v>8.1</v>
      </c>
      <c r="I1771">
        <v>1877</v>
      </c>
      <c r="J1771">
        <v>9.6</v>
      </c>
      <c r="K1771">
        <v>1861</v>
      </c>
      <c r="L1771">
        <v>17.5</v>
      </c>
      <c r="M1771">
        <v>1705</v>
      </c>
      <c r="N1771">
        <v>26.9</v>
      </c>
      <c r="O1771">
        <v>1620</v>
      </c>
      <c r="P1771" t="s">
        <v>577</v>
      </c>
      <c r="Q1771" s="1">
        <v>82463</v>
      </c>
      <c r="R1771">
        <v>23.6</v>
      </c>
      <c r="S1771" s="2">
        <v>0.01</v>
      </c>
      <c r="T1771" s="3">
        <v>2.4458333333333333</v>
      </c>
      <c r="U1771" s="2">
        <v>0.15</v>
      </c>
      <c r="V1771" t="s">
        <v>3782</v>
      </c>
      <c r="W1771" t="s">
        <v>3783</v>
      </c>
      <c r="X1771" t="b">
        <v>0</v>
      </c>
      <c r="Y1771" t="b">
        <v>0</v>
      </c>
    </row>
    <row r="1772" spans="1:25">
      <c r="A1772">
        <v>17710</v>
      </c>
      <c r="B1772" t="s">
        <v>3251</v>
      </c>
      <c r="C1772" t="s">
        <v>3784</v>
      </c>
      <c r="D1772" t="s">
        <v>3253</v>
      </c>
      <c r="E1772">
        <v>17710</v>
      </c>
      <c r="F1772">
        <v>19</v>
      </c>
      <c r="G1772">
        <v>1467</v>
      </c>
      <c r="H1772">
        <v>11.7</v>
      </c>
      <c r="I1772">
        <v>1445</v>
      </c>
      <c r="J1772">
        <v>29.1</v>
      </c>
      <c r="K1772">
        <v>1467</v>
      </c>
      <c r="L1772">
        <v>36.4</v>
      </c>
      <c r="M1772">
        <v>1065</v>
      </c>
      <c r="N1772">
        <v>33.6</v>
      </c>
      <c r="O1772">
        <v>1371</v>
      </c>
      <c r="P1772" t="s">
        <v>1839</v>
      </c>
      <c r="Q1772" s="1">
        <v>47978</v>
      </c>
      <c r="R1772">
        <v>15.1</v>
      </c>
      <c r="S1772" s="2">
        <v>0.01</v>
      </c>
      <c r="T1772" s="3">
        <v>2.4048611111111109</v>
      </c>
      <c r="U1772" s="2">
        <v>0.31</v>
      </c>
      <c r="V1772" t="s">
        <v>3784</v>
      </c>
      <c r="W1772" t="s">
        <v>3785</v>
      </c>
      <c r="X1772" t="b">
        <v>0</v>
      </c>
      <c r="Y1772" t="b">
        <v>0</v>
      </c>
    </row>
    <row r="1773" spans="1:25">
      <c r="A1773">
        <v>17720</v>
      </c>
      <c r="B1773" t="s">
        <v>3251</v>
      </c>
      <c r="C1773" t="s">
        <v>3786</v>
      </c>
      <c r="D1773" t="s">
        <v>3253</v>
      </c>
      <c r="E1773">
        <v>17720</v>
      </c>
      <c r="F1773">
        <v>20.2</v>
      </c>
      <c r="G1773">
        <v>1361</v>
      </c>
      <c r="H1773">
        <v>12.4</v>
      </c>
      <c r="I1773">
        <v>1370</v>
      </c>
      <c r="J1773">
        <v>12.8</v>
      </c>
      <c r="K1773">
        <v>1803</v>
      </c>
      <c r="L1773">
        <v>23.2</v>
      </c>
      <c r="M1773">
        <v>1393</v>
      </c>
      <c r="N1773">
        <v>36.1</v>
      </c>
      <c r="O1773">
        <v>1273</v>
      </c>
      <c r="P1773" t="s">
        <v>255</v>
      </c>
      <c r="Q1773" s="1">
        <v>12615</v>
      </c>
      <c r="R1773">
        <v>14.6</v>
      </c>
      <c r="S1773" s="2">
        <v>0.17</v>
      </c>
      <c r="T1773" t="s">
        <v>658</v>
      </c>
      <c r="U1773" s="2">
        <v>0.44</v>
      </c>
      <c r="V1773" t="s">
        <v>3786</v>
      </c>
      <c r="W1773" t="s">
        <v>3787</v>
      </c>
      <c r="X1773" t="b">
        <v>0</v>
      </c>
      <c r="Y1773" t="b">
        <v>0</v>
      </c>
    </row>
    <row r="1774" spans="1:25">
      <c r="A1774">
        <v>17730</v>
      </c>
      <c r="B1774" t="s">
        <v>3251</v>
      </c>
      <c r="C1774" t="s">
        <v>3788</v>
      </c>
      <c r="D1774" t="s">
        <v>3253</v>
      </c>
      <c r="E1774">
        <v>17730</v>
      </c>
      <c r="F1774">
        <v>21.5</v>
      </c>
      <c r="G1774">
        <v>1272</v>
      </c>
      <c r="H1774">
        <v>8</v>
      </c>
      <c r="I1774">
        <v>1882</v>
      </c>
      <c r="J1774">
        <v>5.3</v>
      </c>
      <c r="K1774">
        <v>1899</v>
      </c>
      <c r="L1774">
        <v>15.7</v>
      </c>
      <c r="M1774">
        <v>1898</v>
      </c>
      <c r="N1774">
        <v>27.7</v>
      </c>
      <c r="O1774">
        <v>1593</v>
      </c>
      <c r="P1774" t="s">
        <v>1820</v>
      </c>
      <c r="Q1774" s="1">
        <v>18426</v>
      </c>
      <c r="R1774">
        <v>9.6999999999999993</v>
      </c>
      <c r="S1774" s="2">
        <v>0</v>
      </c>
      <c r="T1774" s="3">
        <v>1.9541666666666666</v>
      </c>
      <c r="U1774" s="2">
        <v>0.31</v>
      </c>
      <c r="V1774" t="s">
        <v>3788</v>
      </c>
      <c r="W1774" t="s">
        <v>3789</v>
      </c>
      <c r="X1774" t="b">
        <v>0</v>
      </c>
      <c r="Y1774" t="b">
        <v>0</v>
      </c>
    </row>
    <row r="1775" spans="1:25">
      <c r="A1775">
        <v>17740</v>
      </c>
      <c r="B1775" t="s">
        <v>3251</v>
      </c>
      <c r="C1775" t="s">
        <v>3790</v>
      </c>
      <c r="D1775" t="s">
        <v>3253</v>
      </c>
      <c r="E1775">
        <v>17740</v>
      </c>
      <c r="F1775">
        <v>15.3</v>
      </c>
      <c r="G1775">
        <v>1740</v>
      </c>
      <c r="H1775">
        <v>12.3</v>
      </c>
      <c r="I1775">
        <v>1383</v>
      </c>
      <c r="J1775">
        <v>32</v>
      </c>
      <c r="K1775">
        <v>1401</v>
      </c>
      <c r="L1775">
        <v>19</v>
      </c>
      <c r="M1775">
        <v>1594</v>
      </c>
      <c r="N1775">
        <v>37.9</v>
      </c>
      <c r="O1775">
        <v>1202</v>
      </c>
      <c r="P1775" t="s">
        <v>1895</v>
      </c>
      <c r="Q1775" s="1">
        <v>29679</v>
      </c>
      <c r="R1775">
        <v>22.5</v>
      </c>
      <c r="S1775" s="2">
        <v>0</v>
      </c>
      <c r="T1775" s="3">
        <v>1.9131944444444444</v>
      </c>
      <c r="U1775" s="2">
        <v>0.24</v>
      </c>
      <c r="V1775" t="s">
        <v>3790</v>
      </c>
      <c r="W1775" t="s">
        <v>3791</v>
      </c>
      <c r="X1775" t="b">
        <v>0</v>
      </c>
      <c r="Y1775" t="b">
        <v>0</v>
      </c>
    </row>
    <row r="1776" spans="1:25">
      <c r="A1776">
        <v>17750</v>
      </c>
      <c r="B1776" t="s">
        <v>3251</v>
      </c>
      <c r="C1776" t="s">
        <v>3792</v>
      </c>
      <c r="D1776" t="s">
        <v>3253</v>
      </c>
      <c r="E1776">
        <v>17750</v>
      </c>
      <c r="F1776">
        <v>20.2</v>
      </c>
      <c r="G1776">
        <v>1362</v>
      </c>
      <c r="H1776">
        <v>9.1999999999999993</v>
      </c>
      <c r="I1776">
        <v>1765</v>
      </c>
      <c r="J1776">
        <v>5.8</v>
      </c>
      <c r="K1776">
        <v>1897</v>
      </c>
      <c r="L1776">
        <v>17.2</v>
      </c>
      <c r="M1776">
        <v>1740</v>
      </c>
      <c r="N1776">
        <v>37.200000000000003</v>
      </c>
      <c r="O1776">
        <v>1231</v>
      </c>
      <c r="P1776" t="s">
        <v>255</v>
      </c>
      <c r="Q1776" s="1">
        <v>11795</v>
      </c>
      <c r="R1776">
        <v>11.6</v>
      </c>
      <c r="S1776" s="2">
        <v>0.17</v>
      </c>
      <c r="T1776" s="3">
        <v>2.0770833333333334</v>
      </c>
      <c r="U1776" s="2">
        <v>0.27</v>
      </c>
      <c r="V1776" t="s">
        <v>3792</v>
      </c>
      <c r="W1776" t="s">
        <v>3793</v>
      </c>
      <c r="X1776" t="b">
        <v>0</v>
      </c>
      <c r="Y1776" t="b">
        <v>0</v>
      </c>
    </row>
    <row r="1777" spans="1:25">
      <c r="A1777">
        <v>17760</v>
      </c>
      <c r="B1777" t="s">
        <v>3251</v>
      </c>
      <c r="C1777" t="s">
        <v>3794</v>
      </c>
      <c r="D1777" t="s">
        <v>3253</v>
      </c>
      <c r="E1777">
        <v>17760</v>
      </c>
      <c r="F1777">
        <v>25.8</v>
      </c>
      <c r="G1777">
        <v>954</v>
      </c>
      <c r="H1777">
        <v>11</v>
      </c>
      <c r="I1777">
        <v>1528</v>
      </c>
      <c r="J1777">
        <v>20</v>
      </c>
      <c r="K1777">
        <v>1680</v>
      </c>
      <c r="L1777">
        <v>35.299999999999997</v>
      </c>
      <c r="M1777">
        <v>1088</v>
      </c>
      <c r="N1777">
        <v>22.9</v>
      </c>
      <c r="O1777">
        <v>1780</v>
      </c>
      <c r="P1777" t="s">
        <v>94</v>
      </c>
      <c r="Q1777" s="1">
        <v>5381</v>
      </c>
      <c r="R1777">
        <v>8.5</v>
      </c>
      <c r="S1777" s="2">
        <v>0.02</v>
      </c>
      <c r="T1777" t="s">
        <v>696</v>
      </c>
      <c r="U1777" s="2">
        <v>0.13</v>
      </c>
      <c r="V1777" t="s">
        <v>3794</v>
      </c>
      <c r="W1777" t="s">
        <v>3795</v>
      </c>
      <c r="X1777" t="b">
        <v>0</v>
      </c>
      <c r="Y1777" t="b">
        <v>0</v>
      </c>
    </row>
    <row r="1778" spans="1:25">
      <c r="A1778">
        <v>17770</v>
      </c>
      <c r="B1778" t="s">
        <v>3251</v>
      </c>
      <c r="C1778" t="s">
        <v>3796</v>
      </c>
      <c r="D1778" t="s">
        <v>3253</v>
      </c>
      <c r="E1778">
        <v>17770</v>
      </c>
      <c r="F1778">
        <v>13.5</v>
      </c>
      <c r="G1778">
        <v>1822</v>
      </c>
      <c r="H1778">
        <v>9.4</v>
      </c>
      <c r="I1778">
        <v>1738</v>
      </c>
      <c r="J1778">
        <v>24.5</v>
      </c>
      <c r="K1778">
        <v>1576</v>
      </c>
      <c r="L1778">
        <v>19.2</v>
      </c>
      <c r="M1778">
        <v>1577</v>
      </c>
      <c r="N1778">
        <v>27.7</v>
      </c>
      <c r="O1778">
        <v>1594</v>
      </c>
      <c r="P1778" t="s">
        <v>895</v>
      </c>
      <c r="Q1778" s="1">
        <v>14088</v>
      </c>
      <c r="R1778">
        <v>20.100000000000001</v>
      </c>
      <c r="S1778" s="2">
        <v>0.05</v>
      </c>
      <c r="T1778" s="3">
        <v>3.3472222222222223</v>
      </c>
      <c r="U1778" s="2">
        <v>0.28000000000000003</v>
      </c>
      <c r="V1778" t="s">
        <v>3796</v>
      </c>
      <c r="W1778" t="s">
        <v>3797</v>
      </c>
      <c r="X1778" t="b">
        <v>0</v>
      </c>
      <c r="Y1778" t="b">
        <v>0</v>
      </c>
    </row>
    <row r="1779" spans="1:25">
      <c r="A1779">
        <v>17780</v>
      </c>
      <c r="B1779" t="s">
        <v>3251</v>
      </c>
      <c r="C1779" t="s">
        <v>3798</v>
      </c>
      <c r="D1779" t="s">
        <v>3253</v>
      </c>
      <c r="E1779">
        <v>17780</v>
      </c>
      <c r="F1779">
        <v>18.399999999999999</v>
      </c>
      <c r="G1779">
        <v>1518</v>
      </c>
      <c r="H1779">
        <v>8.4</v>
      </c>
      <c r="I1779">
        <v>1860</v>
      </c>
      <c r="J1779">
        <v>7.3</v>
      </c>
      <c r="K1779">
        <v>1893</v>
      </c>
      <c r="L1779">
        <v>20</v>
      </c>
      <c r="M1779">
        <v>1532</v>
      </c>
      <c r="N1779">
        <v>31.1</v>
      </c>
      <c r="O1779">
        <v>1464</v>
      </c>
      <c r="P1779" t="s">
        <v>255</v>
      </c>
      <c r="Q1779" s="1">
        <v>12150</v>
      </c>
      <c r="R1779">
        <v>14</v>
      </c>
      <c r="S1779" s="2">
        <v>0.13</v>
      </c>
      <c r="T1779" t="s">
        <v>51</v>
      </c>
      <c r="U1779" s="2">
        <v>0.44</v>
      </c>
      <c r="V1779" t="s">
        <v>3798</v>
      </c>
      <c r="W1779" t="s">
        <v>3799</v>
      </c>
      <c r="X1779" t="b">
        <v>0</v>
      </c>
      <c r="Y1779" t="b">
        <v>0</v>
      </c>
    </row>
    <row r="1780" spans="1:25">
      <c r="A1780">
        <v>17790</v>
      </c>
      <c r="B1780" t="s">
        <v>3251</v>
      </c>
      <c r="C1780" t="s">
        <v>3800</v>
      </c>
      <c r="D1780" t="s">
        <v>3253</v>
      </c>
      <c r="E1780">
        <v>17790</v>
      </c>
      <c r="F1780">
        <v>19</v>
      </c>
      <c r="G1780">
        <v>1468</v>
      </c>
      <c r="H1780">
        <v>11.4</v>
      </c>
      <c r="I1780">
        <v>1479</v>
      </c>
      <c r="J1780">
        <v>22.2</v>
      </c>
      <c r="K1780">
        <v>1636</v>
      </c>
      <c r="L1780">
        <v>26.8</v>
      </c>
      <c r="M1780">
        <v>1269</v>
      </c>
      <c r="N1780">
        <v>36.1</v>
      </c>
      <c r="O1780">
        <v>1274</v>
      </c>
      <c r="P1780" t="s">
        <v>895</v>
      </c>
      <c r="Q1780" s="1">
        <v>38149</v>
      </c>
      <c r="R1780">
        <v>18.3</v>
      </c>
      <c r="S1780" s="2">
        <v>0.14000000000000001</v>
      </c>
      <c r="T1780" s="3">
        <v>1.8722222222222222</v>
      </c>
      <c r="U1780" s="2">
        <v>0.24</v>
      </c>
      <c r="V1780" t="s">
        <v>3800</v>
      </c>
      <c r="W1780" t="s">
        <v>3801</v>
      </c>
      <c r="X1780" t="b">
        <v>0</v>
      </c>
      <c r="Y1780" t="b">
        <v>0</v>
      </c>
    </row>
    <row r="1781" spans="1:25">
      <c r="A1781">
        <v>17800</v>
      </c>
      <c r="B1781" t="s">
        <v>3251</v>
      </c>
      <c r="C1781" t="s">
        <v>3802</v>
      </c>
      <c r="D1781" t="s">
        <v>3253</v>
      </c>
      <c r="E1781">
        <v>17800</v>
      </c>
      <c r="F1781">
        <v>30.7</v>
      </c>
      <c r="G1781">
        <v>654</v>
      </c>
      <c r="H1781">
        <v>9</v>
      </c>
      <c r="I1781">
        <v>1802</v>
      </c>
      <c r="J1781">
        <v>13.2</v>
      </c>
      <c r="K1781">
        <v>1800</v>
      </c>
      <c r="L1781">
        <v>17.8</v>
      </c>
      <c r="M1781">
        <v>1683</v>
      </c>
      <c r="N1781">
        <v>39.700000000000003</v>
      </c>
      <c r="O1781">
        <v>1130</v>
      </c>
      <c r="P1781" t="s">
        <v>2290</v>
      </c>
      <c r="Q1781" s="1">
        <v>25443</v>
      </c>
      <c r="R1781">
        <v>21.9</v>
      </c>
      <c r="S1781" s="2">
        <v>0.01</v>
      </c>
      <c r="T1781" s="3">
        <v>2.9375</v>
      </c>
      <c r="U1781" s="2">
        <v>0.34</v>
      </c>
      <c r="V1781" t="s">
        <v>3802</v>
      </c>
      <c r="W1781" t="s">
        <v>3803</v>
      </c>
      <c r="X1781" t="b">
        <v>0</v>
      </c>
      <c r="Y1781" t="b">
        <v>0</v>
      </c>
    </row>
    <row r="1782" spans="1:25">
      <c r="A1782">
        <v>17810</v>
      </c>
      <c r="B1782" t="s">
        <v>3251</v>
      </c>
      <c r="C1782" t="s">
        <v>3804</v>
      </c>
      <c r="D1782" t="s">
        <v>3253</v>
      </c>
      <c r="E1782">
        <v>17810</v>
      </c>
      <c r="F1782">
        <v>14</v>
      </c>
      <c r="G1782">
        <v>1804</v>
      </c>
      <c r="H1782">
        <v>10.3</v>
      </c>
      <c r="I1782">
        <v>1616</v>
      </c>
      <c r="J1782">
        <v>19.600000000000001</v>
      </c>
      <c r="K1782">
        <v>1690</v>
      </c>
      <c r="L1782">
        <v>16.7</v>
      </c>
      <c r="M1782">
        <v>1789</v>
      </c>
      <c r="N1782">
        <v>17.899999999999999</v>
      </c>
      <c r="O1782">
        <v>1900</v>
      </c>
      <c r="P1782" t="s">
        <v>895</v>
      </c>
      <c r="Q1782" s="1">
        <v>11050</v>
      </c>
      <c r="R1782">
        <v>18.7</v>
      </c>
      <c r="S1782" s="2">
        <v>0</v>
      </c>
      <c r="T1782" s="3">
        <v>2.2000000000000002</v>
      </c>
      <c r="U1782" s="2">
        <v>0.17</v>
      </c>
      <c r="V1782" t="s">
        <v>3804</v>
      </c>
      <c r="W1782" t="s">
        <v>3805</v>
      </c>
      <c r="X1782" t="b">
        <v>0</v>
      </c>
      <c r="Y1782" t="b">
        <v>0</v>
      </c>
    </row>
    <row r="1783" spans="1:25">
      <c r="A1783">
        <v>17820</v>
      </c>
      <c r="B1783" t="s">
        <v>3251</v>
      </c>
      <c r="C1783" t="s">
        <v>3806</v>
      </c>
      <c r="D1783" t="s">
        <v>3253</v>
      </c>
      <c r="E1783">
        <v>17820</v>
      </c>
      <c r="F1783">
        <v>14.8</v>
      </c>
      <c r="G1783">
        <v>1769</v>
      </c>
      <c r="H1783">
        <v>15.3</v>
      </c>
      <c r="I1783">
        <v>1098</v>
      </c>
      <c r="J1783">
        <v>20.6</v>
      </c>
      <c r="K1783">
        <v>1670</v>
      </c>
      <c r="L1783">
        <v>37.299999999999997</v>
      </c>
      <c r="M1783">
        <v>1037</v>
      </c>
      <c r="N1783">
        <v>26.2</v>
      </c>
      <c r="O1783">
        <v>1660</v>
      </c>
      <c r="P1783" t="s">
        <v>94</v>
      </c>
      <c r="Q1783" s="1">
        <v>7407</v>
      </c>
      <c r="R1783">
        <v>35.4</v>
      </c>
      <c r="S1783" s="2">
        <v>0.01</v>
      </c>
      <c r="T1783">
        <v>0.6430555555555556</v>
      </c>
      <c r="U1783" s="2">
        <v>0.37</v>
      </c>
      <c r="V1783" t="s">
        <v>3806</v>
      </c>
      <c r="W1783" t="s">
        <v>3807</v>
      </c>
      <c r="X1783" t="b">
        <v>0</v>
      </c>
      <c r="Y1783" t="b">
        <v>0</v>
      </c>
    </row>
    <row r="1784" spans="1:25">
      <c r="A1784">
        <v>17830</v>
      </c>
      <c r="B1784" t="s">
        <v>3251</v>
      </c>
      <c r="C1784" t="s">
        <v>3808</v>
      </c>
      <c r="D1784" t="s">
        <v>3253</v>
      </c>
      <c r="E1784">
        <v>17830</v>
      </c>
      <c r="F1784">
        <v>27.7</v>
      </c>
      <c r="G1784">
        <v>825</v>
      </c>
      <c r="H1784">
        <v>12.6</v>
      </c>
      <c r="I1784">
        <v>1352</v>
      </c>
      <c r="J1784">
        <v>23.7</v>
      </c>
      <c r="K1784">
        <v>1593</v>
      </c>
      <c r="L1784">
        <v>44.4</v>
      </c>
      <c r="M1784">
        <v>905</v>
      </c>
      <c r="N1784">
        <v>18.7</v>
      </c>
      <c r="O1784">
        <v>1890</v>
      </c>
      <c r="P1784" t="s">
        <v>94</v>
      </c>
      <c r="Q1784" s="1">
        <v>3132</v>
      </c>
      <c r="R1784">
        <v>5.5</v>
      </c>
      <c r="S1784" s="2">
        <v>0.01</v>
      </c>
      <c r="T1784" s="3">
        <v>2.4868055555555557</v>
      </c>
      <c r="U1784" s="2">
        <v>0.05</v>
      </c>
      <c r="V1784" t="s">
        <v>3808</v>
      </c>
      <c r="W1784" t="s">
        <v>1199</v>
      </c>
      <c r="X1784" t="b">
        <v>0</v>
      </c>
      <c r="Y1784" t="b">
        <v>0</v>
      </c>
    </row>
    <row r="1785" spans="1:25">
      <c r="A1785">
        <v>17840</v>
      </c>
      <c r="B1785" t="s">
        <v>3251</v>
      </c>
      <c r="C1785" t="s">
        <v>3809</v>
      </c>
      <c r="D1785" t="s">
        <v>3253</v>
      </c>
      <c r="E1785">
        <v>17840</v>
      </c>
      <c r="F1785">
        <v>19.5</v>
      </c>
      <c r="G1785">
        <v>1425</v>
      </c>
      <c r="H1785">
        <v>16.3</v>
      </c>
      <c r="I1785">
        <v>1027</v>
      </c>
      <c r="J1785">
        <v>23.2</v>
      </c>
      <c r="K1785">
        <v>1606</v>
      </c>
      <c r="L1785">
        <v>18.2</v>
      </c>
      <c r="M1785">
        <v>1655</v>
      </c>
      <c r="N1785">
        <v>46.2</v>
      </c>
      <c r="O1785">
        <v>925</v>
      </c>
      <c r="P1785" t="s">
        <v>984</v>
      </c>
      <c r="Q1785" s="1">
        <v>8526</v>
      </c>
      <c r="R1785">
        <v>16</v>
      </c>
      <c r="S1785" s="2">
        <v>0.09</v>
      </c>
      <c r="T1785" s="3">
        <v>2.9784722222222224</v>
      </c>
      <c r="U1785" s="2">
        <v>0.2</v>
      </c>
      <c r="V1785" t="s">
        <v>3809</v>
      </c>
      <c r="W1785" t="s">
        <v>3810</v>
      </c>
      <c r="X1785" t="b">
        <v>0</v>
      </c>
      <c r="Y1785" t="b">
        <v>0</v>
      </c>
    </row>
    <row r="1786" spans="1:25">
      <c r="A1786">
        <v>17850</v>
      </c>
      <c r="B1786" t="s">
        <v>3251</v>
      </c>
      <c r="C1786" t="s">
        <v>3811</v>
      </c>
      <c r="D1786" t="s">
        <v>3253</v>
      </c>
      <c r="E1786">
        <v>17850</v>
      </c>
      <c r="F1786">
        <v>19.399999999999999</v>
      </c>
      <c r="G1786">
        <v>1433</v>
      </c>
      <c r="H1786">
        <v>9.1999999999999993</v>
      </c>
      <c r="I1786">
        <v>1766</v>
      </c>
      <c r="J1786">
        <v>9.6</v>
      </c>
      <c r="K1786">
        <v>1862</v>
      </c>
      <c r="L1786">
        <v>15.9</v>
      </c>
      <c r="M1786">
        <v>1880</v>
      </c>
      <c r="N1786">
        <v>27</v>
      </c>
      <c r="O1786">
        <v>1616</v>
      </c>
      <c r="P1786" t="s">
        <v>1853</v>
      </c>
      <c r="Q1786" s="1">
        <v>17355</v>
      </c>
      <c r="R1786">
        <v>12.5</v>
      </c>
      <c r="S1786" s="2">
        <v>7.0000000000000007E-2</v>
      </c>
      <c r="T1786" s="3">
        <v>2.5687500000000001</v>
      </c>
      <c r="U1786" s="2">
        <v>0.21</v>
      </c>
      <c r="V1786" t="s">
        <v>3811</v>
      </c>
      <c r="W1786" t="s">
        <v>3812</v>
      </c>
      <c r="X1786" t="b">
        <v>0</v>
      </c>
      <c r="Y1786" t="b">
        <v>0</v>
      </c>
    </row>
    <row r="1787" spans="1:25">
      <c r="A1787">
        <v>17860</v>
      </c>
      <c r="B1787" t="s">
        <v>3251</v>
      </c>
      <c r="C1787" t="s">
        <v>3813</v>
      </c>
      <c r="D1787" t="s">
        <v>3253</v>
      </c>
      <c r="E1787">
        <v>17860</v>
      </c>
      <c r="F1787">
        <v>28.5</v>
      </c>
      <c r="G1787">
        <v>777</v>
      </c>
      <c r="H1787">
        <v>12.2</v>
      </c>
      <c r="I1787">
        <v>1391</v>
      </c>
      <c r="J1787">
        <v>19.2</v>
      </c>
      <c r="K1787">
        <v>1700</v>
      </c>
      <c r="L1787">
        <v>23.6</v>
      </c>
      <c r="M1787">
        <v>1379</v>
      </c>
      <c r="N1787">
        <v>34.299999999999997</v>
      </c>
      <c r="O1787">
        <v>1348</v>
      </c>
      <c r="P1787" t="s">
        <v>1955</v>
      </c>
      <c r="Q1787" s="1">
        <v>35498</v>
      </c>
      <c r="R1787">
        <v>11.3</v>
      </c>
      <c r="S1787" s="2">
        <v>0.01</v>
      </c>
      <c r="T1787" s="3">
        <v>2.4868055555555557</v>
      </c>
      <c r="U1787" s="2">
        <v>0.17</v>
      </c>
      <c r="V1787" t="s">
        <v>3813</v>
      </c>
      <c r="W1787" t="s">
        <v>3814</v>
      </c>
      <c r="X1787" t="b">
        <v>0</v>
      </c>
      <c r="Y1787" t="b">
        <v>0</v>
      </c>
    </row>
    <row r="1788" spans="1:25">
      <c r="A1788">
        <v>17870</v>
      </c>
      <c r="B1788" t="s">
        <v>3251</v>
      </c>
      <c r="C1788" t="s">
        <v>3815</v>
      </c>
      <c r="D1788" t="s">
        <v>3253</v>
      </c>
      <c r="E1788">
        <v>17870</v>
      </c>
      <c r="F1788">
        <v>15.2</v>
      </c>
      <c r="G1788">
        <v>1747</v>
      </c>
      <c r="H1788">
        <v>9.5</v>
      </c>
      <c r="I1788">
        <v>1716</v>
      </c>
      <c r="J1788">
        <v>16.7</v>
      </c>
      <c r="K1788">
        <v>1738</v>
      </c>
      <c r="L1788">
        <v>18.5</v>
      </c>
      <c r="M1788">
        <v>1627</v>
      </c>
      <c r="N1788">
        <v>20.399999999999999</v>
      </c>
      <c r="O1788">
        <v>1856</v>
      </c>
      <c r="P1788" t="s">
        <v>895</v>
      </c>
      <c r="Q1788" s="1">
        <v>33761</v>
      </c>
      <c r="R1788">
        <v>22</v>
      </c>
      <c r="S1788" s="2">
        <v>0.03</v>
      </c>
      <c r="T1788" s="3">
        <v>1.8722222222222222</v>
      </c>
      <c r="U1788" s="2">
        <v>0.23</v>
      </c>
      <c r="V1788" t="s">
        <v>3815</v>
      </c>
      <c r="W1788" t="s">
        <v>3816</v>
      </c>
      <c r="X1788" t="b">
        <v>0</v>
      </c>
      <c r="Y1788" t="b">
        <v>0</v>
      </c>
    </row>
    <row r="1789" spans="1:25">
      <c r="A1789">
        <v>17880</v>
      </c>
      <c r="B1789" t="s">
        <v>3251</v>
      </c>
      <c r="C1789" t="s">
        <v>3817</v>
      </c>
      <c r="D1789" t="s">
        <v>3253</v>
      </c>
      <c r="E1789">
        <v>17880</v>
      </c>
      <c r="F1789">
        <v>23.9</v>
      </c>
      <c r="G1789">
        <v>1086</v>
      </c>
      <c r="H1789">
        <v>9.1</v>
      </c>
      <c r="I1789">
        <v>1785</v>
      </c>
      <c r="J1789">
        <v>12</v>
      </c>
      <c r="K1789">
        <v>1824</v>
      </c>
      <c r="L1789">
        <v>16</v>
      </c>
      <c r="M1789">
        <v>1867</v>
      </c>
      <c r="N1789">
        <v>43.9</v>
      </c>
      <c r="O1789">
        <v>995</v>
      </c>
      <c r="P1789" t="s">
        <v>1613</v>
      </c>
      <c r="Q1789" s="1">
        <v>15469</v>
      </c>
      <c r="R1789">
        <v>7.8</v>
      </c>
      <c r="S1789" s="2">
        <v>0.02</v>
      </c>
      <c r="T1789" s="3">
        <v>2.036111111111111</v>
      </c>
      <c r="U1789" s="2">
        <v>0.36</v>
      </c>
      <c r="V1789" t="s">
        <v>3817</v>
      </c>
      <c r="W1789" t="s">
        <v>3818</v>
      </c>
      <c r="X1789" t="b">
        <v>0</v>
      </c>
      <c r="Y1789" t="b">
        <v>0</v>
      </c>
    </row>
    <row r="1790" spans="1:25">
      <c r="A1790">
        <v>17890</v>
      </c>
      <c r="B1790" t="s">
        <v>3251</v>
      </c>
      <c r="C1790" t="s">
        <v>3819</v>
      </c>
      <c r="D1790" t="s">
        <v>3253</v>
      </c>
      <c r="E1790">
        <v>17890</v>
      </c>
      <c r="F1790">
        <v>22.2</v>
      </c>
      <c r="G1790">
        <v>1215</v>
      </c>
      <c r="H1790">
        <v>15.6</v>
      </c>
      <c r="I1790">
        <v>1079</v>
      </c>
      <c r="J1790">
        <v>21.5</v>
      </c>
      <c r="K1790">
        <v>1650</v>
      </c>
      <c r="L1790">
        <v>45.5</v>
      </c>
      <c r="M1790">
        <v>888</v>
      </c>
      <c r="N1790">
        <v>37.9</v>
      </c>
      <c r="O1790">
        <v>1203</v>
      </c>
      <c r="P1790" t="s">
        <v>691</v>
      </c>
      <c r="Q1790" s="1">
        <v>5241</v>
      </c>
      <c r="R1790">
        <v>19.5</v>
      </c>
      <c r="S1790" s="2">
        <v>7.0000000000000007E-2</v>
      </c>
      <c r="T1790" s="3">
        <v>2.036111111111111</v>
      </c>
      <c r="U1790" s="2">
        <v>0.43</v>
      </c>
      <c r="V1790" t="s">
        <v>3819</v>
      </c>
      <c r="W1790" t="s">
        <v>3820</v>
      </c>
      <c r="X1790" t="b">
        <v>0</v>
      </c>
      <c r="Y1790" t="b">
        <v>0</v>
      </c>
    </row>
    <row r="1791" spans="1:25">
      <c r="A1791">
        <v>17900</v>
      </c>
      <c r="B1791" t="s">
        <v>3251</v>
      </c>
      <c r="C1791" t="s">
        <v>3821</v>
      </c>
      <c r="D1791" t="s">
        <v>3253</v>
      </c>
      <c r="E1791">
        <v>17900</v>
      </c>
      <c r="F1791">
        <v>21.1</v>
      </c>
      <c r="G1791">
        <v>1298</v>
      </c>
      <c r="H1791">
        <v>17.7</v>
      </c>
      <c r="I1791">
        <v>935</v>
      </c>
      <c r="J1791">
        <v>17.7</v>
      </c>
      <c r="K1791">
        <v>1719</v>
      </c>
      <c r="L1791">
        <v>30</v>
      </c>
      <c r="M1791">
        <v>1184</v>
      </c>
      <c r="N1791">
        <v>39.799999999999997</v>
      </c>
      <c r="O1791">
        <v>1124</v>
      </c>
      <c r="P1791" t="s">
        <v>984</v>
      </c>
      <c r="Q1791" s="1">
        <v>7375</v>
      </c>
      <c r="R1791">
        <v>13.5</v>
      </c>
      <c r="S1791" s="2">
        <v>0.1</v>
      </c>
      <c r="T1791" s="3">
        <v>2.3638888888888889</v>
      </c>
      <c r="U1791" s="2">
        <v>0.41</v>
      </c>
      <c r="V1791" t="s">
        <v>3821</v>
      </c>
      <c r="W1791" t="s">
        <v>3822</v>
      </c>
      <c r="X1791" t="b">
        <v>0</v>
      </c>
      <c r="Y1791" t="b">
        <v>0</v>
      </c>
    </row>
    <row r="1792" spans="1:25">
      <c r="A1792">
        <v>17910</v>
      </c>
      <c r="B1792" t="s">
        <v>3251</v>
      </c>
      <c r="C1792" t="s">
        <v>3823</v>
      </c>
      <c r="D1792" t="s">
        <v>3253</v>
      </c>
      <c r="E1792">
        <v>17910</v>
      </c>
      <c r="F1792">
        <v>29.4</v>
      </c>
      <c r="G1792">
        <v>728</v>
      </c>
      <c r="H1792">
        <v>10.7</v>
      </c>
      <c r="I1792">
        <v>1565</v>
      </c>
      <c r="J1792">
        <v>12.5</v>
      </c>
      <c r="K1792">
        <v>1813</v>
      </c>
      <c r="L1792">
        <v>25.3</v>
      </c>
      <c r="M1792">
        <v>1330</v>
      </c>
      <c r="N1792">
        <v>34.4</v>
      </c>
      <c r="O1792">
        <v>1345</v>
      </c>
      <c r="P1792" t="s">
        <v>255</v>
      </c>
      <c r="Q1792" s="1">
        <v>5462</v>
      </c>
      <c r="R1792">
        <v>7</v>
      </c>
      <c r="S1792" s="2">
        <v>0.14000000000000001</v>
      </c>
      <c r="T1792" s="3">
        <v>3.1423611111111112</v>
      </c>
      <c r="U1792" s="2">
        <v>0.05</v>
      </c>
      <c r="V1792" t="s">
        <v>3823</v>
      </c>
      <c r="W1792" t="s">
        <v>3824</v>
      </c>
      <c r="X1792" t="b">
        <v>0</v>
      </c>
      <c r="Y1792" t="b">
        <v>0</v>
      </c>
    </row>
    <row r="1793" spans="1:25">
      <c r="A1793">
        <v>17920</v>
      </c>
      <c r="B1793" t="s">
        <v>3251</v>
      </c>
      <c r="C1793" t="s">
        <v>3825</v>
      </c>
      <c r="D1793" t="s">
        <v>3253</v>
      </c>
      <c r="E1793">
        <v>17920</v>
      </c>
      <c r="F1793">
        <v>12.9</v>
      </c>
      <c r="G1793">
        <v>1852</v>
      </c>
      <c r="H1793">
        <v>9.1</v>
      </c>
      <c r="I1793">
        <v>1786</v>
      </c>
      <c r="J1793">
        <v>26.1</v>
      </c>
      <c r="K1793">
        <v>1541</v>
      </c>
      <c r="L1793">
        <v>19.600000000000001</v>
      </c>
      <c r="M1793">
        <v>1555</v>
      </c>
      <c r="N1793">
        <v>21.3</v>
      </c>
      <c r="O1793">
        <v>1835</v>
      </c>
      <c r="P1793" t="s">
        <v>795</v>
      </c>
      <c r="Q1793" s="1">
        <v>428888</v>
      </c>
      <c r="R1793">
        <v>120.3</v>
      </c>
      <c r="S1793" s="2">
        <v>0.01</v>
      </c>
      <c r="T1793" s="3">
        <v>2.5277777777777777</v>
      </c>
      <c r="U1793" s="2">
        <v>0.34</v>
      </c>
      <c r="V1793" t="s">
        <v>3825</v>
      </c>
      <c r="W1793" t="s">
        <v>3826</v>
      </c>
      <c r="X1793" t="b">
        <v>0</v>
      </c>
      <c r="Y1793" t="b">
        <v>0</v>
      </c>
    </row>
    <row r="1794" spans="1:25">
      <c r="A1794">
        <v>17930</v>
      </c>
      <c r="B1794" t="s">
        <v>3251</v>
      </c>
      <c r="C1794" t="s">
        <v>3827</v>
      </c>
      <c r="D1794" t="s">
        <v>3253</v>
      </c>
      <c r="E1794">
        <v>17930</v>
      </c>
      <c r="F1794">
        <v>19.3</v>
      </c>
      <c r="G1794">
        <v>1444</v>
      </c>
      <c r="H1794">
        <v>7.7</v>
      </c>
      <c r="I1794">
        <v>1894</v>
      </c>
      <c r="J1794">
        <v>5.2</v>
      </c>
      <c r="K1794">
        <v>1900</v>
      </c>
      <c r="L1794">
        <v>16</v>
      </c>
      <c r="M1794">
        <v>1868</v>
      </c>
      <c r="N1794">
        <v>35.5</v>
      </c>
      <c r="O1794">
        <v>1302</v>
      </c>
      <c r="P1794" t="s">
        <v>1820</v>
      </c>
      <c r="Q1794" s="1">
        <v>33268</v>
      </c>
      <c r="R1794">
        <v>16</v>
      </c>
      <c r="S1794" s="2">
        <v>0</v>
      </c>
      <c r="T1794" s="3">
        <v>2.2819444444444446</v>
      </c>
      <c r="U1794" s="2">
        <v>0.33</v>
      </c>
      <c r="V1794" t="s">
        <v>3827</v>
      </c>
      <c r="W1794" t="s">
        <v>3828</v>
      </c>
      <c r="X1794" t="b">
        <v>0</v>
      </c>
      <c r="Y1794" t="b">
        <v>0</v>
      </c>
    </row>
    <row r="1795" spans="1:25">
      <c r="A1795">
        <v>17940</v>
      </c>
      <c r="B1795" t="s">
        <v>3251</v>
      </c>
      <c r="C1795" t="s">
        <v>3829</v>
      </c>
      <c r="D1795" t="s">
        <v>3253</v>
      </c>
      <c r="E1795">
        <v>17940</v>
      </c>
      <c r="F1795">
        <v>16.100000000000001</v>
      </c>
      <c r="G1795">
        <v>1696</v>
      </c>
      <c r="H1795">
        <v>12.6</v>
      </c>
      <c r="I1795">
        <v>1353</v>
      </c>
      <c r="J1795">
        <v>28.9</v>
      </c>
      <c r="K1795">
        <v>1475</v>
      </c>
      <c r="L1795">
        <v>29</v>
      </c>
      <c r="M1795">
        <v>1202</v>
      </c>
      <c r="N1795">
        <v>27.8</v>
      </c>
      <c r="O1795">
        <v>1590</v>
      </c>
      <c r="P1795" t="s">
        <v>1220</v>
      </c>
      <c r="Q1795" s="1">
        <v>12801</v>
      </c>
      <c r="R1795">
        <v>39.4</v>
      </c>
      <c r="S1795" s="2">
        <v>0.01</v>
      </c>
      <c r="T1795" s="3">
        <v>2.2000000000000002</v>
      </c>
      <c r="U1795" s="2">
        <v>0.32</v>
      </c>
      <c r="V1795" t="s">
        <v>3829</v>
      </c>
      <c r="W1795" t="s">
        <v>3830</v>
      </c>
      <c r="X1795" t="b">
        <v>0</v>
      </c>
      <c r="Y1795" t="b">
        <v>0</v>
      </c>
    </row>
    <row r="1796" spans="1:25">
      <c r="A1796">
        <v>17950</v>
      </c>
      <c r="B1796" t="s">
        <v>3251</v>
      </c>
      <c r="C1796" t="s">
        <v>3831</v>
      </c>
      <c r="D1796" t="s">
        <v>3253</v>
      </c>
      <c r="E1796">
        <v>17950</v>
      </c>
      <c r="F1796">
        <v>19.8</v>
      </c>
      <c r="G1796">
        <v>1392</v>
      </c>
      <c r="H1796">
        <v>12.1</v>
      </c>
      <c r="I1796">
        <v>1402</v>
      </c>
      <c r="J1796">
        <v>33</v>
      </c>
      <c r="K1796">
        <v>1377</v>
      </c>
      <c r="L1796">
        <v>16.3</v>
      </c>
      <c r="M1796">
        <v>1831</v>
      </c>
      <c r="N1796">
        <v>23.9</v>
      </c>
      <c r="O1796">
        <v>1747</v>
      </c>
      <c r="P1796" t="s">
        <v>1955</v>
      </c>
      <c r="Q1796" s="1">
        <v>32713</v>
      </c>
      <c r="R1796">
        <v>18.5</v>
      </c>
      <c r="S1796" s="2">
        <v>0.01</v>
      </c>
      <c r="T1796" s="3">
        <v>2.5687500000000001</v>
      </c>
      <c r="U1796" s="2">
        <v>0.15</v>
      </c>
      <c r="V1796" t="s">
        <v>3831</v>
      </c>
      <c r="W1796" t="s">
        <v>3832</v>
      </c>
      <c r="X1796" t="b">
        <v>0</v>
      </c>
      <c r="Y1796" t="b">
        <v>0</v>
      </c>
    </row>
    <row r="1797" spans="1:25">
      <c r="A1797">
        <v>17960</v>
      </c>
      <c r="B1797" t="s">
        <v>3251</v>
      </c>
      <c r="C1797" t="s">
        <v>3833</v>
      </c>
      <c r="D1797" t="s">
        <v>3253</v>
      </c>
      <c r="E1797">
        <v>17960</v>
      </c>
      <c r="F1797">
        <v>14.3</v>
      </c>
      <c r="G1797">
        <v>1791</v>
      </c>
      <c r="H1797">
        <v>8.6999999999999993</v>
      </c>
      <c r="I1797">
        <v>1835</v>
      </c>
      <c r="J1797">
        <v>7.8</v>
      </c>
      <c r="K1797">
        <v>1883</v>
      </c>
      <c r="L1797">
        <v>16.3</v>
      </c>
      <c r="M1797">
        <v>1832</v>
      </c>
      <c r="N1797">
        <v>32.799999999999997</v>
      </c>
      <c r="O1797">
        <v>1395</v>
      </c>
      <c r="P1797" t="s">
        <v>255</v>
      </c>
      <c r="Q1797" s="1">
        <v>17934</v>
      </c>
      <c r="R1797">
        <v>17.2</v>
      </c>
      <c r="S1797" s="2">
        <v>0.12</v>
      </c>
      <c r="T1797" s="3">
        <v>2.3638888888888889</v>
      </c>
      <c r="U1797" s="2">
        <v>0.35</v>
      </c>
      <c r="V1797" t="s">
        <v>3833</v>
      </c>
      <c r="W1797" t="s">
        <v>3834</v>
      </c>
      <c r="X1797" t="b">
        <v>0</v>
      </c>
      <c r="Y1797" t="b">
        <v>0</v>
      </c>
    </row>
    <row r="1798" spans="1:25">
      <c r="A1798">
        <v>17970</v>
      </c>
      <c r="B1798" t="s">
        <v>3251</v>
      </c>
      <c r="C1798" t="s">
        <v>3835</v>
      </c>
      <c r="D1798" t="s">
        <v>3253</v>
      </c>
      <c r="E1798">
        <v>17970</v>
      </c>
      <c r="F1798">
        <v>23.7</v>
      </c>
      <c r="G1798">
        <v>1102</v>
      </c>
      <c r="H1798">
        <v>13.4</v>
      </c>
      <c r="I1798">
        <v>1271</v>
      </c>
      <c r="J1798">
        <v>9.9</v>
      </c>
      <c r="K1798">
        <v>1859</v>
      </c>
      <c r="L1798">
        <v>50</v>
      </c>
      <c r="M1798">
        <v>808</v>
      </c>
      <c r="N1798">
        <v>28.4</v>
      </c>
      <c r="O1798">
        <v>1567</v>
      </c>
      <c r="P1798" t="s">
        <v>255</v>
      </c>
      <c r="Q1798" s="1">
        <v>8719</v>
      </c>
      <c r="R1798">
        <v>10.199999999999999</v>
      </c>
      <c r="S1798" s="2">
        <v>0.09</v>
      </c>
      <c r="T1798" t="s">
        <v>40</v>
      </c>
      <c r="U1798" s="2">
        <v>0.48</v>
      </c>
      <c r="V1798" t="s">
        <v>3835</v>
      </c>
      <c r="W1798" t="s">
        <v>3836</v>
      </c>
      <c r="X1798" t="b">
        <v>0</v>
      </c>
      <c r="Y1798" t="b">
        <v>0</v>
      </c>
    </row>
    <row r="1799" spans="1:25">
      <c r="A1799">
        <v>17980</v>
      </c>
      <c r="B1799" t="s">
        <v>3251</v>
      </c>
      <c r="C1799" t="s">
        <v>3837</v>
      </c>
      <c r="D1799" t="s">
        <v>3253</v>
      </c>
      <c r="E1799">
        <v>17980</v>
      </c>
      <c r="F1799">
        <v>21.2</v>
      </c>
      <c r="G1799">
        <v>1289</v>
      </c>
      <c r="H1799">
        <v>12.5</v>
      </c>
      <c r="I1799">
        <v>1361</v>
      </c>
      <c r="J1799">
        <v>8.1999999999999993</v>
      </c>
      <c r="K1799">
        <v>1879</v>
      </c>
      <c r="L1799">
        <v>24.6</v>
      </c>
      <c r="M1799">
        <v>1351</v>
      </c>
      <c r="N1799">
        <v>23.7</v>
      </c>
      <c r="O1799">
        <v>1755</v>
      </c>
      <c r="P1799" t="s">
        <v>255</v>
      </c>
      <c r="Q1799" s="1">
        <v>9845</v>
      </c>
      <c r="R1799">
        <v>12</v>
      </c>
      <c r="S1799" s="2">
        <v>0.05</v>
      </c>
      <c r="T1799" s="3">
        <v>2.4868055555555557</v>
      </c>
      <c r="U1799" s="2">
        <v>0.33</v>
      </c>
      <c r="V1799" t="s">
        <v>3837</v>
      </c>
      <c r="W1799" t="s">
        <v>3838</v>
      </c>
      <c r="X1799" t="b">
        <v>0</v>
      </c>
      <c r="Y1799" t="b">
        <v>0</v>
      </c>
    </row>
    <row r="1800" spans="1:25">
      <c r="A1800">
        <v>17990</v>
      </c>
      <c r="B1800" t="s">
        <v>3251</v>
      </c>
      <c r="C1800" t="s">
        <v>3839</v>
      </c>
      <c r="D1800" t="s">
        <v>3253</v>
      </c>
      <c r="E1800">
        <v>17990</v>
      </c>
      <c r="F1800">
        <v>16</v>
      </c>
      <c r="G1800">
        <v>1698</v>
      </c>
      <c r="H1800">
        <v>10.3</v>
      </c>
      <c r="I1800">
        <v>1617</v>
      </c>
      <c r="J1800">
        <v>15.2</v>
      </c>
      <c r="K1800">
        <v>1765</v>
      </c>
      <c r="L1800">
        <v>18.3</v>
      </c>
      <c r="M1800">
        <v>1647</v>
      </c>
      <c r="N1800">
        <v>26.4</v>
      </c>
      <c r="O1800">
        <v>1650</v>
      </c>
      <c r="P1800" t="s">
        <v>577</v>
      </c>
      <c r="Q1800" s="1">
        <v>21435</v>
      </c>
      <c r="R1800">
        <v>16.899999999999999</v>
      </c>
      <c r="S1800" s="2">
        <v>0</v>
      </c>
      <c r="U1800" s="2">
        <v>0.18</v>
      </c>
      <c r="V1800" t="s">
        <v>3839</v>
      </c>
      <c r="W1800" t="s">
        <v>3840</v>
      </c>
      <c r="X1800" t="b">
        <v>0</v>
      </c>
      <c r="Y1800" t="b">
        <v>0</v>
      </c>
    </row>
    <row r="1801" spans="1:25">
      <c r="A1801">
        <v>18000</v>
      </c>
      <c r="B1801" t="s">
        <v>3251</v>
      </c>
      <c r="C1801" t="s">
        <v>3841</v>
      </c>
      <c r="D1801" t="s">
        <v>3253</v>
      </c>
      <c r="E1801">
        <v>18000</v>
      </c>
      <c r="F1801">
        <v>13.5</v>
      </c>
      <c r="G1801">
        <v>1823</v>
      </c>
      <c r="H1801">
        <v>8.6999999999999993</v>
      </c>
      <c r="I1801">
        <v>1836</v>
      </c>
      <c r="J1801">
        <v>10.1</v>
      </c>
      <c r="K1801">
        <v>1856</v>
      </c>
      <c r="L1801">
        <v>15.6</v>
      </c>
      <c r="M1801">
        <v>1903</v>
      </c>
      <c r="N1801">
        <v>26.5</v>
      </c>
      <c r="O1801">
        <v>1643</v>
      </c>
      <c r="P1801" t="s">
        <v>2484</v>
      </c>
      <c r="Q1801" s="1">
        <v>56595</v>
      </c>
      <c r="R1801">
        <v>21.1</v>
      </c>
      <c r="S1801" s="2">
        <v>0.01</v>
      </c>
      <c r="T1801" s="3">
        <v>2.1180555555555554</v>
      </c>
      <c r="U1801" s="2">
        <v>0.36</v>
      </c>
      <c r="V1801" t="s">
        <v>3841</v>
      </c>
      <c r="W1801" t="s">
        <v>3842</v>
      </c>
      <c r="X1801" t="b">
        <v>0</v>
      </c>
      <c r="Y1801" t="b">
        <v>0</v>
      </c>
    </row>
    <row r="1802" spans="1:25">
      <c r="A1802">
        <v>18010</v>
      </c>
      <c r="B1802" t="s">
        <v>3251</v>
      </c>
      <c r="C1802" t="s">
        <v>3843</v>
      </c>
      <c r="D1802" t="s">
        <v>3253</v>
      </c>
      <c r="E1802">
        <v>18010</v>
      </c>
      <c r="F1802">
        <v>14.9</v>
      </c>
      <c r="G1802">
        <v>1762</v>
      </c>
      <c r="H1802">
        <v>9.4</v>
      </c>
      <c r="I1802">
        <v>1739</v>
      </c>
      <c r="J1802">
        <v>39.299999999999997</v>
      </c>
      <c r="K1802">
        <v>1230</v>
      </c>
      <c r="L1802">
        <v>16.3</v>
      </c>
      <c r="M1802">
        <v>1833</v>
      </c>
      <c r="N1802">
        <v>25.9</v>
      </c>
      <c r="O1802">
        <v>1667</v>
      </c>
      <c r="P1802" t="s">
        <v>1448</v>
      </c>
      <c r="Q1802" s="1">
        <v>17256</v>
      </c>
      <c r="R1802">
        <v>17.100000000000001</v>
      </c>
      <c r="S1802" s="2">
        <v>0</v>
      </c>
      <c r="T1802" s="3">
        <v>2.7736111111111112</v>
      </c>
      <c r="U1802" s="2">
        <v>0.28999999999999998</v>
      </c>
      <c r="V1802" t="s">
        <v>3843</v>
      </c>
      <c r="W1802" t="s">
        <v>3844</v>
      </c>
      <c r="X1802" t="b">
        <v>0</v>
      </c>
      <c r="Y1802" t="b">
        <v>0</v>
      </c>
    </row>
    <row r="1803" spans="1:25">
      <c r="A1803">
        <v>18020</v>
      </c>
      <c r="B1803" t="s">
        <v>3251</v>
      </c>
      <c r="C1803" t="s">
        <v>3845</v>
      </c>
      <c r="D1803" t="s">
        <v>3253</v>
      </c>
      <c r="E1803">
        <v>18020</v>
      </c>
      <c r="F1803">
        <v>11.6</v>
      </c>
      <c r="G1803">
        <v>1887</v>
      </c>
      <c r="H1803">
        <v>9.5</v>
      </c>
      <c r="I1803">
        <v>1717</v>
      </c>
      <c r="J1803">
        <v>13.6</v>
      </c>
      <c r="K1803">
        <v>1792</v>
      </c>
      <c r="L1803">
        <v>15.8</v>
      </c>
      <c r="M1803">
        <v>1890</v>
      </c>
      <c r="N1803">
        <v>42</v>
      </c>
      <c r="O1803">
        <v>1053</v>
      </c>
      <c r="P1803" t="s">
        <v>2513</v>
      </c>
      <c r="Q1803" s="1">
        <v>22513</v>
      </c>
      <c r="R1803">
        <v>24.2</v>
      </c>
      <c r="S1803" s="2">
        <v>0.01</v>
      </c>
      <c r="T1803" t="s">
        <v>658</v>
      </c>
      <c r="U1803" s="2">
        <v>0.41</v>
      </c>
      <c r="V1803" t="s">
        <v>3845</v>
      </c>
      <c r="W1803" t="s">
        <v>3846</v>
      </c>
      <c r="X1803" t="b">
        <v>0</v>
      </c>
      <c r="Y1803" t="b">
        <v>0</v>
      </c>
    </row>
    <row r="1804" spans="1:25">
      <c r="A1804">
        <v>18030</v>
      </c>
      <c r="B1804" t="s">
        <v>3251</v>
      </c>
      <c r="C1804" t="s">
        <v>3847</v>
      </c>
      <c r="D1804" t="s">
        <v>3253</v>
      </c>
      <c r="E1804">
        <v>18030</v>
      </c>
      <c r="F1804">
        <v>19.8</v>
      </c>
      <c r="G1804">
        <v>1393</v>
      </c>
      <c r="H1804">
        <v>11.4</v>
      </c>
      <c r="I1804">
        <v>1480</v>
      </c>
      <c r="J1804">
        <v>28.8</v>
      </c>
      <c r="K1804">
        <v>1479</v>
      </c>
      <c r="L1804">
        <v>29.7</v>
      </c>
      <c r="M1804">
        <v>1193</v>
      </c>
      <c r="N1804">
        <v>24.2</v>
      </c>
      <c r="O1804">
        <v>1733</v>
      </c>
      <c r="P1804" t="s">
        <v>1853</v>
      </c>
      <c r="Q1804" s="1">
        <v>29166</v>
      </c>
      <c r="R1804">
        <v>23.2</v>
      </c>
      <c r="S1804" s="2">
        <v>0.04</v>
      </c>
      <c r="T1804" t="s">
        <v>801</v>
      </c>
      <c r="U1804" s="2">
        <v>0.49</v>
      </c>
      <c r="V1804" t="s">
        <v>3847</v>
      </c>
      <c r="W1804" t="s">
        <v>3848</v>
      </c>
      <c r="X1804" t="b">
        <v>0</v>
      </c>
      <c r="Y1804" t="b">
        <v>0</v>
      </c>
    </row>
    <row r="1805" spans="1:25">
      <c r="A1805">
        <v>18040</v>
      </c>
      <c r="B1805" t="s">
        <v>3251</v>
      </c>
      <c r="C1805" t="s">
        <v>3849</v>
      </c>
      <c r="D1805" t="s">
        <v>3253</v>
      </c>
      <c r="E1805">
        <v>18040</v>
      </c>
      <c r="F1805">
        <v>16.7</v>
      </c>
      <c r="G1805">
        <v>1655</v>
      </c>
      <c r="H1805">
        <v>10.1</v>
      </c>
      <c r="I1805">
        <v>1637</v>
      </c>
      <c r="J1805">
        <v>33.9</v>
      </c>
      <c r="K1805">
        <v>1355</v>
      </c>
      <c r="L1805">
        <v>30.9</v>
      </c>
      <c r="M1805">
        <v>1161</v>
      </c>
      <c r="N1805">
        <v>22.6</v>
      </c>
      <c r="O1805">
        <v>1788</v>
      </c>
      <c r="P1805" t="s">
        <v>1853</v>
      </c>
      <c r="Q1805" s="1">
        <v>11846</v>
      </c>
      <c r="R1805">
        <v>18.7</v>
      </c>
      <c r="S1805" s="2">
        <v>0.03</v>
      </c>
      <c r="T1805" t="s">
        <v>696</v>
      </c>
      <c r="U1805" s="2">
        <v>0.45</v>
      </c>
      <c r="V1805" t="s">
        <v>3849</v>
      </c>
      <c r="W1805" t="s">
        <v>3850</v>
      </c>
      <c r="X1805" t="b">
        <v>0</v>
      </c>
      <c r="Y1805" t="b">
        <v>0</v>
      </c>
    </row>
    <row r="1806" spans="1:25">
      <c r="A1806">
        <v>18050</v>
      </c>
      <c r="B1806" t="s">
        <v>3251</v>
      </c>
      <c r="C1806" t="s">
        <v>3851</v>
      </c>
      <c r="D1806" t="s">
        <v>3253</v>
      </c>
      <c r="E1806">
        <v>18050</v>
      </c>
      <c r="F1806">
        <v>24.4</v>
      </c>
      <c r="G1806">
        <v>1053</v>
      </c>
      <c r="H1806">
        <v>10.7</v>
      </c>
      <c r="I1806">
        <v>1566</v>
      </c>
      <c r="J1806">
        <v>14.6</v>
      </c>
      <c r="K1806">
        <v>1776</v>
      </c>
      <c r="L1806">
        <v>20.5</v>
      </c>
      <c r="M1806">
        <v>1514</v>
      </c>
      <c r="N1806">
        <v>24.7</v>
      </c>
      <c r="O1806">
        <v>1720</v>
      </c>
      <c r="P1806" t="s">
        <v>577</v>
      </c>
      <c r="Q1806" s="1">
        <v>37267</v>
      </c>
      <c r="R1806">
        <v>36</v>
      </c>
      <c r="S1806" s="2">
        <v>0.01</v>
      </c>
      <c r="T1806" s="3">
        <v>2.4048611111111109</v>
      </c>
      <c r="U1806" s="2">
        <v>0.22</v>
      </c>
      <c r="V1806" t="s">
        <v>3851</v>
      </c>
      <c r="W1806" t="s">
        <v>3852</v>
      </c>
      <c r="X1806" t="b">
        <v>0</v>
      </c>
      <c r="Y1806" t="b">
        <v>0</v>
      </c>
    </row>
    <row r="1807" spans="1:25">
      <c r="A1807">
        <v>18060</v>
      </c>
      <c r="B1807" t="s">
        <v>3251</v>
      </c>
      <c r="C1807" t="s">
        <v>3853</v>
      </c>
      <c r="D1807" t="s">
        <v>3253</v>
      </c>
      <c r="E1807">
        <v>18060</v>
      </c>
      <c r="F1807">
        <v>24.2</v>
      </c>
      <c r="G1807">
        <v>1071</v>
      </c>
      <c r="H1807">
        <v>10.6</v>
      </c>
      <c r="I1807">
        <v>1580</v>
      </c>
      <c r="J1807">
        <v>10.199999999999999</v>
      </c>
      <c r="K1807">
        <v>1855</v>
      </c>
      <c r="L1807">
        <v>26.8</v>
      </c>
      <c r="M1807">
        <v>1270</v>
      </c>
      <c r="N1807">
        <v>37.200000000000003</v>
      </c>
      <c r="O1807">
        <v>1234</v>
      </c>
      <c r="P1807" t="s">
        <v>1820</v>
      </c>
      <c r="Q1807" s="1">
        <v>10565</v>
      </c>
      <c r="R1807">
        <v>10.6</v>
      </c>
      <c r="S1807" s="2">
        <v>0.02</v>
      </c>
      <c r="T1807" s="3">
        <v>2.4048611111111109</v>
      </c>
      <c r="U1807" s="2">
        <v>0.26</v>
      </c>
      <c r="V1807" t="s">
        <v>3853</v>
      </c>
      <c r="W1807" t="s">
        <v>3854</v>
      </c>
      <c r="X1807" t="b">
        <v>0</v>
      </c>
      <c r="Y1807" t="b">
        <v>0</v>
      </c>
    </row>
    <row r="1808" spans="1:25">
      <c r="A1808">
        <v>18070</v>
      </c>
      <c r="B1808" t="s">
        <v>3251</v>
      </c>
      <c r="C1808" t="s">
        <v>3855</v>
      </c>
      <c r="D1808" t="s">
        <v>3253</v>
      </c>
      <c r="E1808">
        <v>18070</v>
      </c>
      <c r="F1808">
        <v>12.2</v>
      </c>
      <c r="G1808">
        <v>1873</v>
      </c>
      <c r="H1808">
        <v>8.6999999999999993</v>
      </c>
      <c r="I1808">
        <v>1837</v>
      </c>
      <c r="J1808">
        <v>15.3</v>
      </c>
      <c r="K1808">
        <v>1762</v>
      </c>
      <c r="L1808">
        <v>15.9</v>
      </c>
      <c r="M1808">
        <v>1881</v>
      </c>
      <c r="N1808">
        <v>63.9</v>
      </c>
      <c r="O1808">
        <v>505</v>
      </c>
      <c r="P1808" t="s">
        <v>2513</v>
      </c>
      <c r="Q1808" s="1">
        <v>21237</v>
      </c>
      <c r="R1808">
        <v>25.4</v>
      </c>
      <c r="S1808" s="2">
        <v>0.01</v>
      </c>
      <c r="T1808" s="3">
        <v>2.3638888888888889</v>
      </c>
      <c r="U1808" s="2">
        <v>0.18</v>
      </c>
      <c r="V1808" t="s">
        <v>3855</v>
      </c>
      <c r="W1808" t="s">
        <v>3856</v>
      </c>
      <c r="X1808" t="b">
        <v>0</v>
      </c>
      <c r="Y1808" t="b">
        <v>0</v>
      </c>
    </row>
    <row r="1809" spans="1:25">
      <c r="A1809">
        <v>18080</v>
      </c>
      <c r="B1809" t="s">
        <v>3251</v>
      </c>
      <c r="C1809" t="s">
        <v>3857</v>
      </c>
      <c r="D1809" t="s">
        <v>3253</v>
      </c>
      <c r="E1809">
        <v>18080</v>
      </c>
      <c r="F1809">
        <v>23.1</v>
      </c>
      <c r="G1809">
        <v>1147</v>
      </c>
      <c r="H1809">
        <v>14.4</v>
      </c>
      <c r="I1809">
        <v>1169</v>
      </c>
      <c r="J1809">
        <v>15.4</v>
      </c>
      <c r="K1809">
        <v>1760</v>
      </c>
      <c r="L1809">
        <v>21.8</v>
      </c>
      <c r="M1809">
        <v>1448</v>
      </c>
      <c r="N1809">
        <v>32</v>
      </c>
      <c r="O1809">
        <v>1430</v>
      </c>
      <c r="P1809" t="s">
        <v>1895</v>
      </c>
      <c r="Q1809" s="1">
        <v>31493</v>
      </c>
      <c r="R1809">
        <v>17.100000000000001</v>
      </c>
      <c r="S1809" s="2">
        <v>0</v>
      </c>
      <c r="T1809" t="s">
        <v>350</v>
      </c>
      <c r="U1809" s="2">
        <v>0.34</v>
      </c>
      <c r="V1809" t="s">
        <v>3857</v>
      </c>
      <c r="W1809" t="s">
        <v>3858</v>
      </c>
      <c r="X1809" t="b">
        <v>0</v>
      </c>
      <c r="Y1809" t="b">
        <v>0</v>
      </c>
    </row>
    <row r="1810" spans="1:25">
      <c r="A1810">
        <v>18090</v>
      </c>
      <c r="B1810" t="s">
        <v>3251</v>
      </c>
      <c r="C1810" t="s">
        <v>3859</v>
      </c>
      <c r="D1810" t="s">
        <v>3253</v>
      </c>
      <c r="E1810">
        <v>18090</v>
      </c>
      <c r="F1810">
        <v>15.5</v>
      </c>
      <c r="G1810">
        <v>1733</v>
      </c>
      <c r="H1810">
        <v>14.9</v>
      </c>
      <c r="I1810">
        <v>1136</v>
      </c>
      <c r="J1810">
        <v>27.6</v>
      </c>
      <c r="K1810">
        <v>1506</v>
      </c>
      <c r="L1810">
        <v>16.8</v>
      </c>
      <c r="M1810">
        <v>1778</v>
      </c>
      <c r="N1810">
        <v>47.9</v>
      </c>
      <c r="O1810">
        <v>869</v>
      </c>
      <c r="P1810" t="s">
        <v>984</v>
      </c>
      <c r="Q1810" s="1">
        <v>14306</v>
      </c>
      <c r="R1810">
        <v>29.1</v>
      </c>
      <c r="S1810" s="2">
        <v>0.27</v>
      </c>
      <c r="T1810" s="3">
        <v>2.2409722222222221</v>
      </c>
      <c r="U1810" s="2">
        <v>0.25</v>
      </c>
      <c r="V1810" t="s">
        <v>3859</v>
      </c>
      <c r="W1810" t="s">
        <v>3860</v>
      </c>
      <c r="X1810" t="b">
        <v>0</v>
      </c>
      <c r="Y1810" t="b">
        <v>0</v>
      </c>
    </row>
    <row r="1811" spans="1:25">
      <c r="A1811">
        <v>18100</v>
      </c>
      <c r="B1811" t="s">
        <v>3251</v>
      </c>
      <c r="C1811" t="s">
        <v>3861</v>
      </c>
      <c r="D1811" t="s">
        <v>3253</v>
      </c>
      <c r="E1811">
        <v>18100</v>
      </c>
      <c r="F1811">
        <v>16.399999999999999</v>
      </c>
      <c r="G1811">
        <v>1673</v>
      </c>
      <c r="H1811">
        <v>14.9</v>
      </c>
      <c r="I1811">
        <v>1137</v>
      </c>
      <c r="J1811">
        <v>26.5</v>
      </c>
      <c r="K1811">
        <v>1528</v>
      </c>
      <c r="L1811">
        <v>21.9</v>
      </c>
      <c r="M1811">
        <v>1445</v>
      </c>
      <c r="N1811">
        <v>61.8</v>
      </c>
      <c r="O1811">
        <v>548</v>
      </c>
      <c r="P1811" t="s">
        <v>2029</v>
      </c>
      <c r="Q1811" s="1">
        <v>5805</v>
      </c>
      <c r="R1811">
        <v>15.3</v>
      </c>
      <c r="S1811" s="2">
        <v>0.18</v>
      </c>
      <c r="T1811" s="3">
        <v>3.2243055555555555</v>
      </c>
      <c r="U1811" s="2">
        <v>0.27</v>
      </c>
      <c r="V1811" t="s">
        <v>3861</v>
      </c>
      <c r="W1811" t="s">
        <v>3862</v>
      </c>
      <c r="X1811" t="b">
        <v>0</v>
      </c>
      <c r="Y1811" t="b">
        <v>0</v>
      </c>
    </row>
    <row r="1812" spans="1:25">
      <c r="A1812">
        <v>18110</v>
      </c>
      <c r="B1812" t="s">
        <v>3251</v>
      </c>
      <c r="C1812" t="s">
        <v>3863</v>
      </c>
      <c r="D1812" t="s">
        <v>3253</v>
      </c>
      <c r="E1812">
        <v>18110</v>
      </c>
      <c r="F1812">
        <v>11.8</v>
      </c>
      <c r="G1812">
        <v>1883</v>
      </c>
      <c r="H1812">
        <v>10.7</v>
      </c>
      <c r="I1812">
        <v>1567</v>
      </c>
      <c r="J1812">
        <v>13.7</v>
      </c>
      <c r="K1812">
        <v>1790</v>
      </c>
      <c r="L1812">
        <v>18.399999999999999</v>
      </c>
      <c r="M1812">
        <v>1639</v>
      </c>
      <c r="N1812">
        <v>38.9</v>
      </c>
      <c r="O1812">
        <v>1158</v>
      </c>
      <c r="P1812" t="s">
        <v>3864</v>
      </c>
      <c r="Q1812" s="1">
        <v>28532</v>
      </c>
      <c r="R1812">
        <v>31.4</v>
      </c>
      <c r="S1812" s="2">
        <v>0.01</v>
      </c>
      <c r="T1812" s="3">
        <v>2.7326388888888888</v>
      </c>
      <c r="U1812" s="2">
        <v>0.23</v>
      </c>
      <c r="V1812" t="s">
        <v>3863</v>
      </c>
      <c r="W1812" t="s">
        <v>3865</v>
      </c>
      <c r="X1812" t="b">
        <v>0</v>
      </c>
      <c r="Y1812" t="b">
        <v>0</v>
      </c>
    </row>
    <row r="1813" spans="1:25">
      <c r="A1813">
        <v>18120</v>
      </c>
      <c r="B1813" t="s">
        <v>3251</v>
      </c>
      <c r="C1813" t="s">
        <v>3866</v>
      </c>
      <c r="D1813" t="s">
        <v>3253</v>
      </c>
      <c r="E1813">
        <v>18120</v>
      </c>
      <c r="F1813">
        <v>23.9</v>
      </c>
      <c r="G1813">
        <v>1087</v>
      </c>
      <c r="H1813">
        <v>9.9</v>
      </c>
      <c r="I1813">
        <v>1659</v>
      </c>
      <c r="J1813">
        <v>5.2</v>
      </c>
      <c r="K1813">
        <v>1901</v>
      </c>
      <c r="L1813">
        <v>20</v>
      </c>
      <c r="M1813">
        <v>1533</v>
      </c>
      <c r="N1813">
        <v>40.299999999999997</v>
      </c>
      <c r="O1813">
        <v>1109</v>
      </c>
      <c r="P1813" t="s">
        <v>255</v>
      </c>
      <c r="Q1813" s="1">
        <v>5896</v>
      </c>
      <c r="R1813">
        <v>10.3</v>
      </c>
      <c r="S1813" s="2">
        <v>0.23</v>
      </c>
      <c r="T1813" s="3">
        <v>2.8555555555555556</v>
      </c>
      <c r="U1813" s="2">
        <v>0.1</v>
      </c>
      <c r="V1813" t="s">
        <v>3866</v>
      </c>
      <c r="W1813" t="s">
        <v>3867</v>
      </c>
      <c r="X1813" t="b">
        <v>0</v>
      </c>
      <c r="Y1813" t="b">
        <v>0</v>
      </c>
    </row>
    <row r="1814" spans="1:25">
      <c r="A1814">
        <v>18130</v>
      </c>
      <c r="B1814" t="s">
        <v>3251</v>
      </c>
      <c r="C1814" t="s">
        <v>3868</v>
      </c>
      <c r="D1814" t="s">
        <v>3253</v>
      </c>
      <c r="E1814">
        <v>18130</v>
      </c>
      <c r="F1814">
        <v>22.9</v>
      </c>
      <c r="G1814">
        <v>1159</v>
      </c>
      <c r="H1814">
        <v>8.9</v>
      </c>
      <c r="I1814">
        <v>1817</v>
      </c>
      <c r="J1814">
        <v>29.4</v>
      </c>
      <c r="K1814">
        <v>1459</v>
      </c>
      <c r="L1814">
        <v>20.7</v>
      </c>
      <c r="M1814">
        <v>1503</v>
      </c>
      <c r="N1814">
        <v>17.600000000000001</v>
      </c>
      <c r="O1814">
        <v>1902</v>
      </c>
      <c r="P1814" t="s">
        <v>528</v>
      </c>
      <c r="Q1814" s="1">
        <v>8140</v>
      </c>
      <c r="R1814">
        <v>14.2</v>
      </c>
      <c r="S1814" s="2">
        <v>0</v>
      </c>
      <c r="T1814" t="s">
        <v>40</v>
      </c>
      <c r="U1814" t="s">
        <v>1292</v>
      </c>
      <c r="V1814" t="s">
        <v>3868</v>
      </c>
      <c r="W1814" t="s">
        <v>3869</v>
      </c>
      <c r="X1814" t="b">
        <v>0</v>
      </c>
      <c r="Y1814" t="b">
        <v>0</v>
      </c>
    </row>
    <row r="1815" spans="1:25">
      <c r="A1815">
        <v>18140</v>
      </c>
      <c r="B1815" t="s">
        <v>3251</v>
      </c>
      <c r="C1815" t="s">
        <v>3870</v>
      </c>
      <c r="D1815" t="s">
        <v>3253</v>
      </c>
      <c r="E1815">
        <v>18140</v>
      </c>
      <c r="F1815">
        <v>16.3</v>
      </c>
      <c r="G1815">
        <v>1682</v>
      </c>
      <c r="H1815">
        <v>9.5</v>
      </c>
      <c r="I1815">
        <v>1718</v>
      </c>
      <c r="J1815">
        <v>23.9</v>
      </c>
      <c r="K1815">
        <v>1588</v>
      </c>
      <c r="L1815">
        <v>16.600000000000001</v>
      </c>
      <c r="M1815">
        <v>1800</v>
      </c>
      <c r="N1815">
        <v>22.3</v>
      </c>
      <c r="O1815">
        <v>1799</v>
      </c>
      <c r="P1815" t="s">
        <v>895</v>
      </c>
      <c r="Q1815" s="1">
        <v>12407</v>
      </c>
      <c r="R1815">
        <v>16.899999999999999</v>
      </c>
      <c r="S1815" s="2">
        <v>0.04</v>
      </c>
      <c r="T1815" s="3">
        <v>2.2819444444444446</v>
      </c>
      <c r="U1815" s="2">
        <v>0.23</v>
      </c>
      <c r="V1815" t="s">
        <v>3870</v>
      </c>
      <c r="W1815" t="s">
        <v>3871</v>
      </c>
      <c r="X1815" t="b">
        <v>0</v>
      </c>
      <c r="Y1815" t="b">
        <v>0</v>
      </c>
    </row>
    <row r="1816" spans="1:25">
      <c r="A1816">
        <v>18150</v>
      </c>
      <c r="B1816" t="s">
        <v>3251</v>
      </c>
      <c r="C1816" t="s">
        <v>3872</v>
      </c>
      <c r="D1816" t="s">
        <v>3253</v>
      </c>
      <c r="E1816">
        <v>18150</v>
      </c>
      <c r="F1816">
        <v>16</v>
      </c>
      <c r="G1816">
        <v>1699</v>
      </c>
      <c r="H1816">
        <v>7.9</v>
      </c>
      <c r="I1816">
        <v>1887</v>
      </c>
      <c r="J1816">
        <v>37.9</v>
      </c>
      <c r="K1816">
        <v>1261</v>
      </c>
      <c r="L1816">
        <v>20.7</v>
      </c>
      <c r="M1816">
        <v>1504</v>
      </c>
      <c r="N1816">
        <v>19.8</v>
      </c>
      <c r="O1816">
        <v>1876</v>
      </c>
      <c r="P1816" t="s">
        <v>528</v>
      </c>
      <c r="Q1816" s="1">
        <v>13907</v>
      </c>
      <c r="R1816">
        <v>18.7</v>
      </c>
      <c r="S1816" s="2">
        <v>0.01</v>
      </c>
      <c r="T1816" t="s">
        <v>113</v>
      </c>
      <c r="U1816" s="2">
        <v>0.41</v>
      </c>
      <c r="V1816" t="s">
        <v>3872</v>
      </c>
      <c r="W1816" t="s">
        <v>3873</v>
      </c>
      <c r="X1816" t="b">
        <v>0</v>
      </c>
      <c r="Y1816" t="b">
        <v>0</v>
      </c>
    </row>
    <row r="1817" spans="1:25">
      <c r="A1817">
        <v>18160</v>
      </c>
      <c r="B1817" t="s">
        <v>3251</v>
      </c>
      <c r="C1817" t="s">
        <v>3874</v>
      </c>
      <c r="D1817" t="s">
        <v>3253</v>
      </c>
      <c r="E1817">
        <v>18160</v>
      </c>
      <c r="F1817">
        <v>17.3</v>
      </c>
      <c r="G1817">
        <v>1611</v>
      </c>
      <c r="H1817">
        <v>13.8</v>
      </c>
      <c r="I1817">
        <v>1230</v>
      </c>
      <c r="J1817">
        <v>26.3</v>
      </c>
      <c r="K1817">
        <v>1537</v>
      </c>
      <c r="L1817">
        <v>23.2</v>
      </c>
      <c r="M1817">
        <v>1394</v>
      </c>
      <c r="N1817">
        <v>62.7</v>
      </c>
      <c r="O1817">
        <v>530</v>
      </c>
      <c r="P1817" t="s">
        <v>2410</v>
      </c>
      <c r="Q1817" s="1">
        <v>8761</v>
      </c>
      <c r="R1817">
        <v>21.8</v>
      </c>
      <c r="S1817" s="2">
        <v>0.28999999999999998</v>
      </c>
      <c r="T1817" s="3">
        <v>3.1423611111111112</v>
      </c>
      <c r="U1817" s="2">
        <v>0.05</v>
      </c>
      <c r="V1817" t="s">
        <v>3874</v>
      </c>
      <c r="W1817" t="s">
        <v>3875</v>
      </c>
      <c r="X1817" t="b">
        <v>0</v>
      </c>
      <c r="Y1817" t="b">
        <v>0</v>
      </c>
    </row>
    <row r="1818" spans="1:25">
      <c r="A1818">
        <v>18170</v>
      </c>
      <c r="B1818" t="s">
        <v>3251</v>
      </c>
      <c r="C1818" t="s">
        <v>3876</v>
      </c>
      <c r="D1818" t="s">
        <v>3253</v>
      </c>
      <c r="E1818">
        <v>18170</v>
      </c>
      <c r="F1818">
        <v>18.7</v>
      </c>
      <c r="G1818">
        <v>1487</v>
      </c>
      <c r="H1818">
        <v>16.7</v>
      </c>
      <c r="I1818">
        <v>995</v>
      </c>
      <c r="J1818">
        <v>29.9</v>
      </c>
      <c r="K1818">
        <v>1448</v>
      </c>
      <c r="L1818">
        <v>25.8</v>
      </c>
      <c r="M1818">
        <v>1307</v>
      </c>
      <c r="N1818">
        <v>29.2</v>
      </c>
      <c r="O1818">
        <v>1535</v>
      </c>
      <c r="P1818" t="s">
        <v>2613</v>
      </c>
      <c r="Q1818" s="1">
        <v>13163</v>
      </c>
      <c r="R1818">
        <v>15.6</v>
      </c>
      <c r="S1818" s="2">
        <v>0.03</v>
      </c>
      <c r="T1818" s="3">
        <v>2.4458333333333333</v>
      </c>
      <c r="U1818" s="2">
        <v>0.28999999999999998</v>
      </c>
      <c r="V1818" t="s">
        <v>3876</v>
      </c>
      <c r="W1818" t="s">
        <v>3877</v>
      </c>
      <c r="X1818" t="b">
        <v>0</v>
      </c>
      <c r="Y1818" t="b">
        <v>0</v>
      </c>
    </row>
    <row r="1819" spans="1:25">
      <c r="A1819">
        <v>18180</v>
      </c>
      <c r="B1819" t="s">
        <v>3251</v>
      </c>
      <c r="C1819" t="s">
        <v>3878</v>
      </c>
      <c r="D1819" t="s">
        <v>3253</v>
      </c>
      <c r="E1819">
        <v>18180</v>
      </c>
      <c r="F1819">
        <v>26.8</v>
      </c>
      <c r="G1819">
        <v>885</v>
      </c>
      <c r="H1819">
        <v>17.100000000000001</v>
      </c>
      <c r="I1819">
        <v>966</v>
      </c>
      <c r="J1819">
        <v>18.100000000000001</v>
      </c>
      <c r="K1819">
        <v>1714</v>
      </c>
      <c r="L1819">
        <v>19.399999999999999</v>
      </c>
      <c r="M1819">
        <v>1569</v>
      </c>
      <c r="N1819">
        <v>23.2</v>
      </c>
      <c r="O1819">
        <v>1773</v>
      </c>
      <c r="P1819" t="s">
        <v>255</v>
      </c>
      <c r="Q1819" s="1">
        <v>18646</v>
      </c>
      <c r="R1819">
        <v>10.4</v>
      </c>
      <c r="S1819" s="2">
        <v>0.04</v>
      </c>
      <c r="T1819" s="3">
        <v>2.6506944444444445</v>
      </c>
      <c r="U1819" s="2">
        <v>0.15</v>
      </c>
      <c r="V1819" t="s">
        <v>3878</v>
      </c>
      <c r="W1819" t="s">
        <v>3879</v>
      </c>
      <c r="X1819" t="b">
        <v>0</v>
      </c>
      <c r="Y1819" t="b">
        <v>0</v>
      </c>
    </row>
    <row r="1820" spans="1:25">
      <c r="A1820">
        <v>18190</v>
      </c>
      <c r="B1820" t="s">
        <v>3251</v>
      </c>
      <c r="C1820" t="s">
        <v>3880</v>
      </c>
      <c r="D1820" t="s">
        <v>3253</v>
      </c>
      <c r="E1820">
        <v>18190</v>
      </c>
      <c r="F1820">
        <v>13.5</v>
      </c>
      <c r="G1820">
        <v>1824</v>
      </c>
      <c r="H1820">
        <v>13.4</v>
      </c>
      <c r="I1820">
        <v>1274</v>
      </c>
      <c r="J1820">
        <v>16.8</v>
      </c>
      <c r="K1820">
        <v>1737</v>
      </c>
      <c r="L1820">
        <v>15.7</v>
      </c>
      <c r="M1820">
        <v>1899</v>
      </c>
      <c r="N1820">
        <v>22.1</v>
      </c>
      <c r="O1820">
        <v>1805</v>
      </c>
      <c r="P1820" t="s">
        <v>255</v>
      </c>
      <c r="Q1820" s="1">
        <v>16679</v>
      </c>
      <c r="R1820">
        <v>22.1</v>
      </c>
      <c r="S1820" s="2">
        <v>0.04</v>
      </c>
      <c r="T1820" s="3">
        <v>2.8965277777777776</v>
      </c>
      <c r="U1820" s="2">
        <v>0.14000000000000001</v>
      </c>
      <c r="V1820" t="s">
        <v>3880</v>
      </c>
      <c r="W1820" t="s">
        <v>3881</v>
      </c>
      <c r="X1820" t="b">
        <v>0</v>
      </c>
      <c r="Y1820" t="b">
        <v>0</v>
      </c>
    </row>
    <row r="1821" spans="1:25">
      <c r="A1821">
        <v>18200</v>
      </c>
      <c r="B1821" t="s">
        <v>3251</v>
      </c>
      <c r="C1821" t="s">
        <v>3882</v>
      </c>
      <c r="D1821" t="s">
        <v>3253</v>
      </c>
      <c r="E1821">
        <v>18200</v>
      </c>
      <c r="F1821">
        <v>24.6</v>
      </c>
      <c r="G1821">
        <v>1039</v>
      </c>
      <c r="H1821">
        <v>9.4</v>
      </c>
      <c r="I1821">
        <v>1740</v>
      </c>
      <c r="J1821">
        <v>29.3</v>
      </c>
      <c r="K1821">
        <v>1460</v>
      </c>
      <c r="L1821">
        <v>17.8</v>
      </c>
      <c r="M1821">
        <v>1684</v>
      </c>
      <c r="N1821">
        <v>16.100000000000001</v>
      </c>
      <c r="O1821">
        <v>1906</v>
      </c>
      <c r="P1821" t="s">
        <v>528</v>
      </c>
      <c r="Q1821" s="1">
        <v>5741</v>
      </c>
      <c r="R1821">
        <v>14.9</v>
      </c>
      <c r="S1821" s="2">
        <v>0</v>
      </c>
      <c r="T1821" t="s">
        <v>796</v>
      </c>
      <c r="U1821" t="s">
        <v>1292</v>
      </c>
      <c r="V1821" t="s">
        <v>3883</v>
      </c>
      <c r="W1821" t="s">
        <v>3884</v>
      </c>
      <c r="X1821" t="b">
        <v>0</v>
      </c>
      <c r="Y1821" t="b">
        <v>0</v>
      </c>
    </row>
    <row r="1822" spans="1:25">
      <c r="A1822">
        <v>18210</v>
      </c>
      <c r="B1822" t="s">
        <v>3251</v>
      </c>
      <c r="C1822" t="s">
        <v>3885</v>
      </c>
      <c r="D1822" t="s">
        <v>3253</v>
      </c>
      <c r="E1822">
        <v>18210</v>
      </c>
      <c r="F1822">
        <v>15.5</v>
      </c>
      <c r="G1822">
        <v>1734</v>
      </c>
      <c r="H1822">
        <v>10.6</v>
      </c>
      <c r="I1822">
        <v>1581</v>
      </c>
      <c r="J1822">
        <v>12</v>
      </c>
      <c r="K1822">
        <v>1825</v>
      </c>
      <c r="L1822">
        <v>23.2</v>
      </c>
      <c r="M1822">
        <v>1395</v>
      </c>
      <c r="N1822">
        <v>31.2</v>
      </c>
      <c r="O1822">
        <v>1456</v>
      </c>
      <c r="P1822" t="s">
        <v>94</v>
      </c>
      <c r="Q1822" s="1">
        <v>15818</v>
      </c>
      <c r="R1822">
        <v>27.7</v>
      </c>
      <c r="S1822" s="2">
        <v>0.02</v>
      </c>
      <c r="T1822" t="s">
        <v>801</v>
      </c>
      <c r="U1822" s="2">
        <v>0.3</v>
      </c>
      <c r="V1822" t="s">
        <v>3885</v>
      </c>
      <c r="W1822" t="s">
        <v>3886</v>
      </c>
      <c r="X1822" t="b">
        <v>0</v>
      </c>
      <c r="Y1822" t="b">
        <v>0</v>
      </c>
    </row>
    <row r="1823" spans="1:25">
      <c r="A1823">
        <v>18220</v>
      </c>
      <c r="B1823" t="s">
        <v>3251</v>
      </c>
      <c r="C1823" t="s">
        <v>3887</v>
      </c>
      <c r="D1823" t="s">
        <v>3253</v>
      </c>
      <c r="E1823">
        <v>18220</v>
      </c>
      <c r="F1823">
        <v>25.4</v>
      </c>
      <c r="G1823">
        <v>979</v>
      </c>
      <c r="H1823">
        <v>14.1</v>
      </c>
      <c r="I1823">
        <v>1202</v>
      </c>
      <c r="J1823">
        <v>22.6</v>
      </c>
      <c r="K1823">
        <v>1625</v>
      </c>
      <c r="L1823">
        <v>37.200000000000003</v>
      </c>
      <c r="M1823">
        <v>1040</v>
      </c>
      <c r="N1823">
        <v>37.6</v>
      </c>
      <c r="O1823">
        <v>1217</v>
      </c>
      <c r="P1823" t="s">
        <v>94</v>
      </c>
      <c r="Q1823" s="1">
        <v>7534</v>
      </c>
      <c r="R1823">
        <v>9.9</v>
      </c>
      <c r="S1823" s="2">
        <v>0.02</v>
      </c>
      <c r="T1823" t="s">
        <v>501</v>
      </c>
      <c r="U1823" s="2">
        <v>0.18</v>
      </c>
      <c r="V1823" t="s">
        <v>3887</v>
      </c>
      <c r="W1823" t="s">
        <v>3888</v>
      </c>
      <c r="X1823" t="b">
        <v>0</v>
      </c>
      <c r="Y1823" t="b">
        <v>0</v>
      </c>
    </row>
    <row r="1824" spans="1:25">
      <c r="A1824">
        <v>18230</v>
      </c>
      <c r="B1824" t="s">
        <v>3251</v>
      </c>
      <c r="C1824" t="s">
        <v>3889</v>
      </c>
      <c r="D1824" t="s">
        <v>3253</v>
      </c>
      <c r="E1824">
        <v>18230</v>
      </c>
      <c r="F1824">
        <v>20.6</v>
      </c>
      <c r="G1824">
        <v>1333</v>
      </c>
      <c r="H1824">
        <v>9.1</v>
      </c>
      <c r="I1824">
        <v>1787</v>
      </c>
      <c r="J1824">
        <v>29.1</v>
      </c>
      <c r="K1824">
        <v>1468</v>
      </c>
      <c r="L1824">
        <v>22.9</v>
      </c>
      <c r="M1824">
        <v>1406</v>
      </c>
      <c r="N1824">
        <v>23.1</v>
      </c>
      <c r="O1824">
        <v>1777</v>
      </c>
      <c r="P1824" t="s">
        <v>1543</v>
      </c>
      <c r="Q1824" s="1">
        <v>10742</v>
      </c>
      <c r="R1824">
        <v>11.6</v>
      </c>
      <c r="S1824" s="2">
        <v>0.01</v>
      </c>
      <c r="T1824" t="s">
        <v>696</v>
      </c>
      <c r="U1824" s="2">
        <v>0.41</v>
      </c>
      <c r="V1824" t="s">
        <v>3889</v>
      </c>
      <c r="W1824" t="s">
        <v>3890</v>
      </c>
      <c r="X1824" t="b">
        <v>0</v>
      </c>
      <c r="Y1824" t="b">
        <v>0</v>
      </c>
    </row>
    <row r="1825" spans="1:25">
      <c r="A1825">
        <v>18240</v>
      </c>
      <c r="B1825" t="s">
        <v>3251</v>
      </c>
      <c r="C1825" t="s">
        <v>3891</v>
      </c>
      <c r="D1825" t="s">
        <v>3253</v>
      </c>
      <c r="E1825">
        <v>18240</v>
      </c>
      <c r="F1825">
        <v>17.399999999999999</v>
      </c>
      <c r="G1825">
        <v>1602</v>
      </c>
      <c r="H1825">
        <v>10.9</v>
      </c>
      <c r="I1825">
        <v>1540</v>
      </c>
      <c r="J1825">
        <v>19.7</v>
      </c>
      <c r="K1825">
        <v>1687</v>
      </c>
      <c r="L1825">
        <v>16.600000000000001</v>
      </c>
      <c r="M1825">
        <v>1801</v>
      </c>
      <c r="N1825">
        <v>44.3</v>
      </c>
      <c r="O1825">
        <v>982</v>
      </c>
      <c r="P1825" t="s">
        <v>1820</v>
      </c>
      <c r="Q1825" s="1">
        <v>11838</v>
      </c>
      <c r="R1825">
        <v>17.100000000000001</v>
      </c>
      <c r="S1825" s="2">
        <v>0.02</v>
      </c>
      <c r="T1825" s="3">
        <v>2.3638888888888889</v>
      </c>
      <c r="U1825" s="2">
        <v>0.22</v>
      </c>
      <c r="V1825" t="s">
        <v>3891</v>
      </c>
      <c r="W1825" t="s">
        <v>3892</v>
      </c>
      <c r="X1825" t="b">
        <v>0</v>
      </c>
      <c r="Y1825" t="b">
        <v>0</v>
      </c>
    </row>
    <row r="1826" spans="1:25">
      <c r="A1826">
        <v>18250</v>
      </c>
      <c r="B1826" t="s">
        <v>3251</v>
      </c>
      <c r="C1826" t="s">
        <v>3893</v>
      </c>
      <c r="D1826" t="s">
        <v>3253</v>
      </c>
      <c r="E1826">
        <v>18250</v>
      </c>
      <c r="F1826">
        <v>26</v>
      </c>
      <c r="G1826">
        <v>939</v>
      </c>
      <c r="H1826">
        <v>14.5</v>
      </c>
      <c r="I1826">
        <v>1162</v>
      </c>
      <c r="J1826">
        <v>21.8</v>
      </c>
      <c r="K1826">
        <v>1642</v>
      </c>
      <c r="L1826">
        <v>59</v>
      </c>
      <c r="M1826">
        <v>664</v>
      </c>
      <c r="N1826">
        <v>25.4</v>
      </c>
      <c r="O1826">
        <v>1689</v>
      </c>
      <c r="P1826" t="s">
        <v>94</v>
      </c>
      <c r="Q1826" s="1">
        <v>6518</v>
      </c>
      <c r="R1826">
        <v>9.8000000000000007</v>
      </c>
      <c r="S1826" s="2">
        <v>0.02</v>
      </c>
      <c r="T1826" s="3">
        <v>1.7902777777777779</v>
      </c>
      <c r="U1826" s="2">
        <v>0.19</v>
      </c>
      <c r="V1826" t="s">
        <v>3893</v>
      </c>
      <c r="W1826" t="s">
        <v>3894</v>
      </c>
      <c r="X1826" t="b">
        <v>0</v>
      </c>
      <c r="Y1826" t="b">
        <v>0</v>
      </c>
    </row>
    <row r="1827" spans="1:25">
      <c r="A1827">
        <v>18260</v>
      </c>
      <c r="B1827" t="s">
        <v>3251</v>
      </c>
      <c r="C1827" t="s">
        <v>3895</v>
      </c>
      <c r="D1827" t="s">
        <v>3253</v>
      </c>
      <c r="E1827">
        <v>18260</v>
      </c>
      <c r="F1827">
        <v>22.9</v>
      </c>
      <c r="G1827">
        <v>1161</v>
      </c>
      <c r="H1827">
        <v>15.5</v>
      </c>
      <c r="I1827">
        <v>1085</v>
      </c>
      <c r="J1827">
        <v>19.399999999999999</v>
      </c>
      <c r="K1827">
        <v>1693</v>
      </c>
      <c r="L1827">
        <v>41.2</v>
      </c>
      <c r="M1827">
        <v>952</v>
      </c>
      <c r="N1827">
        <v>41.5</v>
      </c>
      <c r="O1827">
        <v>1069</v>
      </c>
      <c r="P1827" t="s">
        <v>94</v>
      </c>
      <c r="Q1827" s="1">
        <v>8321</v>
      </c>
      <c r="R1827">
        <v>15.3</v>
      </c>
      <c r="S1827" s="2">
        <v>0.06</v>
      </c>
      <c r="T1827" t="s">
        <v>324</v>
      </c>
      <c r="U1827" s="2">
        <v>0.4</v>
      </c>
      <c r="V1827" t="s">
        <v>3895</v>
      </c>
      <c r="W1827" t="s">
        <v>3896</v>
      </c>
      <c r="X1827" t="b">
        <v>0</v>
      </c>
      <c r="Y1827" t="b">
        <v>0</v>
      </c>
    </row>
    <row r="1828" spans="1:25">
      <c r="A1828">
        <v>18270</v>
      </c>
      <c r="B1828" t="s">
        <v>3251</v>
      </c>
      <c r="C1828" t="s">
        <v>3897</v>
      </c>
      <c r="D1828" t="s">
        <v>3253</v>
      </c>
      <c r="E1828">
        <v>18270</v>
      </c>
      <c r="F1828">
        <v>16.899999999999999</v>
      </c>
      <c r="G1828">
        <v>1633</v>
      </c>
      <c r="H1828">
        <v>10.6</v>
      </c>
      <c r="I1828">
        <v>1583</v>
      </c>
      <c r="J1828">
        <v>10.9</v>
      </c>
      <c r="K1828">
        <v>1842</v>
      </c>
      <c r="L1828">
        <v>32.299999999999997</v>
      </c>
      <c r="M1828">
        <v>1138</v>
      </c>
      <c r="N1828">
        <v>22.1</v>
      </c>
      <c r="O1828">
        <v>1806</v>
      </c>
      <c r="P1828" t="s">
        <v>255</v>
      </c>
      <c r="Q1828" s="1">
        <v>12762</v>
      </c>
      <c r="R1828">
        <v>16</v>
      </c>
      <c r="S1828" s="2">
        <v>0.05</v>
      </c>
      <c r="T1828" t="s">
        <v>696</v>
      </c>
      <c r="U1828" s="2">
        <v>0.45</v>
      </c>
      <c r="V1828" t="s">
        <v>3897</v>
      </c>
      <c r="W1828" t="s">
        <v>3898</v>
      </c>
      <c r="X1828" t="b">
        <v>0</v>
      </c>
      <c r="Y1828" t="b">
        <v>0</v>
      </c>
    </row>
    <row r="1829" spans="1:25">
      <c r="A1829">
        <v>18280</v>
      </c>
      <c r="B1829" t="s">
        <v>3251</v>
      </c>
      <c r="C1829" t="s">
        <v>3899</v>
      </c>
      <c r="D1829" t="s">
        <v>3253</v>
      </c>
      <c r="E1829">
        <v>18280</v>
      </c>
      <c r="F1829">
        <v>14.2</v>
      </c>
      <c r="G1829">
        <v>1795</v>
      </c>
      <c r="H1829">
        <v>9.1999999999999993</v>
      </c>
      <c r="I1829">
        <v>1768</v>
      </c>
      <c r="J1829">
        <v>12.1</v>
      </c>
      <c r="K1829">
        <v>1821</v>
      </c>
      <c r="L1829">
        <v>16.100000000000001</v>
      </c>
      <c r="M1829">
        <v>1856</v>
      </c>
      <c r="N1829">
        <v>43.2</v>
      </c>
      <c r="O1829">
        <v>1017</v>
      </c>
      <c r="P1829" t="s">
        <v>1093</v>
      </c>
      <c r="Q1829" s="1">
        <v>38101</v>
      </c>
      <c r="R1829">
        <v>19.8</v>
      </c>
      <c r="S1829" s="2">
        <v>0</v>
      </c>
      <c r="T1829" s="3">
        <v>2.6506944444444445</v>
      </c>
      <c r="U1829" s="2">
        <v>0.16</v>
      </c>
      <c r="V1829" t="s">
        <v>3899</v>
      </c>
      <c r="W1829" t="s">
        <v>3900</v>
      </c>
      <c r="X1829" t="b">
        <v>0</v>
      </c>
      <c r="Y1829" t="b">
        <v>0</v>
      </c>
    </row>
    <row r="1830" spans="1:25">
      <c r="A1830">
        <v>18290</v>
      </c>
      <c r="B1830" t="s">
        <v>3251</v>
      </c>
      <c r="C1830" t="s">
        <v>3901</v>
      </c>
      <c r="D1830" t="s">
        <v>3253</v>
      </c>
      <c r="E1830">
        <v>18290</v>
      </c>
      <c r="F1830">
        <v>15.8</v>
      </c>
      <c r="G1830">
        <v>1714</v>
      </c>
      <c r="H1830">
        <v>15.4</v>
      </c>
      <c r="I1830">
        <v>1089</v>
      </c>
      <c r="J1830">
        <v>29.8</v>
      </c>
      <c r="K1830">
        <v>1452</v>
      </c>
      <c r="L1830">
        <v>27.7</v>
      </c>
      <c r="M1830">
        <v>1246</v>
      </c>
      <c r="N1830">
        <v>45.9</v>
      </c>
      <c r="O1830">
        <v>936</v>
      </c>
      <c r="P1830" t="s">
        <v>1093</v>
      </c>
      <c r="Q1830" s="1">
        <v>24717</v>
      </c>
      <c r="R1830">
        <v>20.8</v>
      </c>
      <c r="S1830" s="2">
        <v>0.02</v>
      </c>
      <c r="T1830" s="3">
        <v>1.9131944444444444</v>
      </c>
      <c r="U1830" s="2">
        <v>0.34</v>
      </c>
      <c r="V1830" t="s">
        <v>3901</v>
      </c>
      <c r="W1830" t="s">
        <v>3902</v>
      </c>
      <c r="X1830" t="b">
        <v>0</v>
      </c>
      <c r="Y1830" t="b">
        <v>0</v>
      </c>
    </row>
    <row r="1831" spans="1:25">
      <c r="A1831">
        <v>18300</v>
      </c>
      <c r="B1831" t="s">
        <v>3251</v>
      </c>
      <c r="C1831" t="s">
        <v>3903</v>
      </c>
      <c r="D1831" t="s">
        <v>3253</v>
      </c>
      <c r="E1831">
        <v>18300</v>
      </c>
      <c r="F1831">
        <v>19.600000000000001</v>
      </c>
      <c r="G1831">
        <v>1415</v>
      </c>
      <c r="H1831">
        <v>9.5</v>
      </c>
      <c r="I1831">
        <v>1719</v>
      </c>
      <c r="J1831">
        <v>25.8</v>
      </c>
      <c r="K1831">
        <v>1549</v>
      </c>
      <c r="L1831">
        <v>20.7</v>
      </c>
      <c r="M1831">
        <v>1505</v>
      </c>
      <c r="N1831">
        <v>67</v>
      </c>
      <c r="O1831">
        <v>448</v>
      </c>
      <c r="P1831" t="s">
        <v>2229</v>
      </c>
      <c r="Q1831" s="1">
        <v>31813</v>
      </c>
      <c r="R1831">
        <v>13.3</v>
      </c>
      <c r="S1831" s="2">
        <v>7.0000000000000007E-2</v>
      </c>
      <c r="T1831" s="3">
        <v>2.1590277777777778</v>
      </c>
      <c r="U1831" s="2">
        <v>0.15</v>
      </c>
      <c r="V1831" t="s">
        <v>3903</v>
      </c>
      <c r="W1831" t="s">
        <v>3904</v>
      </c>
      <c r="X1831" t="b">
        <v>0</v>
      </c>
      <c r="Y1831" t="b">
        <v>0</v>
      </c>
    </row>
    <row r="1832" spans="1:25">
      <c r="A1832">
        <v>18310</v>
      </c>
      <c r="B1832" t="s">
        <v>3251</v>
      </c>
      <c r="C1832" t="s">
        <v>3905</v>
      </c>
      <c r="D1832" t="s">
        <v>3253</v>
      </c>
      <c r="E1832">
        <v>18310</v>
      </c>
      <c r="F1832">
        <v>16.399999999999999</v>
      </c>
      <c r="G1832">
        <v>1674</v>
      </c>
      <c r="H1832">
        <v>10.8</v>
      </c>
      <c r="I1832">
        <v>1553</v>
      </c>
      <c r="J1832">
        <v>18.600000000000001</v>
      </c>
      <c r="K1832">
        <v>1709</v>
      </c>
      <c r="L1832">
        <v>23.6</v>
      </c>
      <c r="M1832">
        <v>1380</v>
      </c>
      <c r="N1832">
        <v>27.7</v>
      </c>
      <c r="O1832">
        <v>1595</v>
      </c>
      <c r="P1832" t="s">
        <v>3906</v>
      </c>
      <c r="Q1832" s="1">
        <v>25468</v>
      </c>
      <c r="R1832">
        <v>15.6</v>
      </c>
      <c r="S1832" s="2">
        <v>0</v>
      </c>
      <c r="T1832" s="3">
        <v>2.6916666666666669</v>
      </c>
      <c r="U1832" s="2">
        <v>0.26</v>
      </c>
      <c r="V1832" t="s">
        <v>3905</v>
      </c>
      <c r="W1832" t="s">
        <v>3907</v>
      </c>
      <c r="X1832" t="b">
        <v>0</v>
      </c>
      <c r="Y1832" t="b">
        <v>0</v>
      </c>
    </row>
    <row r="1833" spans="1:25">
      <c r="A1833">
        <v>18320</v>
      </c>
      <c r="B1833" t="s">
        <v>3251</v>
      </c>
      <c r="C1833" t="s">
        <v>3908</v>
      </c>
      <c r="D1833" t="s">
        <v>3253</v>
      </c>
      <c r="E1833">
        <v>18320</v>
      </c>
      <c r="F1833">
        <v>25.6</v>
      </c>
      <c r="G1833">
        <v>969</v>
      </c>
      <c r="H1833">
        <v>10.7</v>
      </c>
      <c r="I1833">
        <v>1568</v>
      </c>
      <c r="J1833">
        <v>3.7</v>
      </c>
      <c r="K1833">
        <v>1905</v>
      </c>
      <c r="L1833">
        <v>16.2</v>
      </c>
      <c r="M1833">
        <v>1841</v>
      </c>
      <c r="N1833">
        <v>31.2</v>
      </c>
      <c r="O1833">
        <v>1457</v>
      </c>
      <c r="P1833" t="s">
        <v>255</v>
      </c>
      <c r="Q1833" s="1">
        <v>7242</v>
      </c>
      <c r="R1833">
        <v>6.6</v>
      </c>
      <c r="S1833" s="2">
        <v>0.12</v>
      </c>
      <c r="U1833" s="2">
        <v>0.13</v>
      </c>
      <c r="V1833" t="s">
        <v>3908</v>
      </c>
      <c r="W1833" t="s">
        <v>1199</v>
      </c>
      <c r="X1833" t="b">
        <v>0</v>
      </c>
      <c r="Y1833" t="b">
        <v>0</v>
      </c>
    </row>
    <row r="1834" spans="1:25">
      <c r="A1834">
        <v>18330</v>
      </c>
      <c r="B1834" t="s">
        <v>3251</v>
      </c>
      <c r="C1834" t="s">
        <v>3909</v>
      </c>
      <c r="D1834" t="s">
        <v>3253</v>
      </c>
      <c r="E1834">
        <v>18330</v>
      </c>
      <c r="F1834">
        <v>22.7</v>
      </c>
      <c r="G1834">
        <v>1173</v>
      </c>
      <c r="H1834">
        <v>10.8</v>
      </c>
      <c r="I1834">
        <v>1554</v>
      </c>
      <c r="J1834">
        <v>8.5</v>
      </c>
      <c r="K1834">
        <v>1877</v>
      </c>
      <c r="L1834">
        <v>23.2</v>
      </c>
      <c r="M1834">
        <v>1396</v>
      </c>
      <c r="N1834">
        <v>68.7</v>
      </c>
      <c r="O1834">
        <v>425</v>
      </c>
      <c r="P1834" t="s">
        <v>1306</v>
      </c>
      <c r="Q1834" s="1">
        <v>8114</v>
      </c>
      <c r="R1834">
        <v>12.4</v>
      </c>
      <c r="S1834" s="2">
        <v>0.05</v>
      </c>
      <c r="T1834" s="3">
        <v>1.8722222222222222</v>
      </c>
      <c r="U1834" s="2">
        <v>0.5</v>
      </c>
      <c r="V1834" t="s">
        <v>3909</v>
      </c>
      <c r="W1834" t="s">
        <v>3910</v>
      </c>
      <c r="X1834" t="b">
        <v>0</v>
      </c>
      <c r="Y1834" t="b">
        <v>0</v>
      </c>
    </row>
    <row r="1835" spans="1:25">
      <c r="A1835">
        <v>18340</v>
      </c>
      <c r="B1835" t="s">
        <v>3251</v>
      </c>
      <c r="C1835" t="s">
        <v>3911</v>
      </c>
      <c r="D1835" t="s">
        <v>3253</v>
      </c>
      <c r="E1835">
        <v>18340</v>
      </c>
      <c r="F1835">
        <v>17.8</v>
      </c>
      <c r="G1835">
        <v>1573</v>
      </c>
      <c r="H1835">
        <v>7.4</v>
      </c>
      <c r="I1835">
        <v>1900</v>
      </c>
      <c r="J1835">
        <v>12.8</v>
      </c>
      <c r="K1835">
        <v>1804</v>
      </c>
      <c r="L1835">
        <v>18.2</v>
      </c>
      <c r="M1835">
        <v>1656</v>
      </c>
      <c r="N1835">
        <v>35.299999999999997</v>
      </c>
      <c r="O1835">
        <v>1310</v>
      </c>
      <c r="P1835" t="s">
        <v>2290</v>
      </c>
      <c r="Q1835" s="1">
        <v>39136</v>
      </c>
      <c r="R1835">
        <v>19.5</v>
      </c>
      <c r="S1835" s="2">
        <v>0</v>
      </c>
      <c r="T1835" s="3">
        <v>1.9951388888888888</v>
      </c>
      <c r="U1835" s="2">
        <v>0.45</v>
      </c>
      <c r="V1835" t="s">
        <v>3911</v>
      </c>
      <c r="W1835" t="s">
        <v>3912</v>
      </c>
      <c r="X1835" t="b">
        <v>0</v>
      </c>
      <c r="Y1835" t="b">
        <v>0</v>
      </c>
    </row>
    <row r="1836" spans="1:25">
      <c r="A1836">
        <v>18350</v>
      </c>
      <c r="B1836" t="s">
        <v>3251</v>
      </c>
      <c r="C1836" t="s">
        <v>3913</v>
      </c>
      <c r="D1836" t="s">
        <v>3253</v>
      </c>
      <c r="E1836">
        <v>18350</v>
      </c>
      <c r="F1836">
        <v>24.6</v>
      </c>
      <c r="G1836">
        <v>1040</v>
      </c>
      <c r="H1836">
        <v>7</v>
      </c>
      <c r="I1836">
        <v>1903</v>
      </c>
      <c r="J1836">
        <v>9</v>
      </c>
      <c r="K1836">
        <v>1870</v>
      </c>
      <c r="L1836">
        <v>17.3</v>
      </c>
      <c r="M1836">
        <v>1730</v>
      </c>
      <c r="N1836">
        <v>32.4</v>
      </c>
      <c r="O1836">
        <v>1409</v>
      </c>
      <c r="P1836" t="s">
        <v>2290</v>
      </c>
      <c r="Q1836" s="1">
        <v>18552</v>
      </c>
      <c r="R1836">
        <v>9.6</v>
      </c>
      <c r="S1836" s="2">
        <v>0.01</v>
      </c>
      <c r="T1836" s="3">
        <v>2.1180555555555554</v>
      </c>
      <c r="U1836" s="2">
        <v>0.46</v>
      </c>
      <c r="V1836" t="s">
        <v>3913</v>
      </c>
      <c r="W1836" t="s">
        <v>3914</v>
      </c>
      <c r="X1836" t="b">
        <v>0</v>
      </c>
      <c r="Y1836" t="b">
        <v>0</v>
      </c>
    </row>
    <row r="1837" spans="1:25">
      <c r="A1837">
        <v>18360</v>
      </c>
      <c r="B1837" t="s">
        <v>3251</v>
      </c>
      <c r="C1837" t="s">
        <v>3915</v>
      </c>
      <c r="D1837" t="s">
        <v>3253</v>
      </c>
      <c r="E1837">
        <v>18360</v>
      </c>
      <c r="F1837">
        <v>24.8</v>
      </c>
      <c r="G1837">
        <v>1022</v>
      </c>
      <c r="H1837">
        <v>15.2</v>
      </c>
      <c r="I1837">
        <v>1108</v>
      </c>
      <c r="J1837">
        <v>24.1</v>
      </c>
      <c r="K1837">
        <v>1585</v>
      </c>
      <c r="L1837">
        <v>16.100000000000001</v>
      </c>
      <c r="M1837">
        <v>1857</v>
      </c>
      <c r="N1837">
        <v>36.700000000000003</v>
      </c>
      <c r="O1837">
        <v>1257</v>
      </c>
      <c r="P1837" t="s">
        <v>1543</v>
      </c>
      <c r="Q1837" s="1">
        <v>8618</v>
      </c>
      <c r="R1837">
        <v>16.5</v>
      </c>
      <c r="S1837" s="2">
        <v>0.13</v>
      </c>
      <c r="T1837" s="3">
        <v>2.0770833333333334</v>
      </c>
      <c r="U1837" s="2">
        <v>0.18</v>
      </c>
      <c r="V1837" t="s">
        <v>3915</v>
      </c>
      <c r="W1837" t="s">
        <v>3916</v>
      </c>
      <c r="X1837" t="b">
        <v>0</v>
      </c>
      <c r="Y1837" t="b">
        <v>0</v>
      </c>
    </row>
    <row r="1838" spans="1:25">
      <c r="A1838">
        <v>18370</v>
      </c>
      <c r="B1838" t="s">
        <v>3251</v>
      </c>
      <c r="C1838" t="s">
        <v>3917</v>
      </c>
      <c r="D1838" t="s">
        <v>3253</v>
      </c>
      <c r="E1838">
        <v>18370</v>
      </c>
      <c r="F1838">
        <v>30.3</v>
      </c>
      <c r="G1838">
        <v>676</v>
      </c>
      <c r="H1838">
        <v>14.8</v>
      </c>
      <c r="I1838">
        <v>1142</v>
      </c>
      <c r="J1838">
        <v>22.5</v>
      </c>
      <c r="K1838">
        <v>1626</v>
      </c>
      <c r="L1838">
        <v>26.6</v>
      </c>
      <c r="M1838">
        <v>1281</v>
      </c>
      <c r="N1838">
        <v>18.7</v>
      </c>
      <c r="O1838">
        <v>1891</v>
      </c>
      <c r="P1838" t="s">
        <v>795</v>
      </c>
      <c r="Q1838" s="1">
        <v>5207</v>
      </c>
      <c r="R1838">
        <v>15.8</v>
      </c>
      <c r="S1838" s="2">
        <v>0</v>
      </c>
      <c r="T1838" s="3">
        <v>2.2409722222222221</v>
      </c>
      <c r="U1838" s="2">
        <v>0.26</v>
      </c>
      <c r="V1838" t="s">
        <v>3917</v>
      </c>
      <c r="W1838" t="s">
        <v>3918</v>
      </c>
      <c r="X1838" t="b">
        <v>0</v>
      </c>
      <c r="Y1838" t="b">
        <v>0</v>
      </c>
    </row>
    <row r="1839" spans="1:25">
      <c r="A1839">
        <v>18380</v>
      </c>
      <c r="B1839" t="s">
        <v>3251</v>
      </c>
      <c r="C1839" t="s">
        <v>3919</v>
      </c>
      <c r="D1839" t="s">
        <v>3253</v>
      </c>
      <c r="E1839">
        <v>18380</v>
      </c>
      <c r="F1839">
        <v>25.7</v>
      </c>
      <c r="G1839">
        <v>961</v>
      </c>
      <c r="H1839">
        <v>13</v>
      </c>
      <c r="I1839">
        <v>1309</v>
      </c>
      <c r="J1839">
        <v>19.3</v>
      </c>
      <c r="K1839">
        <v>1696</v>
      </c>
      <c r="L1839">
        <v>37.1</v>
      </c>
      <c r="M1839">
        <v>1045</v>
      </c>
      <c r="N1839">
        <v>28.7</v>
      </c>
      <c r="O1839">
        <v>1556</v>
      </c>
      <c r="P1839" t="s">
        <v>94</v>
      </c>
      <c r="Q1839" s="1">
        <v>6005</v>
      </c>
      <c r="R1839">
        <v>8.1999999999999993</v>
      </c>
      <c r="S1839" s="2">
        <v>0.03</v>
      </c>
      <c r="T1839" t="s">
        <v>658</v>
      </c>
      <c r="U1839" s="2">
        <v>0.19</v>
      </c>
      <c r="V1839" t="s">
        <v>3920</v>
      </c>
      <c r="W1839" t="s">
        <v>3921</v>
      </c>
      <c r="X1839" t="b">
        <v>0</v>
      </c>
      <c r="Y1839" t="b">
        <v>0</v>
      </c>
    </row>
    <row r="1840" spans="1:25">
      <c r="A1840">
        <v>18390</v>
      </c>
      <c r="B1840" t="s">
        <v>3251</v>
      </c>
      <c r="C1840" t="s">
        <v>3922</v>
      </c>
      <c r="D1840" t="s">
        <v>3253</v>
      </c>
      <c r="E1840">
        <v>18390</v>
      </c>
      <c r="F1840">
        <v>22.6</v>
      </c>
      <c r="G1840">
        <v>1183</v>
      </c>
      <c r="H1840">
        <v>16</v>
      </c>
      <c r="I1840">
        <v>1050</v>
      </c>
      <c r="J1840">
        <v>19.5</v>
      </c>
      <c r="K1840">
        <v>1692</v>
      </c>
      <c r="L1840">
        <v>58.3</v>
      </c>
      <c r="M1840">
        <v>675</v>
      </c>
      <c r="N1840">
        <v>37</v>
      </c>
      <c r="O1840">
        <v>1244</v>
      </c>
      <c r="P1840" t="s">
        <v>94</v>
      </c>
      <c r="Q1840" s="1">
        <v>9928</v>
      </c>
      <c r="R1840">
        <v>14.5</v>
      </c>
      <c r="S1840" s="2">
        <v>0.04</v>
      </c>
      <c r="T1840" t="s">
        <v>357</v>
      </c>
      <c r="U1840" s="2">
        <v>0.37</v>
      </c>
      <c r="V1840" t="s">
        <v>3922</v>
      </c>
      <c r="W1840" t="s">
        <v>3923</v>
      </c>
      <c r="X1840" t="b">
        <v>0</v>
      </c>
      <c r="Y1840" t="b">
        <v>0</v>
      </c>
    </row>
    <row r="1841" spans="1:25">
      <c r="A1841">
        <v>18400</v>
      </c>
      <c r="B1841" t="s">
        <v>3251</v>
      </c>
      <c r="C1841" t="s">
        <v>3924</v>
      </c>
      <c r="D1841" t="s">
        <v>3253</v>
      </c>
      <c r="E1841">
        <v>18400</v>
      </c>
      <c r="F1841">
        <v>25.9</v>
      </c>
      <c r="G1841">
        <v>948</v>
      </c>
      <c r="H1841">
        <v>12.9</v>
      </c>
      <c r="I1841">
        <v>1316</v>
      </c>
      <c r="J1841">
        <v>15.2</v>
      </c>
      <c r="K1841">
        <v>1766</v>
      </c>
      <c r="L1841">
        <v>58.9</v>
      </c>
      <c r="M1841">
        <v>666</v>
      </c>
      <c r="N1841">
        <v>26.5</v>
      </c>
      <c r="O1841">
        <v>1646</v>
      </c>
      <c r="P1841" t="s">
        <v>94</v>
      </c>
      <c r="Q1841" s="1">
        <v>3134</v>
      </c>
      <c r="R1841">
        <v>11.5</v>
      </c>
      <c r="S1841" s="2">
        <v>0.03</v>
      </c>
      <c r="T1841" s="3">
        <v>2.5687500000000001</v>
      </c>
      <c r="U1841" s="2">
        <v>0.14000000000000001</v>
      </c>
      <c r="V1841" t="s">
        <v>3924</v>
      </c>
      <c r="W1841" t="s">
        <v>3925</v>
      </c>
      <c r="X1841" t="b">
        <v>0</v>
      </c>
      <c r="Y1841" t="b">
        <v>0</v>
      </c>
    </row>
    <row r="1842" spans="1:25">
      <c r="A1842">
        <v>18410</v>
      </c>
      <c r="B1842" t="s">
        <v>3251</v>
      </c>
      <c r="C1842" t="s">
        <v>3926</v>
      </c>
      <c r="D1842" t="s">
        <v>3253</v>
      </c>
      <c r="E1842">
        <v>18410</v>
      </c>
      <c r="F1842">
        <v>12.3</v>
      </c>
      <c r="G1842">
        <v>1872</v>
      </c>
      <c r="H1842">
        <v>8.1999999999999993</v>
      </c>
      <c r="I1842">
        <v>1870</v>
      </c>
      <c r="J1842">
        <v>15.8</v>
      </c>
      <c r="K1842">
        <v>1751</v>
      </c>
      <c r="L1842">
        <v>18.5</v>
      </c>
      <c r="M1842">
        <v>1628</v>
      </c>
      <c r="N1842">
        <v>20.399999999999999</v>
      </c>
      <c r="O1842">
        <v>1857</v>
      </c>
      <c r="P1842" t="s">
        <v>255</v>
      </c>
      <c r="Q1842" s="1">
        <v>16411</v>
      </c>
      <c r="R1842">
        <v>22.9</v>
      </c>
      <c r="S1842" s="2">
        <v>0.03</v>
      </c>
      <c r="T1842" t="s">
        <v>658</v>
      </c>
      <c r="U1842" s="2">
        <v>0.43</v>
      </c>
      <c r="V1842" t="s">
        <v>3926</v>
      </c>
      <c r="W1842" t="s">
        <v>3927</v>
      </c>
      <c r="X1842" t="b">
        <v>0</v>
      </c>
      <c r="Y1842" t="b">
        <v>0</v>
      </c>
    </row>
    <row r="1843" spans="1:25">
      <c r="A1843">
        <v>18420</v>
      </c>
      <c r="B1843" t="s">
        <v>3251</v>
      </c>
      <c r="C1843" t="s">
        <v>3928</v>
      </c>
      <c r="D1843" t="s">
        <v>3253</v>
      </c>
      <c r="E1843">
        <v>18420</v>
      </c>
      <c r="F1843">
        <v>22.1</v>
      </c>
      <c r="G1843">
        <v>1226</v>
      </c>
      <c r="H1843">
        <v>9.6</v>
      </c>
      <c r="I1843">
        <v>1704</v>
      </c>
      <c r="J1843">
        <v>3.4</v>
      </c>
      <c r="K1843">
        <v>1906</v>
      </c>
      <c r="L1843">
        <v>17.100000000000001</v>
      </c>
      <c r="M1843">
        <v>1750</v>
      </c>
      <c r="N1843">
        <v>39.799999999999997</v>
      </c>
      <c r="O1843">
        <v>1126</v>
      </c>
      <c r="P1843" t="s">
        <v>255</v>
      </c>
      <c r="Q1843" s="1">
        <v>6798</v>
      </c>
      <c r="R1843">
        <v>10.6</v>
      </c>
      <c r="S1843" s="2">
        <v>0.21</v>
      </c>
      <c r="T1843" s="3">
        <v>2.9784722222222224</v>
      </c>
      <c r="U1843" s="2">
        <v>0.09</v>
      </c>
      <c r="V1843" t="s">
        <v>3928</v>
      </c>
      <c r="W1843" t="s">
        <v>3929</v>
      </c>
      <c r="X1843" t="b">
        <v>0</v>
      </c>
      <c r="Y1843" t="b">
        <v>0</v>
      </c>
    </row>
    <row r="1844" spans="1:25">
      <c r="A1844">
        <v>18430</v>
      </c>
      <c r="B1844" t="s">
        <v>3251</v>
      </c>
      <c r="C1844" t="s">
        <v>3930</v>
      </c>
      <c r="D1844" t="s">
        <v>3253</v>
      </c>
      <c r="E1844">
        <v>18430</v>
      </c>
      <c r="F1844">
        <v>12</v>
      </c>
      <c r="G1844">
        <v>1880</v>
      </c>
      <c r="H1844">
        <v>10.4</v>
      </c>
      <c r="I1844">
        <v>1603</v>
      </c>
      <c r="J1844">
        <v>23.8</v>
      </c>
      <c r="K1844">
        <v>1591</v>
      </c>
      <c r="L1844">
        <v>26.4</v>
      </c>
      <c r="M1844">
        <v>1285</v>
      </c>
      <c r="N1844">
        <v>20.3</v>
      </c>
      <c r="O1844">
        <v>1861</v>
      </c>
      <c r="P1844" t="s">
        <v>54</v>
      </c>
      <c r="Q1844" s="1">
        <v>44741</v>
      </c>
      <c r="R1844">
        <v>22.9</v>
      </c>
      <c r="S1844" s="2">
        <v>0.01</v>
      </c>
      <c r="T1844" t="s">
        <v>501</v>
      </c>
      <c r="U1844" s="2">
        <v>0.41</v>
      </c>
      <c r="V1844" t="s">
        <v>3930</v>
      </c>
      <c r="W1844" t="s">
        <v>3931</v>
      </c>
      <c r="X1844" t="b">
        <v>0</v>
      </c>
      <c r="Y1844" t="b">
        <v>0</v>
      </c>
    </row>
    <row r="1845" spans="1:25">
      <c r="A1845">
        <v>18440</v>
      </c>
      <c r="B1845" t="s">
        <v>3251</v>
      </c>
      <c r="C1845" t="s">
        <v>3932</v>
      </c>
      <c r="D1845" t="s">
        <v>3253</v>
      </c>
      <c r="E1845">
        <v>18440</v>
      </c>
      <c r="F1845">
        <v>23.2</v>
      </c>
      <c r="G1845">
        <v>1141</v>
      </c>
      <c r="H1845">
        <v>13.5</v>
      </c>
      <c r="I1845">
        <v>1257</v>
      </c>
      <c r="J1845">
        <v>23.4</v>
      </c>
      <c r="K1845">
        <v>1600</v>
      </c>
      <c r="L1845">
        <v>21.8</v>
      </c>
      <c r="M1845">
        <v>1449</v>
      </c>
      <c r="N1845">
        <v>29.7</v>
      </c>
      <c r="O1845">
        <v>1509</v>
      </c>
      <c r="P1845" t="s">
        <v>1543</v>
      </c>
      <c r="Q1845" s="1">
        <v>19222</v>
      </c>
      <c r="R1845">
        <v>11.6</v>
      </c>
      <c r="S1845" s="2">
        <v>0.04</v>
      </c>
      <c r="T1845" s="3">
        <v>2.8145833333333332</v>
      </c>
      <c r="U1845" s="2">
        <v>0.33</v>
      </c>
      <c r="V1845" t="s">
        <v>3932</v>
      </c>
      <c r="W1845" t="s">
        <v>3933</v>
      </c>
      <c r="X1845" t="b">
        <v>0</v>
      </c>
      <c r="Y1845" t="b">
        <v>0</v>
      </c>
    </row>
    <row r="1846" spans="1:25">
      <c r="A1846">
        <v>18450</v>
      </c>
      <c r="B1846" t="s">
        <v>3251</v>
      </c>
      <c r="C1846" t="s">
        <v>3934</v>
      </c>
      <c r="D1846" t="s">
        <v>3253</v>
      </c>
      <c r="E1846">
        <v>18450</v>
      </c>
      <c r="F1846">
        <v>19.3</v>
      </c>
      <c r="G1846">
        <v>1446</v>
      </c>
      <c r="H1846">
        <v>13.6</v>
      </c>
      <c r="I1846">
        <v>1245</v>
      </c>
      <c r="J1846">
        <v>20.7</v>
      </c>
      <c r="K1846">
        <v>1668</v>
      </c>
      <c r="L1846">
        <v>38</v>
      </c>
      <c r="M1846">
        <v>1020</v>
      </c>
      <c r="N1846">
        <v>29</v>
      </c>
      <c r="O1846">
        <v>1542</v>
      </c>
      <c r="P1846" t="s">
        <v>1448</v>
      </c>
      <c r="Q1846" s="1">
        <v>22163</v>
      </c>
      <c r="R1846">
        <v>18.8</v>
      </c>
      <c r="S1846" s="2">
        <v>0.02</v>
      </c>
      <c r="T1846" s="3">
        <v>2.8965277777777776</v>
      </c>
      <c r="U1846" s="2">
        <v>0.31</v>
      </c>
      <c r="V1846" t="s">
        <v>3934</v>
      </c>
      <c r="W1846" t="s">
        <v>3935</v>
      </c>
      <c r="X1846" t="b">
        <v>0</v>
      </c>
      <c r="Y1846" t="b">
        <v>0</v>
      </c>
    </row>
    <row r="1847" spans="1:25">
      <c r="A1847">
        <v>18460</v>
      </c>
      <c r="B1847" t="s">
        <v>3251</v>
      </c>
      <c r="C1847" t="s">
        <v>3936</v>
      </c>
      <c r="D1847" t="s">
        <v>3253</v>
      </c>
      <c r="E1847">
        <v>18460</v>
      </c>
      <c r="F1847">
        <v>18.5</v>
      </c>
      <c r="G1847">
        <v>1510</v>
      </c>
      <c r="H1847">
        <v>11.4</v>
      </c>
      <c r="I1847">
        <v>1482</v>
      </c>
      <c r="J1847">
        <v>26.4</v>
      </c>
      <c r="K1847">
        <v>1530</v>
      </c>
      <c r="L1847">
        <v>22.9</v>
      </c>
      <c r="M1847">
        <v>1407</v>
      </c>
      <c r="N1847">
        <v>22.7</v>
      </c>
      <c r="O1847">
        <v>1784</v>
      </c>
      <c r="P1847" t="s">
        <v>795</v>
      </c>
      <c r="Q1847" s="1">
        <v>8890</v>
      </c>
      <c r="R1847">
        <v>19.600000000000001</v>
      </c>
      <c r="S1847" s="2">
        <v>0.01</v>
      </c>
      <c r="T1847" s="3">
        <v>2.4458333333333333</v>
      </c>
      <c r="U1847" s="2">
        <v>0.37</v>
      </c>
      <c r="V1847" t="s">
        <v>3936</v>
      </c>
      <c r="W1847" t="s">
        <v>3937</v>
      </c>
      <c r="X1847" t="b">
        <v>0</v>
      </c>
      <c r="Y1847" t="b">
        <v>0</v>
      </c>
    </row>
    <row r="1848" spans="1:25">
      <c r="A1848">
        <v>18470</v>
      </c>
      <c r="B1848" t="s">
        <v>3251</v>
      </c>
      <c r="C1848" t="s">
        <v>3938</v>
      </c>
      <c r="D1848" t="s">
        <v>3253</v>
      </c>
      <c r="E1848">
        <v>18470</v>
      </c>
      <c r="F1848">
        <v>14.9</v>
      </c>
      <c r="G1848">
        <v>1763</v>
      </c>
      <c r="H1848">
        <v>9.5</v>
      </c>
      <c r="I1848">
        <v>1720</v>
      </c>
      <c r="J1848">
        <v>26.1</v>
      </c>
      <c r="K1848">
        <v>1542</v>
      </c>
      <c r="L1848">
        <v>18.5</v>
      </c>
      <c r="M1848">
        <v>1629</v>
      </c>
      <c r="N1848">
        <v>29.7</v>
      </c>
      <c r="O1848">
        <v>1510</v>
      </c>
      <c r="P1848" t="s">
        <v>895</v>
      </c>
      <c r="Q1848" s="1">
        <v>33919</v>
      </c>
      <c r="R1848">
        <v>32.4</v>
      </c>
      <c r="S1848" s="2">
        <v>0.08</v>
      </c>
      <c r="T1848" s="3">
        <v>2.1180555555555554</v>
      </c>
      <c r="U1848" s="2">
        <v>0.28000000000000003</v>
      </c>
      <c r="V1848" t="s">
        <v>3938</v>
      </c>
      <c r="W1848" t="s">
        <v>3939</v>
      </c>
      <c r="X1848" t="b">
        <v>0</v>
      </c>
      <c r="Y1848" t="b">
        <v>0</v>
      </c>
    </row>
    <row r="1849" spans="1:25">
      <c r="A1849">
        <v>18480</v>
      </c>
      <c r="B1849" t="s">
        <v>3251</v>
      </c>
      <c r="C1849" t="s">
        <v>3940</v>
      </c>
      <c r="D1849" t="s">
        <v>3253</v>
      </c>
      <c r="E1849">
        <v>18480</v>
      </c>
      <c r="F1849">
        <v>27.6</v>
      </c>
      <c r="G1849">
        <v>838</v>
      </c>
      <c r="H1849">
        <v>12</v>
      </c>
      <c r="I1849">
        <v>1411</v>
      </c>
      <c r="J1849">
        <v>22.3</v>
      </c>
      <c r="K1849">
        <v>1631</v>
      </c>
      <c r="L1849">
        <v>28.7</v>
      </c>
      <c r="M1849">
        <v>1216</v>
      </c>
      <c r="N1849">
        <v>32.799999999999997</v>
      </c>
      <c r="O1849">
        <v>1396</v>
      </c>
      <c r="P1849" t="s">
        <v>2278</v>
      </c>
      <c r="Q1849" s="1">
        <v>10678</v>
      </c>
      <c r="R1849">
        <v>8.5</v>
      </c>
      <c r="S1849" s="2">
        <v>7.0000000000000007E-2</v>
      </c>
      <c r="T1849" t="s">
        <v>145</v>
      </c>
      <c r="U1849" s="2">
        <v>0.49</v>
      </c>
      <c r="V1849" t="s">
        <v>3940</v>
      </c>
      <c r="W1849" t="s">
        <v>3941</v>
      </c>
      <c r="X1849" t="b">
        <v>0</v>
      </c>
      <c r="Y1849" t="b">
        <v>0</v>
      </c>
    </row>
    <row r="1850" spans="1:25">
      <c r="A1850">
        <v>18490</v>
      </c>
      <c r="B1850" t="s">
        <v>3251</v>
      </c>
      <c r="C1850" t="s">
        <v>3942</v>
      </c>
      <c r="D1850" t="s">
        <v>3253</v>
      </c>
      <c r="E1850">
        <v>18490</v>
      </c>
      <c r="F1850">
        <v>28.3</v>
      </c>
      <c r="G1850">
        <v>792</v>
      </c>
      <c r="H1850">
        <v>12.2</v>
      </c>
      <c r="I1850">
        <v>1394</v>
      </c>
      <c r="J1850">
        <v>23.4</v>
      </c>
      <c r="K1850">
        <v>1601</v>
      </c>
      <c r="L1850">
        <v>21.6</v>
      </c>
      <c r="M1850">
        <v>1461</v>
      </c>
      <c r="N1850">
        <v>39.4</v>
      </c>
      <c r="O1850">
        <v>1138</v>
      </c>
      <c r="P1850" t="s">
        <v>2923</v>
      </c>
      <c r="Q1850" s="1">
        <v>22467</v>
      </c>
      <c r="R1850">
        <v>7.5</v>
      </c>
      <c r="S1850" s="2">
        <v>7.0000000000000007E-2</v>
      </c>
      <c r="T1850" s="3">
        <v>2.8145833333333332</v>
      </c>
      <c r="U1850" s="2">
        <v>0.42</v>
      </c>
      <c r="V1850" t="s">
        <v>3942</v>
      </c>
      <c r="W1850" t="s">
        <v>3943</v>
      </c>
      <c r="X1850" t="b">
        <v>0</v>
      </c>
      <c r="Y1850" t="b">
        <v>0</v>
      </c>
    </row>
    <row r="1851" spans="1:25">
      <c r="A1851">
        <v>18500</v>
      </c>
      <c r="B1851" t="s">
        <v>3251</v>
      </c>
      <c r="C1851" t="s">
        <v>3944</v>
      </c>
      <c r="D1851" t="s">
        <v>3253</v>
      </c>
      <c r="E1851">
        <v>18500</v>
      </c>
      <c r="F1851">
        <v>13.6</v>
      </c>
      <c r="G1851">
        <v>1818</v>
      </c>
      <c r="H1851">
        <v>8.4</v>
      </c>
      <c r="I1851">
        <v>1862</v>
      </c>
      <c r="J1851">
        <v>13.6</v>
      </c>
      <c r="K1851">
        <v>1793</v>
      </c>
      <c r="L1851">
        <v>32.299999999999997</v>
      </c>
      <c r="M1851">
        <v>1139</v>
      </c>
      <c r="N1851">
        <v>34.9</v>
      </c>
      <c r="O1851">
        <v>1326</v>
      </c>
      <c r="P1851" t="s">
        <v>1613</v>
      </c>
      <c r="Q1851" s="1">
        <v>34176</v>
      </c>
      <c r="R1851">
        <v>26</v>
      </c>
      <c r="S1851" s="2">
        <v>0.01</v>
      </c>
      <c r="T1851" s="3">
        <v>2.4048611111111109</v>
      </c>
      <c r="U1851" s="2">
        <v>0.34</v>
      </c>
      <c r="V1851" t="s">
        <v>3944</v>
      </c>
      <c r="W1851" t="s">
        <v>3945</v>
      </c>
      <c r="X1851" t="b">
        <v>0</v>
      </c>
      <c r="Y1851" t="b">
        <v>0</v>
      </c>
    </row>
    <row r="1852" spans="1:25">
      <c r="A1852">
        <v>18510</v>
      </c>
      <c r="B1852" t="s">
        <v>3251</v>
      </c>
      <c r="C1852" t="s">
        <v>3946</v>
      </c>
      <c r="D1852" t="s">
        <v>3253</v>
      </c>
      <c r="E1852">
        <v>18510</v>
      </c>
      <c r="F1852">
        <v>22.6</v>
      </c>
      <c r="G1852">
        <v>1184</v>
      </c>
      <c r="H1852">
        <v>11</v>
      </c>
      <c r="I1852">
        <v>1529</v>
      </c>
      <c r="J1852">
        <v>13.3</v>
      </c>
      <c r="K1852">
        <v>1799</v>
      </c>
      <c r="L1852">
        <v>25.4</v>
      </c>
      <c r="M1852">
        <v>1324</v>
      </c>
      <c r="N1852">
        <v>50.9</v>
      </c>
      <c r="O1852">
        <v>779</v>
      </c>
      <c r="P1852" t="s">
        <v>94</v>
      </c>
      <c r="Q1852" s="1">
        <v>13265</v>
      </c>
      <c r="R1852">
        <v>12.7</v>
      </c>
      <c r="S1852" s="2">
        <v>0.1</v>
      </c>
      <c r="T1852" s="3">
        <v>2.5277777777777777</v>
      </c>
      <c r="U1852" s="2">
        <v>0.39</v>
      </c>
      <c r="V1852" t="s">
        <v>3947</v>
      </c>
      <c r="W1852" t="s">
        <v>3948</v>
      </c>
      <c r="X1852" t="b">
        <v>0</v>
      </c>
      <c r="Y1852" t="b">
        <v>0</v>
      </c>
    </row>
    <row r="1853" spans="1:25">
      <c r="A1853">
        <v>18520</v>
      </c>
      <c r="B1853" t="s">
        <v>3251</v>
      </c>
      <c r="C1853" t="s">
        <v>3949</v>
      </c>
      <c r="D1853" t="s">
        <v>3253</v>
      </c>
      <c r="E1853">
        <v>18520</v>
      </c>
      <c r="F1853">
        <v>20.8</v>
      </c>
      <c r="G1853">
        <v>1318</v>
      </c>
      <c r="H1853">
        <v>11.2</v>
      </c>
      <c r="I1853">
        <v>1505</v>
      </c>
      <c r="J1853">
        <v>11.4</v>
      </c>
      <c r="K1853">
        <v>1836</v>
      </c>
      <c r="L1853">
        <v>33.700000000000003</v>
      </c>
      <c r="M1853">
        <v>1118</v>
      </c>
      <c r="N1853">
        <v>32.1</v>
      </c>
      <c r="O1853">
        <v>1426</v>
      </c>
      <c r="P1853" t="s">
        <v>255</v>
      </c>
      <c r="Q1853" s="1">
        <v>6592</v>
      </c>
      <c r="R1853">
        <v>13.4</v>
      </c>
      <c r="S1853" s="2">
        <v>0.11</v>
      </c>
      <c r="T1853" t="s">
        <v>501</v>
      </c>
      <c r="U1853" s="2">
        <v>0.41</v>
      </c>
      <c r="V1853" t="s">
        <v>3949</v>
      </c>
      <c r="W1853" t="s">
        <v>3950</v>
      </c>
      <c r="X1853" t="b">
        <v>0</v>
      </c>
      <c r="Y1853" t="b">
        <v>0</v>
      </c>
    </row>
    <row r="1854" spans="1:25">
      <c r="A1854">
        <v>18530</v>
      </c>
      <c r="B1854" t="s">
        <v>3251</v>
      </c>
      <c r="C1854" t="s">
        <v>3951</v>
      </c>
      <c r="D1854" t="s">
        <v>3253</v>
      </c>
      <c r="E1854">
        <v>18530</v>
      </c>
      <c r="F1854">
        <v>13</v>
      </c>
      <c r="G1854">
        <v>1846</v>
      </c>
      <c r="H1854">
        <v>9</v>
      </c>
      <c r="I1854">
        <v>1804</v>
      </c>
      <c r="J1854">
        <v>35.700000000000003</v>
      </c>
      <c r="K1854">
        <v>1312</v>
      </c>
      <c r="L1854">
        <v>18.399999999999999</v>
      </c>
      <c r="M1854">
        <v>1641</v>
      </c>
      <c r="N1854">
        <v>35.799999999999997</v>
      </c>
      <c r="O1854">
        <v>1287</v>
      </c>
      <c r="P1854" t="s">
        <v>2275</v>
      </c>
      <c r="Q1854" s="1">
        <v>17629</v>
      </c>
      <c r="R1854">
        <v>22.9</v>
      </c>
      <c r="S1854" s="2">
        <v>0</v>
      </c>
      <c r="T1854" s="3">
        <v>2.6506944444444445</v>
      </c>
      <c r="U1854" s="2">
        <v>0.27</v>
      </c>
      <c r="V1854" t="s">
        <v>3951</v>
      </c>
      <c r="W1854" t="s">
        <v>3952</v>
      </c>
      <c r="X1854" t="b">
        <v>0</v>
      </c>
      <c r="Y1854" t="b">
        <v>0</v>
      </c>
    </row>
    <row r="1855" spans="1:25">
      <c r="A1855">
        <v>18540</v>
      </c>
      <c r="B1855" t="s">
        <v>3251</v>
      </c>
      <c r="C1855" t="s">
        <v>3953</v>
      </c>
      <c r="D1855" t="s">
        <v>3253</v>
      </c>
      <c r="E1855">
        <v>18540</v>
      </c>
      <c r="F1855">
        <v>19.399999999999999</v>
      </c>
      <c r="G1855">
        <v>1439</v>
      </c>
      <c r="H1855">
        <v>9.6999999999999993</v>
      </c>
      <c r="I1855">
        <v>1692</v>
      </c>
      <c r="J1855">
        <v>15.8</v>
      </c>
      <c r="K1855">
        <v>1752</v>
      </c>
      <c r="L1855">
        <v>18.8</v>
      </c>
      <c r="M1855">
        <v>1607</v>
      </c>
      <c r="N1855">
        <v>22.3</v>
      </c>
      <c r="O1855">
        <v>1801</v>
      </c>
      <c r="P1855" t="s">
        <v>1448</v>
      </c>
      <c r="Q1855" s="1">
        <v>28132</v>
      </c>
      <c r="R1855">
        <v>18.899999999999999</v>
      </c>
      <c r="S1855" s="2">
        <v>0.01</v>
      </c>
      <c r="T1855" s="3">
        <v>2.8145833333333332</v>
      </c>
      <c r="U1855" s="2">
        <v>0.24</v>
      </c>
      <c r="V1855" t="s">
        <v>3953</v>
      </c>
      <c r="W1855" t="s">
        <v>3954</v>
      </c>
      <c r="X1855" t="b">
        <v>0</v>
      </c>
      <c r="Y1855" t="b">
        <v>0</v>
      </c>
    </row>
    <row r="1856" spans="1:25">
      <c r="A1856">
        <v>18550</v>
      </c>
      <c r="B1856" t="s">
        <v>3251</v>
      </c>
      <c r="C1856" t="s">
        <v>3955</v>
      </c>
      <c r="D1856" t="s">
        <v>3253</v>
      </c>
      <c r="E1856">
        <v>18550</v>
      </c>
      <c r="F1856">
        <v>12.4</v>
      </c>
      <c r="G1856">
        <v>1867</v>
      </c>
      <c r="H1856">
        <v>9</v>
      </c>
      <c r="I1856">
        <v>1805</v>
      </c>
      <c r="J1856">
        <v>18.100000000000001</v>
      </c>
      <c r="K1856">
        <v>1715</v>
      </c>
      <c r="L1856">
        <v>16.2</v>
      </c>
      <c r="M1856">
        <v>1843</v>
      </c>
      <c r="N1856">
        <v>19.899999999999999</v>
      </c>
      <c r="O1856">
        <v>1873</v>
      </c>
      <c r="P1856" t="s">
        <v>1955</v>
      </c>
      <c r="Q1856" s="1">
        <v>36361</v>
      </c>
      <c r="R1856">
        <v>24.7</v>
      </c>
      <c r="S1856" s="2">
        <v>0</v>
      </c>
      <c r="T1856" s="3">
        <v>2.5277777777777777</v>
      </c>
      <c r="U1856" s="2">
        <v>0.26</v>
      </c>
      <c r="V1856" t="s">
        <v>3955</v>
      </c>
      <c r="W1856" t="s">
        <v>3956</v>
      </c>
      <c r="X1856" t="b">
        <v>0</v>
      </c>
      <c r="Y1856" t="b">
        <v>0</v>
      </c>
    </row>
    <row r="1857" spans="1:25">
      <c r="A1857">
        <v>18560</v>
      </c>
      <c r="B1857" t="s">
        <v>3251</v>
      </c>
      <c r="C1857" t="s">
        <v>3957</v>
      </c>
      <c r="D1857" t="s">
        <v>3253</v>
      </c>
      <c r="E1857">
        <v>18560</v>
      </c>
      <c r="F1857">
        <v>19.2</v>
      </c>
      <c r="G1857">
        <v>1456</v>
      </c>
      <c r="H1857">
        <v>9.3000000000000007</v>
      </c>
      <c r="I1857">
        <v>1753</v>
      </c>
      <c r="J1857">
        <v>25.9</v>
      </c>
      <c r="K1857">
        <v>1545</v>
      </c>
      <c r="L1857">
        <v>23.2</v>
      </c>
      <c r="M1857">
        <v>1397</v>
      </c>
      <c r="N1857">
        <v>46</v>
      </c>
      <c r="O1857">
        <v>933</v>
      </c>
      <c r="P1857" t="s">
        <v>3958</v>
      </c>
      <c r="Q1857" s="1">
        <v>26800</v>
      </c>
      <c r="R1857">
        <v>13.5</v>
      </c>
      <c r="S1857" s="2">
        <v>0.05</v>
      </c>
      <c r="T1857" s="3">
        <v>2.6506944444444445</v>
      </c>
      <c r="U1857" s="2">
        <v>0.28999999999999998</v>
      </c>
      <c r="V1857" t="s">
        <v>3957</v>
      </c>
      <c r="W1857" t="s">
        <v>3959</v>
      </c>
      <c r="X1857" t="b">
        <v>0</v>
      </c>
      <c r="Y1857" t="b">
        <v>0</v>
      </c>
    </row>
    <row r="1858" spans="1:25">
      <c r="A1858">
        <v>18570</v>
      </c>
      <c r="B1858" t="s">
        <v>3251</v>
      </c>
      <c r="C1858" t="s">
        <v>3960</v>
      </c>
      <c r="D1858" t="s">
        <v>3253</v>
      </c>
      <c r="E1858">
        <v>18570</v>
      </c>
      <c r="F1858">
        <v>19.3</v>
      </c>
      <c r="G1858">
        <v>1447</v>
      </c>
      <c r="H1858">
        <v>8.6</v>
      </c>
      <c r="I1858">
        <v>1849</v>
      </c>
      <c r="J1858">
        <v>4.0999999999999996</v>
      </c>
      <c r="K1858">
        <v>1904</v>
      </c>
      <c r="L1858">
        <v>16.2</v>
      </c>
      <c r="M1858">
        <v>1844</v>
      </c>
      <c r="N1858">
        <v>20</v>
      </c>
      <c r="O1858">
        <v>1871</v>
      </c>
      <c r="P1858" t="s">
        <v>577</v>
      </c>
      <c r="Q1858" s="1">
        <v>25067</v>
      </c>
      <c r="R1858">
        <v>11.9</v>
      </c>
      <c r="S1858" s="2">
        <v>0</v>
      </c>
      <c r="T1858" s="3">
        <v>2.7736111111111112</v>
      </c>
      <c r="U1858" s="2">
        <v>0.14000000000000001</v>
      </c>
      <c r="V1858" t="s">
        <v>3960</v>
      </c>
      <c r="W1858" t="s">
        <v>3961</v>
      </c>
      <c r="X1858" t="b">
        <v>0</v>
      </c>
      <c r="Y1858" t="b">
        <v>0</v>
      </c>
    </row>
    <row r="1859" spans="1:25">
      <c r="A1859">
        <v>18580</v>
      </c>
      <c r="B1859" t="s">
        <v>3251</v>
      </c>
      <c r="C1859" t="s">
        <v>3962</v>
      </c>
      <c r="D1859" t="s">
        <v>3253</v>
      </c>
      <c r="E1859">
        <v>18580</v>
      </c>
      <c r="F1859">
        <v>18.5</v>
      </c>
      <c r="G1859">
        <v>1511</v>
      </c>
      <c r="H1859">
        <v>11.1</v>
      </c>
      <c r="I1859">
        <v>1517</v>
      </c>
      <c r="J1859">
        <v>30</v>
      </c>
      <c r="K1859">
        <v>1445</v>
      </c>
      <c r="L1859">
        <v>15.8</v>
      </c>
      <c r="M1859">
        <v>1892</v>
      </c>
      <c r="N1859">
        <v>31.4</v>
      </c>
      <c r="O1859">
        <v>1451</v>
      </c>
      <c r="P1859" t="s">
        <v>1955</v>
      </c>
      <c r="Q1859" s="1">
        <v>33358</v>
      </c>
      <c r="R1859">
        <v>30.5</v>
      </c>
      <c r="S1859" s="2">
        <v>0.04</v>
      </c>
      <c r="T1859" s="3">
        <v>2.3229166666666665</v>
      </c>
      <c r="U1859" s="2">
        <v>0.2</v>
      </c>
      <c r="V1859" t="s">
        <v>3962</v>
      </c>
      <c r="W1859" t="s">
        <v>3963</v>
      </c>
      <c r="X1859" t="b">
        <v>0</v>
      </c>
      <c r="Y1859" t="b">
        <v>0</v>
      </c>
    </row>
    <row r="1860" spans="1:25">
      <c r="A1860">
        <v>18590</v>
      </c>
      <c r="B1860" t="s">
        <v>3251</v>
      </c>
      <c r="C1860" t="s">
        <v>3964</v>
      </c>
      <c r="D1860" t="s">
        <v>3253</v>
      </c>
      <c r="E1860">
        <v>18590</v>
      </c>
      <c r="F1860">
        <v>24.9</v>
      </c>
      <c r="G1860">
        <v>1012</v>
      </c>
      <c r="H1860">
        <v>11.3</v>
      </c>
      <c r="I1860">
        <v>1496</v>
      </c>
      <c r="J1860">
        <v>18.100000000000001</v>
      </c>
      <c r="K1860">
        <v>1716</v>
      </c>
      <c r="L1860">
        <v>18.100000000000001</v>
      </c>
      <c r="M1860">
        <v>1663</v>
      </c>
      <c r="N1860">
        <v>25.9</v>
      </c>
      <c r="O1860">
        <v>1669</v>
      </c>
      <c r="P1860" t="s">
        <v>577</v>
      </c>
      <c r="Q1860" s="1">
        <v>8568</v>
      </c>
      <c r="R1860">
        <v>8.9</v>
      </c>
      <c r="S1860" s="2">
        <v>0</v>
      </c>
      <c r="T1860" s="3">
        <v>2.3229166666666665</v>
      </c>
      <c r="U1860" s="2">
        <v>0.23</v>
      </c>
      <c r="V1860" t="s">
        <v>3964</v>
      </c>
      <c r="W1860" t="s">
        <v>3965</v>
      </c>
      <c r="X1860" t="b">
        <v>0</v>
      </c>
      <c r="Y1860" t="b">
        <v>0</v>
      </c>
    </row>
    <row r="1861" spans="1:25">
      <c r="A1861">
        <v>18600</v>
      </c>
      <c r="B1861" t="s">
        <v>3251</v>
      </c>
      <c r="C1861" t="s">
        <v>3966</v>
      </c>
      <c r="D1861" t="s">
        <v>3253</v>
      </c>
      <c r="E1861">
        <v>18600</v>
      </c>
      <c r="F1861">
        <v>22.9</v>
      </c>
      <c r="G1861">
        <v>1163</v>
      </c>
      <c r="H1861">
        <v>9.3000000000000007</v>
      </c>
      <c r="I1861">
        <v>1754</v>
      </c>
      <c r="J1861">
        <v>14.1</v>
      </c>
      <c r="K1861">
        <v>1783</v>
      </c>
      <c r="L1861">
        <v>17.399999999999999</v>
      </c>
      <c r="M1861">
        <v>1718</v>
      </c>
      <c r="N1861">
        <v>34.9</v>
      </c>
      <c r="O1861">
        <v>1327</v>
      </c>
      <c r="P1861" t="s">
        <v>577</v>
      </c>
      <c r="Q1861" s="1">
        <v>7854</v>
      </c>
      <c r="R1861">
        <v>9.8000000000000007</v>
      </c>
      <c r="S1861" s="2">
        <v>0.02</v>
      </c>
      <c r="T1861" s="3">
        <v>1.9541666666666666</v>
      </c>
      <c r="U1861" s="2">
        <v>0.2</v>
      </c>
      <c r="V1861" t="s">
        <v>3966</v>
      </c>
      <c r="W1861" t="s">
        <v>3967</v>
      </c>
      <c r="X1861" t="b">
        <v>0</v>
      </c>
      <c r="Y1861" t="b">
        <v>0</v>
      </c>
    </row>
    <row r="1862" spans="1:25">
      <c r="A1862">
        <v>18610</v>
      </c>
      <c r="B1862" t="s">
        <v>3251</v>
      </c>
      <c r="C1862" t="s">
        <v>3968</v>
      </c>
      <c r="D1862" t="s">
        <v>3253</v>
      </c>
      <c r="E1862">
        <v>18610</v>
      </c>
      <c r="F1862">
        <v>23.5</v>
      </c>
      <c r="G1862">
        <v>1116</v>
      </c>
      <c r="H1862">
        <v>9.8000000000000007</v>
      </c>
      <c r="I1862">
        <v>1678</v>
      </c>
      <c r="J1862">
        <v>29.9</v>
      </c>
      <c r="K1862">
        <v>1449</v>
      </c>
      <c r="L1862">
        <v>18.600000000000001</v>
      </c>
      <c r="M1862">
        <v>1624</v>
      </c>
      <c r="N1862">
        <v>25.6</v>
      </c>
      <c r="O1862">
        <v>1681</v>
      </c>
      <c r="P1862" t="s">
        <v>895</v>
      </c>
      <c r="Q1862" s="1">
        <v>39648</v>
      </c>
      <c r="R1862">
        <v>32.299999999999997</v>
      </c>
      <c r="S1862" s="2">
        <v>0.05</v>
      </c>
      <c r="T1862" s="3">
        <v>2.2000000000000002</v>
      </c>
      <c r="U1862" s="2">
        <v>0.27</v>
      </c>
      <c r="V1862" t="s">
        <v>3968</v>
      </c>
      <c r="W1862" t="s">
        <v>3969</v>
      </c>
      <c r="X1862" t="b">
        <v>0</v>
      </c>
      <c r="Y1862" t="b">
        <v>0</v>
      </c>
    </row>
    <row r="1863" spans="1:25">
      <c r="A1863">
        <v>18620</v>
      </c>
      <c r="B1863" t="s">
        <v>3251</v>
      </c>
      <c r="C1863" t="s">
        <v>3970</v>
      </c>
      <c r="D1863" t="s">
        <v>3253</v>
      </c>
      <c r="E1863">
        <v>18620</v>
      </c>
      <c r="F1863">
        <v>11.8</v>
      </c>
      <c r="G1863">
        <v>1884</v>
      </c>
      <c r="H1863">
        <v>9.8000000000000007</v>
      </c>
      <c r="I1863">
        <v>1679</v>
      </c>
      <c r="J1863">
        <v>29.9</v>
      </c>
      <c r="K1863">
        <v>1450</v>
      </c>
      <c r="L1863">
        <v>21.1</v>
      </c>
      <c r="M1863">
        <v>1478</v>
      </c>
      <c r="N1863">
        <v>21.5</v>
      </c>
      <c r="O1863">
        <v>1825</v>
      </c>
      <c r="P1863" t="s">
        <v>2536</v>
      </c>
      <c r="Q1863" s="1">
        <v>38741</v>
      </c>
      <c r="R1863">
        <v>56.2</v>
      </c>
      <c r="S1863" s="2">
        <v>0</v>
      </c>
      <c r="T1863" s="3">
        <v>2.2000000000000002</v>
      </c>
      <c r="U1863" s="2">
        <v>0.44</v>
      </c>
      <c r="V1863" t="s">
        <v>3970</v>
      </c>
      <c r="W1863" t="s">
        <v>3971</v>
      </c>
      <c r="X1863" t="b">
        <v>0</v>
      </c>
      <c r="Y1863" t="b">
        <v>0</v>
      </c>
    </row>
    <row r="1864" spans="1:25">
      <c r="A1864">
        <v>18630</v>
      </c>
      <c r="B1864" t="s">
        <v>3251</v>
      </c>
      <c r="C1864" t="s">
        <v>3972</v>
      </c>
      <c r="D1864" t="s">
        <v>3253</v>
      </c>
      <c r="E1864">
        <v>18630</v>
      </c>
      <c r="F1864">
        <v>16.5</v>
      </c>
      <c r="G1864">
        <v>1664</v>
      </c>
      <c r="H1864">
        <v>10.5</v>
      </c>
      <c r="I1864">
        <v>1594</v>
      </c>
      <c r="J1864">
        <v>26.6</v>
      </c>
      <c r="K1864">
        <v>1526</v>
      </c>
      <c r="L1864">
        <v>17.100000000000001</v>
      </c>
      <c r="M1864">
        <v>1751</v>
      </c>
      <c r="N1864">
        <v>27.6</v>
      </c>
      <c r="O1864">
        <v>1600</v>
      </c>
      <c r="P1864" t="s">
        <v>1955</v>
      </c>
      <c r="Q1864" s="1">
        <v>35761</v>
      </c>
      <c r="R1864">
        <v>19.2</v>
      </c>
      <c r="S1864" s="2">
        <v>0.02</v>
      </c>
      <c r="T1864" s="3">
        <v>2.2819444444444446</v>
      </c>
      <c r="U1864" s="2">
        <v>0.23</v>
      </c>
      <c r="V1864" t="s">
        <v>3972</v>
      </c>
      <c r="W1864" t="s">
        <v>3973</v>
      </c>
      <c r="X1864" t="b">
        <v>0</v>
      </c>
      <c r="Y1864" t="b">
        <v>0</v>
      </c>
    </row>
    <row r="1865" spans="1:25">
      <c r="A1865">
        <v>18640</v>
      </c>
      <c r="B1865" t="s">
        <v>3251</v>
      </c>
      <c r="C1865" t="s">
        <v>3974</v>
      </c>
      <c r="D1865" t="s">
        <v>3253</v>
      </c>
      <c r="E1865">
        <v>18640</v>
      </c>
      <c r="F1865">
        <v>19.100000000000001</v>
      </c>
      <c r="G1865">
        <v>1461</v>
      </c>
      <c r="H1865">
        <v>11.7</v>
      </c>
      <c r="I1865">
        <v>1447</v>
      </c>
      <c r="J1865">
        <v>23.2</v>
      </c>
      <c r="K1865">
        <v>1607</v>
      </c>
      <c r="L1865">
        <v>17.399999999999999</v>
      </c>
      <c r="M1865">
        <v>1719</v>
      </c>
      <c r="N1865">
        <v>29.6</v>
      </c>
      <c r="O1865">
        <v>1516</v>
      </c>
      <c r="P1865" t="s">
        <v>691</v>
      </c>
      <c r="Q1865" s="1">
        <v>9573</v>
      </c>
      <c r="R1865">
        <v>14.8</v>
      </c>
      <c r="S1865" s="2">
        <v>0.05</v>
      </c>
      <c r="T1865" s="3">
        <v>1.9131944444444444</v>
      </c>
      <c r="U1865" s="2">
        <v>0.43</v>
      </c>
      <c r="V1865" t="s">
        <v>3974</v>
      </c>
      <c r="W1865" t="s">
        <v>3975</v>
      </c>
      <c r="X1865" t="b">
        <v>0</v>
      </c>
      <c r="Y1865" t="b">
        <v>0</v>
      </c>
    </row>
    <row r="1866" spans="1:25">
      <c r="A1866">
        <v>18650</v>
      </c>
      <c r="B1866" t="s">
        <v>3251</v>
      </c>
      <c r="C1866" t="s">
        <v>3976</v>
      </c>
      <c r="D1866" t="s">
        <v>3253</v>
      </c>
      <c r="E1866">
        <v>18650</v>
      </c>
      <c r="F1866">
        <v>29.5</v>
      </c>
      <c r="G1866">
        <v>723</v>
      </c>
      <c r="H1866">
        <v>11</v>
      </c>
      <c r="I1866">
        <v>1530</v>
      </c>
      <c r="J1866">
        <v>14</v>
      </c>
      <c r="K1866">
        <v>1785</v>
      </c>
      <c r="L1866">
        <v>26.7</v>
      </c>
      <c r="M1866">
        <v>1275</v>
      </c>
      <c r="N1866">
        <v>17</v>
      </c>
      <c r="O1866">
        <v>1905</v>
      </c>
      <c r="P1866" t="s">
        <v>528</v>
      </c>
      <c r="Q1866" s="1">
        <v>7000</v>
      </c>
      <c r="R1866">
        <v>9.3000000000000007</v>
      </c>
      <c r="S1866" s="2">
        <v>0</v>
      </c>
      <c r="T1866" s="3">
        <v>2.5687500000000001</v>
      </c>
      <c r="U1866" s="2">
        <v>0.27</v>
      </c>
      <c r="V1866" t="s">
        <v>3976</v>
      </c>
      <c r="W1866" t="s">
        <v>1935</v>
      </c>
      <c r="X1866" t="b">
        <v>0</v>
      </c>
      <c r="Y1866" t="b">
        <v>0</v>
      </c>
    </row>
    <row r="1867" spans="1:25">
      <c r="A1867">
        <v>18660</v>
      </c>
      <c r="B1867" t="s">
        <v>3251</v>
      </c>
      <c r="C1867" t="s">
        <v>3977</v>
      </c>
      <c r="D1867" t="s">
        <v>3253</v>
      </c>
      <c r="E1867">
        <v>18660</v>
      </c>
      <c r="F1867">
        <v>21</v>
      </c>
      <c r="G1867">
        <v>1303</v>
      </c>
      <c r="H1867">
        <v>18.899999999999999</v>
      </c>
      <c r="I1867">
        <v>873</v>
      </c>
      <c r="J1867">
        <v>18.2</v>
      </c>
      <c r="K1867">
        <v>1713</v>
      </c>
      <c r="L1867">
        <v>34.5</v>
      </c>
      <c r="M1867">
        <v>1103</v>
      </c>
      <c r="N1867">
        <v>44.2</v>
      </c>
      <c r="O1867">
        <v>985</v>
      </c>
      <c r="P1867" t="s">
        <v>984</v>
      </c>
      <c r="Q1867" s="1">
        <v>5303</v>
      </c>
      <c r="R1867">
        <v>13.3</v>
      </c>
      <c r="S1867" s="2">
        <v>0.1</v>
      </c>
      <c r="T1867" s="3">
        <v>2.2819444444444446</v>
      </c>
      <c r="U1867" s="2">
        <v>0.38</v>
      </c>
      <c r="V1867" t="s">
        <v>3977</v>
      </c>
      <c r="W1867" t="s">
        <v>3978</v>
      </c>
      <c r="X1867" t="b">
        <v>0</v>
      </c>
      <c r="Y1867" t="b">
        <v>0</v>
      </c>
    </row>
    <row r="1868" spans="1:25">
      <c r="A1868">
        <v>18670</v>
      </c>
      <c r="B1868" t="s">
        <v>3251</v>
      </c>
      <c r="C1868" t="s">
        <v>3979</v>
      </c>
      <c r="D1868" t="s">
        <v>3253</v>
      </c>
      <c r="E1868">
        <v>18670</v>
      </c>
      <c r="F1868">
        <v>23.2</v>
      </c>
      <c r="G1868">
        <v>1143</v>
      </c>
      <c r="H1868">
        <v>11.1</v>
      </c>
      <c r="I1868">
        <v>1519</v>
      </c>
      <c r="J1868">
        <v>24.2</v>
      </c>
      <c r="K1868">
        <v>1583</v>
      </c>
      <c r="L1868">
        <v>25</v>
      </c>
      <c r="M1868">
        <v>1339</v>
      </c>
      <c r="N1868">
        <v>26.8</v>
      </c>
      <c r="O1868">
        <v>1629</v>
      </c>
      <c r="P1868" t="s">
        <v>2923</v>
      </c>
      <c r="Q1868" s="1">
        <v>10318</v>
      </c>
      <c r="R1868">
        <v>9.6999999999999993</v>
      </c>
      <c r="S1868" s="2">
        <v>0.09</v>
      </c>
      <c r="T1868">
        <v>0.92986111111111114</v>
      </c>
      <c r="U1868" s="2">
        <v>0.5</v>
      </c>
      <c r="V1868" t="s">
        <v>3979</v>
      </c>
      <c r="W1868" t="s">
        <v>3980</v>
      </c>
      <c r="X1868" t="b">
        <v>0</v>
      </c>
      <c r="Y1868" t="b">
        <v>0</v>
      </c>
    </row>
    <row r="1869" spans="1:25">
      <c r="A1869">
        <v>18680</v>
      </c>
      <c r="B1869" t="s">
        <v>3251</v>
      </c>
      <c r="C1869" t="s">
        <v>3981</v>
      </c>
      <c r="D1869" t="s">
        <v>3253</v>
      </c>
      <c r="E1869">
        <v>18680</v>
      </c>
      <c r="F1869">
        <v>15</v>
      </c>
      <c r="G1869">
        <v>1754</v>
      </c>
      <c r="H1869">
        <v>4.5999999999999996</v>
      </c>
      <c r="I1869">
        <v>1906</v>
      </c>
      <c r="J1869">
        <v>14.8</v>
      </c>
      <c r="K1869">
        <v>1772</v>
      </c>
      <c r="L1869">
        <v>19.2</v>
      </c>
      <c r="M1869">
        <v>1578</v>
      </c>
      <c r="N1869">
        <v>32.4</v>
      </c>
      <c r="O1869">
        <v>1411</v>
      </c>
      <c r="P1869" t="s">
        <v>1820</v>
      </c>
      <c r="Q1869" s="1">
        <v>17877</v>
      </c>
      <c r="R1869">
        <v>17.8</v>
      </c>
      <c r="S1869" s="2">
        <v>0</v>
      </c>
      <c r="T1869" s="3">
        <v>1.8722222222222222</v>
      </c>
      <c r="U1869" s="2">
        <v>0.28000000000000003</v>
      </c>
      <c r="V1869" t="s">
        <v>3981</v>
      </c>
      <c r="W1869" t="s">
        <v>3982</v>
      </c>
      <c r="X1869" t="b">
        <v>0</v>
      </c>
      <c r="Y1869" t="b">
        <v>0</v>
      </c>
    </row>
    <row r="1870" spans="1:25">
      <c r="A1870">
        <v>18690</v>
      </c>
      <c r="B1870" t="s">
        <v>3251</v>
      </c>
      <c r="C1870" t="s">
        <v>3983</v>
      </c>
      <c r="D1870" t="s">
        <v>3253</v>
      </c>
      <c r="E1870">
        <v>18690</v>
      </c>
      <c r="F1870">
        <v>10.6</v>
      </c>
      <c r="G1870">
        <v>1900</v>
      </c>
      <c r="H1870">
        <v>8.4</v>
      </c>
      <c r="I1870">
        <v>1863</v>
      </c>
      <c r="J1870">
        <v>11.2</v>
      </c>
      <c r="K1870">
        <v>1838</v>
      </c>
      <c r="L1870">
        <v>15.8</v>
      </c>
      <c r="M1870">
        <v>1893</v>
      </c>
      <c r="N1870">
        <v>48.2</v>
      </c>
      <c r="O1870">
        <v>864</v>
      </c>
      <c r="P1870" t="s">
        <v>2513</v>
      </c>
      <c r="Q1870" s="1">
        <v>57924</v>
      </c>
      <c r="R1870">
        <v>29.3</v>
      </c>
      <c r="S1870" s="2">
        <v>0.01</v>
      </c>
      <c r="T1870" s="3">
        <v>2.3638888888888889</v>
      </c>
      <c r="U1870" s="2">
        <v>0.28999999999999998</v>
      </c>
      <c r="V1870" t="s">
        <v>3983</v>
      </c>
      <c r="W1870" t="s">
        <v>3984</v>
      </c>
      <c r="X1870" t="b">
        <v>0</v>
      </c>
      <c r="Y1870" t="b">
        <v>0</v>
      </c>
    </row>
    <row r="1871" spans="1:25">
      <c r="A1871">
        <v>18700</v>
      </c>
      <c r="B1871" t="s">
        <v>3251</v>
      </c>
      <c r="C1871" t="s">
        <v>3985</v>
      </c>
      <c r="D1871" t="s">
        <v>3253</v>
      </c>
      <c r="E1871">
        <v>18700</v>
      </c>
      <c r="F1871">
        <v>16.7</v>
      </c>
      <c r="G1871">
        <v>1656</v>
      </c>
      <c r="H1871">
        <v>10.199999999999999</v>
      </c>
      <c r="I1871">
        <v>1630</v>
      </c>
      <c r="J1871">
        <v>22.3</v>
      </c>
      <c r="K1871">
        <v>1632</v>
      </c>
      <c r="L1871">
        <v>42.3</v>
      </c>
      <c r="M1871">
        <v>934</v>
      </c>
      <c r="N1871">
        <v>25.3</v>
      </c>
      <c r="O1871">
        <v>1695</v>
      </c>
      <c r="P1871" t="s">
        <v>577</v>
      </c>
      <c r="Q1871" s="1">
        <v>39007</v>
      </c>
      <c r="R1871">
        <v>15.3</v>
      </c>
      <c r="S1871" s="2">
        <v>0.01</v>
      </c>
      <c r="T1871" t="s">
        <v>105</v>
      </c>
      <c r="U1871" s="2">
        <v>0.38</v>
      </c>
      <c r="V1871" t="s">
        <v>3985</v>
      </c>
      <c r="W1871" t="s">
        <v>3986</v>
      </c>
      <c r="X1871" t="b">
        <v>0</v>
      </c>
      <c r="Y1871" t="b">
        <v>0</v>
      </c>
    </row>
    <row r="1872" spans="1:25">
      <c r="A1872">
        <v>18710</v>
      </c>
      <c r="B1872" t="s">
        <v>3251</v>
      </c>
      <c r="C1872" t="s">
        <v>3987</v>
      </c>
      <c r="D1872" t="s">
        <v>3253</v>
      </c>
      <c r="E1872">
        <v>18710</v>
      </c>
      <c r="F1872">
        <v>17.399999999999999</v>
      </c>
      <c r="G1872">
        <v>1604</v>
      </c>
      <c r="H1872">
        <v>12.7</v>
      </c>
      <c r="I1872">
        <v>1341</v>
      </c>
      <c r="J1872">
        <v>33.9</v>
      </c>
      <c r="K1872">
        <v>1357</v>
      </c>
      <c r="L1872">
        <v>37.200000000000003</v>
      </c>
      <c r="M1872">
        <v>1041</v>
      </c>
      <c r="N1872">
        <v>26.7</v>
      </c>
      <c r="O1872">
        <v>1634</v>
      </c>
      <c r="P1872" t="s">
        <v>94</v>
      </c>
      <c r="Q1872" s="1">
        <v>23162</v>
      </c>
      <c r="R1872">
        <v>16</v>
      </c>
      <c r="S1872" s="2">
        <v>0.05</v>
      </c>
      <c r="T1872" t="s">
        <v>801</v>
      </c>
      <c r="U1872" s="2">
        <v>7.0000000000000007E-2</v>
      </c>
      <c r="V1872" t="s">
        <v>3987</v>
      </c>
      <c r="W1872" t="s">
        <v>3988</v>
      </c>
      <c r="X1872" t="b">
        <v>0</v>
      </c>
      <c r="Y1872" t="b">
        <v>0</v>
      </c>
    </row>
    <row r="1873" spans="1:25">
      <c r="A1873">
        <v>18720</v>
      </c>
      <c r="B1873" t="s">
        <v>3251</v>
      </c>
      <c r="C1873" t="s">
        <v>3989</v>
      </c>
      <c r="D1873" t="s">
        <v>3253</v>
      </c>
      <c r="E1873">
        <v>18720</v>
      </c>
      <c r="F1873">
        <v>20.2</v>
      </c>
      <c r="G1873">
        <v>1363</v>
      </c>
      <c r="H1873">
        <v>14.7</v>
      </c>
      <c r="I1873">
        <v>1151</v>
      </c>
      <c r="J1873">
        <v>28.6</v>
      </c>
      <c r="K1873">
        <v>1483</v>
      </c>
      <c r="L1873">
        <v>23.9</v>
      </c>
      <c r="M1873">
        <v>1373</v>
      </c>
      <c r="N1873">
        <v>24.2</v>
      </c>
      <c r="O1873">
        <v>1734</v>
      </c>
      <c r="P1873" t="s">
        <v>664</v>
      </c>
      <c r="Q1873" s="1">
        <v>60755</v>
      </c>
      <c r="R1873">
        <v>16.3</v>
      </c>
      <c r="S1873" s="2">
        <v>0.01</v>
      </c>
      <c r="T1873" s="3">
        <v>2.8145833333333332</v>
      </c>
      <c r="U1873" s="2">
        <v>0.34</v>
      </c>
      <c r="V1873" t="s">
        <v>3989</v>
      </c>
      <c r="W1873" t="s">
        <v>3990</v>
      </c>
      <c r="X1873" t="b">
        <v>0</v>
      </c>
      <c r="Y1873" t="b">
        <v>0</v>
      </c>
    </row>
    <row r="1874" spans="1:25">
      <c r="A1874">
        <v>18730</v>
      </c>
      <c r="B1874" t="s">
        <v>3251</v>
      </c>
      <c r="C1874" t="s">
        <v>3991</v>
      </c>
      <c r="D1874" t="s">
        <v>3253</v>
      </c>
      <c r="E1874">
        <v>18730</v>
      </c>
      <c r="F1874">
        <v>15</v>
      </c>
      <c r="G1874">
        <v>1755</v>
      </c>
      <c r="H1874">
        <v>11</v>
      </c>
      <c r="I1874">
        <v>1531</v>
      </c>
      <c r="J1874">
        <v>28.5</v>
      </c>
      <c r="K1874">
        <v>1487</v>
      </c>
      <c r="L1874">
        <v>21.3</v>
      </c>
      <c r="M1874">
        <v>1469</v>
      </c>
      <c r="N1874">
        <v>38.1</v>
      </c>
      <c r="O1874">
        <v>1191</v>
      </c>
      <c r="P1874" t="s">
        <v>1955</v>
      </c>
      <c r="Q1874" s="1">
        <v>18956</v>
      </c>
      <c r="R1874">
        <v>16.8</v>
      </c>
      <c r="S1874" s="2">
        <v>0.03</v>
      </c>
      <c r="T1874" s="3">
        <v>1.7902777777777779</v>
      </c>
      <c r="U1874" s="2">
        <v>0.32</v>
      </c>
      <c r="V1874" t="s">
        <v>3991</v>
      </c>
      <c r="W1874" t="s">
        <v>3992</v>
      </c>
      <c r="X1874" t="b">
        <v>0</v>
      </c>
      <c r="Y1874" t="b">
        <v>0</v>
      </c>
    </row>
    <row r="1875" spans="1:25">
      <c r="A1875">
        <v>18740</v>
      </c>
      <c r="B1875" t="s">
        <v>3251</v>
      </c>
      <c r="C1875" t="s">
        <v>3993</v>
      </c>
      <c r="D1875" t="s">
        <v>3253</v>
      </c>
      <c r="E1875">
        <v>18740</v>
      </c>
      <c r="F1875">
        <v>19.8</v>
      </c>
      <c r="G1875">
        <v>1396</v>
      </c>
      <c r="H1875">
        <v>10.5</v>
      </c>
      <c r="I1875">
        <v>1595</v>
      </c>
      <c r="J1875">
        <v>12.7</v>
      </c>
      <c r="K1875">
        <v>1807</v>
      </c>
      <c r="L1875">
        <v>23.9</v>
      </c>
      <c r="M1875">
        <v>1374</v>
      </c>
      <c r="N1875">
        <v>43.1</v>
      </c>
      <c r="O1875">
        <v>1020</v>
      </c>
      <c r="P1875" t="s">
        <v>1093</v>
      </c>
      <c r="Q1875" s="1">
        <v>10775</v>
      </c>
      <c r="R1875">
        <v>11.1</v>
      </c>
      <c r="S1875" s="2">
        <v>0</v>
      </c>
      <c r="T1875" s="3">
        <v>2.5687500000000001</v>
      </c>
      <c r="U1875" s="2">
        <v>0.21</v>
      </c>
      <c r="V1875" t="s">
        <v>3993</v>
      </c>
      <c r="W1875" t="s">
        <v>3994</v>
      </c>
      <c r="X1875" t="b">
        <v>0</v>
      </c>
      <c r="Y1875" t="b">
        <v>0</v>
      </c>
    </row>
    <row r="1876" spans="1:25">
      <c r="A1876">
        <v>18750</v>
      </c>
      <c r="B1876" t="s">
        <v>3251</v>
      </c>
      <c r="C1876" t="s">
        <v>3995</v>
      </c>
      <c r="D1876" t="s">
        <v>3253</v>
      </c>
      <c r="E1876">
        <v>18750</v>
      </c>
      <c r="F1876">
        <v>17.100000000000001</v>
      </c>
      <c r="G1876">
        <v>1620</v>
      </c>
      <c r="H1876">
        <v>8.6</v>
      </c>
      <c r="I1876">
        <v>1850</v>
      </c>
      <c r="J1876">
        <v>33.700000000000003</v>
      </c>
      <c r="K1876">
        <v>1361</v>
      </c>
      <c r="L1876">
        <v>17.5</v>
      </c>
      <c r="M1876">
        <v>1707</v>
      </c>
      <c r="N1876">
        <v>32.1</v>
      </c>
      <c r="O1876">
        <v>1427</v>
      </c>
      <c r="P1876" t="s">
        <v>895</v>
      </c>
      <c r="Q1876" s="1">
        <v>22547</v>
      </c>
      <c r="R1876">
        <v>15.2</v>
      </c>
      <c r="S1876" s="2">
        <v>0.09</v>
      </c>
      <c r="T1876" s="3">
        <v>1.9131944444444444</v>
      </c>
      <c r="U1876" s="2">
        <v>0.2</v>
      </c>
      <c r="V1876" t="s">
        <v>3995</v>
      </c>
      <c r="W1876" t="s">
        <v>3996</v>
      </c>
      <c r="X1876" t="b">
        <v>0</v>
      </c>
      <c r="Y1876" t="b">
        <v>0</v>
      </c>
    </row>
    <row r="1877" spans="1:25">
      <c r="A1877">
        <v>18760</v>
      </c>
      <c r="B1877" t="s">
        <v>3251</v>
      </c>
      <c r="C1877" t="s">
        <v>3997</v>
      </c>
      <c r="D1877" t="s">
        <v>3253</v>
      </c>
      <c r="E1877">
        <v>18760</v>
      </c>
      <c r="F1877">
        <v>18.100000000000001</v>
      </c>
      <c r="G1877">
        <v>1546</v>
      </c>
      <c r="H1877">
        <v>9.1</v>
      </c>
      <c r="I1877">
        <v>1789</v>
      </c>
      <c r="J1877">
        <v>18.899999999999999</v>
      </c>
      <c r="K1877">
        <v>1706</v>
      </c>
      <c r="L1877">
        <v>29.8</v>
      </c>
      <c r="M1877">
        <v>1190</v>
      </c>
      <c r="N1877">
        <v>23.1</v>
      </c>
      <c r="O1877">
        <v>1778</v>
      </c>
      <c r="P1877" t="s">
        <v>94</v>
      </c>
      <c r="Q1877" s="1">
        <v>13004</v>
      </c>
      <c r="R1877">
        <v>32.200000000000003</v>
      </c>
      <c r="S1877" s="2">
        <v>0.02</v>
      </c>
      <c r="T1877" s="3">
        <v>1.83125</v>
      </c>
      <c r="U1877" s="2">
        <v>0.11</v>
      </c>
      <c r="V1877" t="s">
        <v>3997</v>
      </c>
      <c r="W1877" t="s">
        <v>3998</v>
      </c>
      <c r="X1877" t="b">
        <v>0</v>
      </c>
      <c r="Y1877" t="b">
        <v>0</v>
      </c>
    </row>
    <row r="1878" spans="1:25">
      <c r="A1878">
        <v>18770</v>
      </c>
      <c r="B1878" t="s">
        <v>3251</v>
      </c>
      <c r="C1878" t="s">
        <v>3999</v>
      </c>
      <c r="D1878" t="s">
        <v>3253</v>
      </c>
      <c r="E1878">
        <v>18770</v>
      </c>
      <c r="F1878">
        <v>17.600000000000001</v>
      </c>
      <c r="G1878">
        <v>1591</v>
      </c>
      <c r="H1878">
        <v>12</v>
      </c>
      <c r="I1878">
        <v>1413</v>
      </c>
      <c r="J1878">
        <v>13.9</v>
      </c>
      <c r="K1878">
        <v>1787</v>
      </c>
      <c r="L1878">
        <v>43.6</v>
      </c>
      <c r="M1878">
        <v>914</v>
      </c>
      <c r="N1878">
        <v>28.6</v>
      </c>
      <c r="O1878">
        <v>1559</v>
      </c>
      <c r="P1878" t="s">
        <v>94</v>
      </c>
      <c r="Q1878" s="1">
        <v>7479</v>
      </c>
      <c r="R1878">
        <v>26.8</v>
      </c>
      <c r="S1878" s="2">
        <v>0.02</v>
      </c>
      <c r="T1878">
        <v>1.0118055555555556</v>
      </c>
      <c r="U1878" s="2">
        <v>0.45</v>
      </c>
      <c r="V1878" t="s">
        <v>3999</v>
      </c>
      <c r="W1878" t="s">
        <v>4000</v>
      </c>
      <c r="X1878" t="b">
        <v>0</v>
      </c>
      <c r="Y1878" t="b">
        <v>0</v>
      </c>
    </row>
    <row r="1879" spans="1:25">
      <c r="A1879">
        <v>18780</v>
      </c>
      <c r="B1879" t="s">
        <v>3251</v>
      </c>
      <c r="C1879" t="s">
        <v>4001</v>
      </c>
      <c r="D1879" t="s">
        <v>3253</v>
      </c>
      <c r="E1879">
        <v>18780</v>
      </c>
      <c r="F1879">
        <v>14.9</v>
      </c>
      <c r="G1879">
        <v>1764</v>
      </c>
      <c r="H1879">
        <v>9</v>
      </c>
      <c r="I1879">
        <v>1806</v>
      </c>
      <c r="J1879">
        <v>12.1</v>
      </c>
      <c r="K1879">
        <v>1822</v>
      </c>
      <c r="L1879">
        <v>56.4</v>
      </c>
      <c r="M1879">
        <v>714</v>
      </c>
      <c r="N1879">
        <v>21.9</v>
      </c>
      <c r="O1879">
        <v>1814</v>
      </c>
      <c r="P1879" t="s">
        <v>94</v>
      </c>
      <c r="Q1879" s="1">
        <v>9837</v>
      </c>
      <c r="R1879">
        <v>28.7</v>
      </c>
      <c r="S1879" s="2">
        <v>0.03</v>
      </c>
      <c r="T1879">
        <v>0.6020833333333333</v>
      </c>
      <c r="U1879" s="2">
        <v>0.42</v>
      </c>
      <c r="V1879" t="s">
        <v>4001</v>
      </c>
      <c r="W1879" t="s">
        <v>4002</v>
      </c>
      <c r="X1879" t="b">
        <v>0</v>
      </c>
      <c r="Y1879" t="b">
        <v>0</v>
      </c>
    </row>
    <row r="1880" spans="1:25">
      <c r="A1880">
        <v>18790</v>
      </c>
      <c r="B1880" t="s">
        <v>3251</v>
      </c>
      <c r="C1880" t="s">
        <v>4003</v>
      </c>
      <c r="D1880" t="s">
        <v>3253</v>
      </c>
      <c r="E1880">
        <v>18790</v>
      </c>
      <c r="F1880">
        <v>22.2</v>
      </c>
      <c r="G1880">
        <v>1217</v>
      </c>
      <c r="H1880">
        <v>11</v>
      </c>
      <c r="I1880">
        <v>1532</v>
      </c>
      <c r="J1880">
        <v>18.899999999999999</v>
      </c>
      <c r="K1880">
        <v>1707</v>
      </c>
      <c r="L1880">
        <v>40</v>
      </c>
      <c r="M1880">
        <v>980</v>
      </c>
      <c r="N1880">
        <v>38.5</v>
      </c>
      <c r="O1880">
        <v>1173</v>
      </c>
      <c r="P1880" t="s">
        <v>255</v>
      </c>
      <c r="Q1880" s="1">
        <v>6452</v>
      </c>
      <c r="R1880">
        <v>12.1</v>
      </c>
      <c r="S1880" s="2">
        <v>0.14000000000000001</v>
      </c>
      <c r="T1880" t="s">
        <v>357</v>
      </c>
      <c r="U1880" s="2">
        <v>0.57999999999999996</v>
      </c>
      <c r="V1880" t="s">
        <v>4003</v>
      </c>
      <c r="W1880" t="s">
        <v>4004</v>
      </c>
      <c r="X1880" t="b">
        <v>0</v>
      </c>
      <c r="Y1880" t="b">
        <v>0</v>
      </c>
    </row>
    <row r="1881" spans="1:25">
      <c r="A1881">
        <v>18800</v>
      </c>
      <c r="B1881" t="s">
        <v>3251</v>
      </c>
      <c r="C1881" t="s">
        <v>4005</v>
      </c>
      <c r="D1881" t="s">
        <v>3253</v>
      </c>
      <c r="E1881">
        <v>18800</v>
      </c>
      <c r="F1881">
        <v>28.8</v>
      </c>
      <c r="G1881">
        <v>756</v>
      </c>
      <c r="H1881">
        <v>13.4</v>
      </c>
      <c r="I1881">
        <v>1275</v>
      </c>
      <c r="J1881">
        <v>21.3</v>
      </c>
      <c r="K1881">
        <v>1656</v>
      </c>
      <c r="L1881">
        <v>46.7</v>
      </c>
      <c r="M1881">
        <v>871</v>
      </c>
      <c r="N1881">
        <v>26.6</v>
      </c>
      <c r="O1881">
        <v>1638</v>
      </c>
      <c r="P1881" t="s">
        <v>94</v>
      </c>
      <c r="Q1881" s="1">
        <v>5998</v>
      </c>
      <c r="R1881">
        <v>8</v>
      </c>
      <c r="S1881" s="2">
        <v>0.02</v>
      </c>
      <c r="T1881" t="s">
        <v>696</v>
      </c>
      <c r="U1881" s="2">
        <v>0.19</v>
      </c>
      <c r="V1881" t="s">
        <v>4005</v>
      </c>
      <c r="W1881" t="s">
        <v>4006</v>
      </c>
      <c r="X1881" t="b">
        <v>0</v>
      </c>
      <c r="Y1881" t="b">
        <v>0</v>
      </c>
    </row>
    <row r="1882" spans="1:25">
      <c r="A1882">
        <v>18810</v>
      </c>
      <c r="B1882" t="s">
        <v>3251</v>
      </c>
      <c r="C1882" t="s">
        <v>4007</v>
      </c>
      <c r="D1882" t="s">
        <v>3253</v>
      </c>
      <c r="E1882">
        <v>18810</v>
      </c>
      <c r="F1882">
        <v>25</v>
      </c>
      <c r="G1882">
        <v>1009</v>
      </c>
      <c r="H1882">
        <v>9.5</v>
      </c>
      <c r="I1882">
        <v>1721</v>
      </c>
      <c r="J1882">
        <v>9.5</v>
      </c>
      <c r="K1882">
        <v>1863</v>
      </c>
      <c r="L1882">
        <v>27</v>
      </c>
      <c r="M1882">
        <v>1261</v>
      </c>
      <c r="N1882">
        <v>21.8</v>
      </c>
      <c r="O1882">
        <v>1818</v>
      </c>
      <c r="P1882" t="s">
        <v>94</v>
      </c>
      <c r="Q1882" s="1">
        <v>1864</v>
      </c>
      <c r="R1882">
        <v>9.5</v>
      </c>
      <c r="S1882" s="2">
        <v>0.02</v>
      </c>
      <c r="T1882" t="s">
        <v>145</v>
      </c>
      <c r="U1882" s="2">
        <v>0.31</v>
      </c>
      <c r="V1882" t="s">
        <v>4007</v>
      </c>
      <c r="W1882" t="s">
        <v>4008</v>
      </c>
      <c r="X1882" t="b">
        <v>0</v>
      </c>
      <c r="Y1882" t="b">
        <v>0</v>
      </c>
    </row>
    <row r="1883" spans="1:25">
      <c r="A1883">
        <v>18820</v>
      </c>
      <c r="B1883" t="s">
        <v>3251</v>
      </c>
      <c r="C1883" t="s">
        <v>4009</v>
      </c>
      <c r="D1883" t="s">
        <v>3253</v>
      </c>
      <c r="E1883">
        <v>18820</v>
      </c>
      <c r="F1883">
        <v>14.4</v>
      </c>
      <c r="G1883">
        <v>1785</v>
      </c>
      <c r="H1883">
        <v>9.1999999999999993</v>
      </c>
      <c r="I1883">
        <v>1771</v>
      </c>
      <c r="J1883">
        <v>8.6999999999999993</v>
      </c>
      <c r="K1883">
        <v>1874</v>
      </c>
      <c r="L1883">
        <v>19.600000000000001</v>
      </c>
      <c r="M1883">
        <v>1557</v>
      </c>
      <c r="N1883">
        <v>36</v>
      </c>
      <c r="O1883">
        <v>1282</v>
      </c>
      <c r="P1883" t="s">
        <v>94</v>
      </c>
      <c r="Q1883" s="1">
        <v>30662</v>
      </c>
      <c r="R1883">
        <v>23.5</v>
      </c>
      <c r="S1883" s="2">
        <v>0.05</v>
      </c>
      <c r="T1883" s="3">
        <v>1.7902777777777779</v>
      </c>
      <c r="U1883" s="2">
        <v>0.28000000000000003</v>
      </c>
      <c r="V1883" t="s">
        <v>4009</v>
      </c>
      <c r="W1883" t="s">
        <v>4010</v>
      </c>
      <c r="X1883" t="b">
        <v>0</v>
      </c>
      <c r="Y1883" t="b">
        <v>0</v>
      </c>
    </row>
    <row r="1884" spans="1:25">
      <c r="A1884">
        <v>18830</v>
      </c>
      <c r="B1884" t="s">
        <v>3251</v>
      </c>
      <c r="C1884" t="s">
        <v>4011</v>
      </c>
      <c r="D1884" t="s">
        <v>3253</v>
      </c>
      <c r="E1884">
        <v>18830</v>
      </c>
      <c r="F1884">
        <v>11.6</v>
      </c>
      <c r="G1884">
        <v>1888</v>
      </c>
      <c r="H1884">
        <v>9</v>
      </c>
      <c r="I1884">
        <v>1807</v>
      </c>
      <c r="J1884">
        <v>5.0999999999999996</v>
      </c>
      <c r="K1884">
        <v>1902</v>
      </c>
      <c r="L1884">
        <v>17.600000000000001</v>
      </c>
      <c r="M1884">
        <v>1697</v>
      </c>
      <c r="N1884">
        <v>19</v>
      </c>
      <c r="O1884">
        <v>1887</v>
      </c>
      <c r="P1884" t="s">
        <v>255</v>
      </c>
      <c r="Q1884" s="1">
        <v>18428</v>
      </c>
      <c r="R1884">
        <v>35</v>
      </c>
      <c r="S1884" s="2">
        <v>0.03</v>
      </c>
      <c r="T1884" s="3">
        <v>2.5277777777777777</v>
      </c>
      <c r="U1884" s="2">
        <v>0.41</v>
      </c>
      <c r="V1884" t="s">
        <v>4011</v>
      </c>
      <c r="W1884" t="s">
        <v>4012</v>
      </c>
      <c r="X1884" t="b">
        <v>0</v>
      </c>
      <c r="Y1884" t="b">
        <v>0</v>
      </c>
    </row>
    <row r="1885" spans="1:25">
      <c r="A1885">
        <v>18840</v>
      </c>
      <c r="B1885" t="s">
        <v>3251</v>
      </c>
      <c r="C1885" t="s">
        <v>4013</v>
      </c>
      <c r="D1885" t="s">
        <v>3253</v>
      </c>
      <c r="E1885">
        <v>18840</v>
      </c>
      <c r="F1885">
        <v>19.3</v>
      </c>
      <c r="G1885">
        <v>1448</v>
      </c>
      <c r="H1885">
        <v>10.199999999999999</v>
      </c>
      <c r="I1885">
        <v>1631</v>
      </c>
      <c r="J1885">
        <v>8.1</v>
      </c>
      <c r="K1885">
        <v>1882</v>
      </c>
      <c r="L1885">
        <v>25.6</v>
      </c>
      <c r="M1885">
        <v>1314</v>
      </c>
      <c r="N1885">
        <v>22.7</v>
      </c>
      <c r="O1885">
        <v>1785</v>
      </c>
      <c r="P1885" t="s">
        <v>255</v>
      </c>
      <c r="Q1885" s="1">
        <v>24187</v>
      </c>
      <c r="R1885">
        <v>12.6</v>
      </c>
      <c r="S1885" s="2">
        <v>0.05</v>
      </c>
      <c r="T1885" t="s">
        <v>40</v>
      </c>
      <c r="U1885" t="s">
        <v>1292</v>
      </c>
      <c r="V1885" t="s">
        <v>4013</v>
      </c>
      <c r="W1885" t="s">
        <v>4014</v>
      </c>
      <c r="X1885" t="b">
        <v>0</v>
      </c>
      <c r="Y1885" t="b">
        <v>0</v>
      </c>
    </row>
    <row r="1886" spans="1:25">
      <c r="A1886">
        <v>18850</v>
      </c>
      <c r="B1886" t="s">
        <v>3251</v>
      </c>
      <c r="C1886" t="s">
        <v>4015</v>
      </c>
      <c r="D1886" t="s">
        <v>3253</v>
      </c>
      <c r="E1886">
        <v>18850</v>
      </c>
      <c r="F1886">
        <v>23</v>
      </c>
      <c r="G1886">
        <v>1156</v>
      </c>
      <c r="H1886">
        <v>8</v>
      </c>
      <c r="I1886">
        <v>1883</v>
      </c>
      <c r="J1886">
        <v>17.100000000000001</v>
      </c>
      <c r="K1886">
        <v>1732</v>
      </c>
      <c r="L1886">
        <v>16.7</v>
      </c>
      <c r="M1886">
        <v>1790</v>
      </c>
      <c r="N1886">
        <v>29.7</v>
      </c>
      <c r="O1886">
        <v>1511</v>
      </c>
      <c r="P1886" t="s">
        <v>255</v>
      </c>
      <c r="Q1886" s="1">
        <v>12971</v>
      </c>
      <c r="R1886">
        <v>8.1999999999999993</v>
      </c>
      <c r="S1886" s="2">
        <v>0.11</v>
      </c>
      <c r="T1886" t="s">
        <v>696</v>
      </c>
      <c r="U1886" s="2">
        <v>0.49</v>
      </c>
      <c r="V1886" t="s">
        <v>4015</v>
      </c>
      <c r="W1886" t="s">
        <v>4016</v>
      </c>
      <c r="X1886" t="b">
        <v>0</v>
      </c>
      <c r="Y1886" t="b">
        <v>0</v>
      </c>
    </row>
    <row r="1887" spans="1:25">
      <c r="A1887">
        <v>18860</v>
      </c>
      <c r="B1887" t="s">
        <v>3251</v>
      </c>
      <c r="C1887" t="s">
        <v>4017</v>
      </c>
      <c r="D1887" t="s">
        <v>3253</v>
      </c>
      <c r="E1887">
        <v>18860</v>
      </c>
      <c r="F1887">
        <v>17.8</v>
      </c>
      <c r="G1887">
        <v>1575</v>
      </c>
      <c r="H1887">
        <v>14.3</v>
      </c>
      <c r="I1887">
        <v>1184</v>
      </c>
      <c r="J1887">
        <v>25</v>
      </c>
      <c r="K1887">
        <v>1565</v>
      </c>
      <c r="L1887">
        <v>21.8</v>
      </c>
      <c r="M1887">
        <v>1450</v>
      </c>
      <c r="N1887">
        <v>41.8</v>
      </c>
      <c r="O1887">
        <v>1063</v>
      </c>
      <c r="P1887" t="s">
        <v>664</v>
      </c>
      <c r="Q1887" s="1">
        <v>17316</v>
      </c>
      <c r="R1887">
        <v>16.600000000000001</v>
      </c>
      <c r="S1887" s="2">
        <v>0.04</v>
      </c>
      <c r="T1887" s="3">
        <v>2.7736111111111112</v>
      </c>
      <c r="U1887" s="2">
        <v>0.28000000000000003</v>
      </c>
      <c r="V1887" t="s">
        <v>4017</v>
      </c>
      <c r="W1887" t="s">
        <v>4018</v>
      </c>
      <c r="X1887" t="b">
        <v>0</v>
      </c>
      <c r="Y1887" t="b">
        <v>0</v>
      </c>
    </row>
    <row r="1888" spans="1:25">
      <c r="A1888">
        <v>18870</v>
      </c>
      <c r="B1888" t="s">
        <v>3251</v>
      </c>
      <c r="C1888" t="s">
        <v>4019</v>
      </c>
      <c r="D1888" t="s">
        <v>3253</v>
      </c>
      <c r="E1888">
        <v>18870</v>
      </c>
      <c r="F1888">
        <v>11.4</v>
      </c>
      <c r="G1888">
        <v>1893</v>
      </c>
      <c r="H1888">
        <v>10.4</v>
      </c>
      <c r="I1888">
        <v>1605</v>
      </c>
      <c r="J1888">
        <v>14.3</v>
      </c>
      <c r="K1888">
        <v>1782</v>
      </c>
      <c r="L1888">
        <v>19</v>
      </c>
      <c r="M1888">
        <v>1595</v>
      </c>
      <c r="N1888">
        <v>32.1</v>
      </c>
      <c r="O1888">
        <v>1428</v>
      </c>
      <c r="P1888" t="s">
        <v>895</v>
      </c>
      <c r="Q1888" s="1">
        <v>19043</v>
      </c>
      <c r="R1888">
        <v>27.4</v>
      </c>
      <c r="S1888" s="2">
        <v>0.11</v>
      </c>
      <c r="T1888" s="3">
        <v>2.0770833333333334</v>
      </c>
      <c r="U1888" s="2">
        <v>0.23</v>
      </c>
      <c r="V1888" t="s">
        <v>4019</v>
      </c>
      <c r="W1888" t="s">
        <v>4020</v>
      </c>
      <c r="X1888" t="b">
        <v>0</v>
      </c>
      <c r="Y1888" t="b">
        <v>0</v>
      </c>
    </row>
    <row r="1889" spans="1:25">
      <c r="A1889">
        <v>18880</v>
      </c>
      <c r="B1889" t="s">
        <v>3251</v>
      </c>
      <c r="C1889" t="s">
        <v>4021</v>
      </c>
      <c r="D1889" t="s">
        <v>3253</v>
      </c>
      <c r="E1889">
        <v>18880</v>
      </c>
      <c r="F1889">
        <v>20.399999999999999</v>
      </c>
      <c r="G1889">
        <v>1346</v>
      </c>
      <c r="H1889">
        <v>12.6</v>
      </c>
      <c r="I1889">
        <v>1354</v>
      </c>
      <c r="J1889">
        <v>9.1</v>
      </c>
      <c r="K1889">
        <v>1868</v>
      </c>
      <c r="L1889">
        <v>27.7</v>
      </c>
      <c r="M1889">
        <v>1247</v>
      </c>
      <c r="N1889">
        <v>29.1</v>
      </c>
      <c r="O1889">
        <v>1540</v>
      </c>
      <c r="P1889" t="s">
        <v>94</v>
      </c>
      <c r="Q1889" s="1">
        <v>4805</v>
      </c>
      <c r="R1889">
        <v>13.7</v>
      </c>
      <c r="S1889" s="2">
        <v>0.04</v>
      </c>
      <c r="T1889" t="s">
        <v>40</v>
      </c>
      <c r="U1889" s="2">
        <v>0.31</v>
      </c>
      <c r="V1889" t="s">
        <v>4021</v>
      </c>
      <c r="W1889" t="s">
        <v>4022</v>
      </c>
      <c r="X1889" t="b">
        <v>0</v>
      </c>
      <c r="Y1889" t="b">
        <v>0</v>
      </c>
    </row>
    <row r="1890" spans="1:25">
      <c r="A1890">
        <v>18890</v>
      </c>
      <c r="B1890" t="s">
        <v>3251</v>
      </c>
      <c r="C1890" t="s">
        <v>4023</v>
      </c>
      <c r="D1890" t="s">
        <v>3253</v>
      </c>
      <c r="E1890">
        <v>18890</v>
      </c>
      <c r="F1890">
        <v>22.2</v>
      </c>
      <c r="G1890">
        <v>1218</v>
      </c>
      <c r="H1890">
        <v>8.9</v>
      </c>
      <c r="I1890">
        <v>1819</v>
      </c>
      <c r="J1890">
        <v>4.7</v>
      </c>
      <c r="K1890">
        <v>1903</v>
      </c>
      <c r="L1890">
        <v>16.2</v>
      </c>
      <c r="M1890">
        <v>1846</v>
      </c>
      <c r="N1890">
        <v>45.2</v>
      </c>
      <c r="O1890">
        <v>958</v>
      </c>
      <c r="P1890" t="s">
        <v>1123</v>
      </c>
      <c r="Q1890" s="1">
        <v>14460</v>
      </c>
      <c r="R1890">
        <v>11.3</v>
      </c>
      <c r="S1890" s="2">
        <v>0.13</v>
      </c>
      <c r="T1890" s="3">
        <v>2.2409722222222221</v>
      </c>
      <c r="U1890" s="2">
        <v>0.26</v>
      </c>
      <c r="V1890" t="s">
        <v>4023</v>
      </c>
      <c r="W1890" t="s">
        <v>4024</v>
      </c>
      <c r="X1890" t="b">
        <v>0</v>
      </c>
      <c r="Y1890" t="b">
        <v>0</v>
      </c>
    </row>
    <row r="1891" spans="1:25">
      <c r="A1891">
        <v>18900</v>
      </c>
      <c r="B1891" t="s">
        <v>3251</v>
      </c>
      <c r="C1891" t="s">
        <v>4025</v>
      </c>
      <c r="D1891" t="s">
        <v>3253</v>
      </c>
      <c r="E1891">
        <v>18900</v>
      </c>
      <c r="F1891">
        <v>23.2</v>
      </c>
      <c r="G1891">
        <v>1144</v>
      </c>
      <c r="H1891">
        <v>8.6999999999999993</v>
      </c>
      <c r="I1891">
        <v>1838</v>
      </c>
      <c r="J1891">
        <v>12.2</v>
      </c>
      <c r="K1891">
        <v>1819</v>
      </c>
      <c r="L1891">
        <v>17.899999999999999</v>
      </c>
      <c r="M1891">
        <v>1680</v>
      </c>
      <c r="N1891">
        <v>40.6</v>
      </c>
      <c r="O1891">
        <v>1102</v>
      </c>
      <c r="P1891" t="s">
        <v>1820</v>
      </c>
      <c r="Q1891" s="1">
        <v>33442</v>
      </c>
      <c r="R1891">
        <v>8.9</v>
      </c>
      <c r="S1891" s="2">
        <v>0.01</v>
      </c>
      <c r="T1891" s="3">
        <v>2.1180555555555554</v>
      </c>
      <c r="U1891" s="2">
        <v>0.28999999999999998</v>
      </c>
      <c r="V1891" t="s">
        <v>4025</v>
      </c>
      <c r="W1891" t="s">
        <v>4026</v>
      </c>
      <c r="X1891" t="b">
        <v>0</v>
      </c>
      <c r="Y1891" t="b">
        <v>0</v>
      </c>
    </row>
    <row r="1892" spans="1:25">
      <c r="A1892">
        <v>18910</v>
      </c>
      <c r="B1892" t="s">
        <v>3251</v>
      </c>
      <c r="C1892" t="s">
        <v>4027</v>
      </c>
      <c r="D1892" t="s">
        <v>3253</v>
      </c>
      <c r="E1892">
        <v>18910</v>
      </c>
      <c r="F1892">
        <v>15.4</v>
      </c>
      <c r="G1892">
        <v>1737</v>
      </c>
      <c r="H1892">
        <v>12.2</v>
      </c>
      <c r="I1892">
        <v>1395</v>
      </c>
      <c r="J1892">
        <v>22</v>
      </c>
      <c r="K1892">
        <v>1640</v>
      </c>
      <c r="L1892">
        <v>18.7</v>
      </c>
      <c r="M1892">
        <v>1616</v>
      </c>
      <c r="N1892">
        <v>47.8</v>
      </c>
      <c r="O1892">
        <v>874</v>
      </c>
      <c r="P1892" t="s">
        <v>1093</v>
      </c>
      <c r="Q1892" s="1">
        <v>16627</v>
      </c>
      <c r="R1892">
        <v>19</v>
      </c>
      <c r="S1892" s="2">
        <v>0.02</v>
      </c>
      <c r="T1892" s="3">
        <v>2.4458333333333333</v>
      </c>
      <c r="U1892" s="2">
        <v>0.26</v>
      </c>
      <c r="V1892" t="s">
        <v>4027</v>
      </c>
      <c r="W1892" t="s">
        <v>4028</v>
      </c>
      <c r="X1892" t="b">
        <v>0</v>
      </c>
      <c r="Y1892" t="b">
        <v>0</v>
      </c>
    </row>
    <row r="1893" spans="1:25">
      <c r="A1893">
        <v>18920</v>
      </c>
      <c r="B1893" t="s">
        <v>3251</v>
      </c>
      <c r="C1893" t="s">
        <v>4029</v>
      </c>
      <c r="D1893" t="s">
        <v>3253</v>
      </c>
      <c r="E1893">
        <v>18920</v>
      </c>
      <c r="F1893">
        <v>21.7</v>
      </c>
      <c r="G1893">
        <v>1255</v>
      </c>
      <c r="H1893">
        <v>22.8</v>
      </c>
      <c r="I1893">
        <v>697</v>
      </c>
      <c r="J1893">
        <v>19.3</v>
      </c>
      <c r="K1893">
        <v>1697</v>
      </c>
      <c r="L1893">
        <v>45.4</v>
      </c>
      <c r="M1893">
        <v>890</v>
      </c>
      <c r="N1893">
        <v>21.4</v>
      </c>
      <c r="O1893">
        <v>1832</v>
      </c>
      <c r="P1893" t="s">
        <v>895</v>
      </c>
      <c r="Q1893" s="1">
        <v>20317</v>
      </c>
      <c r="R1893">
        <v>17.5</v>
      </c>
      <c r="S1893" s="2">
        <v>0.03</v>
      </c>
      <c r="T1893" s="3">
        <v>1.9951388888888888</v>
      </c>
      <c r="U1893" s="2">
        <v>0.23</v>
      </c>
      <c r="V1893" t="s">
        <v>4029</v>
      </c>
      <c r="W1893" t="s">
        <v>4030</v>
      </c>
      <c r="X1893" t="b">
        <v>0</v>
      </c>
      <c r="Y1893" t="b">
        <v>0</v>
      </c>
    </row>
    <row r="1894" spans="1:25">
      <c r="A1894">
        <v>18930</v>
      </c>
      <c r="B1894" t="s">
        <v>3251</v>
      </c>
      <c r="C1894" t="s">
        <v>4031</v>
      </c>
      <c r="D1894" t="s">
        <v>3253</v>
      </c>
      <c r="E1894">
        <v>18930</v>
      </c>
      <c r="F1894">
        <v>13</v>
      </c>
      <c r="G1894">
        <v>1848</v>
      </c>
      <c r="H1894">
        <v>9.6</v>
      </c>
      <c r="I1894">
        <v>1705</v>
      </c>
      <c r="J1894">
        <v>35.4</v>
      </c>
      <c r="K1894">
        <v>1318</v>
      </c>
      <c r="L1894">
        <v>18.7</v>
      </c>
      <c r="M1894">
        <v>1617</v>
      </c>
      <c r="N1894">
        <v>44.1</v>
      </c>
      <c r="O1894">
        <v>988</v>
      </c>
      <c r="P1894" t="s">
        <v>992</v>
      </c>
      <c r="Q1894" s="1">
        <v>5364</v>
      </c>
      <c r="R1894">
        <v>19.8</v>
      </c>
      <c r="S1894" s="2">
        <v>0.1</v>
      </c>
      <c r="T1894" s="3">
        <v>2.0770833333333334</v>
      </c>
      <c r="U1894" s="2">
        <v>0.28999999999999998</v>
      </c>
      <c r="V1894" t="s">
        <v>4031</v>
      </c>
      <c r="W1894" t="s">
        <v>4032</v>
      </c>
      <c r="X1894" t="b">
        <v>0</v>
      </c>
      <c r="Y1894" t="b">
        <v>0</v>
      </c>
    </row>
    <row r="1895" spans="1:25">
      <c r="A1895">
        <v>18940</v>
      </c>
      <c r="B1895" t="s">
        <v>3251</v>
      </c>
      <c r="C1895" t="s">
        <v>4033</v>
      </c>
      <c r="D1895" t="s">
        <v>3253</v>
      </c>
      <c r="E1895">
        <v>18940</v>
      </c>
      <c r="F1895">
        <v>14.6</v>
      </c>
      <c r="G1895">
        <v>1776</v>
      </c>
      <c r="H1895">
        <v>11.2</v>
      </c>
      <c r="I1895">
        <v>1507</v>
      </c>
      <c r="J1895">
        <v>26.1</v>
      </c>
      <c r="K1895">
        <v>1543</v>
      </c>
      <c r="L1895">
        <v>26.2</v>
      </c>
      <c r="M1895">
        <v>1292</v>
      </c>
      <c r="N1895">
        <v>36.799999999999997</v>
      </c>
      <c r="O1895">
        <v>1255</v>
      </c>
      <c r="P1895" t="s">
        <v>1468</v>
      </c>
      <c r="Q1895" s="1">
        <v>83599</v>
      </c>
      <c r="R1895">
        <v>24.5</v>
      </c>
      <c r="S1895" s="2">
        <v>0.01</v>
      </c>
      <c r="T1895" s="3">
        <v>1.9541666666666666</v>
      </c>
      <c r="U1895" s="2">
        <v>0.42</v>
      </c>
      <c r="V1895" t="s">
        <v>4034</v>
      </c>
      <c r="W1895" t="s">
        <v>4035</v>
      </c>
      <c r="X1895" t="b">
        <v>0</v>
      </c>
      <c r="Y1895" t="b">
        <v>0</v>
      </c>
    </row>
    <row r="1896" spans="1:25">
      <c r="A1896">
        <v>18950</v>
      </c>
      <c r="B1896" t="s">
        <v>3251</v>
      </c>
      <c r="C1896" t="s">
        <v>4036</v>
      </c>
      <c r="D1896" t="s">
        <v>3253</v>
      </c>
      <c r="E1896">
        <v>18950</v>
      </c>
      <c r="F1896">
        <v>22.2</v>
      </c>
      <c r="G1896">
        <v>1220</v>
      </c>
      <c r="H1896">
        <v>7.6</v>
      </c>
      <c r="I1896">
        <v>1897</v>
      </c>
      <c r="J1896">
        <v>36</v>
      </c>
      <c r="K1896">
        <v>1303</v>
      </c>
      <c r="L1896">
        <v>16.7</v>
      </c>
      <c r="M1896">
        <v>1791</v>
      </c>
      <c r="N1896">
        <v>21.1</v>
      </c>
      <c r="O1896">
        <v>1841</v>
      </c>
      <c r="P1896" t="s">
        <v>528</v>
      </c>
      <c r="Q1896" s="1">
        <v>7111</v>
      </c>
      <c r="R1896">
        <v>11.3</v>
      </c>
      <c r="S1896" s="2">
        <v>0.01</v>
      </c>
      <c r="T1896" s="3">
        <v>1.9951388888888888</v>
      </c>
      <c r="U1896" s="2">
        <v>0.4</v>
      </c>
      <c r="V1896" t="s">
        <v>4036</v>
      </c>
      <c r="W1896" t="s">
        <v>4037</v>
      </c>
      <c r="X1896" t="b">
        <v>0</v>
      </c>
      <c r="Y1896" t="b">
        <v>0</v>
      </c>
    </row>
    <row r="1897" spans="1:25">
      <c r="A1897">
        <v>18960</v>
      </c>
      <c r="B1897" t="s">
        <v>3251</v>
      </c>
      <c r="C1897" t="s">
        <v>4038</v>
      </c>
      <c r="D1897" t="s">
        <v>3253</v>
      </c>
      <c r="E1897">
        <v>18960</v>
      </c>
      <c r="F1897">
        <v>19</v>
      </c>
      <c r="G1897">
        <v>1470</v>
      </c>
      <c r="H1897">
        <v>9.9</v>
      </c>
      <c r="I1897">
        <v>1664</v>
      </c>
      <c r="J1897">
        <v>7.6</v>
      </c>
      <c r="K1897">
        <v>1888</v>
      </c>
      <c r="L1897">
        <v>16.600000000000001</v>
      </c>
      <c r="M1897">
        <v>1805</v>
      </c>
      <c r="N1897">
        <v>27.2</v>
      </c>
      <c r="O1897">
        <v>1611</v>
      </c>
      <c r="P1897" t="s">
        <v>1123</v>
      </c>
      <c r="Q1897" s="1">
        <v>21485</v>
      </c>
      <c r="R1897">
        <v>12.5</v>
      </c>
      <c r="S1897" s="2">
        <v>0.09</v>
      </c>
      <c r="T1897" s="3">
        <v>2.3229166666666665</v>
      </c>
      <c r="U1897" s="2">
        <v>0.21</v>
      </c>
      <c r="V1897" t="s">
        <v>4038</v>
      </c>
      <c r="W1897" t="s">
        <v>4039</v>
      </c>
      <c r="X1897" t="b">
        <v>0</v>
      </c>
      <c r="Y1897" t="b">
        <v>0</v>
      </c>
    </row>
    <row r="1898" spans="1:25">
      <c r="A1898">
        <v>18970</v>
      </c>
      <c r="B1898" t="s">
        <v>3251</v>
      </c>
      <c r="C1898" t="s">
        <v>4040</v>
      </c>
      <c r="D1898" t="s">
        <v>3253</v>
      </c>
      <c r="E1898">
        <v>18970</v>
      </c>
      <c r="F1898">
        <v>17.8</v>
      </c>
      <c r="G1898">
        <v>1576</v>
      </c>
      <c r="H1898">
        <v>9.3000000000000007</v>
      </c>
      <c r="I1898">
        <v>1755</v>
      </c>
      <c r="J1898">
        <v>22.9</v>
      </c>
      <c r="K1898">
        <v>1618</v>
      </c>
      <c r="L1898">
        <v>18.5</v>
      </c>
      <c r="M1898">
        <v>1632</v>
      </c>
      <c r="N1898">
        <v>27.9</v>
      </c>
      <c r="O1898">
        <v>1585</v>
      </c>
      <c r="P1898" t="s">
        <v>255</v>
      </c>
      <c r="Q1898" s="1">
        <v>12884</v>
      </c>
      <c r="R1898">
        <v>13.9</v>
      </c>
      <c r="S1898" s="2">
        <v>0.1</v>
      </c>
      <c r="T1898" t="s">
        <v>105</v>
      </c>
      <c r="U1898" s="2">
        <v>0.4</v>
      </c>
      <c r="V1898" t="s">
        <v>4040</v>
      </c>
      <c r="W1898" t="s">
        <v>4041</v>
      </c>
      <c r="X1898" t="b">
        <v>0</v>
      </c>
      <c r="Y1898" t="b">
        <v>0</v>
      </c>
    </row>
    <row r="1899" spans="1:25">
      <c r="A1899">
        <v>18980</v>
      </c>
      <c r="B1899" t="s">
        <v>3251</v>
      </c>
      <c r="C1899" t="s">
        <v>4042</v>
      </c>
      <c r="D1899" t="s">
        <v>3253</v>
      </c>
      <c r="E1899">
        <v>18980</v>
      </c>
      <c r="F1899">
        <v>22.7</v>
      </c>
      <c r="G1899">
        <v>1174</v>
      </c>
      <c r="H1899">
        <v>10.7</v>
      </c>
      <c r="I1899">
        <v>1569</v>
      </c>
      <c r="J1899">
        <v>7.7</v>
      </c>
      <c r="K1899">
        <v>1887</v>
      </c>
      <c r="L1899">
        <v>17.399999999999999</v>
      </c>
      <c r="M1899">
        <v>1721</v>
      </c>
      <c r="N1899">
        <v>37</v>
      </c>
      <c r="O1899">
        <v>1245</v>
      </c>
      <c r="P1899" t="s">
        <v>255</v>
      </c>
      <c r="Q1899" s="1">
        <v>16386</v>
      </c>
      <c r="R1899">
        <v>11.1</v>
      </c>
      <c r="S1899" s="2">
        <v>0.15</v>
      </c>
      <c r="T1899" s="3">
        <v>2.2000000000000002</v>
      </c>
      <c r="U1899" s="2">
        <v>0.36</v>
      </c>
      <c r="V1899" t="s">
        <v>4042</v>
      </c>
      <c r="W1899" t="s">
        <v>4043</v>
      </c>
      <c r="X1899" t="b">
        <v>0</v>
      </c>
      <c r="Y1899" t="b">
        <v>0</v>
      </c>
    </row>
    <row r="1900" spans="1:25">
      <c r="A1900">
        <v>18990</v>
      </c>
      <c r="B1900" t="s">
        <v>3251</v>
      </c>
      <c r="C1900" t="s">
        <v>4044</v>
      </c>
      <c r="D1900" t="s">
        <v>3253</v>
      </c>
      <c r="E1900">
        <v>18990</v>
      </c>
      <c r="F1900">
        <v>20.5</v>
      </c>
      <c r="G1900">
        <v>1340</v>
      </c>
      <c r="H1900">
        <v>8.5</v>
      </c>
      <c r="I1900">
        <v>1857</v>
      </c>
      <c r="J1900">
        <v>29.8</v>
      </c>
      <c r="K1900">
        <v>1453</v>
      </c>
      <c r="L1900">
        <v>18.8</v>
      </c>
      <c r="M1900">
        <v>1608</v>
      </c>
      <c r="N1900">
        <v>23.9</v>
      </c>
      <c r="O1900">
        <v>1748</v>
      </c>
      <c r="P1900" t="s">
        <v>255</v>
      </c>
      <c r="Q1900" s="1">
        <v>10060</v>
      </c>
      <c r="R1900">
        <v>13.5</v>
      </c>
      <c r="S1900" s="2">
        <v>0.06</v>
      </c>
      <c r="T1900" t="s">
        <v>801</v>
      </c>
      <c r="U1900" s="2">
        <v>0.47</v>
      </c>
      <c r="V1900" t="s">
        <v>4044</v>
      </c>
      <c r="W1900" t="s">
        <v>4045</v>
      </c>
      <c r="X1900" t="b">
        <v>0</v>
      </c>
      <c r="Y1900" t="b">
        <v>0</v>
      </c>
    </row>
    <row r="1901" spans="1:25">
      <c r="A1901">
        <v>19000</v>
      </c>
      <c r="B1901" t="s">
        <v>3251</v>
      </c>
      <c r="C1901" t="s">
        <v>4046</v>
      </c>
      <c r="D1901" t="s">
        <v>3253</v>
      </c>
      <c r="E1901">
        <v>19000</v>
      </c>
      <c r="F1901">
        <v>16.899999999999999</v>
      </c>
      <c r="G1901">
        <v>1635</v>
      </c>
      <c r="H1901">
        <v>13.5</v>
      </c>
      <c r="I1901">
        <v>1261</v>
      </c>
      <c r="J1901">
        <v>35.299999999999997</v>
      </c>
      <c r="K1901">
        <v>1319</v>
      </c>
      <c r="L1901">
        <v>21.8</v>
      </c>
      <c r="M1901">
        <v>1451</v>
      </c>
      <c r="N1901">
        <v>23.3</v>
      </c>
      <c r="O1901">
        <v>1769</v>
      </c>
      <c r="P1901" t="s">
        <v>1543</v>
      </c>
      <c r="Q1901" s="1">
        <v>16899</v>
      </c>
      <c r="R1901">
        <v>17.5</v>
      </c>
      <c r="S1901" s="2">
        <v>0.03</v>
      </c>
      <c r="T1901" s="3">
        <v>2.5277777777777777</v>
      </c>
      <c r="U1901" s="2">
        <v>0.23</v>
      </c>
      <c r="V1901" t="s">
        <v>4046</v>
      </c>
      <c r="W1901" t="s">
        <v>4047</v>
      </c>
      <c r="X1901" t="b">
        <v>0</v>
      </c>
      <c r="Y1901" t="b">
        <v>0</v>
      </c>
    </row>
    <row r="1902" spans="1:25">
      <c r="A1902">
        <v>19010</v>
      </c>
      <c r="B1902" t="s">
        <v>3251</v>
      </c>
      <c r="C1902" t="s">
        <v>4048</v>
      </c>
      <c r="D1902" t="s">
        <v>3253</v>
      </c>
      <c r="E1902">
        <v>19010</v>
      </c>
      <c r="F1902">
        <v>10</v>
      </c>
      <c r="G1902">
        <v>1903</v>
      </c>
      <c r="H1902">
        <v>9.6999999999999993</v>
      </c>
      <c r="I1902">
        <v>1693</v>
      </c>
      <c r="J1902">
        <v>34.700000000000003</v>
      </c>
      <c r="K1902">
        <v>1334</v>
      </c>
      <c r="L1902">
        <v>22.8</v>
      </c>
      <c r="M1902">
        <v>1412</v>
      </c>
      <c r="N1902">
        <v>24.9</v>
      </c>
      <c r="O1902">
        <v>1713</v>
      </c>
      <c r="P1902" t="s">
        <v>1220</v>
      </c>
      <c r="Q1902" s="1">
        <v>37470</v>
      </c>
      <c r="R1902">
        <v>37.9</v>
      </c>
      <c r="S1902" s="2">
        <v>0</v>
      </c>
      <c r="T1902" s="3">
        <v>2.1180555555555554</v>
      </c>
      <c r="U1902" s="2">
        <v>0.31</v>
      </c>
      <c r="V1902" t="s">
        <v>4048</v>
      </c>
      <c r="W1902" t="s">
        <v>4049</v>
      </c>
      <c r="X1902" t="b">
        <v>0</v>
      </c>
      <c r="Y1902" t="b">
        <v>0</v>
      </c>
    </row>
    <row r="1903" spans="1:25">
      <c r="A1903">
        <v>19020</v>
      </c>
      <c r="B1903" t="s">
        <v>3251</v>
      </c>
      <c r="C1903" t="s">
        <v>4050</v>
      </c>
      <c r="D1903" t="s">
        <v>3253</v>
      </c>
      <c r="E1903">
        <v>19020</v>
      </c>
      <c r="F1903">
        <v>19.5</v>
      </c>
      <c r="G1903">
        <v>1428</v>
      </c>
      <c r="H1903">
        <v>11.7</v>
      </c>
      <c r="I1903">
        <v>1449</v>
      </c>
      <c r="J1903">
        <v>34.5</v>
      </c>
      <c r="K1903">
        <v>1339</v>
      </c>
      <c r="L1903">
        <v>36</v>
      </c>
      <c r="M1903">
        <v>1078</v>
      </c>
      <c r="N1903">
        <v>20.399999999999999</v>
      </c>
      <c r="O1903">
        <v>1858</v>
      </c>
      <c r="P1903" t="s">
        <v>54</v>
      </c>
      <c r="Q1903" s="1">
        <v>39191</v>
      </c>
      <c r="R1903">
        <v>13.4</v>
      </c>
      <c r="S1903" s="2">
        <v>0.01</v>
      </c>
      <c r="T1903" t="s">
        <v>501</v>
      </c>
      <c r="U1903" s="2">
        <v>0.43</v>
      </c>
      <c r="V1903" t="s">
        <v>4050</v>
      </c>
      <c r="W1903" t="s">
        <v>4051</v>
      </c>
      <c r="X1903" t="b">
        <v>0</v>
      </c>
      <c r="Y1903" t="b">
        <v>0</v>
      </c>
    </row>
    <row r="1904" spans="1:25">
      <c r="A1904">
        <v>19030</v>
      </c>
      <c r="B1904" t="s">
        <v>3251</v>
      </c>
      <c r="C1904" t="s">
        <v>4052</v>
      </c>
      <c r="D1904" t="s">
        <v>3253</v>
      </c>
      <c r="E1904">
        <v>19030</v>
      </c>
      <c r="F1904">
        <v>22</v>
      </c>
      <c r="G1904">
        <v>1235</v>
      </c>
      <c r="H1904">
        <v>12.4</v>
      </c>
      <c r="I1904">
        <v>1373</v>
      </c>
      <c r="J1904">
        <v>17.600000000000001</v>
      </c>
      <c r="K1904">
        <v>1721</v>
      </c>
      <c r="L1904">
        <v>59.3</v>
      </c>
      <c r="M1904">
        <v>658</v>
      </c>
      <c r="N1904">
        <v>38.799999999999997</v>
      </c>
      <c r="O1904">
        <v>1162</v>
      </c>
      <c r="P1904" t="s">
        <v>895</v>
      </c>
      <c r="Q1904" s="1">
        <v>17378</v>
      </c>
      <c r="R1904">
        <v>27.5</v>
      </c>
      <c r="S1904" s="2">
        <v>0.06</v>
      </c>
      <c r="T1904" s="3">
        <v>2.3229166666666665</v>
      </c>
      <c r="U1904" s="2">
        <v>0.19</v>
      </c>
      <c r="V1904" t="s">
        <v>4052</v>
      </c>
      <c r="W1904" t="s">
        <v>4053</v>
      </c>
      <c r="X1904" t="b">
        <v>0</v>
      </c>
      <c r="Y1904" t="b">
        <v>0</v>
      </c>
    </row>
    <row r="1905" spans="1:25">
      <c r="A1905">
        <v>19040</v>
      </c>
      <c r="B1905" t="s">
        <v>3251</v>
      </c>
      <c r="C1905" t="s">
        <v>4054</v>
      </c>
      <c r="D1905" t="s">
        <v>3253</v>
      </c>
      <c r="E1905">
        <v>19040</v>
      </c>
      <c r="F1905">
        <v>23.9</v>
      </c>
      <c r="G1905">
        <v>1088</v>
      </c>
      <c r="H1905">
        <v>8.6</v>
      </c>
      <c r="I1905">
        <v>1851</v>
      </c>
      <c r="J1905">
        <v>26.8</v>
      </c>
      <c r="K1905">
        <v>1523</v>
      </c>
      <c r="L1905">
        <v>16.399999999999999</v>
      </c>
      <c r="M1905">
        <v>1823</v>
      </c>
      <c r="N1905">
        <v>38.1</v>
      </c>
      <c r="O1905">
        <v>1195</v>
      </c>
      <c r="P1905" t="s">
        <v>4055</v>
      </c>
      <c r="Q1905" s="1">
        <v>13838</v>
      </c>
      <c r="R1905">
        <v>8</v>
      </c>
      <c r="S1905" s="2">
        <v>0.02</v>
      </c>
      <c r="T1905" s="3">
        <v>2.2409722222222221</v>
      </c>
      <c r="U1905" s="2">
        <v>0.39</v>
      </c>
      <c r="V1905" t="s">
        <v>4054</v>
      </c>
      <c r="W1905" t="s">
        <v>4056</v>
      </c>
      <c r="X1905" t="b">
        <v>0</v>
      </c>
      <c r="Y1905" t="b">
        <v>0</v>
      </c>
    </row>
    <row r="1906" spans="1:25">
      <c r="A1906">
        <v>19050</v>
      </c>
      <c r="B1906" t="s">
        <v>3251</v>
      </c>
      <c r="C1906" t="s">
        <v>4057</v>
      </c>
      <c r="D1906" t="s">
        <v>3253</v>
      </c>
      <c r="E1906">
        <v>19050</v>
      </c>
      <c r="F1906">
        <v>16.899999999999999</v>
      </c>
      <c r="G1906">
        <v>1636</v>
      </c>
      <c r="H1906">
        <v>10.5</v>
      </c>
      <c r="I1906">
        <v>1596</v>
      </c>
      <c r="J1906">
        <v>28.8</v>
      </c>
      <c r="K1906">
        <v>1480</v>
      </c>
      <c r="L1906">
        <v>23.1</v>
      </c>
      <c r="M1906">
        <v>1400</v>
      </c>
      <c r="N1906">
        <v>30.6</v>
      </c>
      <c r="O1906">
        <v>1479</v>
      </c>
      <c r="P1906" t="s">
        <v>1955</v>
      </c>
      <c r="Q1906" s="1">
        <v>24073</v>
      </c>
      <c r="R1906">
        <v>16.3</v>
      </c>
      <c r="S1906" s="2">
        <v>0.01</v>
      </c>
      <c r="T1906" s="3">
        <v>2.5687500000000001</v>
      </c>
      <c r="U1906" s="2">
        <v>0.15</v>
      </c>
      <c r="V1906" t="s">
        <v>4057</v>
      </c>
      <c r="W1906" t="s">
        <v>4058</v>
      </c>
      <c r="X1906" t="b">
        <v>0</v>
      </c>
      <c r="Y1906" t="b">
        <v>0</v>
      </c>
    </row>
    <row r="1907" spans="1:25">
      <c r="A1907">
        <v>19060</v>
      </c>
      <c r="B1907" t="s">
        <v>3251</v>
      </c>
      <c r="C1907" t="s">
        <v>4059</v>
      </c>
      <c r="D1907" t="s">
        <v>3253</v>
      </c>
      <c r="E1907">
        <v>19060</v>
      </c>
      <c r="F1907">
        <v>12.5</v>
      </c>
      <c r="G1907">
        <v>1865</v>
      </c>
      <c r="H1907">
        <v>11.2</v>
      </c>
      <c r="I1907">
        <v>1508</v>
      </c>
      <c r="J1907">
        <v>21.6</v>
      </c>
      <c r="K1907">
        <v>1648</v>
      </c>
      <c r="L1907">
        <v>48.1</v>
      </c>
      <c r="M1907">
        <v>843</v>
      </c>
      <c r="N1907">
        <v>26.4</v>
      </c>
      <c r="O1907">
        <v>1652</v>
      </c>
      <c r="P1907" t="s">
        <v>895</v>
      </c>
      <c r="Q1907" s="1">
        <v>29329</v>
      </c>
      <c r="R1907">
        <v>22.4</v>
      </c>
      <c r="S1907" s="2">
        <v>0.08</v>
      </c>
      <c r="T1907" s="3">
        <v>2.4048611111111109</v>
      </c>
      <c r="U1907" s="2">
        <v>0.26</v>
      </c>
      <c r="V1907" t="s">
        <v>4059</v>
      </c>
      <c r="W1907" t="s">
        <v>4060</v>
      </c>
      <c r="X1907" t="b">
        <v>0</v>
      </c>
      <c r="Y1907" t="b">
        <v>0</v>
      </c>
    </row>
    <row r="1908" spans="1:25">
      <c r="A1908">
        <v>1000001</v>
      </c>
      <c r="B1908" t="s">
        <v>4061</v>
      </c>
      <c r="C1908" t="s">
        <v>4062</v>
      </c>
      <c r="D1908" t="s">
        <v>1292</v>
      </c>
      <c r="E1908">
        <v>1000001</v>
      </c>
      <c r="F1908" t="s">
        <v>1292</v>
      </c>
      <c r="G1908">
        <v>0</v>
      </c>
      <c r="H1908" t="s">
        <v>1292</v>
      </c>
      <c r="I1908">
        <v>0</v>
      </c>
      <c r="J1908" t="s">
        <v>1292</v>
      </c>
      <c r="K1908">
        <v>0</v>
      </c>
      <c r="L1908" t="s">
        <v>1292</v>
      </c>
      <c r="M1908">
        <v>0</v>
      </c>
      <c r="N1908" t="s">
        <v>1292</v>
      </c>
      <c r="O1908">
        <v>0</v>
      </c>
      <c r="P1908" t="s">
        <v>2290</v>
      </c>
      <c r="Q1908" s="1">
        <v>18085</v>
      </c>
      <c r="R1908">
        <v>26.1</v>
      </c>
      <c r="S1908" s="2">
        <v>0</v>
      </c>
      <c r="T1908" s="3">
        <v>2.9375</v>
      </c>
      <c r="U1908" s="2">
        <v>0.41</v>
      </c>
      <c r="V1908" t="s">
        <v>4062</v>
      </c>
      <c r="W1908" t="s">
        <v>4063</v>
      </c>
      <c r="X1908" t="b">
        <v>0</v>
      </c>
      <c r="Y1908" t="b">
        <v>0</v>
      </c>
    </row>
    <row r="1909" spans="1:25">
      <c r="A1909">
        <v>1000002</v>
      </c>
      <c r="B1909" t="s">
        <v>4061</v>
      </c>
      <c r="C1909" t="s">
        <v>4064</v>
      </c>
      <c r="D1909" t="s">
        <v>1292</v>
      </c>
      <c r="E1909">
        <v>1000002</v>
      </c>
      <c r="F1909" t="s">
        <v>1292</v>
      </c>
      <c r="G1909">
        <v>0</v>
      </c>
      <c r="H1909" t="s">
        <v>1292</v>
      </c>
      <c r="I1909">
        <v>0</v>
      </c>
      <c r="J1909" t="s">
        <v>1292</v>
      </c>
      <c r="K1909">
        <v>0</v>
      </c>
      <c r="L1909" t="s">
        <v>1292</v>
      </c>
      <c r="M1909">
        <v>0</v>
      </c>
      <c r="N1909" t="s">
        <v>1292</v>
      </c>
      <c r="O1909">
        <v>0</v>
      </c>
      <c r="P1909" t="s">
        <v>1102</v>
      </c>
      <c r="Q1909" s="1">
        <v>4200</v>
      </c>
      <c r="R1909">
        <v>13.3</v>
      </c>
      <c r="S1909" s="2">
        <v>0</v>
      </c>
      <c r="T1909" t="s">
        <v>145</v>
      </c>
      <c r="U1909" s="2">
        <v>0.37</v>
      </c>
      <c r="V1909" t="s">
        <v>4064</v>
      </c>
      <c r="W1909" t="s">
        <v>4065</v>
      </c>
      <c r="X1909" t="b">
        <v>0</v>
      </c>
      <c r="Y1909" t="b">
        <v>0</v>
      </c>
    </row>
    <row r="1910" spans="1:25">
      <c r="A1910">
        <v>1000003</v>
      </c>
      <c r="B1910" t="s">
        <v>4061</v>
      </c>
      <c r="C1910" t="s">
        <v>4066</v>
      </c>
      <c r="D1910" t="s">
        <v>1292</v>
      </c>
      <c r="E1910">
        <v>1000003</v>
      </c>
      <c r="F1910" t="s">
        <v>1292</v>
      </c>
      <c r="G1910">
        <v>0</v>
      </c>
      <c r="H1910" t="s">
        <v>1292</v>
      </c>
      <c r="I1910">
        <v>0</v>
      </c>
      <c r="J1910" t="s">
        <v>1292</v>
      </c>
      <c r="K1910">
        <v>0</v>
      </c>
      <c r="L1910" t="s">
        <v>1292</v>
      </c>
      <c r="M1910">
        <v>0</v>
      </c>
      <c r="N1910" t="s">
        <v>1292</v>
      </c>
      <c r="O1910">
        <v>0</v>
      </c>
      <c r="P1910" t="s">
        <v>2290</v>
      </c>
      <c r="Q1910" s="1">
        <v>11027</v>
      </c>
      <c r="R1910">
        <v>24.9</v>
      </c>
      <c r="S1910" s="2">
        <v>0</v>
      </c>
      <c r="T1910" s="3">
        <v>3.0194444444444444</v>
      </c>
      <c r="U1910" s="2">
        <v>0.5</v>
      </c>
      <c r="V1910" t="s">
        <v>4066</v>
      </c>
      <c r="W1910" t="s">
        <v>4067</v>
      </c>
      <c r="X1910" t="b">
        <v>0</v>
      </c>
      <c r="Y1910" t="b">
        <v>0</v>
      </c>
    </row>
    <row r="1911" spans="1:25">
      <c r="A1911">
        <v>1000004</v>
      </c>
      <c r="B1911" t="s">
        <v>4061</v>
      </c>
      <c r="C1911" t="s">
        <v>4068</v>
      </c>
      <c r="D1911" t="s">
        <v>1292</v>
      </c>
      <c r="E1911">
        <v>1000004</v>
      </c>
      <c r="F1911" t="s">
        <v>1292</v>
      </c>
      <c r="G1911">
        <v>0</v>
      </c>
      <c r="H1911" t="s">
        <v>1292</v>
      </c>
      <c r="I1911">
        <v>0</v>
      </c>
      <c r="J1911" t="s">
        <v>1292</v>
      </c>
      <c r="K1911">
        <v>0</v>
      </c>
      <c r="L1911" t="s">
        <v>1292</v>
      </c>
      <c r="M1911">
        <v>0</v>
      </c>
      <c r="N1911" t="s">
        <v>1292</v>
      </c>
      <c r="O1911">
        <v>0</v>
      </c>
      <c r="P1911" t="s">
        <v>895</v>
      </c>
      <c r="Q1911" s="1">
        <v>2944</v>
      </c>
      <c r="R1911">
        <v>22.5</v>
      </c>
      <c r="S1911" s="2">
        <v>0.09</v>
      </c>
      <c r="T1911" s="3">
        <v>1.9541666666666666</v>
      </c>
      <c r="U1911" s="2">
        <v>0.38</v>
      </c>
      <c r="V1911" t="s">
        <v>4068</v>
      </c>
      <c r="W1911" t="s">
        <v>4069</v>
      </c>
      <c r="X1911" t="b">
        <v>0</v>
      </c>
      <c r="Y1911" t="b">
        <v>0</v>
      </c>
    </row>
    <row r="1912" spans="1:25">
      <c r="A1912">
        <v>1000005</v>
      </c>
      <c r="B1912" t="s">
        <v>4061</v>
      </c>
      <c r="C1912" t="s">
        <v>4070</v>
      </c>
      <c r="D1912" t="s">
        <v>1292</v>
      </c>
      <c r="E1912">
        <v>1000005</v>
      </c>
      <c r="F1912" t="s">
        <v>1292</v>
      </c>
      <c r="G1912">
        <v>0</v>
      </c>
      <c r="H1912" t="s">
        <v>1292</v>
      </c>
      <c r="I1912">
        <v>0</v>
      </c>
      <c r="J1912" t="s">
        <v>1292</v>
      </c>
      <c r="K1912">
        <v>0</v>
      </c>
      <c r="L1912" t="s">
        <v>1292</v>
      </c>
      <c r="M1912">
        <v>0</v>
      </c>
      <c r="N1912" t="s">
        <v>1292</v>
      </c>
      <c r="O1912">
        <v>0</v>
      </c>
      <c r="P1912" t="s">
        <v>26</v>
      </c>
      <c r="Q1912" s="1">
        <v>4205</v>
      </c>
      <c r="R1912">
        <v>23.4</v>
      </c>
      <c r="S1912" s="2">
        <v>0.21</v>
      </c>
      <c r="T1912" s="3">
        <v>1.9951388888888888</v>
      </c>
      <c r="U1912" s="2">
        <v>0.26</v>
      </c>
      <c r="V1912" t="s">
        <v>4070</v>
      </c>
      <c r="W1912" t="s">
        <v>4071</v>
      </c>
      <c r="X1912" t="b">
        <v>0</v>
      </c>
      <c r="Y1912" t="b">
        <v>0</v>
      </c>
    </row>
    <row r="1913" spans="1:25">
      <c r="A1913">
        <v>1000006</v>
      </c>
      <c r="B1913" t="s">
        <v>4061</v>
      </c>
      <c r="C1913" t="s">
        <v>4072</v>
      </c>
      <c r="D1913" t="s">
        <v>1292</v>
      </c>
      <c r="E1913">
        <v>1000006</v>
      </c>
      <c r="F1913" t="s">
        <v>1292</v>
      </c>
      <c r="G1913">
        <v>0</v>
      </c>
      <c r="H1913" t="s">
        <v>1292</v>
      </c>
      <c r="I1913">
        <v>0</v>
      </c>
      <c r="J1913" t="s">
        <v>1292</v>
      </c>
      <c r="K1913">
        <v>0</v>
      </c>
      <c r="L1913" t="s">
        <v>1292</v>
      </c>
      <c r="M1913">
        <v>0</v>
      </c>
      <c r="N1913" t="s">
        <v>1292</v>
      </c>
      <c r="O1913">
        <v>0</v>
      </c>
      <c r="P1913" t="s">
        <v>1895</v>
      </c>
      <c r="Q1913" s="1">
        <v>21502</v>
      </c>
      <c r="R1913">
        <v>45.8</v>
      </c>
      <c r="S1913" s="2">
        <v>0</v>
      </c>
      <c r="T1913" s="3">
        <v>2.0770833333333334</v>
      </c>
      <c r="U1913" s="2">
        <v>0.22</v>
      </c>
      <c r="V1913" t="s">
        <v>4072</v>
      </c>
      <c r="W1913" t="s">
        <v>4073</v>
      </c>
      <c r="X1913" t="b">
        <v>0</v>
      </c>
      <c r="Y1913" t="b">
        <v>0</v>
      </c>
    </row>
    <row r="1914" spans="1:25">
      <c r="A1914">
        <v>1000007</v>
      </c>
      <c r="B1914" t="s">
        <v>4061</v>
      </c>
      <c r="C1914" t="s">
        <v>4074</v>
      </c>
      <c r="D1914" t="s">
        <v>1292</v>
      </c>
      <c r="E1914">
        <v>1000007</v>
      </c>
      <c r="F1914" t="s">
        <v>1292</v>
      </c>
      <c r="G1914">
        <v>0</v>
      </c>
      <c r="H1914" t="s">
        <v>1292</v>
      </c>
      <c r="I1914">
        <v>0</v>
      </c>
      <c r="J1914" t="s">
        <v>1292</v>
      </c>
      <c r="K1914">
        <v>0</v>
      </c>
      <c r="L1914" t="s">
        <v>1292</v>
      </c>
      <c r="M1914">
        <v>0</v>
      </c>
      <c r="N1914" t="s">
        <v>1292</v>
      </c>
      <c r="O1914">
        <v>0</v>
      </c>
      <c r="P1914" t="s">
        <v>4075</v>
      </c>
      <c r="Q1914">
        <v>495</v>
      </c>
      <c r="R1914">
        <v>5.5</v>
      </c>
      <c r="S1914" s="2">
        <v>0</v>
      </c>
      <c r="T1914" t="s">
        <v>658</v>
      </c>
      <c r="U1914" s="2">
        <v>0</v>
      </c>
      <c r="V1914" t="s">
        <v>4074</v>
      </c>
      <c r="W1914" t="s">
        <v>4076</v>
      </c>
      <c r="X1914" t="b">
        <v>0</v>
      </c>
      <c r="Y1914" t="b">
        <v>0</v>
      </c>
    </row>
    <row r="1915" spans="1:25">
      <c r="A1915">
        <v>1000008</v>
      </c>
      <c r="B1915" t="s">
        <v>4061</v>
      </c>
      <c r="C1915" t="s">
        <v>4077</v>
      </c>
      <c r="D1915" t="s">
        <v>1292</v>
      </c>
      <c r="E1915">
        <v>1000008</v>
      </c>
      <c r="F1915" t="s">
        <v>1292</v>
      </c>
      <c r="G1915">
        <v>0</v>
      </c>
      <c r="H1915" t="s">
        <v>1292</v>
      </c>
      <c r="I1915">
        <v>0</v>
      </c>
      <c r="J1915" t="s">
        <v>1292</v>
      </c>
      <c r="K1915">
        <v>0</v>
      </c>
      <c r="L1915" t="s">
        <v>1292</v>
      </c>
      <c r="M1915">
        <v>0</v>
      </c>
      <c r="N1915" t="s">
        <v>1292</v>
      </c>
      <c r="O1915">
        <v>0</v>
      </c>
      <c r="P1915" t="s">
        <v>1473</v>
      </c>
      <c r="Q1915">
        <v>911</v>
      </c>
      <c r="R1915">
        <v>1</v>
      </c>
      <c r="S1915" s="2">
        <v>0.19</v>
      </c>
      <c r="T1915" t="s">
        <v>501</v>
      </c>
      <c r="U1915" t="s">
        <v>1292</v>
      </c>
      <c r="V1915" t="s">
        <v>4077</v>
      </c>
      <c r="W1915" t="s">
        <v>4078</v>
      </c>
      <c r="X1915" t="b">
        <v>0</v>
      </c>
      <c r="Y1915" t="b">
        <v>0</v>
      </c>
    </row>
    <row r="1916" spans="1:25">
      <c r="A1916">
        <v>1000009</v>
      </c>
      <c r="B1916" t="s">
        <v>4061</v>
      </c>
      <c r="C1916" t="s">
        <v>4079</v>
      </c>
      <c r="D1916" t="s">
        <v>1292</v>
      </c>
      <c r="E1916">
        <v>1000009</v>
      </c>
      <c r="F1916" t="s">
        <v>1292</v>
      </c>
      <c r="G1916">
        <v>0</v>
      </c>
      <c r="H1916" t="s">
        <v>1292</v>
      </c>
      <c r="I1916">
        <v>0</v>
      </c>
      <c r="J1916" t="s">
        <v>1292</v>
      </c>
      <c r="K1916">
        <v>0</v>
      </c>
      <c r="L1916" t="s">
        <v>1292</v>
      </c>
      <c r="M1916">
        <v>0</v>
      </c>
      <c r="N1916" t="s">
        <v>1292</v>
      </c>
      <c r="O1916">
        <v>0</v>
      </c>
      <c r="P1916" t="s">
        <v>4080</v>
      </c>
      <c r="Q1916" s="1">
        <v>3174</v>
      </c>
      <c r="R1916">
        <v>31.7</v>
      </c>
      <c r="S1916" s="2">
        <v>0.11</v>
      </c>
      <c r="T1916" s="3">
        <v>1.8722222222222222</v>
      </c>
      <c r="U1916" s="2">
        <v>0.17</v>
      </c>
      <c r="V1916" t="s">
        <v>4079</v>
      </c>
      <c r="W1916" t="s">
        <v>4081</v>
      </c>
      <c r="X1916" t="b">
        <v>0</v>
      </c>
      <c r="Y1916" t="b">
        <v>0</v>
      </c>
    </row>
    <row r="1917" spans="1:25">
      <c r="A1917">
        <v>1000010</v>
      </c>
      <c r="B1917" t="s">
        <v>4061</v>
      </c>
      <c r="C1917" t="s">
        <v>4082</v>
      </c>
      <c r="D1917" t="s">
        <v>1292</v>
      </c>
      <c r="E1917">
        <v>1000010</v>
      </c>
      <c r="F1917" t="s">
        <v>1292</v>
      </c>
      <c r="G1917">
        <v>0</v>
      </c>
      <c r="H1917" t="s">
        <v>1292</v>
      </c>
      <c r="I1917">
        <v>0</v>
      </c>
      <c r="J1917" t="s">
        <v>1292</v>
      </c>
      <c r="K1917">
        <v>0</v>
      </c>
      <c r="L1917" t="s">
        <v>1292</v>
      </c>
      <c r="M1917">
        <v>0</v>
      </c>
      <c r="N1917" t="s">
        <v>1292</v>
      </c>
      <c r="O1917">
        <v>0</v>
      </c>
      <c r="P1917" t="s">
        <v>26</v>
      </c>
      <c r="Q1917">
        <v>780</v>
      </c>
      <c r="R1917">
        <v>19.5</v>
      </c>
      <c r="S1917" s="2">
        <v>0.39</v>
      </c>
      <c r="T1917" s="3">
        <v>1.9131944444444444</v>
      </c>
      <c r="U1917" s="2">
        <v>0.23</v>
      </c>
      <c r="V1917" t="s">
        <v>4082</v>
      </c>
      <c r="W1917" t="s">
        <v>4083</v>
      </c>
      <c r="X1917" t="b">
        <v>0</v>
      </c>
      <c r="Y1917" t="b">
        <v>0</v>
      </c>
    </row>
    <row r="1918" spans="1:25">
      <c r="A1918">
        <v>1000011</v>
      </c>
      <c r="B1918" t="s">
        <v>4061</v>
      </c>
      <c r="C1918" t="s">
        <v>4084</v>
      </c>
      <c r="D1918" t="s">
        <v>1292</v>
      </c>
      <c r="E1918">
        <v>1000011</v>
      </c>
      <c r="F1918" t="s">
        <v>1292</v>
      </c>
      <c r="G1918">
        <v>0</v>
      </c>
      <c r="H1918" t="s">
        <v>1292</v>
      </c>
      <c r="I1918">
        <v>0</v>
      </c>
      <c r="J1918" t="s">
        <v>1292</v>
      </c>
      <c r="K1918">
        <v>0</v>
      </c>
      <c r="L1918" t="s">
        <v>1292</v>
      </c>
      <c r="M1918">
        <v>0</v>
      </c>
      <c r="N1918" t="s">
        <v>1292</v>
      </c>
      <c r="O1918">
        <v>0</v>
      </c>
      <c r="P1918" t="s">
        <v>2290</v>
      </c>
      <c r="Q1918" s="1">
        <v>4532</v>
      </c>
      <c r="R1918">
        <v>23.7</v>
      </c>
      <c r="S1918" s="2">
        <v>0</v>
      </c>
      <c r="T1918" s="3">
        <v>2.036111111111111</v>
      </c>
      <c r="U1918" t="s">
        <v>1292</v>
      </c>
      <c r="V1918" t="s">
        <v>4084</v>
      </c>
      <c r="W1918" t="s">
        <v>4085</v>
      </c>
      <c r="X1918" t="b">
        <v>0</v>
      </c>
      <c r="Y1918" t="b">
        <v>0</v>
      </c>
    </row>
    <row r="1919" spans="1:25">
      <c r="A1919">
        <v>1000012</v>
      </c>
      <c r="B1919" t="s">
        <v>4061</v>
      </c>
      <c r="C1919" t="s">
        <v>4086</v>
      </c>
      <c r="D1919" t="s">
        <v>1292</v>
      </c>
      <c r="E1919">
        <v>1000012</v>
      </c>
      <c r="F1919" t="s">
        <v>1292</v>
      </c>
      <c r="G1919">
        <v>0</v>
      </c>
      <c r="H1919" t="s">
        <v>1292</v>
      </c>
      <c r="I1919">
        <v>0</v>
      </c>
      <c r="J1919" t="s">
        <v>1292</v>
      </c>
      <c r="K1919">
        <v>0</v>
      </c>
      <c r="L1919" t="s">
        <v>1292</v>
      </c>
      <c r="M1919">
        <v>0</v>
      </c>
      <c r="N1919" t="s">
        <v>1292</v>
      </c>
      <c r="O1919">
        <v>0</v>
      </c>
      <c r="P1919" t="s">
        <v>1853</v>
      </c>
      <c r="Q1919" s="1">
        <v>11560</v>
      </c>
      <c r="R1919">
        <v>16.7</v>
      </c>
      <c r="S1919" s="2">
        <v>0.03</v>
      </c>
      <c r="T1919" s="3">
        <v>2.0770833333333334</v>
      </c>
      <c r="U1919" s="2">
        <v>0.27</v>
      </c>
      <c r="V1919" t="s">
        <v>4086</v>
      </c>
      <c r="W1919" t="s">
        <v>4087</v>
      </c>
      <c r="X1919" t="b">
        <v>0</v>
      </c>
      <c r="Y1919" t="b">
        <v>0</v>
      </c>
    </row>
    <row r="1920" spans="1:25">
      <c r="A1920">
        <v>1000013</v>
      </c>
      <c r="B1920" t="s">
        <v>4061</v>
      </c>
      <c r="C1920" t="s">
        <v>4088</v>
      </c>
      <c r="D1920" t="s">
        <v>1292</v>
      </c>
      <c r="E1920">
        <v>1000013</v>
      </c>
      <c r="F1920" t="s">
        <v>1292</v>
      </c>
      <c r="G1920">
        <v>0</v>
      </c>
      <c r="H1920" t="s">
        <v>1292</v>
      </c>
      <c r="I1920">
        <v>0</v>
      </c>
      <c r="J1920" t="s">
        <v>1292</v>
      </c>
      <c r="K1920">
        <v>0</v>
      </c>
      <c r="L1920" t="s">
        <v>1292</v>
      </c>
      <c r="M1920">
        <v>0</v>
      </c>
      <c r="N1920" t="s">
        <v>1292</v>
      </c>
      <c r="O1920">
        <v>0</v>
      </c>
      <c r="P1920" t="s">
        <v>1955</v>
      </c>
      <c r="Q1920" s="1">
        <v>25871</v>
      </c>
      <c r="R1920">
        <v>34.6</v>
      </c>
      <c r="S1920" s="2">
        <v>0.01</v>
      </c>
      <c r="T1920" s="3">
        <v>2.5687500000000001</v>
      </c>
      <c r="U1920" s="2">
        <v>0.18</v>
      </c>
      <c r="V1920" t="s">
        <v>4088</v>
      </c>
      <c r="W1920" t="s">
        <v>4089</v>
      </c>
      <c r="X1920" t="b">
        <v>0</v>
      </c>
      <c r="Y1920" t="b">
        <v>0</v>
      </c>
    </row>
    <row r="1921" spans="1:25">
      <c r="A1921">
        <v>1000014</v>
      </c>
      <c r="B1921" t="s">
        <v>4061</v>
      </c>
      <c r="C1921" t="s">
        <v>4090</v>
      </c>
      <c r="D1921" t="s">
        <v>1292</v>
      </c>
      <c r="E1921">
        <v>1000014</v>
      </c>
      <c r="F1921" t="s">
        <v>1292</v>
      </c>
      <c r="G1921">
        <v>0</v>
      </c>
      <c r="H1921" t="s">
        <v>1292</v>
      </c>
      <c r="I1921">
        <v>0</v>
      </c>
      <c r="J1921" t="s">
        <v>1292</v>
      </c>
      <c r="K1921">
        <v>0</v>
      </c>
      <c r="L1921" t="s">
        <v>1292</v>
      </c>
      <c r="M1921">
        <v>0</v>
      </c>
      <c r="N1921" t="s">
        <v>1292</v>
      </c>
      <c r="O1921">
        <v>0</v>
      </c>
      <c r="P1921" t="s">
        <v>2290</v>
      </c>
      <c r="Q1921" s="1">
        <v>14520</v>
      </c>
      <c r="R1921">
        <v>28</v>
      </c>
      <c r="S1921" s="2">
        <v>0</v>
      </c>
      <c r="T1921" s="3">
        <v>2.4868055555555557</v>
      </c>
      <c r="U1921" s="2">
        <v>0.45</v>
      </c>
      <c r="V1921" t="s">
        <v>4090</v>
      </c>
      <c r="W1921" t="s">
        <v>4091</v>
      </c>
      <c r="X1921" t="b">
        <v>0</v>
      </c>
      <c r="Y1921" t="b">
        <v>0</v>
      </c>
    </row>
    <row r="1922" spans="1:25">
      <c r="A1922">
        <v>1000015</v>
      </c>
      <c r="B1922" t="s">
        <v>4061</v>
      </c>
      <c r="C1922" t="s">
        <v>4092</v>
      </c>
      <c r="D1922" t="s">
        <v>1292</v>
      </c>
      <c r="E1922">
        <v>1000015</v>
      </c>
      <c r="F1922" t="s">
        <v>1292</v>
      </c>
      <c r="G1922">
        <v>0</v>
      </c>
      <c r="H1922" t="s">
        <v>1292</v>
      </c>
      <c r="I1922">
        <v>0</v>
      </c>
      <c r="J1922" t="s">
        <v>1292</v>
      </c>
      <c r="K1922">
        <v>0</v>
      </c>
      <c r="L1922" t="s">
        <v>1292</v>
      </c>
      <c r="M1922">
        <v>0</v>
      </c>
      <c r="N1922" t="s">
        <v>1292</v>
      </c>
      <c r="O1922">
        <v>0</v>
      </c>
      <c r="P1922" t="s">
        <v>94</v>
      </c>
      <c r="Q1922" s="1">
        <v>3260</v>
      </c>
      <c r="R1922">
        <v>15.4</v>
      </c>
      <c r="S1922" s="2">
        <v>0.01</v>
      </c>
      <c r="T1922" s="3">
        <v>3.0194444444444444</v>
      </c>
      <c r="U1922" s="2">
        <v>0.37</v>
      </c>
      <c r="V1922" t="s">
        <v>4092</v>
      </c>
      <c r="W1922" t="s">
        <v>4093</v>
      </c>
      <c r="X1922" t="b">
        <v>0</v>
      </c>
      <c r="Y1922" t="b">
        <v>0</v>
      </c>
    </row>
    <row r="1923" spans="1:25">
      <c r="A1923">
        <v>1000016</v>
      </c>
      <c r="B1923" t="s">
        <v>4061</v>
      </c>
      <c r="C1923" t="s">
        <v>4094</v>
      </c>
      <c r="D1923" t="s">
        <v>1292</v>
      </c>
      <c r="E1923">
        <v>1000016</v>
      </c>
      <c r="F1923" t="s">
        <v>1292</v>
      </c>
      <c r="G1923">
        <v>0</v>
      </c>
      <c r="H1923" t="s">
        <v>1292</v>
      </c>
      <c r="I1923">
        <v>0</v>
      </c>
      <c r="J1923" t="s">
        <v>1292</v>
      </c>
      <c r="K1923">
        <v>0</v>
      </c>
      <c r="L1923" t="s">
        <v>1292</v>
      </c>
      <c r="M1923">
        <v>0</v>
      </c>
      <c r="N1923" t="s">
        <v>1292</v>
      </c>
      <c r="O1923">
        <v>0</v>
      </c>
      <c r="P1923" t="s">
        <v>2290</v>
      </c>
      <c r="Q1923" s="1">
        <v>12202</v>
      </c>
      <c r="R1923">
        <v>17.2</v>
      </c>
      <c r="S1923" s="2">
        <v>0.01</v>
      </c>
      <c r="T1923" s="3">
        <v>2.6916666666666669</v>
      </c>
      <c r="U1923" s="2">
        <v>0.42</v>
      </c>
      <c r="V1923" t="s">
        <v>4094</v>
      </c>
      <c r="W1923" t="s">
        <v>4095</v>
      </c>
      <c r="X1923" t="b">
        <v>0</v>
      </c>
      <c r="Y1923" t="b">
        <v>0</v>
      </c>
    </row>
    <row r="1924" spans="1:25">
      <c r="A1924">
        <v>1000017</v>
      </c>
      <c r="B1924" t="s">
        <v>4061</v>
      </c>
      <c r="C1924" t="s">
        <v>4096</v>
      </c>
      <c r="D1924" t="s">
        <v>1292</v>
      </c>
      <c r="E1924">
        <v>1000017</v>
      </c>
      <c r="F1924" t="s">
        <v>1292</v>
      </c>
      <c r="G1924">
        <v>0</v>
      </c>
      <c r="H1924" t="s">
        <v>1292</v>
      </c>
      <c r="I1924">
        <v>0</v>
      </c>
      <c r="J1924" t="s">
        <v>1292</v>
      </c>
      <c r="K1924">
        <v>0</v>
      </c>
      <c r="L1924" t="s">
        <v>1292</v>
      </c>
      <c r="M1924">
        <v>0</v>
      </c>
      <c r="N1924" t="s">
        <v>1292</v>
      </c>
      <c r="O1924">
        <v>0</v>
      </c>
      <c r="P1924" t="s">
        <v>528</v>
      </c>
      <c r="Q1924" s="1">
        <v>2735</v>
      </c>
      <c r="R1924">
        <v>15.8</v>
      </c>
      <c r="S1924" s="2">
        <v>0.01</v>
      </c>
      <c r="T1924">
        <v>0.80694444444444446</v>
      </c>
      <c r="U1924" t="s">
        <v>1292</v>
      </c>
      <c r="V1924" t="s">
        <v>4096</v>
      </c>
      <c r="W1924" t="s">
        <v>4097</v>
      </c>
      <c r="X1924" t="b">
        <v>0</v>
      </c>
      <c r="Y1924" t="b">
        <v>0</v>
      </c>
    </row>
    <row r="1925" spans="1:25">
      <c r="A1925">
        <v>1000018</v>
      </c>
      <c r="B1925" t="s">
        <v>4061</v>
      </c>
      <c r="C1925" t="s">
        <v>4098</v>
      </c>
      <c r="D1925" t="s">
        <v>1292</v>
      </c>
      <c r="E1925">
        <v>1000018</v>
      </c>
      <c r="F1925" t="s">
        <v>1292</v>
      </c>
      <c r="G1925">
        <v>0</v>
      </c>
      <c r="H1925" t="s">
        <v>1292</v>
      </c>
      <c r="I1925">
        <v>0</v>
      </c>
      <c r="J1925" t="s">
        <v>1292</v>
      </c>
      <c r="K1925">
        <v>0</v>
      </c>
      <c r="L1925" t="s">
        <v>1292</v>
      </c>
      <c r="M1925">
        <v>0</v>
      </c>
      <c r="N1925" t="s">
        <v>1292</v>
      </c>
      <c r="O1925">
        <v>0</v>
      </c>
      <c r="P1925" t="s">
        <v>608</v>
      </c>
      <c r="Q1925" s="1">
        <v>4823</v>
      </c>
      <c r="R1925">
        <v>15.1</v>
      </c>
      <c r="S1925" s="2">
        <v>0.82</v>
      </c>
      <c r="T1925" s="3">
        <v>2.4868055555555557</v>
      </c>
      <c r="U1925" s="2">
        <v>0.28000000000000003</v>
      </c>
      <c r="V1925" t="s">
        <v>4098</v>
      </c>
      <c r="W1925" t="s">
        <v>4099</v>
      </c>
      <c r="X1925" t="b">
        <v>0</v>
      </c>
      <c r="Y1925" t="b">
        <v>0</v>
      </c>
    </row>
    <row r="1926" spans="1:25">
      <c r="A1926">
        <v>1000019</v>
      </c>
      <c r="B1926" t="s">
        <v>4061</v>
      </c>
      <c r="C1926" t="s">
        <v>4100</v>
      </c>
      <c r="D1926" t="s">
        <v>1292</v>
      </c>
      <c r="E1926">
        <v>1000019</v>
      </c>
      <c r="F1926" t="s">
        <v>1292</v>
      </c>
      <c r="G1926">
        <v>0</v>
      </c>
      <c r="H1926" t="s">
        <v>1292</v>
      </c>
      <c r="I1926">
        <v>0</v>
      </c>
      <c r="J1926" t="s">
        <v>1292</v>
      </c>
      <c r="K1926">
        <v>0</v>
      </c>
      <c r="L1926" t="s">
        <v>1292</v>
      </c>
      <c r="M1926">
        <v>0</v>
      </c>
      <c r="N1926" t="s">
        <v>1292</v>
      </c>
      <c r="O1926">
        <v>0</v>
      </c>
      <c r="P1926" t="s">
        <v>1306</v>
      </c>
      <c r="Q1926" s="1">
        <v>10010</v>
      </c>
      <c r="R1926">
        <v>8.6</v>
      </c>
      <c r="S1926" s="2">
        <v>0.1</v>
      </c>
      <c r="T1926" s="3">
        <v>2.5277777777777777</v>
      </c>
      <c r="U1926" s="2">
        <v>0.19</v>
      </c>
      <c r="V1926" t="s">
        <v>4100</v>
      </c>
      <c r="W1926" t="s">
        <v>4101</v>
      </c>
      <c r="X1926" t="b">
        <v>0</v>
      </c>
      <c r="Y1926" t="b">
        <v>0</v>
      </c>
    </row>
    <row r="1927" spans="1:25">
      <c r="A1927">
        <v>1000020</v>
      </c>
      <c r="B1927" t="s">
        <v>4061</v>
      </c>
      <c r="C1927" t="s">
        <v>4102</v>
      </c>
      <c r="D1927" t="s">
        <v>1292</v>
      </c>
      <c r="E1927">
        <v>1000020</v>
      </c>
      <c r="F1927" t="s">
        <v>1292</v>
      </c>
      <c r="G1927">
        <v>0</v>
      </c>
      <c r="H1927" t="s">
        <v>1292</v>
      </c>
      <c r="I1927">
        <v>0</v>
      </c>
      <c r="J1927" t="s">
        <v>1292</v>
      </c>
      <c r="K1927">
        <v>0</v>
      </c>
      <c r="L1927" t="s">
        <v>1292</v>
      </c>
      <c r="M1927">
        <v>0</v>
      </c>
      <c r="N1927" t="s">
        <v>1292</v>
      </c>
      <c r="O1927">
        <v>0</v>
      </c>
      <c r="P1927" t="s">
        <v>94</v>
      </c>
      <c r="Q1927" s="1">
        <v>1823</v>
      </c>
      <c r="R1927">
        <v>8.9</v>
      </c>
      <c r="S1927" s="2">
        <v>0.01</v>
      </c>
      <c r="T1927" t="s">
        <v>529</v>
      </c>
      <c r="U1927" s="2">
        <v>0.34</v>
      </c>
      <c r="V1927" t="s">
        <v>4102</v>
      </c>
      <c r="W1927" t="s">
        <v>4103</v>
      </c>
      <c r="X1927" t="b">
        <v>0</v>
      </c>
      <c r="Y1927" t="b">
        <v>0</v>
      </c>
    </row>
    <row r="1928" spans="1:25">
      <c r="A1928">
        <v>1000021</v>
      </c>
      <c r="B1928" t="s">
        <v>4061</v>
      </c>
      <c r="C1928" t="s">
        <v>4104</v>
      </c>
      <c r="D1928" t="s">
        <v>1292</v>
      </c>
      <c r="E1928">
        <v>1000021</v>
      </c>
      <c r="F1928" t="s">
        <v>1292</v>
      </c>
      <c r="G1928">
        <v>0</v>
      </c>
      <c r="H1928" t="s">
        <v>1292</v>
      </c>
      <c r="I1928">
        <v>0</v>
      </c>
      <c r="J1928" t="s">
        <v>1292</v>
      </c>
      <c r="K1928">
        <v>0</v>
      </c>
      <c r="L1928" t="s">
        <v>1292</v>
      </c>
      <c r="M1928">
        <v>0</v>
      </c>
      <c r="N1928" t="s">
        <v>1292</v>
      </c>
      <c r="O1928">
        <v>0</v>
      </c>
      <c r="P1928" t="s">
        <v>2290</v>
      </c>
      <c r="Q1928" s="1">
        <v>21831</v>
      </c>
      <c r="R1928">
        <v>28.3</v>
      </c>
      <c r="S1928" s="2">
        <v>0</v>
      </c>
      <c r="T1928" s="3">
        <v>2.2000000000000002</v>
      </c>
      <c r="U1928" s="2">
        <v>0.36</v>
      </c>
      <c r="V1928" t="s">
        <v>4104</v>
      </c>
      <c r="W1928" t="s">
        <v>4105</v>
      </c>
      <c r="X1928" t="b">
        <v>0</v>
      </c>
      <c r="Y1928" t="b">
        <v>0</v>
      </c>
    </row>
    <row r="1929" spans="1:25">
      <c r="A1929">
        <v>1000022</v>
      </c>
      <c r="B1929" t="s">
        <v>4061</v>
      </c>
      <c r="C1929" t="s">
        <v>4106</v>
      </c>
      <c r="D1929" t="s">
        <v>1292</v>
      </c>
      <c r="E1929">
        <v>1000022</v>
      </c>
      <c r="F1929" t="s">
        <v>1292</v>
      </c>
      <c r="G1929">
        <v>0</v>
      </c>
      <c r="H1929" t="s">
        <v>1292</v>
      </c>
      <c r="I1929">
        <v>0</v>
      </c>
      <c r="J1929" t="s">
        <v>1292</v>
      </c>
      <c r="K1929">
        <v>0</v>
      </c>
      <c r="L1929" t="s">
        <v>1292</v>
      </c>
      <c r="M1929">
        <v>0</v>
      </c>
      <c r="N1929" t="s">
        <v>1292</v>
      </c>
      <c r="O1929">
        <v>0</v>
      </c>
      <c r="P1929" t="s">
        <v>1895</v>
      </c>
      <c r="Q1929" s="1">
        <v>10243</v>
      </c>
      <c r="R1929">
        <v>21.2</v>
      </c>
      <c r="S1929" s="2">
        <v>0</v>
      </c>
      <c r="T1929" s="3">
        <v>1.7902777777777779</v>
      </c>
      <c r="U1929" s="2">
        <v>0.47</v>
      </c>
      <c r="V1929" t="s">
        <v>4106</v>
      </c>
      <c r="W1929" t="s">
        <v>4107</v>
      </c>
      <c r="X1929" t="b">
        <v>0</v>
      </c>
      <c r="Y1929" t="b">
        <v>0</v>
      </c>
    </row>
    <row r="1930" spans="1:25">
      <c r="A1930">
        <v>1000023</v>
      </c>
      <c r="B1930" t="s">
        <v>4061</v>
      </c>
      <c r="C1930" t="s">
        <v>4108</v>
      </c>
      <c r="D1930" t="s">
        <v>1292</v>
      </c>
      <c r="E1930">
        <v>1000023</v>
      </c>
      <c r="F1930" t="s">
        <v>1292</v>
      </c>
      <c r="G1930">
        <v>0</v>
      </c>
      <c r="H1930" t="s">
        <v>1292</v>
      </c>
      <c r="I1930">
        <v>0</v>
      </c>
      <c r="J1930" t="s">
        <v>1292</v>
      </c>
      <c r="K1930">
        <v>0</v>
      </c>
      <c r="L1930" t="s">
        <v>1292</v>
      </c>
      <c r="M1930">
        <v>0</v>
      </c>
      <c r="N1930" t="s">
        <v>1292</v>
      </c>
      <c r="O1930">
        <v>0</v>
      </c>
      <c r="P1930" t="s">
        <v>1554</v>
      </c>
      <c r="Q1930" s="1">
        <v>4102</v>
      </c>
      <c r="R1930">
        <v>12.1</v>
      </c>
      <c r="S1930" s="2">
        <v>0.6</v>
      </c>
      <c r="T1930" s="3">
        <v>2.0770833333333334</v>
      </c>
      <c r="U1930" s="2">
        <v>0.24</v>
      </c>
      <c r="V1930" t="s">
        <v>4108</v>
      </c>
      <c r="W1930" t="s">
        <v>4109</v>
      </c>
      <c r="X1930" t="b">
        <v>0</v>
      </c>
      <c r="Y1930" t="b">
        <v>0</v>
      </c>
    </row>
    <row r="1931" spans="1:25">
      <c r="A1931">
        <v>1000024</v>
      </c>
      <c r="B1931" t="s">
        <v>4061</v>
      </c>
      <c r="C1931" t="s">
        <v>4110</v>
      </c>
      <c r="D1931" t="s">
        <v>1292</v>
      </c>
      <c r="E1931">
        <v>1000024</v>
      </c>
      <c r="F1931" t="s">
        <v>1292</v>
      </c>
      <c r="G1931">
        <v>0</v>
      </c>
      <c r="H1931" t="s">
        <v>1292</v>
      </c>
      <c r="I1931">
        <v>0</v>
      </c>
      <c r="J1931" t="s">
        <v>1292</v>
      </c>
      <c r="K1931">
        <v>0</v>
      </c>
      <c r="L1931" t="s">
        <v>1292</v>
      </c>
      <c r="M1931">
        <v>0</v>
      </c>
      <c r="N1931" t="s">
        <v>1292</v>
      </c>
      <c r="O1931">
        <v>0</v>
      </c>
      <c r="P1931" t="s">
        <v>608</v>
      </c>
      <c r="Q1931" s="1">
        <v>2913</v>
      </c>
      <c r="R1931">
        <v>14.6</v>
      </c>
      <c r="S1931" s="2">
        <v>0.6</v>
      </c>
      <c r="T1931" s="3">
        <v>2.2819444444444446</v>
      </c>
      <c r="U1931" s="2">
        <v>0.28999999999999998</v>
      </c>
      <c r="V1931" t="s">
        <v>4110</v>
      </c>
      <c r="W1931" t="s">
        <v>4111</v>
      </c>
      <c r="X1931" t="b">
        <v>0</v>
      </c>
      <c r="Y1931" t="b">
        <v>0</v>
      </c>
    </row>
    <row r="1932" spans="1:25">
      <c r="A1932">
        <v>1000025</v>
      </c>
      <c r="B1932" t="s">
        <v>4061</v>
      </c>
      <c r="C1932" t="s">
        <v>4112</v>
      </c>
      <c r="D1932" t="s">
        <v>1292</v>
      </c>
      <c r="E1932">
        <v>1000025</v>
      </c>
      <c r="F1932" t="s">
        <v>1292</v>
      </c>
      <c r="G1932">
        <v>0</v>
      </c>
      <c r="H1932" t="s">
        <v>1292</v>
      </c>
      <c r="I1932">
        <v>0</v>
      </c>
      <c r="J1932" t="s">
        <v>1292</v>
      </c>
      <c r="K1932">
        <v>0</v>
      </c>
      <c r="L1932" t="s">
        <v>1292</v>
      </c>
      <c r="M1932">
        <v>0</v>
      </c>
      <c r="N1932" t="s">
        <v>1292</v>
      </c>
      <c r="O1932">
        <v>0</v>
      </c>
      <c r="P1932" t="s">
        <v>2536</v>
      </c>
      <c r="Q1932" s="1">
        <v>2123</v>
      </c>
      <c r="R1932">
        <v>17</v>
      </c>
      <c r="S1932" s="2">
        <v>0.02</v>
      </c>
      <c r="T1932" s="3">
        <v>2.2819444444444446</v>
      </c>
      <c r="U1932" s="2">
        <v>0.39</v>
      </c>
      <c r="V1932" t="s">
        <v>4112</v>
      </c>
      <c r="W1932" t="s">
        <v>4113</v>
      </c>
      <c r="X1932" t="b">
        <v>0</v>
      </c>
      <c r="Y1932" t="b">
        <v>0</v>
      </c>
    </row>
    <row r="1933" spans="1:25">
      <c r="A1933">
        <v>1000026</v>
      </c>
      <c r="B1933" t="s">
        <v>4061</v>
      </c>
      <c r="C1933" t="s">
        <v>4114</v>
      </c>
      <c r="D1933" t="s">
        <v>1292</v>
      </c>
      <c r="E1933">
        <v>1000026</v>
      </c>
      <c r="F1933" t="s">
        <v>1292</v>
      </c>
      <c r="G1933">
        <v>0</v>
      </c>
      <c r="H1933" t="s">
        <v>1292</v>
      </c>
      <c r="I1933">
        <v>0</v>
      </c>
      <c r="J1933" t="s">
        <v>1292</v>
      </c>
      <c r="K1933">
        <v>0</v>
      </c>
      <c r="L1933" t="s">
        <v>1292</v>
      </c>
      <c r="M1933">
        <v>0</v>
      </c>
      <c r="N1933" t="s">
        <v>1292</v>
      </c>
      <c r="O1933">
        <v>0</v>
      </c>
      <c r="P1933" t="s">
        <v>1554</v>
      </c>
      <c r="Q1933" s="1">
        <v>17305</v>
      </c>
      <c r="R1933">
        <v>38.799999999999997</v>
      </c>
      <c r="S1933" s="2">
        <v>0.04</v>
      </c>
      <c r="T1933" s="3">
        <v>2.4868055555555557</v>
      </c>
      <c r="U1933" s="2">
        <v>0.33</v>
      </c>
      <c r="V1933" t="s">
        <v>4114</v>
      </c>
      <c r="W1933" t="s">
        <v>4115</v>
      </c>
      <c r="X1933" t="b">
        <v>0</v>
      </c>
      <c r="Y1933" t="b">
        <v>0</v>
      </c>
    </row>
    <row r="1934" spans="1:25">
      <c r="A1934">
        <v>1000027</v>
      </c>
      <c r="B1934" t="s">
        <v>4061</v>
      </c>
      <c r="C1934" t="s">
        <v>4116</v>
      </c>
      <c r="D1934" t="s">
        <v>1292</v>
      </c>
      <c r="E1934">
        <v>1000027</v>
      </c>
      <c r="F1934" t="s">
        <v>1292</v>
      </c>
      <c r="G1934">
        <v>0</v>
      </c>
      <c r="H1934" t="s">
        <v>1292</v>
      </c>
      <c r="I1934">
        <v>0</v>
      </c>
      <c r="J1934" t="s">
        <v>1292</v>
      </c>
      <c r="K1934">
        <v>0</v>
      </c>
      <c r="L1934" t="s">
        <v>1292</v>
      </c>
      <c r="M1934">
        <v>0</v>
      </c>
      <c r="N1934" t="s">
        <v>1292</v>
      </c>
      <c r="O1934">
        <v>0</v>
      </c>
      <c r="P1934" t="s">
        <v>2157</v>
      </c>
      <c r="Q1934" s="1">
        <v>6627</v>
      </c>
      <c r="R1934">
        <v>25.6</v>
      </c>
      <c r="S1934" s="2">
        <v>0</v>
      </c>
      <c r="T1934" s="3">
        <v>2.036111111111111</v>
      </c>
      <c r="U1934" t="s">
        <v>1292</v>
      </c>
      <c r="V1934" t="s">
        <v>4116</v>
      </c>
      <c r="W1934" t="s">
        <v>4117</v>
      </c>
      <c r="X1934" t="b">
        <v>0</v>
      </c>
      <c r="Y1934" t="b">
        <v>0</v>
      </c>
    </row>
    <row r="1935" spans="1:25">
      <c r="A1935">
        <v>1000028</v>
      </c>
      <c r="B1935" t="s">
        <v>4061</v>
      </c>
      <c r="C1935" t="s">
        <v>4118</v>
      </c>
      <c r="D1935" t="s">
        <v>1292</v>
      </c>
      <c r="E1935">
        <v>1000028</v>
      </c>
      <c r="F1935" t="s">
        <v>1292</v>
      </c>
      <c r="G1935">
        <v>0</v>
      </c>
      <c r="H1935" t="s">
        <v>1292</v>
      </c>
      <c r="I1935">
        <v>0</v>
      </c>
      <c r="J1935" t="s">
        <v>1292</v>
      </c>
      <c r="K1935">
        <v>0</v>
      </c>
      <c r="L1935" t="s">
        <v>1292</v>
      </c>
      <c r="M1935">
        <v>0</v>
      </c>
      <c r="N1935" t="s">
        <v>1292</v>
      </c>
      <c r="O1935">
        <v>0</v>
      </c>
      <c r="P1935" t="s">
        <v>534</v>
      </c>
      <c r="Q1935" s="1">
        <v>19335</v>
      </c>
      <c r="R1935">
        <v>14.1</v>
      </c>
      <c r="S1935" s="2">
        <v>0.02</v>
      </c>
      <c r="T1935" s="3">
        <v>2.4048611111111109</v>
      </c>
      <c r="U1935" s="2">
        <v>0.25</v>
      </c>
      <c r="V1935" t="s">
        <v>4118</v>
      </c>
      <c r="W1935" t="s">
        <v>4119</v>
      </c>
      <c r="X1935" t="b">
        <v>0</v>
      </c>
      <c r="Y1935" t="b">
        <v>0</v>
      </c>
    </row>
    <row r="1936" spans="1:25">
      <c r="A1936">
        <v>1000029</v>
      </c>
      <c r="B1936" t="s">
        <v>4061</v>
      </c>
      <c r="C1936" t="s">
        <v>4120</v>
      </c>
      <c r="D1936" t="s">
        <v>1292</v>
      </c>
      <c r="E1936">
        <v>1000029</v>
      </c>
      <c r="F1936" t="s">
        <v>1292</v>
      </c>
      <c r="G1936">
        <v>0</v>
      </c>
      <c r="H1936" t="s">
        <v>1292</v>
      </c>
      <c r="I1936">
        <v>0</v>
      </c>
      <c r="J1936" t="s">
        <v>1292</v>
      </c>
      <c r="K1936">
        <v>0</v>
      </c>
      <c r="L1936" t="s">
        <v>1292</v>
      </c>
      <c r="M1936">
        <v>0</v>
      </c>
      <c r="N1936" t="s">
        <v>1292</v>
      </c>
      <c r="O1936">
        <v>0</v>
      </c>
      <c r="P1936" t="s">
        <v>2157</v>
      </c>
      <c r="Q1936" s="1">
        <v>7084</v>
      </c>
      <c r="R1936">
        <v>29.9</v>
      </c>
      <c r="S1936" s="2">
        <v>0</v>
      </c>
      <c r="T1936" s="3">
        <v>2.2409722222222221</v>
      </c>
      <c r="U1936" t="s">
        <v>1292</v>
      </c>
      <c r="V1936" t="s">
        <v>4120</v>
      </c>
      <c r="W1936" t="s">
        <v>4121</v>
      </c>
      <c r="X1936" t="b">
        <v>0</v>
      </c>
      <c r="Y1936" t="b">
        <v>0</v>
      </c>
    </row>
    <row r="1937" spans="1:25">
      <c r="A1937">
        <v>1000030</v>
      </c>
      <c r="B1937" t="s">
        <v>4061</v>
      </c>
      <c r="C1937" t="s">
        <v>4122</v>
      </c>
      <c r="D1937" t="s">
        <v>1292</v>
      </c>
      <c r="E1937">
        <v>1000030</v>
      </c>
      <c r="F1937" t="s">
        <v>1292</v>
      </c>
      <c r="G1937">
        <v>0</v>
      </c>
      <c r="H1937" t="s">
        <v>1292</v>
      </c>
      <c r="I1937">
        <v>0</v>
      </c>
      <c r="J1937" t="s">
        <v>1292</v>
      </c>
      <c r="K1937">
        <v>0</v>
      </c>
      <c r="L1937" t="s">
        <v>1292</v>
      </c>
      <c r="M1937">
        <v>0</v>
      </c>
      <c r="N1937" t="s">
        <v>1292</v>
      </c>
      <c r="O1937">
        <v>0</v>
      </c>
      <c r="P1937" t="s">
        <v>4123</v>
      </c>
      <c r="Q1937" s="1">
        <v>1541</v>
      </c>
      <c r="R1937">
        <v>5.0999999999999996</v>
      </c>
      <c r="S1937" s="2">
        <v>0</v>
      </c>
      <c r="T1937" s="3">
        <v>1.9131944444444444</v>
      </c>
      <c r="U1937" t="s">
        <v>1292</v>
      </c>
      <c r="V1937" t="s">
        <v>4122</v>
      </c>
      <c r="W1937" t="s">
        <v>4124</v>
      </c>
      <c r="X1937" t="b">
        <v>0</v>
      </c>
      <c r="Y1937" t="b">
        <v>0</v>
      </c>
    </row>
    <row r="1938" spans="1:25">
      <c r="A1938">
        <v>1000031</v>
      </c>
      <c r="B1938" t="s">
        <v>4061</v>
      </c>
      <c r="C1938" t="s">
        <v>4125</v>
      </c>
      <c r="D1938" t="s">
        <v>1292</v>
      </c>
      <c r="E1938">
        <v>1000031</v>
      </c>
      <c r="F1938" t="s">
        <v>1292</v>
      </c>
      <c r="G1938">
        <v>0</v>
      </c>
      <c r="H1938" t="s">
        <v>1292</v>
      </c>
      <c r="I1938">
        <v>0</v>
      </c>
      <c r="J1938" t="s">
        <v>1292</v>
      </c>
      <c r="K1938">
        <v>0</v>
      </c>
      <c r="L1938" t="s">
        <v>1292</v>
      </c>
      <c r="M1938">
        <v>0</v>
      </c>
      <c r="N1938" t="s">
        <v>1292</v>
      </c>
      <c r="O1938">
        <v>0</v>
      </c>
      <c r="P1938" t="s">
        <v>2157</v>
      </c>
      <c r="Q1938" s="1">
        <v>19999</v>
      </c>
      <c r="R1938">
        <v>26.7</v>
      </c>
      <c r="S1938" s="2">
        <v>0</v>
      </c>
      <c r="U1938" t="s">
        <v>1292</v>
      </c>
      <c r="V1938" t="s">
        <v>4125</v>
      </c>
      <c r="W1938" t="s">
        <v>4126</v>
      </c>
      <c r="X1938" t="b">
        <v>0</v>
      </c>
      <c r="Y1938" t="b">
        <v>0</v>
      </c>
    </row>
    <row r="1939" spans="1:25">
      <c r="A1939">
        <v>1000032</v>
      </c>
      <c r="B1939" t="s">
        <v>4061</v>
      </c>
      <c r="C1939" t="s">
        <v>4127</v>
      </c>
      <c r="D1939" t="s">
        <v>1292</v>
      </c>
      <c r="E1939">
        <v>1000032</v>
      </c>
      <c r="F1939" t="s">
        <v>1292</v>
      </c>
      <c r="G1939">
        <v>0</v>
      </c>
      <c r="H1939" t="s">
        <v>1292</v>
      </c>
      <c r="I1939">
        <v>0</v>
      </c>
      <c r="J1939" t="s">
        <v>1292</v>
      </c>
      <c r="K1939">
        <v>0</v>
      </c>
      <c r="L1939" t="s">
        <v>1292</v>
      </c>
      <c r="M1939">
        <v>0</v>
      </c>
      <c r="N1939" t="s">
        <v>1292</v>
      </c>
      <c r="O1939">
        <v>0</v>
      </c>
      <c r="P1939" t="s">
        <v>1895</v>
      </c>
      <c r="Q1939" s="1">
        <v>14766</v>
      </c>
      <c r="R1939">
        <v>19.399999999999999</v>
      </c>
      <c r="S1939" s="2">
        <v>0</v>
      </c>
      <c r="T1939" s="3">
        <v>2.2819444444444446</v>
      </c>
      <c r="U1939" t="s">
        <v>1292</v>
      </c>
      <c r="V1939" t="s">
        <v>4127</v>
      </c>
      <c r="W1939" t="s">
        <v>4128</v>
      </c>
      <c r="X1939" t="b">
        <v>0</v>
      </c>
      <c r="Y1939" t="b">
        <v>0</v>
      </c>
    </row>
    <row r="1940" spans="1:25">
      <c r="A1940">
        <v>1000033</v>
      </c>
      <c r="B1940" t="s">
        <v>4061</v>
      </c>
      <c r="C1940" t="s">
        <v>4129</v>
      </c>
      <c r="D1940" t="s">
        <v>1292</v>
      </c>
      <c r="E1940">
        <v>1000033</v>
      </c>
      <c r="F1940" t="s">
        <v>1292</v>
      </c>
      <c r="G1940">
        <v>0</v>
      </c>
      <c r="H1940" t="s">
        <v>1292</v>
      </c>
      <c r="I1940">
        <v>0</v>
      </c>
      <c r="J1940" t="s">
        <v>1292</v>
      </c>
      <c r="K1940">
        <v>0</v>
      </c>
      <c r="L1940" t="s">
        <v>1292</v>
      </c>
      <c r="M1940">
        <v>0</v>
      </c>
      <c r="N1940" t="s">
        <v>1292</v>
      </c>
      <c r="O1940">
        <v>0</v>
      </c>
      <c r="P1940" t="s">
        <v>2157</v>
      </c>
      <c r="Q1940" s="1">
        <v>6253</v>
      </c>
      <c r="R1940">
        <v>21.8</v>
      </c>
      <c r="S1940" s="2">
        <v>0</v>
      </c>
      <c r="T1940" s="3">
        <v>1.83125</v>
      </c>
      <c r="U1940" t="s">
        <v>1292</v>
      </c>
      <c r="V1940" t="s">
        <v>4129</v>
      </c>
      <c r="W1940" t="s">
        <v>4130</v>
      </c>
      <c r="X1940" t="b">
        <v>0</v>
      </c>
      <c r="Y1940" t="b">
        <v>0</v>
      </c>
    </row>
    <row r="1941" spans="1:25">
      <c r="A1941">
        <v>1000034</v>
      </c>
      <c r="B1941" t="s">
        <v>4061</v>
      </c>
      <c r="C1941" t="s">
        <v>4131</v>
      </c>
      <c r="D1941" t="s">
        <v>1292</v>
      </c>
      <c r="E1941">
        <v>1000034</v>
      </c>
      <c r="F1941" t="s">
        <v>1292</v>
      </c>
      <c r="G1941">
        <v>0</v>
      </c>
      <c r="H1941" t="s">
        <v>1292</v>
      </c>
      <c r="I1941">
        <v>0</v>
      </c>
      <c r="J1941" t="s">
        <v>1292</v>
      </c>
      <c r="K1941">
        <v>0</v>
      </c>
      <c r="L1941" t="s">
        <v>1292</v>
      </c>
      <c r="M1941">
        <v>0</v>
      </c>
      <c r="N1941" t="s">
        <v>1292</v>
      </c>
      <c r="O1941">
        <v>0</v>
      </c>
      <c r="P1941" t="s">
        <v>2157</v>
      </c>
      <c r="Q1941" s="1">
        <v>28977</v>
      </c>
      <c r="R1941">
        <v>40.799999999999997</v>
      </c>
      <c r="S1941" s="2">
        <v>0</v>
      </c>
      <c r="T1941" s="3">
        <v>2.3638888888888889</v>
      </c>
      <c r="U1941" s="2">
        <v>0.45</v>
      </c>
      <c r="V1941" t="s">
        <v>4131</v>
      </c>
      <c r="W1941" t="s">
        <v>4132</v>
      </c>
      <c r="X1941" t="b">
        <v>0</v>
      </c>
      <c r="Y1941" t="b">
        <v>0</v>
      </c>
    </row>
    <row r="1942" spans="1:25">
      <c r="A1942">
        <v>1000035</v>
      </c>
      <c r="B1942" t="s">
        <v>4061</v>
      </c>
      <c r="C1942" t="s">
        <v>4133</v>
      </c>
      <c r="D1942" t="s">
        <v>1292</v>
      </c>
      <c r="E1942">
        <v>1000035</v>
      </c>
      <c r="F1942" t="s">
        <v>1292</v>
      </c>
      <c r="G1942">
        <v>0</v>
      </c>
      <c r="H1942" t="s">
        <v>1292</v>
      </c>
      <c r="I1942">
        <v>0</v>
      </c>
      <c r="J1942" t="s">
        <v>1292</v>
      </c>
      <c r="K1942">
        <v>0</v>
      </c>
      <c r="L1942" t="s">
        <v>1292</v>
      </c>
      <c r="M1942">
        <v>0</v>
      </c>
      <c r="N1942" t="s">
        <v>1292</v>
      </c>
      <c r="O1942">
        <v>0</v>
      </c>
      <c r="P1942" t="s">
        <v>2290</v>
      </c>
      <c r="Q1942" s="1">
        <v>45616</v>
      </c>
      <c r="R1942">
        <v>17.2</v>
      </c>
      <c r="S1942" s="2">
        <v>0</v>
      </c>
      <c r="T1942" s="3">
        <v>3.3881944444444443</v>
      </c>
      <c r="U1942" s="2">
        <v>0.41</v>
      </c>
      <c r="V1942" t="s">
        <v>4133</v>
      </c>
      <c r="W1942" t="s">
        <v>4134</v>
      </c>
      <c r="X1942" t="b">
        <v>0</v>
      </c>
      <c r="Y1942" t="b">
        <v>0</v>
      </c>
    </row>
    <row r="1943" spans="1:25">
      <c r="A1943">
        <v>1000036</v>
      </c>
      <c r="B1943" t="s">
        <v>4061</v>
      </c>
      <c r="C1943" t="s">
        <v>4135</v>
      </c>
      <c r="D1943" t="s">
        <v>1292</v>
      </c>
      <c r="E1943">
        <v>1000036</v>
      </c>
      <c r="F1943" t="s">
        <v>1292</v>
      </c>
      <c r="G1943">
        <v>0</v>
      </c>
      <c r="H1943" t="s">
        <v>1292</v>
      </c>
      <c r="I1943">
        <v>0</v>
      </c>
      <c r="J1943" t="s">
        <v>1292</v>
      </c>
      <c r="K1943">
        <v>0</v>
      </c>
      <c r="L1943" t="s">
        <v>1292</v>
      </c>
      <c r="M1943">
        <v>0</v>
      </c>
      <c r="N1943" t="s">
        <v>1292</v>
      </c>
      <c r="O1943">
        <v>0</v>
      </c>
      <c r="P1943" t="s">
        <v>2290</v>
      </c>
      <c r="Q1943" s="1">
        <v>44005</v>
      </c>
      <c r="R1943">
        <v>31.1</v>
      </c>
      <c r="S1943" s="2">
        <v>0</v>
      </c>
      <c r="T1943" s="3">
        <v>3.0194444444444444</v>
      </c>
      <c r="U1943" t="s">
        <v>1292</v>
      </c>
      <c r="V1943" t="s">
        <v>4135</v>
      </c>
      <c r="W1943" t="s">
        <v>4136</v>
      </c>
      <c r="X1943" t="b">
        <v>0</v>
      </c>
      <c r="Y1943" t="b">
        <v>0</v>
      </c>
    </row>
    <row r="1944" spans="1:25">
      <c r="A1944">
        <v>1000037</v>
      </c>
      <c r="B1944" t="s">
        <v>4061</v>
      </c>
      <c r="C1944" t="s">
        <v>4137</v>
      </c>
      <c r="D1944" t="s">
        <v>1292</v>
      </c>
      <c r="E1944">
        <v>1000037</v>
      </c>
      <c r="F1944" t="s">
        <v>1292</v>
      </c>
      <c r="G1944">
        <v>0</v>
      </c>
      <c r="H1944" t="s">
        <v>1292</v>
      </c>
      <c r="I1944">
        <v>0</v>
      </c>
      <c r="J1944" t="s">
        <v>1292</v>
      </c>
      <c r="K1944">
        <v>0</v>
      </c>
      <c r="L1944" t="s">
        <v>1292</v>
      </c>
      <c r="M1944">
        <v>0</v>
      </c>
      <c r="N1944" t="s">
        <v>1292</v>
      </c>
      <c r="O1944">
        <v>0</v>
      </c>
      <c r="P1944" t="s">
        <v>2290</v>
      </c>
      <c r="Q1944" s="1">
        <v>47132</v>
      </c>
      <c r="R1944">
        <v>35.5</v>
      </c>
      <c r="S1944" s="2">
        <v>0</v>
      </c>
      <c r="T1944" s="3">
        <v>2.036111111111111</v>
      </c>
      <c r="U1944" t="s">
        <v>1292</v>
      </c>
      <c r="V1944" t="s">
        <v>4137</v>
      </c>
      <c r="W1944" t="s">
        <v>4138</v>
      </c>
      <c r="X1944" t="b">
        <v>0</v>
      </c>
      <c r="Y1944" t="b">
        <v>0</v>
      </c>
    </row>
    <row r="1945" spans="1:25">
      <c r="A1945">
        <v>1000038</v>
      </c>
      <c r="B1945" t="s">
        <v>4061</v>
      </c>
      <c r="C1945" t="s">
        <v>4139</v>
      </c>
      <c r="D1945" t="s">
        <v>1292</v>
      </c>
      <c r="E1945">
        <v>1000038</v>
      </c>
      <c r="F1945" t="s">
        <v>1292</v>
      </c>
      <c r="G1945">
        <v>0</v>
      </c>
      <c r="H1945" t="s">
        <v>1292</v>
      </c>
      <c r="I1945">
        <v>0</v>
      </c>
      <c r="J1945" t="s">
        <v>1292</v>
      </c>
      <c r="K1945">
        <v>0</v>
      </c>
      <c r="L1945" t="s">
        <v>1292</v>
      </c>
      <c r="M1945">
        <v>0</v>
      </c>
      <c r="N1945" t="s">
        <v>1292</v>
      </c>
      <c r="O1945">
        <v>0</v>
      </c>
      <c r="P1945" t="s">
        <v>2157</v>
      </c>
      <c r="Q1945" s="1">
        <v>2126</v>
      </c>
      <c r="R1945">
        <v>20.2</v>
      </c>
      <c r="S1945" s="2">
        <v>0</v>
      </c>
      <c r="T1945" t="s">
        <v>350</v>
      </c>
      <c r="U1945" t="s">
        <v>1292</v>
      </c>
      <c r="V1945" t="s">
        <v>4139</v>
      </c>
      <c r="W1945" t="s">
        <v>4140</v>
      </c>
      <c r="X1945" t="b">
        <v>0</v>
      </c>
      <c r="Y1945" t="b">
        <v>0</v>
      </c>
    </row>
    <row r="1946" spans="1:25">
      <c r="A1946">
        <v>1000039</v>
      </c>
      <c r="B1946" t="s">
        <v>4061</v>
      </c>
      <c r="C1946" t="s">
        <v>4141</v>
      </c>
      <c r="D1946" t="s">
        <v>1292</v>
      </c>
      <c r="E1946">
        <v>1000039</v>
      </c>
      <c r="F1946" t="s">
        <v>1292</v>
      </c>
      <c r="G1946">
        <v>0</v>
      </c>
      <c r="H1946" t="s">
        <v>1292</v>
      </c>
      <c r="I1946">
        <v>0</v>
      </c>
      <c r="J1946" t="s">
        <v>1292</v>
      </c>
      <c r="K1946">
        <v>0</v>
      </c>
      <c r="L1946" t="s">
        <v>1292</v>
      </c>
      <c r="M1946">
        <v>0</v>
      </c>
      <c r="N1946" t="s">
        <v>1292</v>
      </c>
      <c r="O1946">
        <v>0</v>
      </c>
      <c r="P1946" t="s">
        <v>1554</v>
      </c>
      <c r="Q1946" s="1">
        <v>9949</v>
      </c>
      <c r="R1946">
        <v>26.9</v>
      </c>
      <c r="S1946" s="2">
        <v>0.01</v>
      </c>
      <c r="T1946" s="3">
        <v>2.3229166666666665</v>
      </c>
      <c r="U1946" s="2">
        <v>0.39</v>
      </c>
      <c r="V1946" t="s">
        <v>4141</v>
      </c>
      <c r="W1946" t="s">
        <v>4142</v>
      </c>
      <c r="X1946" t="b">
        <v>0</v>
      </c>
      <c r="Y1946" t="b">
        <v>0</v>
      </c>
    </row>
    <row r="1947" spans="1:25">
      <c r="A1947">
        <v>1000040</v>
      </c>
      <c r="B1947" t="s">
        <v>4061</v>
      </c>
      <c r="C1947" t="s">
        <v>4143</v>
      </c>
      <c r="D1947" t="s">
        <v>1292</v>
      </c>
      <c r="E1947">
        <v>1000040</v>
      </c>
      <c r="F1947" t="s">
        <v>1292</v>
      </c>
      <c r="G1947">
        <v>0</v>
      </c>
      <c r="H1947" t="s">
        <v>1292</v>
      </c>
      <c r="I1947">
        <v>0</v>
      </c>
      <c r="J1947" t="s">
        <v>1292</v>
      </c>
      <c r="K1947">
        <v>0</v>
      </c>
      <c r="L1947" t="s">
        <v>1292</v>
      </c>
      <c r="M1947">
        <v>0</v>
      </c>
      <c r="N1947" t="s">
        <v>1292</v>
      </c>
      <c r="O1947">
        <v>0</v>
      </c>
      <c r="P1947" t="s">
        <v>4144</v>
      </c>
      <c r="Q1947" s="1">
        <v>3802</v>
      </c>
      <c r="R1947">
        <v>13</v>
      </c>
      <c r="S1947" s="2">
        <v>7.0000000000000007E-2</v>
      </c>
      <c r="T1947" s="3">
        <v>3.4291666666666667</v>
      </c>
      <c r="U1947" t="s">
        <v>1292</v>
      </c>
      <c r="V1947" t="s">
        <v>4143</v>
      </c>
      <c r="W1947" t="s">
        <v>4145</v>
      </c>
      <c r="X1947" t="b">
        <v>0</v>
      </c>
      <c r="Y1947" t="b">
        <v>0</v>
      </c>
    </row>
    <row r="1948" spans="1:25">
      <c r="A1948">
        <v>1000041</v>
      </c>
      <c r="B1948" t="s">
        <v>4061</v>
      </c>
      <c r="C1948" t="s">
        <v>4146</v>
      </c>
      <c r="D1948" t="s">
        <v>1292</v>
      </c>
      <c r="E1948">
        <v>1000041</v>
      </c>
      <c r="F1948" t="s">
        <v>1292</v>
      </c>
      <c r="G1948">
        <v>0</v>
      </c>
      <c r="H1948" t="s">
        <v>1292</v>
      </c>
      <c r="I1948">
        <v>0</v>
      </c>
      <c r="J1948" t="s">
        <v>1292</v>
      </c>
      <c r="K1948">
        <v>0</v>
      </c>
      <c r="L1948" t="s">
        <v>1292</v>
      </c>
      <c r="M1948">
        <v>0</v>
      </c>
      <c r="N1948" t="s">
        <v>1292</v>
      </c>
      <c r="O1948">
        <v>0</v>
      </c>
      <c r="P1948" t="s">
        <v>4123</v>
      </c>
      <c r="Q1948" s="1">
        <v>2957</v>
      </c>
      <c r="R1948">
        <v>68.8</v>
      </c>
      <c r="S1948" s="2">
        <v>0</v>
      </c>
      <c r="T1948" s="3">
        <v>1.9131944444444444</v>
      </c>
      <c r="U1948" t="s">
        <v>1292</v>
      </c>
      <c r="V1948" t="s">
        <v>4146</v>
      </c>
      <c r="W1948" t="s">
        <v>4147</v>
      </c>
      <c r="X1948" t="b">
        <v>0</v>
      </c>
      <c r="Y1948" t="b">
        <v>0</v>
      </c>
    </row>
    <row r="1949" spans="1:25">
      <c r="A1949">
        <v>1000042</v>
      </c>
      <c r="B1949" t="s">
        <v>4061</v>
      </c>
      <c r="C1949" t="s">
        <v>4148</v>
      </c>
      <c r="D1949" t="s">
        <v>1292</v>
      </c>
      <c r="E1949">
        <v>1000042</v>
      </c>
      <c r="F1949" t="s">
        <v>1292</v>
      </c>
      <c r="G1949">
        <v>0</v>
      </c>
      <c r="H1949" t="s">
        <v>1292</v>
      </c>
      <c r="I1949">
        <v>0</v>
      </c>
      <c r="J1949" t="s">
        <v>1292</v>
      </c>
      <c r="K1949">
        <v>0</v>
      </c>
      <c r="L1949" t="s">
        <v>1292</v>
      </c>
      <c r="M1949">
        <v>0</v>
      </c>
      <c r="N1949" t="s">
        <v>1292</v>
      </c>
      <c r="O1949">
        <v>0</v>
      </c>
      <c r="P1949" t="s">
        <v>2157</v>
      </c>
      <c r="Q1949" s="1">
        <v>4660</v>
      </c>
      <c r="R1949">
        <v>17.600000000000001</v>
      </c>
      <c r="S1949" s="2">
        <v>0</v>
      </c>
      <c r="T1949" s="3">
        <v>2.4048611111111109</v>
      </c>
      <c r="U1949" t="s">
        <v>1292</v>
      </c>
      <c r="V1949" t="s">
        <v>4148</v>
      </c>
      <c r="W1949" t="s">
        <v>4149</v>
      </c>
      <c r="X1949" t="b">
        <v>0</v>
      </c>
      <c r="Y1949" t="b">
        <v>0</v>
      </c>
    </row>
    <row r="1950" spans="1:25">
      <c r="A1950">
        <v>1000043</v>
      </c>
      <c r="B1950" t="s">
        <v>4061</v>
      </c>
      <c r="C1950" t="s">
        <v>4150</v>
      </c>
      <c r="D1950" t="s">
        <v>1292</v>
      </c>
      <c r="E1950">
        <v>1000043</v>
      </c>
      <c r="F1950" t="s">
        <v>1292</v>
      </c>
      <c r="G1950">
        <v>0</v>
      </c>
      <c r="H1950" t="s">
        <v>1292</v>
      </c>
      <c r="I1950">
        <v>0</v>
      </c>
      <c r="J1950" t="s">
        <v>1292</v>
      </c>
      <c r="K1950">
        <v>0</v>
      </c>
      <c r="L1950" t="s">
        <v>1292</v>
      </c>
      <c r="M1950">
        <v>0</v>
      </c>
      <c r="N1950" t="s">
        <v>1292</v>
      </c>
      <c r="O1950">
        <v>0</v>
      </c>
      <c r="P1950" t="s">
        <v>2157</v>
      </c>
      <c r="Q1950" s="1">
        <v>1508</v>
      </c>
      <c r="R1950">
        <v>9</v>
      </c>
      <c r="S1950" s="2">
        <v>0</v>
      </c>
      <c r="T1950" s="3">
        <v>1.7902777777777779</v>
      </c>
      <c r="U1950" t="s">
        <v>1292</v>
      </c>
      <c r="V1950" t="s">
        <v>4150</v>
      </c>
      <c r="W1950" t="s">
        <v>4151</v>
      </c>
      <c r="X1950" t="b">
        <v>0</v>
      </c>
      <c r="Y1950" t="b">
        <v>0</v>
      </c>
    </row>
    <row r="1951" spans="1:25">
      <c r="A1951">
        <v>1000044</v>
      </c>
      <c r="B1951" t="s">
        <v>4061</v>
      </c>
      <c r="C1951" t="s">
        <v>4152</v>
      </c>
      <c r="D1951" t="s">
        <v>1292</v>
      </c>
      <c r="E1951">
        <v>1000044</v>
      </c>
      <c r="F1951" t="s">
        <v>1292</v>
      </c>
      <c r="G1951">
        <v>0</v>
      </c>
      <c r="H1951" t="s">
        <v>1292</v>
      </c>
      <c r="I1951">
        <v>0</v>
      </c>
      <c r="J1951" t="s">
        <v>1292</v>
      </c>
      <c r="K1951">
        <v>0</v>
      </c>
      <c r="L1951" t="s">
        <v>1292</v>
      </c>
      <c r="M1951">
        <v>0</v>
      </c>
      <c r="N1951" t="s">
        <v>1292</v>
      </c>
      <c r="O1951">
        <v>0</v>
      </c>
      <c r="P1951" t="s">
        <v>2157</v>
      </c>
      <c r="Q1951" s="1">
        <v>10024</v>
      </c>
      <c r="R1951">
        <v>20.3</v>
      </c>
      <c r="S1951" s="2">
        <v>0</v>
      </c>
      <c r="T1951" t="s">
        <v>696</v>
      </c>
      <c r="U1951" t="s">
        <v>1292</v>
      </c>
      <c r="V1951" t="s">
        <v>4152</v>
      </c>
      <c r="W1951" t="s">
        <v>4153</v>
      </c>
      <c r="X1951" t="b">
        <v>0</v>
      </c>
      <c r="Y1951" t="b">
        <v>0</v>
      </c>
    </row>
    <row r="1952" spans="1:25">
      <c r="A1952">
        <v>1000045</v>
      </c>
      <c r="B1952" t="s">
        <v>4061</v>
      </c>
      <c r="C1952" t="s">
        <v>4154</v>
      </c>
      <c r="D1952" t="s">
        <v>1292</v>
      </c>
      <c r="E1952">
        <v>1000045</v>
      </c>
      <c r="F1952" t="s">
        <v>1292</v>
      </c>
      <c r="G1952">
        <v>0</v>
      </c>
      <c r="H1952" t="s">
        <v>1292</v>
      </c>
      <c r="I1952">
        <v>0</v>
      </c>
      <c r="J1952" t="s">
        <v>1292</v>
      </c>
      <c r="K1952">
        <v>0</v>
      </c>
      <c r="L1952" t="s">
        <v>1292</v>
      </c>
      <c r="M1952">
        <v>0</v>
      </c>
      <c r="N1952" t="s">
        <v>1292</v>
      </c>
      <c r="O1952">
        <v>0</v>
      </c>
      <c r="P1952" t="s">
        <v>534</v>
      </c>
      <c r="Q1952" s="1">
        <v>2873</v>
      </c>
      <c r="R1952">
        <v>19</v>
      </c>
      <c r="S1952" s="2">
        <v>0.19</v>
      </c>
      <c r="T1952" s="3">
        <v>2.4458333333333333</v>
      </c>
      <c r="U1952" t="s">
        <v>1292</v>
      </c>
      <c r="V1952" t="s">
        <v>4154</v>
      </c>
      <c r="W1952" t="s">
        <v>4155</v>
      </c>
      <c r="X1952" t="b">
        <v>0</v>
      </c>
      <c r="Y1952" t="b">
        <v>0</v>
      </c>
    </row>
    <row r="1953" spans="1:25">
      <c r="A1953">
        <v>1000046</v>
      </c>
      <c r="B1953" t="s">
        <v>4061</v>
      </c>
      <c r="C1953" t="s">
        <v>4156</v>
      </c>
      <c r="D1953" t="s">
        <v>1292</v>
      </c>
      <c r="E1953">
        <v>1000046</v>
      </c>
      <c r="F1953" t="s">
        <v>1292</v>
      </c>
      <c r="G1953">
        <v>0</v>
      </c>
      <c r="H1953" t="s">
        <v>1292</v>
      </c>
      <c r="I1953">
        <v>0</v>
      </c>
      <c r="J1953" t="s">
        <v>1292</v>
      </c>
      <c r="K1953">
        <v>0</v>
      </c>
      <c r="L1953" t="s">
        <v>1292</v>
      </c>
      <c r="M1953">
        <v>0</v>
      </c>
      <c r="N1953" t="s">
        <v>1292</v>
      </c>
      <c r="O1953">
        <v>0</v>
      </c>
      <c r="P1953" t="s">
        <v>2157</v>
      </c>
      <c r="Q1953" s="1">
        <v>6000</v>
      </c>
      <c r="R1953">
        <v>17.600000000000001</v>
      </c>
      <c r="S1953" s="2">
        <v>0.01</v>
      </c>
      <c r="T1953" s="3">
        <v>2.5277777777777777</v>
      </c>
      <c r="U1953" t="s">
        <v>1292</v>
      </c>
      <c r="V1953" t="s">
        <v>4156</v>
      </c>
      <c r="W1953" t="s">
        <v>4157</v>
      </c>
      <c r="X1953" t="b">
        <v>0</v>
      </c>
      <c r="Y1953" t="b">
        <v>0</v>
      </c>
    </row>
    <row r="1954" spans="1:25">
      <c r="A1954">
        <v>1000047</v>
      </c>
      <c r="B1954" t="s">
        <v>4061</v>
      </c>
      <c r="C1954" t="s">
        <v>4158</v>
      </c>
      <c r="D1954" t="s">
        <v>1292</v>
      </c>
      <c r="E1954">
        <v>1000047</v>
      </c>
      <c r="F1954" t="s">
        <v>1292</v>
      </c>
      <c r="G1954">
        <v>0</v>
      </c>
      <c r="H1954" t="s">
        <v>1292</v>
      </c>
      <c r="I1954">
        <v>0</v>
      </c>
      <c r="J1954" t="s">
        <v>1292</v>
      </c>
      <c r="K1954">
        <v>0</v>
      </c>
      <c r="L1954" t="s">
        <v>1292</v>
      </c>
      <c r="M1954">
        <v>0</v>
      </c>
      <c r="N1954" t="s">
        <v>1292</v>
      </c>
      <c r="O1954">
        <v>0</v>
      </c>
      <c r="P1954" t="s">
        <v>2157</v>
      </c>
      <c r="Q1954" s="1">
        <v>5085</v>
      </c>
      <c r="R1954">
        <v>22.7</v>
      </c>
      <c r="S1954" s="2">
        <v>0</v>
      </c>
      <c r="T1954" s="3">
        <v>2.2819444444444446</v>
      </c>
      <c r="U1954" t="s">
        <v>1292</v>
      </c>
      <c r="V1954" t="s">
        <v>4158</v>
      </c>
      <c r="W1954" t="s">
        <v>253</v>
      </c>
      <c r="X1954" t="b">
        <v>0</v>
      </c>
      <c r="Y1954" t="b">
        <v>0</v>
      </c>
    </row>
    <row r="1955" spans="1:25">
      <c r="A1955">
        <v>1000048</v>
      </c>
      <c r="B1955" t="s">
        <v>4061</v>
      </c>
      <c r="C1955" t="s">
        <v>4159</v>
      </c>
      <c r="D1955" t="s">
        <v>1292</v>
      </c>
      <c r="E1955">
        <v>1000048</v>
      </c>
      <c r="F1955" t="s">
        <v>1292</v>
      </c>
      <c r="G1955">
        <v>0</v>
      </c>
      <c r="H1955" t="s">
        <v>1292</v>
      </c>
      <c r="I1955">
        <v>0</v>
      </c>
      <c r="J1955" t="s">
        <v>1292</v>
      </c>
      <c r="K1955">
        <v>0</v>
      </c>
      <c r="L1955" t="s">
        <v>1292</v>
      </c>
      <c r="M1955">
        <v>0</v>
      </c>
      <c r="N1955" t="s">
        <v>1292</v>
      </c>
      <c r="O1955">
        <v>0</v>
      </c>
      <c r="P1955" t="s">
        <v>1306</v>
      </c>
      <c r="Q1955" s="1">
        <v>7022</v>
      </c>
      <c r="R1955">
        <v>6.3</v>
      </c>
      <c r="S1955" s="2">
        <v>0.06</v>
      </c>
      <c r="T1955" s="3">
        <v>2.3638888888888889</v>
      </c>
      <c r="U1955" t="s">
        <v>1292</v>
      </c>
      <c r="V1955" t="s">
        <v>4159</v>
      </c>
      <c r="W1955" t="s">
        <v>4160</v>
      </c>
      <c r="X1955" t="b">
        <v>0</v>
      </c>
      <c r="Y1955" t="b">
        <v>0</v>
      </c>
    </row>
    <row r="1956" spans="1:25">
      <c r="A1956">
        <v>1000049</v>
      </c>
      <c r="B1956" t="s">
        <v>4061</v>
      </c>
      <c r="C1956" t="s">
        <v>4161</v>
      </c>
      <c r="D1956" t="s">
        <v>1292</v>
      </c>
      <c r="E1956">
        <v>1000049</v>
      </c>
      <c r="F1956" t="s">
        <v>1292</v>
      </c>
      <c r="G1956">
        <v>0</v>
      </c>
      <c r="H1956" t="s">
        <v>1292</v>
      </c>
      <c r="I1956">
        <v>0</v>
      </c>
      <c r="J1956" t="s">
        <v>1292</v>
      </c>
      <c r="K1956">
        <v>0</v>
      </c>
      <c r="L1956" t="s">
        <v>1292</v>
      </c>
      <c r="M1956">
        <v>0</v>
      </c>
      <c r="N1956" t="s">
        <v>1292</v>
      </c>
      <c r="O1956">
        <v>0</v>
      </c>
      <c r="P1956" t="s">
        <v>255</v>
      </c>
      <c r="Q1956" s="1">
        <v>1417</v>
      </c>
      <c r="R1956">
        <v>5.0999999999999996</v>
      </c>
      <c r="S1956" s="2">
        <v>0.02</v>
      </c>
      <c r="T1956" s="3">
        <v>3.0194444444444444</v>
      </c>
      <c r="U1956" s="2">
        <v>0.05</v>
      </c>
      <c r="V1956" t="s">
        <v>4161</v>
      </c>
      <c r="W1956" t="s">
        <v>667</v>
      </c>
      <c r="X1956" t="b">
        <v>0</v>
      </c>
      <c r="Y1956" t="b">
        <v>0</v>
      </c>
    </row>
    <row r="1957" spans="1:25">
      <c r="A1957">
        <v>1000050</v>
      </c>
      <c r="B1957" t="s">
        <v>4061</v>
      </c>
      <c r="C1957" t="s">
        <v>4162</v>
      </c>
      <c r="D1957" t="s">
        <v>1292</v>
      </c>
      <c r="E1957">
        <v>1000050</v>
      </c>
      <c r="F1957" t="s">
        <v>1292</v>
      </c>
      <c r="G1957">
        <v>0</v>
      </c>
      <c r="H1957" t="s">
        <v>1292</v>
      </c>
      <c r="I1957">
        <v>0</v>
      </c>
      <c r="J1957" t="s">
        <v>1292</v>
      </c>
      <c r="K1957">
        <v>0</v>
      </c>
      <c r="L1957" t="s">
        <v>1292</v>
      </c>
      <c r="M1957">
        <v>0</v>
      </c>
      <c r="N1957" t="s">
        <v>1292</v>
      </c>
      <c r="O1957">
        <v>0</v>
      </c>
      <c r="P1957" t="s">
        <v>2157</v>
      </c>
      <c r="Q1957" s="1">
        <v>10587</v>
      </c>
      <c r="R1957">
        <v>19.8</v>
      </c>
      <c r="S1957" s="2">
        <v>0</v>
      </c>
      <c r="T1957" t="s">
        <v>658</v>
      </c>
      <c r="U1957" t="s">
        <v>1292</v>
      </c>
      <c r="V1957" t="s">
        <v>4162</v>
      </c>
      <c r="W1957" t="s">
        <v>4163</v>
      </c>
      <c r="X1957" t="b">
        <v>0</v>
      </c>
      <c r="Y1957" t="b">
        <v>0</v>
      </c>
    </row>
    <row r="1958" spans="1:25">
      <c r="A1958">
        <v>1000051</v>
      </c>
      <c r="B1958" t="s">
        <v>4061</v>
      </c>
      <c r="C1958" t="s">
        <v>4164</v>
      </c>
      <c r="D1958" t="s">
        <v>1292</v>
      </c>
      <c r="E1958">
        <v>1000051</v>
      </c>
      <c r="F1958" t="s">
        <v>1292</v>
      </c>
      <c r="G1958">
        <v>0</v>
      </c>
      <c r="H1958" t="s">
        <v>1292</v>
      </c>
      <c r="I1958">
        <v>0</v>
      </c>
      <c r="J1958" t="s">
        <v>1292</v>
      </c>
      <c r="K1958">
        <v>0</v>
      </c>
      <c r="L1958" t="s">
        <v>1292</v>
      </c>
      <c r="M1958">
        <v>0</v>
      </c>
      <c r="N1958" t="s">
        <v>1292</v>
      </c>
      <c r="O1958">
        <v>0</v>
      </c>
      <c r="P1958" t="s">
        <v>2157</v>
      </c>
      <c r="Q1958" s="1">
        <v>15826</v>
      </c>
      <c r="R1958">
        <v>23.5</v>
      </c>
      <c r="S1958" s="2">
        <v>0</v>
      </c>
      <c r="T1958" s="3">
        <v>2.3229166666666665</v>
      </c>
      <c r="U1958" s="2">
        <v>0.36</v>
      </c>
      <c r="V1958" t="s">
        <v>4164</v>
      </c>
      <c r="W1958" t="s">
        <v>4165</v>
      </c>
      <c r="X1958" t="b">
        <v>0</v>
      </c>
      <c r="Y1958" t="b">
        <v>0</v>
      </c>
    </row>
    <row r="1959" spans="1:25">
      <c r="A1959">
        <v>1000052</v>
      </c>
      <c r="B1959" t="s">
        <v>4061</v>
      </c>
      <c r="C1959" t="s">
        <v>4166</v>
      </c>
      <c r="D1959" t="s">
        <v>1292</v>
      </c>
      <c r="E1959">
        <v>1000052</v>
      </c>
      <c r="F1959" t="s">
        <v>1292</v>
      </c>
      <c r="G1959">
        <v>0</v>
      </c>
      <c r="H1959" t="s">
        <v>1292</v>
      </c>
      <c r="I1959">
        <v>0</v>
      </c>
      <c r="J1959" t="s">
        <v>1292</v>
      </c>
      <c r="K1959">
        <v>0</v>
      </c>
      <c r="L1959" t="s">
        <v>1292</v>
      </c>
      <c r="M1959">
        <v>0</v>
      </c>
      <c r="N1959" t="s">
        <v>1292</v>
      </c>
      <c r="O1959">
        <v>0</v>
      </c>
      <c r="P1959" t="s">
        <v>2157</v>
      </c>
      <c r="Q1959" s="1">
        <v>6906</v>
      </c>
      <c r="R1959">
        <v>16.2</v>
      </c>
      <c r="S1959" s="2">
        <v>0.02</v>
      </c>
      <c r="T1959" s="3">
        <v>1.9951388888888888</v>
      </c>
      <c r="U1959" s="2">
        <v>0.32</v>
      </c>
      <c r="V1959" t="s">
        <v>4166</v>
      </c>
      <c r="W1959" t="s">
        <v>4167</v>
      </c>
      <c r="X1959" t="b">
        <v>0</v>
      </c>
      <c r="Y1959" t="b">
        <v>0</v>
      </c>
    </row>
    <row r="1960" spans="1:25">
      <c r="A1960">
        <v>1000053</v>
      </c>
      <c r="B1960" t="s">
        <v>4061</v>
      </c>
      <c r="C1960" t="s">
        <v>4168</v>
      </c>
      <c r="D1960" t="s">
        <v>1292</v>
      </c>
      <c r="E1960">
        <v>1000053</v>
      </c>
      <c r="F1960" t="s">
        <v>1292</v>
      </c>
      <c r="G1960">
        <v>0</v>
      </c>
      <c r="H1960" t="s">
        <v>1292</v>
      </c>
      <c r="I1960">
        <v>0</v>
      </c>
      <c r="J1960" t="s">
        <v>1292</v>
      </c>
      <c r="K1960">
        <v>0</v>
      </c>
      <c r="L1960" t="s">
        <v>1292</v>
      </c>
      <c r="M1960">
        <v>0</v>
      </c>
      <c r="N1960" t="s">
        <v>1292</v>
      </c>
      <c r="O1960">
        <v>0</v>
      </c>
      <c r="P1960" t="s">
        <v>2157</v>
      </c>
      <c r="Q1960" s="1">
        <v>5545</v>
      </c>
      <c r="R1960">
        <v>23.5</v>
      </c>
      <c r="S1960" s="2">
        <v>0</v>
      </c>
      <c r="T1960" t="s">
        <v>501</v>
      </c>
      <c r="U1960" t="s">
        <v>1292</v>
      </c>
      <c r="V1960" t="s">
        <v>4168</v>
      </c>
      <c r="W1960" t="s">
        <v>4169</v>
      </c>
      <c r="X1960" t="b">
        <v>0</v>
      </c>
      <c r="Y1960" t="b">
        <v>0</v>
      </c>
    </row>
    <row r="1961" spans="1:25">
      <c r="A1961">
        <v>1000054</v>
      </c>
      <c r="B1961" t="s">
        <v>4061</v>
      </c>
      <c r="C1961" t="s">
        <v>4170</v>
      </c>
      <c r="D1961" t="s">
        <v>1292</v>
      </c>
      <c r="E1961">
        <v>1000054</v>
      </c>
      <c r="F1961" t="s">
        <v>1292</v>
      </c>
      <c r="G1961">
        <v>0</v>
      </c>
      <c r="H1961" t="s">
        <v>1292</v>
      </c>
      <c r="I1961">
        <v>0</v>
      </c>
      <c r="J1961" t="s">
        <v>1292</v>
      </c>
      <c r="K1961">
        <v>0</v>
      </c>
      <c r="L1961" t="s">
        <v>1292</v>
      </c>
      <c r="M1961">
        <v>0</v>
      </c>
      <c r="N1961" t="s">
        <v>1292</v>
      </c>
      <c r="O1961">
        <v>0</v>
      </c>
      <c r="P1961" t="s">
        <v>2157</v>
      </c>
      <c r="Q1961" s="1">
        <v>3830</v>
      </c>
      <c r="R1961">
        <v>28.2</v>
      </c>
      <c r="S1961" s="2">
        <v>0</v>
      </c>
      <c r="T1961" t="s">
        <v>324</v>
      </c>
      <c r="U1961" t="s">
        <v>1292</v>
      </c>
      <c r="V1961" t="s">
        <v>4170</v>
      </c>
      <c r="W1961" t="s">
        <v>4171</v>
      </c>
      <c r="X1961" t="b">
        <v>0</v>
      </c>
      <c r="Y1961" t="b">
        <v>0</v>
      </c>
    </row>
    <row r="1962" spans="1:25">
      <c r="A1962">
        <v>1000055</v>
      </c>
      <c r="B1962" t="s">
        <v>4061</v>
      </c>
      <c r="C1962" t="s">
        <v>4172</v>
      </c>
      <c r="D1962" t="s">
        <v>1292</v>
      </c>
      <c r="E1962">
        <v>1000055</v>
      </c>
      <c r="F1962" t="s">
        <v>1292</v>
      </c>
      <c r="G1962">
        <v>0</v>
      </c>
      <c r="H1962" t="s">
        <v>1292</v>
      </c>
      <c r="I1962">
        <v>0</v>
      </c>
      <c r="J1962" t="s">
        <v>1292</v>
      </c>
      <c r="K1962">
        <v>0</v>
      </c>
      <c r="L1962" t="s">
        <v>1292</v>
      </c>
      <c r="M1962">
        <v>0</v>
      </c>
      <c r="N1962" t="s">
        <v>1292</v>
      </c>
      <c r="O1962">
        <v>0</v>
      </c>
      <c r="P1962" t="s">
        <v>2157</v>
      </c>
      <c r="Q1962" s="1">
        <v>3120</v>
      </c>
      <c r="R1962">
        <v>7.3</v>
      </c>
      <c r="S1962" s="2">
        <v>0</v>
      </c>
      <c r="T1962" s="3">
        <v>2.1180555555555554</v>
      </c>
      <c r="U1962" t="s">
        <v>1292</v>
      </c>
      <c r="V1962" t="s">
        <v>4172</v>
      </c>
      <c r="W1962" t="s">
        <v>4173</v>
      </c>
      <c r="X1962" t="b">
        <v>0</v>
      </c>
      <c r="Y1962" t="b">
        <v>0</v>
      </c>
    </row>
    <row r="1963" spans="1:25">
      <c r="A1963">
        <v>1000056</v>
      </c>
      <c r="B1963" t="s">
        <v>4061</v>
      </c>
      <c r="C1963" t="s">
        <v>4174</v>
      </c>
      <c r="D1963" t="s">
        <v>1292</v>
      </c>
      <c r="E1963">
        <v>1000056</v>
      </c>
      <c r="F1963" t="s">
        <v>1292</v>
      </c>
      <c r="G1963">
        <v>0</v>
      </c>
      <c r="H1963" t="s">
        <v>1292</v>
      </c>
      <c r="I1963">
        <v>0</v>
      </c>
      <c r="J1963" t="s">
        <v>1292</v>
      </c>
      <c r="K1963">
        <v>0</v>
      </c>
      <c r="L1963" t="s">
        <v>1292</v>
      </c>
      <c r="M1963">
        <v>0</v>
      </c>
      <c r="N1963" t="s">
        <v>1292</v>
      </c>
      <c r="O1963">
        <v>0</v>
      </c>
      <c r="P1963" t="s">
        <v>2224</v>
      </c>
      <c r="Q1963" s="1">
        <v>12427</v>
      </c>
      <c r="R1963">
        <v>13.4</v>
      </c>
      <c r="S1963" s="2">
        <v>0.26</v>
      </c>
      <c r="T1963" s="3">
        <v>2.5687500000000001</v>
      </c>
      <c r="U1963" s="2">
        <v>0.13</v>
      </c>
      <c r="V1963" t="s">
        <v>4174</v>
      </c>
      <c r="W1963" t="s">
        <v>4175</v>
      </c>
      <c r="X1963" t="b">
        <v>0</v>
      </c>
      <c r="Y1963" t="b">
        <v>0</v>
      </c>
    </row>
    <row r="1964" spans="1:25">
      <c r="A1964">
        <v>1000057</v>
      </c>
      <c r="B1964" t="s">
        <v>4061</v>
      </c>
      <c r="C1964" t="s">
        <v>4176</v>
      </c>
      <c r="D1964" t="s">
        <v>1292</v>
      </c>
      <c r="E1964">
        <v>1000057</v>
      </c>
      <c r="F1964" t="s">
        <v>1292</v>
      </c>
      <c r="G1964">
        <v>0</v>
      </c>
      <c r="H1964" t="s">
        <v>1292</v>
      </c>
      <c r="I1964">
        <v>0</v>
      </c>
      <c r="J1964" t="s">
        <v>1292</v>
      </c>
      <c r="K1964">
        <v>0</v>
      </c>
      <c r="L1964" t="s">
        <v>1292</v>
      </c>
      <c r="M1964">
        <v>0</v>
      </c>
      <c r="N1964" t="s">
        <v>1292</v>
      </c>
      <c r="O1964">
        <v>0</v>
      </c>
      <c r="P1964" t="s">
        <v>2157</v>
      </c>
      <c r="Q1964" s="1">
        <v>6817</v>
      </c>
      <c r="R1964">
        <v>37.299999999999997</v>
      </c>
      <c r="S1964" s="2">
        <v>0</v>
      </c>
      <c r="T1964" s="3">
        <v>1.9131944444444444</v>
      </c>
      <c r="U1964" t="s">
        <v>1292</v>
      </c>
      <c r="V1964" t="s">
        <v>4176</v>
      </c>
      <c r="W1964" t="s">
        <v>4177</v>
      </c>
      <c r="X1964" t="b">
        <v>0</v>
      </c>
      <c r="Y1964" t="b">
        <v>0</v>
      </c>
    </row>
    <row r="1965" spans="1:25">
      <c r="A1965">
        <v>1000058</v>
      </c>
      <c r="B1965" t="s">
        <v>4061</v>
      </c>
      <c r="C1965" t="s">
        <v>4178</v>
      </c>
      <c r="D1965" t="s">
        <v>1292</v>
      </c>
      <c r="E1965">
        <v>1000058</v>
      </c>
      <c r="F1965" t="s">
        <v>1292</v>
      </c>
      <c r="G1965">
        <v>0</v>
      </c>
      <c r="H1965" t="s">
        <v>1292</v>
      </c>
      <c r="I1965">
        <v>0</v>
      </c>
      <c r="J1965" t="s">
        <v>1292</v>
      </c>
      <c r="K1965">
        <v>0</v>
      </c>
      <c r="L1965" t="s">
        <v>1292</v>
      </c>
      <c r="M1965">
        <v>0</v>
      </c>
      <c r="N1965" t="s">
        <v>1292</v>
      </c>
      <c r="O1965">
        <v>0</v>
      </c>
      <c r="P1965" t="s">
        <v>2157</v>
      </c>
      <c r="Q1965" s="1">
        <v>6834</v>
      </c>
      <c r="R1965">
        <v>23.5</v>
      </c>
      <c r="S1965" s="2">
        <v>0</v>
      </c>
      <c r="T1965" t="s">
        <v>658</v>
      </c>
      <c r="U1965" t="s">
        <v>1292</v>
      </c>
      <c r="V1965" t="s">
        <v>4178</v>
      </c>
      <c r="W1965" t="s">
        <v>4179</v>
      </c>
      <c r="X1965" t="b">
        <v>0</v>
      </c>
      <c r="Y1965" t="b">
        <v>0</v>
      </c>
    </row>
    <row r="1966" spans="1:25">
      <c r="A1966">
        <v>1000059</v>
      </c>
      <c r="B1966" t="s">
        <v>4061</v>
      </c>
      <c r="C1966" t="s">
        <v>4180</v>
      </c>
      <c r="D1966" t="s">
        <v>1292</v>
      </c>
      <c r="E1966">
        <v>1000059</v>
      </c>
      <c r="F1966" t="s">
        <v>1292</v>
      </c>
      <c r="G1966">
        <v>0</v>
      </c>
      <c r="H1966" t="s">
        <v>1292</v>
      </c>
      <c r="I1966">
        <v>0</v>
      </c>
      <c r="J1966" t="s">
        <v>1292</v>
      </c>
      <c r="K1966">
        <v>0</v>
      </c>
      <c r="L1966" t="s">
        <v>1292</v>
      </c>
      <c r="M1966">
        <v>0</v>
      </c>
      <c r="N1966" t="s">
        <v>1292</v>
      </c>
      <c r="O1966">
        <v>0</v>
      </c>
      <c r="P1966" t="s">
        <v>895</v>
      </c>
      <c r="Q1966" s="1">
        <v>9335</v>
      </c>
      <c r="R1966">
        <v>20.8</v>
      </c>
      <c r="S1966" s="2">
        <v>0.51</v>
      </c>
      <c r="T1966" s="3">
        <v>2.1590277777777778</v>
      </c>
      <c r="U1966" s="2">
        <v>0.26</v>
      </c>
      <c r="V1966" t="s">
        <v>4180</v>
      </c>
      <c r="W1966" t="s">
        <v>4181</v>
      </c>
      <c r="X1966" t="b">
        <v>0</v>
      </c>
      <c r="Y1966" t="b">
        <v>0</v>
      </c>
    </row>
    <row r="1967" spans="1:25">
      <c r="A1967">
        <v>1000060</v>
      </c>
      <c r="B1967" t="s">
        <v>4061</v>
      </c>
      <c r="C1967" t="s">
        <v>4182</v>
      </c>
      <c r="D1967" t="s">
        <v>1292</v>
      </c>
      <c r="E1967">
        <v>1000060</v>
      </c>
      <c r="F1967" t="s">
        <v>1292</v>
      </c>
      <c r="G1967">
        <v>0</v>
      </c>
      <c r="H1967" t="s">
        <v>1292</v>
      </c>
      <c r="I1967">
        <v>0</v>
      </c>
      <c r="J1967" t="s">
        <v>1292</v>
      </c>
      <c r="K1967">
        <v>0</v>
      </c>
      <c r="L1967" t="s">
        <v>1292</v>
      </c>
      <c r="M1967">
        <v>0</v>
      </c>
      <c r="N1967" t="s">
        <v>1292</v>
      </c>
      <c r="O1967">
        <v>0</v>
      </c>
      <c r="P1967" t="s">
        <v>2157</v>
      </c>
      <c r="Q1967" s="1">
        <v>2198</v>
      </c>
      <c r="R1967">
        <v>29.7</v>
      </c>
      <c r="S1967" s="2">
        <v>0</v>
      </c>
      <c r="T1967" s="3">
        <v>1.9951388888888888</v>
      </c>
      <c r="U1967" t="s">
        <v>1292</v>
      </c>
      <c r="V1967" t="s">
        <v>4182</v>
      </c>
      <c r="W1967" t="s">
        <v>4183</v>
      </c>
      <c r="X1967" t="b">
        <v>0</v>
      </c>
      <c r="Y1967" t="b">
        <v>0</v>
      </c>
    </row>
    <row r="1968" spans="1:25">
      <c r="A1968">
        <v>1000061</v>
      </c>
      <c r="B1968" t="s">
        <v>4061</v>
      </c>
      <c r="C1968" t="s">
        <v>4184</v>
      </c>
      <c r="D1968" t="s">
        <v>1292</v>
      </c>
      <c r="E1968">
        <v>1000061</v>
      </c>
      <c r="F1968" t="s">
        <v>1292</v>
      </c>
      <c r="G1968">
        <v>0</v>
      </c>
      <c r="H1968" t="s">
        <v>1292</v>
      </c>
      <c r="I1968">
        <v>0</v>
      </c>
      <c r="J1968" t="s">
        <v>1292</v>
      </c>
      <c r="K1968">
        <v>0</v>
      </c>
      <c r="L1968" t="s">
        <v>1292</v>
      </c>
      <c r="M1968">
        <v>0</v>
      </c>
      <c r="N1968" t="s">
        <v>1292</v>
      </c>
      <c r="O1968">
        <v>0</v>
      </c>
      <c r="P1968" t="s">
        <v>2157</v>
      </c>
      <c r="Q1968" s="1">
        <v>14472</v>
      </c>
      <c r="R1968">
        <v>39.4</v>
      </c>
      <c r="S1968" s="2">
        <v>0</v>
      </c>
      <c r="T1968" t="s">
        <v>40</v>
      </c>
      <c r="U1968" t="s">
        <v>1292</v>
      </c>
      <c r="V1968" t="s">
        <v>4184</v>
      </c>
      <c r="W1968" t="s">
        <v>4185</v>
      </c>
      <c r="X1968" t="b">
        <v>0</v>
      </c>
      <c r="Y1968" t="b">
        <v>0</v>
      </c>
    </row>
    <row r="1969" spans="1:25">
      <c r="A1969">
        <v>1000062</v>
      </c>
      <c r="B1969" t="s">
        <v>4061</v>
      </c>
      <c r="C1969" t="s">
        <v>4186</v>
      </c>
      <c r="D1969" t="s">
        <v>1292</v>
      </c>
      <c r="E1969">
        <v>1000062</v>
      </c>
      <c r="F1969" t="s">
        <v>1292</v>
      </c>
      <c r="G1969">
        <v>0</v>
      </c>
      <c r="H1969" t="s">
        <v>1292</v>
      </c>
      <c r="I1969">
        <v>0</v>
      </c>
      <c r="J1969" t="s">
        <v>1292</v>
      </c>
      <c r="K1969">
        <v>0</v>
      </c>
      <c r="L1969" t="s">
        <v>1292</v>
      </c>
      <c r="M1969">
        <v>0</v>
      </c>
      <c r="N1969" t="s">
        <v>1292</v>
      </c>
      <c r="O1969">
        <v>0</v>
      </c>
      <c r="P1969" t="s">
        <v>1554</v>
      </c>
      <c r="Q1969" s="1">
        <v>8741</v>
      </c>
      <c r="R1969">
        <v>27.7</v>
      </c>
      <c r="S1969" s="2">
        <v>0.28999999999999998</v>
      </c>
      <c r="T1969" s="3">
        <v>2.1590277777777778</v>
      </c>
      <c r="U1969" s="2">
        <v>0.23</v>
      </c>
      <c r="V1969" t="s">
        <v>4186</v>
      </c>
      <c r="W1969" t="s">
        <v>4187</v>
      </c>
      <c r="X1969" t="b">
        <v>0</v>
      </c>
      <c r="Y1969" t="b">
        <v>0</v>
      </c>
    </row>
    <row r="1970" spans="1:25">
      <c r="A1970">
        <v>1000063</v>
      </c>
      <c r="B1970" t="s">
        <v>4061</v>
      </c>
      <c r="C1970" t="s">
        <v>4188</v>
      </c>
      <c r="D1970" t="s">
        <v>1292</v>
      </c>
      <c r="E1970">
        <v>1000063</v>
      </c>
      <c r="F1970" t="s">
        <v>1292</v>
      </c>
      <c r="G1970">
        <v>0</v>
      </c>
      <c r="H1970" t="s">
        <v>1292</v>
      </c>
      <c r="I1970">
        <v>0</v>
      </c>
      <c r="J1970" t="s">
        <v>1292</v>
      </c>
      <c r="K1970">
        <v>0</v>
      </c>
      <c r="L1970" t="s">
        <v>1292</v>
      </c>
      <c r="M1970">
        <v>0</v>
      </c>
      <c r="N1970" t="s">
        <v>1292</v>
      </c>
      <c r="O1970">
        <v>0</v>
      </c>
      <c r="P1970" t="s">
        <v>608</v>
      </c>
      <c r="Q1970" s="1">
        <v>1925</v>
      </c>
      <c r="R1970">
        <v>16.600000000000001</v>
      </c>
      <c r="S1970" s="2">
        <v>0.44</v>
      </c>
      <c r="T1970" t="s">
        <v>696</v>
      </c>
      <c r="U1970" s="2">
        <v>0.3</v>
      </c>
      <c r="V1970" t="s">
        <v>4188</v>
      </c>
      <c r="W1970" t="s">
        <v>4189</v>
      </c>
      <c r="X1970" t="b">
        <v>0</v>
      </c>
      <c r="Y1970" t="b">
        <v>0</v>
      </c>
    </row>
    <row r="1971" spans="1:25">
      <c r="A1971">
        <v>1000064</v>
      </c>
      <c r="B1971" t="s">
        <v>4061</v>
      </c>
      <c r="C1971" t="s">
        <v>4190</v>
      </c>
      <c r="D1971" t="s">
        <v>1292</v>
      </c>
      <c r="E1971">
        <v>1000064</v>
      </c>
      <c r="F1971" t="s">
        <v>1292</v>
      </c>
      <c r="G1971">
        <v>0</v>
      </c>
      <c r="H1971" t="s">
        <v>1292</v>
      </c>
      <c r="I1971">
        <v>0</v>
      </c>
      <c r="J1971" t="s">
        <v>1292</v>
      </c>
      <c r="K1971">
        <v>0</v>
      </c>
      <c r="L1971" t="s">
        <v>1292</v>
      </c>
      <c r="M1971">
        <v>0</v>
      </c>
      <c r="N1971" t="s">
        <v>1292</v>
      </c>
      <c r="O1971">
        <v>0</v>
      </c>
      <c r="P1971" t="s">
        <v>608</v>
      </c>
      <c r="Q1971" s="1">
        <v>1438</v>
      </c>
      <c r="R1971">
        <v>14.8</v>
      </c>
      <c r="S1971" s="2">
        <v>0.75</v>
      </c>
      <c r="T1971" s="3">
        <v>2.4048611111111109</v>
      </c>
      <c r="U1971" s="2">
        <v>0.3</v>
      </c>
      <c r="V1971" t="s">
        <v>4190</v>
      </c>
      <c r="W1971" t="s">
        <v>4191</v>
      </c>
      <c r="X1971" t="b">
        <v>0</v>
      </c>
      <c r="Y1971" t="b">
        <v>0</v>
      </c>
    </row>
    <row r="1972" spans="1:25">
      <c r="A1972">
        <v>1000065</v>
      </c>
      <c r="B1972" t="s">
        <v>4061</v>
      </c>
      <c r="C1972" t="s">
        <v>4192</v>
      </c>
      <c r="D1972" t="s">
        <v>1292</v>
      </c>
      <c r="E1972">
        <v>1000065</v>
      </c>
      <c r="F1972" t="s">
        <v>1292</v>
      </c>
      <c r="G1972">
        <v>0</v>
      </c>
      <c r="H1972" t="s">
        <v>1292</v>
      </c>
      <c r="I1972">
        <v>0</v>
      </c>
      <c r="J1972" t="s">
        <v>1292</v>
      </c>
      <c r="K1972">
        <v>0</v>
      </c>
      <c r="L1972" t="s">
        <v>1292</v>
      </c>
      <c r="M1972">
        <v>0</v>
      </c>
      <c r="N1972" t="s">
        <v>1292</v>
      </c>
      <c r="O1972">
        <v>0</v>
      </c>
      <c r="P1972" t="s">
        <v>1846</v>
      </c>
      <c r="Q1972" s="1">
        <v>10386</v>
      </c>
      <c r="R1972">
        <v>23.1</v>
      </c>
      <c r="S1972" s="2">
        <v>0</v>
      </c>
      <c r="T1972" t="s">
        <v>1062</v>
      </c>
      <c r="U1972" t="s">
        <v>1292</v>
      </c>
      <c r="V1972" t="s">
        <v>4192</v>
      </c>
      <c r="W1972" t="s">
        <v>4193</v>
      </c>
      <c r="X1972" t="b">
        <v>0</v>
      </c>
      <c r="Y1972" t="b">
        <v>0</v>
      </c>
    </row>
    <row r="1973" spans="1:25">
      <c r="A1973">
        <v>1000066</v>
      </c>
      <c r="B1973" t="s">
        <v>4061</v>
      </c>
      <c r="C1973" t="s">
        <v>4194</v>
      </c>
      <c r="D1973" t="s">
        <v>1292</v>
      </c>
      <c r="E1973">
        <v>1000066</v>
      </c>
      <c r="F1973" t="s">
        <v>1292</v>
      </c>
      <c r="G1973">
        <v>0</v>
      </c>
      <c r="H1973" t="s">
        <v>1292</v>
      </c>
      <c r="I1973">
        <v>0</v>
      </c>
      <c r="J1973" t="s">
        <v>1292</v>
      </c>
      <c r="K1973">
        <v>0</v>
      </c>
      <c r="L1973" t="s">
        <v>1292</v>
      </c>
      <c r="M1973">
        <v>0</v>
      </c>
      <c r="N1973" t="s">
        <v>1292</v>
      </c>
      <c r="O1973">
        <v>0</v>
      </c>
      <c r="P1973" t="s">
        <v>1554</v>
      </c>
      <c r="Q1973" s="1">
        <v>1839</v>
      </c>
      <c r="R1973">
        <v>19</v>
      </c>
      <c r="S1973" s="2">
        <v>0.25</v>
      </c>
      <c r="T1973" s="3">
        <v>2.036111111111111</v>
      </c>
      <c r="U1973" s="2">
        <v>0.2</v>
      </c>
      <c r="V1973" t="s">
        <v>4194</v>
      </c>
      <c r="W1973" t="s">
        <v>4195</v>
      </c>
      <c r="X1973" t="b">
        <v>0</v>
      </c>
      <c r="Y1973" t="b">
        <v>0</v>
      </c>
    </row>
    <row r="1974" spans="1:25">
      <c r="A1974">
        <v>1000067</v>
      </c>
      <c r="B1974" t="s">
        <v>4061</v>
      </c>
      <c r="C1974" t="s">
        <v>4196</v>
      </c>
      <c r="D1974" t="s">
        <v>1292</v>
      </c>
      <c r="E1974">
        <v>1000067</v>
      </c>
      <c r="F1974" t="s">
        <v>1292</v>
      </c>
      <c r="G1974">
        <v>0</v>
      </c>
      <c r="H1974" t="s">
        <v>1292</v>
      </c>
      <c r="I1974">
        <v>0</v>
      </c>
      <c r="J1974" t="s">
        <v>1292</v>
      </c>
      <c r="K1974">
        <v>0</v>
      </c>
      <c r="L1974" t="s">
        <v>1292</v>
      </c>
      <c r="M1974">
        <v>0</v>
      </c>
      <c r="N1974" t="s">
        <v>1292</v>
      </c>
      <c r="O1974">
        <v>0</v>
      </c>
      <c r="P1974" t="s">
        <v>608</v>
      </c>
      <c r="Q1974" s="1">
        <v>1022</v>
      </c>
      <c r="R1974">
        <v>10.199999999999999</v>
      </c>
      <c r="S1974" s="2">
        <v>0.56999999999999995</v>
      </c>
      <c r="T1974" s="3">
        <v>2.036111111111111</v>
      </c>
      <c r="U1974" s="2">
        <v>0.37</v>
      </c>
      <c r="V1974" t="s">
        <v>4196</v>
      </c>
      <c r="W1974" t="s">
        <v>4197</v>
      </c>
      <c r="X1974" t="b">
        <v>0</v>
      </c>
      <c r="Y1974" t="b">
        <v>0</v>
      </c>
    </row>
    <row r="1975" spans="1:25">
      <c r="A1975">
        <v>1000068</v>
      </c>
      <c r="B1975" t="s">
        <v>4061</v>
      </c>
      <c r="C1975" t="s">
        <v>4198</v>
      </c>
      <c r="D1975" t="s">
        <v>1292</v>
      </c>
      <c r="E1975">
        <v>1000068</v>
      </c>
      <c r="F1975" t="s">
        <v>1292</v>
      </c>
      <c r="G1975">
        <v>0</v>
      </c>
      <c r="H1975" t="s">
        <v>1292</v>
      </c>
      <c r="I1975">
        <v>0</v>
      </c>
      <c r="J1975" t="s">
        <v>1292</v>
      </c>
      <c r="K1975">
        <v>0</v>
      </c>
      <c r="L1975" t="s">
        <v>1292</v>
      </c>
      <c r="M1975">
        <v>0</v>
      </c>
      <c r="N1975" t="s">
        <v>1292</v>
      </c>
      <c r="O1975">
        <v>0</v>
      </c>
      <c r="P1975" t="s">
        <v>528</v>
      </c>
      <c r="Q1975" s="1">
        <v>2451</v>
      </c>
      <c r="R1975">
        <v>25.5</v>
      </c>
      <c r="S1975" s="2">
        <v>0</v>
      </c>
      <c r="T1975" s="3">
        <v>2.1590277777777778</v>
      </c>
      <c r="U1975" t="s">
        <v>1292</v>
      </c>
      <c r="V1975" t="s">
        <v>4198</v>
      </c>
      <c r="W1975" t="s">
        <v>4199</v>
      </c>
      <c r="X1975" t="b">
        <v>0</v>
      </c>
      <c r="Y1975" t="b">
        <v>0</v>
      </c>
    </row>
    <row r="1976" spans="1:25">
      <c r="A1976">
        <v>1000069</v>
      </c>
      <c r="B1976" t="s">
        <v>4061</v>
      </c>
      <c r="C1976" t="s">
        <v>4200</v>
      </c>
      <c r="D1976" t="s">
        <v>1292</v>
      </c>
      <c r="E1976">
        <v>1000069</v>
      </c>
      <c r="F1976" t="s">
        <v>1292</v>
      </c>
      <c r="G1976">
        <v>0</v>
      </c>
      <c r="H1976" t="s">
        <v>1292</v>
      </c>
      <c r="I1976">
        <v>0</v>
      </c>
      <c r="J1976" t="s">
        <v>1292</v>
      </c>
      <c r="K1976">
        <v>0</v>
      </c>
      <c r="L1976" t="s">
        <v>1292</v>
      </c>
      <c r="M1976">
        <v>0</v>
      </c>
      <c r="N1976" t="s">
        <v>1292</v>
      </c>
      <c r="O1976">
        <v>0</v>
      </c>
      <c r="P1976" t="s">
        <v>528</v>
      </c>
      <c r="Q1976" s="1">
        <v>5751</v>
      </c>
      <c r="R1976">
        <v>17</v>
      </c>
      <c r="S1976" s="2">
        <v>0.01</v>
      </c>
      <c r="T1976" s="3">
        <v>2.2409722222222221</v>
      </c>
      <c r="U1976" t="s">
        <v>1292</v>
      </c>
      <c r="V1976" t="s">
        <v>4200</v>
      </c>
      <c r="W1976" t="s">
        <v>4201</v>
      </c>
      <c r="X1976" t="b">
        <v>0</v>
      </c>
      <c r="Y1976" t="b">
        <v>0</v>
      </c>
    </row>
    <row r="1977" spans="1:25">
      <c r="A1977">
        <v>1000070</v>
      </c>
      <c r="B1977" t="s">
        <v>4061</v>
      </c>
      <c r="C1977" t="s">
        <v>4202</v>
      </c>
      <c r="D1977" t="s">
        <v>1292</v>
      </c>
      <c r="E1977">
        <v>1000070</v>
      </c>
      <c r="F1977" t="s">
        <v>1292</v>
      </c>
      <c r="G1977">
        <v>0</v>
      </c>
      <c r="H1977" t="s">
        <v>1292</v>
      </c>
      <c r="I1977">
        <v>0</v>
      </c>
      <c r="J1977" t="s">
        <v>1292</v>
      </c>
      <c r="K1977">
        <v>0</v>
      </c>
      <c r="L1977" t="s">
        <v>1292</v>
      </c>
      <c r="M1977">
        <v>0</v>
      </c>
      <c r="N1977" t="s">
        <v>1292</v>
      </c>
      <c r="O1977">
        <v>0</v>
      </c>
      <c r="P1977" t="s">
        <v>528</v>
      </c>
      <c r="Q1977" s="1">
        <v>1170</v>
      </c>
      <c r="R1977">
        <v>6.8</v>
      </c>
      <c r="S1977" s="2">
        <v>0</v>
      </c>
      <c r="T1977" t="s">
        <v>501</v>
      </c>
      <c r="U1977" t="s">
        <v>1292</v>
      </c>
      <c r="V1977" t="s">
        <v>4202</v>
      </c>
      <c r="W1977" t="s">
        <v>4203</v>
      </c>
      <c r="X1977" t="b">
        <v>0</v>
      </c>
      <c r="Y1977" t="b">
        <v>0</v>
      </c>
    </row>
    <row r="1978" spans="1:25">
      <c r="A1978">
        <v>1000071</v>
      </c>
      <c r="B1978" t="s">
        <v>4061</v>
      </c>
      <c r="C1978" t="s">
        <v>4204</v>
      </c>
      <c r="D1978" t="s">
        <v>1292</v>
      </c>
      <c r="E1978">
        <v>1000071</v>
      </c>
      <c r="F1978" t="s">
        <v>1292</v>
      </c>
      <c r="G1978">
        <v>0</v>
      </c>
      <c r="H1978" t="s">
        <v>1292</v>
      </c>
      <c r="I1978">
        <v>0</v>
      </c>
      <c r="J1978" t="s">
        <v>1292</v>
      </c>
      <c r="K1978">
        <v>0</v>
      </c>
      <c r="L1978" t="s">
        <v>1292</v>
      </c>
      <c r="M1978">
        <v>0</v>
      </c>
      <c r="N1978" t="s">
        <v>1292</v>
      </c>
      <c r="O1978">
        <v>0</v>
      </c>
      <c r="P1978" t="s">
        <v>528</v>
      </c>
      <c r="Q1978" s="1">
        <v>3525</v>
      </c>
      <c r="R1978">
        <v>14.5</v>
      </c>
      <c r="S1978" s="2">
        <v>0</v>
      </c>
      <c r="T1978" t="s">
        <v>501</v>
      </c>
      <c r="U1978" t="s">
        <v>1292</v>
      </c>
      <c r="V1978" t="s">
        <v>4204</v>
      </c>
      <c r="W1978" t="s">
        <v>4205</v>
      </c>
      <c r="X1978" t="b">
        <v>0</v>
      </c>
      <c r="Y1978" t="b">
        <v>0</v>
      </c>
    </row>
    <row r="1979" spans="1:25">
      <c r="A1979">
        <v>1000072</v>
      </c>
      <c r="B1979" t="s">
        <v>4061</v>
      </c>
      <c r="C1979" t="s">
        <v>4206</v>
      </c>
      <c r="D1979" t="s">
        <v>1292</v>
      </c>
      <c r="E1979">
        <v>1000072</v>
      </c>
      <c r="F1979" t="s">
        <v>1292</v>
      </c>
      <c r="G1979">
        <v>0</v>
      </c>
      <c r="H1979" t="s">
        <v>1292</v>
      </c>
      <c r="I1979">
        <v>0</v>
      </c>
      <c r="J1979" t="s">
        <v>1292</v>
      </c>
      <c r="K1979">
        <v>0</v>
      </c>
      <c r="L1979" t="s">
        <v>1292</v>
      </c>
      <c r="M1979">
        <v>0</v>
      </c>
      <c r="N1979" t="s">
        <v>1292</v>
      </c>
      <c r="O1979">
        <v>0</v>
      </c>
      <c r="P1979" t="s">
        <v>528</v>
      </c>
      <c r="Q1979" s="1">
        <v>4537</v>
      </c>
      <c r="R1979">
        <v>25.3</v>
      </c>
      <c r="S1979" s="2">
        <v>0.09</v>
      </c>
      <c r="T1979" s="3">
        <v>1.9951388888888888</v>
      </c>
      <c r="U1979" t="s">
        <v>1292</v>
      </c>
      <c r="V1979" t="s">
        <v>4206</v>
      </c>
      <c r="W1979" t="s">
        <v>4207</v>
      </c>
      <c r="X1979" t="b">
        <v>0</v>
      </c>
      <c r="Y1979" t="b">
        <v>0</v>
      </c>
    </row>
    <row r="1980" spans="1:25">
      <c r="A1980">
        <v>1000073</v>
      </c>
      <c r="B1980" t="s">
        <v>4061</v>
      </c>
      <c r="C1980" t="s">
        <v>4208</v>
      </c>
      <c r="D1980" t="s">
        <v>1292</v>
      </c>
      <c r="E1980">
        <v>1000073</v>
      </c>
      <c r="F1980" t="s">
        <v>1292</v>
      </c>
      <c r="G1980">
        <v>0</v>
      </c>
      <c r="H1980" t="s">
        <v>1292</v>
      </c>
      <c r="I1980">
        <v>0</v>
      </c>
      <c r="J1980" t="s">
        <v>1292</v>
      </c>
      <c r="K1980">
        <v>0</v>
      </c>
      <c r="L1980" t="s">
        <v>1292</v>
      </c>
      <c r="M1980">
        <v>0</v>
      </c>
      <c r="N1980" t="s">
        <v>1292</v>
      </c>
      <c r="O1980">
        <v>0</v>
      </c>
      <c r="P1980" t="s">
        <v>1613</v>
      </c>
      <c r="Q1980" s="1">
        <v>16333</v>
      </c>
      <c r="R1980">
        <v>8.4</v>
      </c>
      <c r="S1980" s="2">
        <v>0.04</v>
      </c>
      <c r="T1980" s="3">
        <v>2.4048611111111109</v>
      </c>
      <c r="U1980" s="2">
        <v>0.15</v>
      </c>
      <c r="V1980" t="s">
        <v>4208</v>
      </c>
      <c r="W1980" t="s">
        <v>4209</v>
      </c>
      <c r="X1980" t="b">
        <v>0</v>
      </c>
      <c r="Y1980" t="b">
        <v>0</v>
      </c>
    </row>
    <row r="1981" spans="1:25">
      <c r="A1981">
        <v>1000074</v>
      </c>
      <c r="B1981" t="s">
        <v>4061</v>
      </c>
      <c r="C1981" t="s">
        <v>4210</v>
      </c>
      <c r="D1981" t="s">
        <v>1292</v>
      </c>
      <c r="E1981">
        <v>1000074</v>
      </c>
      <c r="F1981" t="s">
        <v>1292</v>
      </c>
      <c r="G1981">
        <v>0</v>
      </c>
      <c r="H1981" t="s">
        <v>1292</v>
      </c>
      <c r="I1981">
        <v>0</v>
      </c>
      <c r="J1981" t="s">
        <v>1292</v>
      </c>
      <c r="K1981">
        <v>0</v>
      </c>
      <c r="L1981" t="s">
        <v>1292</v>
      </c>
      <c r="M1981">
        <v>0</v>
      </c>
      <c r="N1981" t="s">
        <v>1292</v>
      </c>
      <c r="O1981">
        <v>0</v>
      </c>
      <c r="P1981" t="s">
        <v>4144</v>
      </c>
      <c r="Q1981" s="1">
        <v>6042</v>
      </c>
      <c r="R1981">
        <v>16.5</v>
      </c>
      <c r="S1981" s="2">
        <v>0.02</v>
      </c>
      <c r="T1981" t="s">
        <v>801</v>
      </c>
      <c r="U1981" t="s">
        <v>1292</v>
      </c>
      <c r="V1981" t="s">
        <v>4210</v>
      </c>
      <c r="W1981" t="s">
        <v>4211</v>
      </c>
      <c r="X1981" t="b">
        <v>0</v>
      </c>
      <c r="Y1981" t="b">
        <v>0</v>
      </c>
    </row>
    <row r="1982" spans="1:25">
      <c r="A1982">
        <v>1000075</v>
      </c>
      <c r="B1982" t="s">
        <v>4061</v>
      </c>
      <c r="C1982" t="s">
        <v>4212</v>
      </c>
      <c r="D1982" t="s">
        <v>1292</v>
      </c>
      <c r="E1982">
        <v>1000075</v>
      </c>
      <c r="F1982" t="s">
        <v>1292</v>
      </c>
      <c r="G1982">
        <v>0</v>
      </c>
      <c r="H1982" t="s">
        <v>1292</v>
      </c>
      <c r="I1982">
        <v>0</v>
      </c>
      <c r="J1982" t="s">
        <v>1292</v>
      </c>
      <c r="K1982">
        <v>0</v>
      </c>
      <c r="L1982" t="s">
        <v>1292</v>
      </c>
      <c r="M1982">
        <v>0</v>
      </c>
      <c r="N1982" t="s">
        <v>1292</v>
      </c>
      <c r="O1982">
        <v>0</v>
      </c>
      <c r="P1982" t="s">
        <v>4144</v>
      </c>
      <c r="Q1982" s="1">
        <v>20824</v>
      </c>
      <c r="R1982">
        <v>23.2</v>
      </c>
      <c r="S1982" s="2">
        <v>0</v>
      </c>
      <c r="U1982" s="2">
        <v>0.15</v>
      </c>
      <c r="V1982" t="s">
        <v>4212</v>
      </c>
      <c r="W1982" t="s">
        <v>4213</v>
      </c>
      <c r="X1982" t="b">
        <v>0</v>
      </c>
      <c r="Y1982" t="b">
        <v>0</v>
      </c>
    </row>
    <row r="1983" spans="1:25">
      <c r="A1983">
        <v>1000076</v>
      </c>
      <c r="B1983" t="s">
        <v>4061</v>
      </c>
      <c r="C1983" t="s">
        <v>4214</v>
      </c>
      <c r="D1983" t="s">
        <v>1292</v>
      </c>
      <c r="E1983">
        <v>1000076</v>
      </c>
      <c r="F1983" t="s">
        <v>1292</v>
      </c>
      <c r="G1983">
        <v>0</v>
      </c>
      <c r="H1983" t="s">
        <v>1292</v>
      </c>
      <c r="I1983">
        <v>0</v>
      </c>
      <c r="J1983" t="s">
        <v>1292</v>
      </c>
      <c r="K1983">
        <v>0</v>
      </c>
      <c r="L1983" t="s">
        <v>1292</v>
      </c>
      <c r="M1983">
        <v>0</v>
      </c>
      <c r="N1983" t="s">
        <v>1292</v>
      </c>
      <c r="O1983">
        <v>0</v>
      </c>
      <c r="P1983" t="s">
        <v>4144</v>
      </c>
      <c r="Q1983" s="1">
        <v>7391</v>
      </c>
      <c r="R1983">
        <v>10</v>
      </c>
      <c r="S1983" s="2">
        <v>0.05</v>
      </c>
      <c r="T1983" s="3">
        <v>1.9131944444444444</v>
      </c>
      <c r="U1983" s="2">
        <v>0.1</v>
      </c>
      <c r="V1983" t="s">
        <v>4214</v>
      </c>
      <c r="W1983" t="s">
        <v>4215</v>
      </c>
      <c r="X1983" t="b">
        <v>0</v>
      </c>
      <c r="Y1983" t="b">
        <v>0</v>
      </c>
    </row>
    <row r="1984" spans="1:25">
      <c r="A1984">
        <v>1000077</v>
      </c>
      <c r="B1984" t="s">
        <v>4061</v>
      </c>
      <c r="C1984" t="s">
        <v>4216</v>
      </c>
      <c r="D1984" t="s">
        <v>1292</v>
      </c>
      <c r="E1984">
        <v>1000077</v>
      </c>
      <c r="F1984" t="s">
        <v>1292</v>
      </c>
      <c r="G1984">
        <v>0</v>
      </c>
      <c r="H1984" t="s">
        <v>1292</v>
      </c>
      <c r="I1984">
        <v>0</v>
      </c>
      <c r="J1984" t="s">
        <v>1292</v>
      </c>
      <c r="K1984">
        <v>0</v>
      </c>
      <c r="L1984" t="s">
        <v>1292</v>
      </c>
      <c r="M1984">
        <v>0</v>
      </c>
      <c r="N1984" t="s">
        <v>1292</v>
      </c>
      <c r="O1984">
        <v>0</v>
      </c>
      <c r="P1984" t="s">
        <v>4144</v>
      </c>
      <c r="Q1984" s="1">
        <v>6420</v>
      </c>
      <c r="R1984">
        <v>39.9</v>
      </c>
      <c r="S1984" s="2">
        <v>0</v>
      </c>
      <c r="T1984" s="3">
        <v>3.2243055555555555</v>
      </c>
      <c r="U1984" t="s">
        <v>1292</v>
      </c>
      <c r="V1984" t="s">
        <v>4216</v>
      </c>
      <c r="W1984" t="s">
        <v>4217</v>
      </c>
      <c r="X1984" t="b">
        <v>0</v>
      </c>
      <c r="Y1984" t="b">
        <v>0</v>
      </c>
    </row>
    <row r="1985" spans="1:25">
      <c r="A1985">
        <v>1000078</v>
      </c>
      <c r="B1985" t="s">
        <v>4061</v>
      </c>
      <c r="C1985" t="s">
        <v>4218</v>
      </c>
      <c r="D1985" t="s">
        <v>1292</v>
      </c>
      <c r="E1985">
        <v>1000078</v>
      </c>
      <c r="F1985" t="s">
        <v>1292</v>
      </c>
      <c r="G1985">
        <v>0</v>
      </c>
      <c r="H1985" t="s">
        <v>1292</v>
      </c>
      <c r="I1985">
        <v>0</v>
      </c>
      <c r="J1985" t="s">
        <v>1292</v>
      </c>
      <c r="K1985">
        <v>0</v>
      </c>
      <c r="L1985" t="s">
        <v>1292</v>
      </c>
      <c r="M1985">
        <v>0</v>
      </c>
      <c r="N1985" t="s">
        <v>1292</v>
      </c>
      <c r="O1985">
        <v>0</v>
      </c>
      <c r="P1985" t="s">
        <v>3283</v>
      </c>
      <c r="Q1985" s="1">
        <v>11406</v>
      </c>
      <c r="R1985">
        <v>18.399999999999999</v>
      </c>
      <c r="S1985" s="2">
        <v>0.02</v>
      </c>
      <c r="T1985" s="3">
        <v>2.1180555555555554</v>
      </c>
      <c r="U1985" s="2">
        <v>0.1</v>
      </c>
      <c r="V1985" t="s">
        <v>4218</v>
      </c>
      <c r="W1985" t="s">
        <v>4219</v>
      </c>
      <c r="X1985" t="b">
        <v>0</v>
      </c>
      <c r="Y1985" t="b">
        <v>0</v>
      </c>
    </row>
    <row r="1986" spans="1:25">
      <c r="A1986">
        <v>1000079</v>
      </c>
      <c r="B1986" t="s">
        <v>4061</v>
      </c>
      <c r="C1986" t="s">
        <v>4220</v>
      </c>
      <c r="D1986" t="s">
        <v>1292</v>
      </c>
      <c r="E1986">
        <v>1000079</v>
      </c>
      <c r="F1986" t="s">
        <v>1292</v>
      </c>
      <c r="G1986">
        <v>0</v>
      </c>
      <c r="H1986" t="s">
        <v>1292</v>
      </c>
      <c r="I1986">
        <v>0</v>
      </c>
      <c r="J1986" t="s">
        <v>1292</v>
      </c>
      <c r="K1986">
        <v>0</v>
      </c>
      <c r="L1986" t="s">
        <v>1292</v>
      </c>
      <c r="M1986">
        <v>0</v>
      </c>
      <c r="N1986" t="s">
        <v>1292</v>
      </c>
      <c r="O1986">
        <v>0</v>
      </c>
      <c r="P1986" t="s">
        <v>984</v>
      </c>
      <c r="Q1986">
        <v>454</v>
      </c>
      <c r="R1986">
        <v>13.1</v>
      </c>
      <c r="S1986" s="2">
        <v>0.82</v>
      </c>
      <c r="T1986" s="3">
        <v>2.5687500000000001</v>
      </c>
      <c r="U1986" s="2">
        <v>0.12</v>
      </c>
      <c r="V1986" t="s">
        <v>4220</v>
      </c>
      <c r="W1986" t="s">
        <v>4221</v>
      </c>
      <c r="X1986" t="b">
        <v>0</v>
      </c>
      <c r="Y1986" t="b">
        <v>0</v>
      </c>
    </row>
    <row r="1987" spans="1:25">
      <c r="A1987">
        <v>1000080</v>
      </c>
      <c r="B1987" t="s">
        <v>4061</v>
      </c>
      <c r="C1987" t="s">
        <v>4222</v>
      </c>
      <c r="D1987" t="s">
        <v>1292</v>
      </c>
      <c r="E1987">
        <v>1000080</v>
      </c>
      <c r="F1987" t="s">
        <v>1292</v>
      </c>
      <c r="G1987">
        <v>0</v>
      </c>
      <c r="H1987" t="s">
        <v>1292</v>
      </c>
      <c r="I1987">
        <v>0</v>
      </c>
      <c r="J1987" t="s">
        <v>1292</v>
      </c>
      <c r="K1987">
        <v>0</v>
      </c>
      <c r="L1987" t="s">
        <v>1292</v>
      </c>
      <c r="M1987">
        <v>0</v>
      </c>
      <c r="N1987" t="s">
        <v>1292</v>
      </c>
      <c r="O1987">
        <v>0</v>
      </c>
      <c r="P1987" t="s">
        <v>895</v>
      </c>
      <c r="Q1987">
        <v>320</v>
      </c>
      <c r="R1987">
        <v>5.0999999999999996</v>
      </c>
      <c r="S1987" s="2">
        <v>7.0000000000000007E-2</v>
      </c>
      <c r="T1987" s="3">
        <v>2.1590277777777778</v>
      </c>
      <c r="U1987" t="s">
        <v>1292</v>
      </c>
      <c r="V1987" t="s">
        <v>4222</v>
      </c>
      <c r="W1987" t="s">
        <v>4223</v>
      </c>
      <c r="X1987" t="b">
        <v>0</v>
      </c>
      <c r="Y1987" t="b">
        <v>0</v>
      </c>
    </row>
    <row r="1988" spans="1:25">
      <c r="A1988">
        <v>1000081</v>
      </c>
      <c r="B1988" t="s">
        <v>4061</v>
      </c>
      <c r="C1988" t="s">
        <v>4224</v>
      </c>
      <c r="D1988" t="s">
        <v>1292</v>
      </c>
      <c r="E1988">
        <v>1000081</v>
      </c>
      <c r="F1988" t="s">
        <v>1292</v>
      </c>
      <c r="G1988">
        <v>0</v>
      </c>
      <c r="H1988" t="s">
        <v>1292</v>
      </c>
      <c r="I1988">
        <v>0</v>
      </c>
      <c r="J1988" t="s">
        <v>1292</v>
      </c>
      <c r="K1988">
        <v>0</v>
      </c>
      <c r="L1988" t="s">
        <v>1292</v>
      </c>
      <c r="M1988">
        <v>0</v>
      </c>
      <c r="N1988" t="s">
        <v>1292</v>
      </c>
      <c r="O1988">
        <v>0</v>
      </c>
      <c r="P1988" t="s">
        <v>1554</v>
      </c>
      <c r="Q1988" s="1">
        <v>4427</v>
      </c>
      <c r="R1988">
        <v>18.600000000000001</v>
      </c>
      <c r="S1988" s="2">
        <v>0.28999999999999998</v>
      </c>
      <c r="T1988" s="3">
        <v>2.1590277777777778</v>
      </c>
      <c r="U1988" s="2">
        <v>0.27</v>
      </c>
      <c r="V1988" t="s">
        <v>4224</v>
      </c>
      <c r="W1988" t="s">
        <v>4225</v>
      </c>
      <c r="X1988" t="b">
        <v>0</v>
      </c>
      <c r="Y1988" t="b">
        <v>0</v>
      </c>
    </row>
    <row r="1989" spans="1:25">
      <c r="A1989">
        <v>1000082</v>
      </c>
      <c r="B1989" t="s">
        <v>4061</v>
      </c>
      <c r="C1989" t="s">
        <v>4226</v>
      </c>
      <c r="D1989" t="s">
        <v>1292</v>
      </c>
      <c r="E1989">
        <v>1000082</v>
      </c>
      <c r="F1989" t="s">
        <v>1292</v>
      </c>
      <c r="G1989">
        <v>0</v>
      </c>
      <c r="H1989" t="s">
        <v>1292</v>
      </c>
      <c r="I1989">
        <v>0</v>
      </c>
      <c r="J1989" t="s">
        <v>1292</v>
      </c>
      <c r="K1989">
        <v>0</v>
      </c>
      <c r="L1989" t="s">
        <v>1292</v>
      </c>
      <c r="M1989">
        <v>0</v>
      </c>
      <c r="N1989" t="s">
        <v>1292</v>
      </c>
      <c r="O1989">
        <v>0</v>
      </c>
      <c r="P1989" t="s">
        <v>2224</v>
      </c>
      <c r="Q1989" s="1">
        <v>12479</v>
      </c>
      <c r="R1989">
        <v>26.7</v>
      </c>
      <c r="S1989" s="2">
        <v>0.36</v>
      </c>
      <c r="T1989" s="3">
        <v>2.4458333333333333</v>
      </c>
      <c r="U1989" s="2">
        <v>0.21</v>
      </c>
      <c r="V1989" t="s">
        <v>4226</v>
      </c>
      <c r="W1989" t="s">
        <v>4227</v>
      </c>
      <c r="X1989" t="b">
        <v>0</v>
      </c>
      <c r="Y1989" t="b">
        <v>0</v>
      </c>
    </row>
    <row r="1990" spans="1:25">
      <c r="A1990">
        <v>1000083</v>
      </c>
      <c r="B1990" t="s">
        <v>4061</v>
      </c>
      <c r="C1990" t="s">
        <v>4228</v>
      </c>
      <c r="D1990" t="s">
        <v>1292</v>
      </c>
      <c r="E1990">
        <v>1000083</v>
      </c>
      <c r="F1990" t="s">
        <v>1292</v>
      </c>
      <c r="G1990">
        <v>0</v>
      </c>
      <c r="H1990" t="s">
        <v>1292</v>
      </c>
      <c r="I1990">
        <v>0</v>
      </c>
      <c r="J1990" t="s">
        <v>1292</v>
      </c>
      <c r="K1990">
        <v>0</v>
      </c>
      <c r="L1990" t="s">
        <v>1292</v>
      </c>
      <c r="M1990">
        <v>0</v>
      </c>
      <c r="N1990" t="s">
        <v>1292</v>
      </c>
      <c r="O1990">
        <v>0</v>
      </c>
      <c r="P1990" t="s">
        <v>4229</v>
      </c>
      <c r="Q1990" s="1">
        <v>1482</v>
      </c>
      <c r="R1990">
        <v>6.9</v>
      </c>
      <c r="S1990" s="2">
        <v>0.74</v>
      </c>
      <c r="T1990" s="3">
        <v>2.8965277777777776</v>
      </c>
      <c r="U1990" s="2">
        <v>0.11</v>
      </c>
      <c r="V1990" t="s">
        <v>4228</v>
      </c>
      <c r="W1990" t="s">
        <v>4230</v>
      </c>
      <c r="X1990" t="b">
        <v>0</v>
      </c>
      <c r="Y1990" t="b">
        <v>0</v>
      </c>
    </row>
    <row r="1991" spans="1:25">
      <c r="A1991">
        <v>1000084</v>
      </c>
      <c r="B1991" t="s">
        <v>4061</v>
      </c>
      <c r="C1991" t="s">
        <v>4231</v>
      </c>
      <c r="D1991" t="s">
        <v>1292</v>
      </c>
      <c r="E1991">
        <v>1000084</v>
      </c>
      <c r="F1991" t="s">
        <v>1292</v>
      </c>
      <c r="G1991">
        <v>0</v>
      </c>
      <c r="H1991" t="s">
        <v>1292</v>
      </c>
      <c r="I1991">
        <v>0</v>
      </c>
      <c r="J1991" t="s">
        <v>1292</v>
      </c>
      <c r="K1991">
        <v>0</v>
      </c>
      <c r="L1991" t="s">
        <v>1292</v>
      </c>
      <c r="M1991">
        <v>0</v>
      </c>
      <c r="N1991" t="s">
        <v>1292</v>
      </c>
      <c r="O1991">
        <v>0</v>
      </c>
      <c r="P1991" t="s">
        <v>2399</v>
      </c>
      <c r="Q1991" s="1">
        <v>32697</v>
      </c>
      <c r="R1991">
        <v>75</v>
      </c>
      <c r="S1991" s="2">
        <v>0.35</v>
      </c>
      <c r="T1991" s="3">
        <v>2.2819444444444446</v>
      </c>
      <c r="U1991" t="s">
        <v>1292</v>
      </c>
      <c r="V1991" t="s">
        <v>4231</v>
      </c>
      <c r="W1991" t="s">
        <v>4232</v>
      </c>
      <c r="X1991" t="b">
        <v>0</v>
      </c>
      <c r="Y1991" t="b">
        <v>0</v>
      </c>
    </row>
    <row r="1992" spans="1:25">
      <c r="A1992">
        <v>1000085</v>
      </c>
      <c r="B1992" t="s">
        <v>4061</v>
      </c>
      <c r="C1992" t="s">
        <v>4233</v>
      </c>
      <c r="D1992" t="s">
        <v>1292</v>
      </c>
      <c r="E1992">
        <v>1000085</v>
      </c>
      <c r="F1992" t="s">
        <v>1292</v>
      </c>
      <c r="G1992">
        <v>0</v>
      </c>
      <c r="H1992" t="s">
        <v>1292</v>
      </c>
      <c r="I1992">
        <v>0</v>
      </c>
      <c r="J1992" t="s">
        <v>1292</v>
      </c>
      <c r="K1992">
        <v>0</v>
      </c>
      <c r="L1992" t="s">
        <v>1292</v>
      </c>
      <c r="M1992">
        <v>0</v>
      </c>
      <c r="N1992" t="s">
        <v>1292</v>
      </c>
      <c r="O1992">
        <v>0</v>
      </c>
      <c r="P1992" t="s">
        <v>1473</v>
      </c>
      <c r="Q1992">
        <v>410</v>
      </c>
      <c r="R1992">
        <v>5.7</v>
      </c>
      <c r="S1992" s="2">
        <v>0.37</v>
      </c>
      <c r="T1992" s="3">
        <v>2.5277777777777777</v>
      </c>
      <c r="U1992" t="s">
        <v>1292</v>
      </c>
      <c r="V1992" t="s">
        <v>4233</v>
      </c>
      <c r="W1992" t="s">
        <v>4234</v>
      </c>
      <c r="X1992" t="b">
        <v>0</v>
      </c>
      <c r="Y1992" t="b">
        <v>0</v>
      </c>
    </row>
    <row r="1993" spans="1:25">
      <c r="A1993">
        <v>1000086</v>
      </c>
      <c r="B1993" t="s">
        <v>4061</v>
      </c>
      <c r="C1993" t="s">
        <v>4235</v>
      </c>
      <c r="D1993" t="s">
        <v>1292</v>
      </c>
      <c r="E1993">
        <v>1000086</v>
      </c>
      <c r="F1993" t="s">
        <v>1292</v>
      </c>
      <c r="G1993">
        <v>0</v>
      </c>
      <c r="H1993" t="s">
        <v>1292</v>
      </c>
      <c r="I1993">
        <v>0</v>
      </c>
      <c r="J1993" t="s">
        <v>1292</v>
      </c>
      <c r="K1993">
        <v>0</v>
      </c>
      <c r="L1993" t="s">
        <v>1292</v>
      </c>
      <c r="M1993">
        <v>0</v>
      </c>
      <c r="N1993" t="s">
        <v>1292</v>
      </c>
      <c r="O1993">
        <v>0</v>
      </c>
      <c r="P1993" t="s">
        <v>4055</v>
      </c>
      <c r="Q1993" s="1">
        <v>5290</v>
      </c>
      <c r="R1993">
        <v>9.1999999999999993</v>
      </c>
      <c r="S1993" s="2">
        <v>0.02</v>
      </c>
      <c r="T1993" s="3">
        <v>3.2243055555555555</v>
      </c>
      <c r="U1993" s="2">
        <v>0.17</v>
      </c>
      <c r="V1993" t="s">
        <v>4235</v>
      </c>
      <c r="W1993" t="s">
        <v>4236</v>
      </c>
      <c r="X1993" t="b">
        <v>0</v>
      </c>
      <c r="Y1993" t="b">
        <v>0</v>
      </c>
    </row>
    <row r="1994" spans="1:25">
      <c r="A1994">
        <v>1000087</v>
      </c>
      <c r="B1994" t="s">
        <v>4061</v>
      </c>
      <c r="C1994" t="s">
        <v>4237</v>
      </c>
      <c r="D1994" t="s">
        <v>1292</v>
      </c>
      <c r="E1994">
        <v>1000087</v>
      </c>
      <c r="F1994" t="s">
        <v>1292</v>
      </c>
      <c r="G1994">
        <v>0</v>
      </c>
      <c r="H1994" t="s">
        <v>1292</v>
      </c>
      <c r="I1994">
        <v>0</v>
      </c>
      <c r="J1994" t="s">
        <v>1292</v>
      </c>
      <c r="K1994">
        <v>0</v>
      </c>
      <c r="L1994" t="s">
        <v>1292</v>
      </c>
      <c r="M1994">
        <v>0</v>
      </c>
      <c r="N1994" t="s">
        <v>1292</v>
      </c>
      <c r="O1994">
        <v>0</v>
      </c>
      <c r="P1994" t="s">
        <v>26</v>
      </c>
      <c r="Q1994" s="1">
        <v>3340</v>
      </c>
      <c r="R1994">
        <v>14.2</v>
      </c>
      <c r="S1994" s="2">
        <v>0.21</v>
      </c>
      <c r="T1994" s="3">
        <v>2.8965277777777776</v>
      </c>
      <c r="U1994" s="2">
        <v>0.21</v>
      </c>
      <c r="V1994" t="s">
        <v>4237</v>
      </c>
      <c r="W1994" t="s">
        <v>4238</v>
      </c>
      <c r="X1994" t="b">
        <v>0</v>
      </c>
      <c r="Y1994" t="b">
        <v>0</v>
      </c>
    </row>
    <row r="1995" spans="1:25">
      <c r="A1995">
        <v>1000088</v>
      </c>
      <c r="B1995" t="s">
        <v>4061</v>
      </c>
      <c r="C1995" t="s">
        <v>4239</v>
      </c>
      <c r="D1995" t="s">
        <v>1292</v>
      </c>
      <c r="E1995">
        <v>1000088</v>
      </c>
      <c r="F1995" t="s">
        <v>1292</v>
      </c>
      <c r="G1995">
        <v>0</v>
      </c>
      <c r="H1995" t="s">
        <v>1292</v>
      </c>
      <c r="I1995">
        <v>0</v>
      </c>
      <c r="J1995" t="s">
        <v>1292</v>
      </c>
      <c r="K1995">
        <v>0</v>
      </c>
      <c r="L1995" t="s">
        <v>1292</v>
      </c>
      <c r="M1995">
        <v>0</v>
      </c>
      <c r="N1995" t="s">
        <v>1292</v>
      </c>
      <c r="O1995">
        <v>0</v>
      </c>
      <c r="P1995" t="s">
        <v>26</v>
      </c>
      <c r="Q1995" s="1">
        <v>18895</v>
      </c>
      <c r="R1995">
        <v>11.9</v>
      </c>
      <c r="S1995" s="2">
        <v>0.59</v>
      </c>
      <c r="T1995" s="3">
        <v>3.1833333333333331</v>
      </c>
      <c r="U1995" s="2">
        <v>0.19</v>
      </c>
      <c r="V1995" t="s">
        <v>4239</v>
      </c>
      <c r="W1995" t="s">
        <v>4240</v>
      </c>
      <c r="X1995" t="b">
        <v>0</v>
      </c>
      <c r="Y1995" t="b">
        <v>0</v>
      </c>
    </row>
    <row r="1996" spans="1:25">
      <c r="A1996">
        <v>1000089</v>
      </c>
      <c r="B1996" t="s">
        <v>4061</v>
      </c>
      <c r="C1996" t="s">
        <v>4241</v>
      </c>
      <c r="D1996" t="s">
        <v>1292</v>
      </c>
      <c r="E1996">
        <v>1000089</v>
      </c>
      <c r="F1996" t="s">
        <v>1292</v>
      </c>
      <c r="G1996">
        <v>0</v>
      </c>
      <c r="H1996" t="s">
        <v>1292</v>
      </c>
      <c r="I1996">
        <v>0</v>
      </c>
      <c r="J1996" t="s">
        <v>1292</v>
      </c>
      <c r="K1996">
        <v>0</v>
      </c>
      <c r="L1996" t="s">
        <v>1292</v>
      </c>
      <c r="M1996">
        <v>0</v>
      </c>
      <c r="N1996" t="s">
        <v>1292</v>
      </c>
      <c r="O1996">
        <v>0</v>
      </c>
      <c r="P1996" t="s">
        <v>26</v>
      </c>
      <c r="Q1996" s="1">
        <v>1100</v>
      </c>
      <c r="R1996">
        <v>11.6</v>
      </c>
      <c r="S1996" s="2">
        <v>0.08</v>
      </c>
      <c r="T1996" s="3">
        <v>3.0604166666666668</v>
      </c>
      <c r="U1996" s="2">
        <v>0.12</v>
      </c>
      <c r="V1996" t="s">
        <v>4241</v>
      </c>
      <c r="W1996" t="s">
        <v>4242</v>
      </c>
      <c r="X1996" t="b">
        <v>0</v>
      </c>
      <c r="Y1996" t="b">
        <v>0</v>
      </c>
    </row>
    <row r="1997" spans="1:25">
      <c r="A1997">
        <v>1000090</v>
      </c>
      <c r="B1997" t="s">
        <v>4061</v>
      </c>
      <c r="C1997" t="s">
        <v>4243</v>
      </c>
      <c r="D1997" t="s">
        <v>1292</v>
      </c>
      <c r="E1997">
        <v>1000090</v>
      </c>
      <c r="F1997" t="s">
        <v>1292</v>
      </c>
      <c r="G1997">
        <v>0</v>
      </c>
      <c r="H1997" t="s">
        <v>1292</v>
      </c>
      <c r="I1997">
        <v>0</v>
      </c>
      <c r="J1997" t="s">
        <v>1292</v>
      </c>
      <c r="K1997">
        <v>0</v>
      </c>
      <c r="L1997" t="s">
        <v>1292</v>
      </c>
      <c r="M1997">
        <v>0</v>
      </c>
      <c r="N1997" t="s">
        <v>1292</v>
      </c>
      <c r="O1997">
        <v>0</v>
      </c>
      <c r="P1997" t="s">
        <v>1093</v>
      </c>
      <c r="Q1997" s="1">
        <v>11532</v>
      </c>
      <c r="R1997">
        <v>22.9</v>
      </c>
      <c r="S1997" s="2">
        <v>7.0000000000000007E-2</v>
      </c>
      <c r="T1997" s="3">
        <v>2.4048611111111109</v>
      </c>
      <c r="U1997" s="2">
        <v>0.28000000000000003</v>
      </c>
      <c r="V1997" t="s">
        <v>4243</v>
      </c>
      <c r="W1997" t="s">
        <v>4244</v>
      </c>
      <c r="X1997" t="b">
        <v>0</v>
      </c>
      <c r="Y1997" t="b">
        <v>0</v>
      </c>
    </row>
    <row r="1998" spans="1:25">
      <c r="A1998">
        <v>1000091</v>
      </c>
      <c r="B1998" t="s">
        <v>4061</v>
      </c>
      <c r="C1998" t="s">
        <v>4245</v>
      </c>
      <c r="D1998" t="s">
        <v>1292</v>
      </c>
      <c r="E1998">
        <v>1000091</v>
      </c>
      <c r="F1998" t="s">
        <v>1292</v>
      </c>
      <c r="G1998">
        <v>0</v>
      </c>
      <c r="H1998" t="s">
        <v>1292</v>
      </c>
      <c r="I1998">
        <v>0</v>
      </c>
      <c r="J1998" t="s">
        <v>1292</v>
      </c>
      <c r="K1998">
        <v>0</v>
      </c>
      <c r="L1998" t="s">
        <v>1292</v>
      </c>
      <c r="M1998">
        <v>0</v>
      </c>
      <c r="N1998" t="s">
        <v>1292</v>
      </c>
      <c r="O1998">
        <v>0</v>
      </c>
      <c r="P1998" t="s">
        <v>94</v>
      </c>
      <c r="Q1998" s="1">
        <v>2733</v>
      </c>
      <c r="R1998">
        <v>8.6999999999999993</v>
      </c>
      <c r="S1998" s="2">
        <v>0.05</v>
      </c>
      <c r="T1998" t="s">
        <v>113</v>
      </c>
      <c r="U1998" s="2">
        <v>0.09</v>
      </c>
      <c r="V1998" t="s">
        <v>4245</v>
      </c>
      <c r="W1998" t="s">
        <v>4246</v>
      </c>
      <c r="X1998" t="b">
        <v>0</v>
      </c>
      <c r="Y1998" t="b">
        <v>0</v>
      </c>
    </row>
    <row r="1999" spans="1:25">
      <c r="A1999">
        <v>1000092</v>
      </c>
      <c r="B1999" t="s">
        <v>4061</v>
      </c>
      <c r="C1999" t="s">
        <v>4247</v>
      </c>
      <c r="D1999" t="s">
        <v>1292</v>
      </c>
      <c r="E1999">
        <v>1000092</v>
      </c>
      <c r="F1999" t="s">
        <v>1292</v>
      </c>
      <c r="G1999">
        <v>0</v>
      </c>
      <c r="H1999" t="s">
        <v>1292</v>
      </c>
      <c r="I1999">
        <v>0</v>
      </c>
      <c r="J1999" t="s">
        <v>1292</v>
      </c>
      <c r="K1999">
        <v>0</v>
      </c>
      <c r="L1999" t="s">
        <v>1292</v>
      </c>
      <c r="M1999">
        <v>0</v>
      </c>
      <c r="N1999" t="s">
        <v>1292</v>
      </c>
      <c r="O1999">
        <v>0</v>
      </c>
      <c r="P1999" t="s">
        <v>1306</v>
      </c>
      <c r="Q1999" s="1">
        <v>11872</v>
      </c>
      <c r="R1999">
        <v>8.1999999999999993</v>
      </c>
      <c r="S1999" s="2">
        <v>0.22</v>
      </c>
      <c r="T1999" s="3">
        <v>3.3472222222222223</v>
      </c>
      <c r="U1999" t="s">
        <v>1292</v>
      </c>
      <c r="V1999" t="s">
        <v>4247</v>
      </c>
      <c r="W1999" t="s">
        <v>4248</v>
      </c>
      <c r="X1999" t="b">
        <v>0</v>
      </c>
      <c r="Y1999" t="b">
        <v>0</v>
      </c>
    </row>
    <row r="2000" spans="1:25">
      <c r="A2000">
        <v>1000093</v>
      </c>
      <c r="B2000" t="s">
        <v>4061</v>
      </c>
      <c r="C2000" t="s">
        <v>4249</v>
      </c>
      <c r="D2000" t="s">
        <v>1292</v>
      </c>
      <c r="E2000">
        <v>1000093</v>
      </c>
      <c r="F2000" t="s">
        <v>1292</v>
      </c>
      <c r="G2000">
        <v>0</v>
      </c>
      <c r="H2000" t="s">
        <v>1292</v>
      </c>
      <c r="I2000">
        <v>0</v>
      </c>
      <c r="J2000" t="s">
        <v>1292</v>
      </c>
      <c r="K2000">
        <v>0</v>
      </c>
      <c r="L2000" t="s">
        <v>1292</v>
      </c>
      <c r="M2000">
        <v>0</v>
      </c>
      <c r="N2000" t="s">
        <v>1292</v>
      </c>
      <c r="O2000">
        <v>0</v>
      </c>
      <c r="P2000" t="s">
        <v>94</v>
      </c>
      <c r="Q2000" s="1">
        <v>1678</v>
      </c>
      <c r="R2000">
        <v>21.2</v>
      </c>
      <c r="S2000" s="2">
        <v>0.17</v>
      </c>
      <c r="T2000" t="s">
        <v>162</v>
      </c>
      <c r="U2000" s="2">
        <v>0.47</v>
      </c>
      <c r="V2000" t="s">
        <v>4249</v>
      </c>
      <c r="W2000" t="s">
        <v>4250</v>
      </c>
      <c r="X2000" t="b">
        <v>0</v>
      </c>
      <c r="Y2000" t="b">
        <v>0</v>
      </c>
    </row>
    <row r="2001" spans="1:25">
      <c r="A2001">
        <v>1000094</v>
      </c>
      <c r="B2001" t="s">
        <v>4061</v>
      </c>
      <c r="C2001" t="s">
        <v>4251</v>
      </c>
      <c r="D2001" t="s">
        <v>1292</v>
      </c>
      <c r="E2001">
        <v>1000094</v>
      </c>
      <c r="F2001" t="s">
        <v>1292</v>
      </c>
      <c r="G2001">
        <v>0</v>
      </c>
      <c r="H2001" t="s">
        <v>1292</v>
      </c>
      <c r="I2001">
        <v>0</v>
      </c>
      <c r="J2001" t="s">
        <v>1292</v>
      </c>
      <c r="K2001">
        <v>0</v>
      </c>
      <c r="L2001" t="s">
        <v>1292</v>
      </c>
      <c r="M2001">
        <v>0</v>
      </c>
      <c r="N2001" t="s">
        <v>1292</v>
      </c>
      <c r="O2001">
        <v>0</v>
      </c>
      <c r="P2001" t="s">
        <v>2157</v>
      </c>
      <c r="Q2001" s="1">
        <v>1652</v>
      </c>
      <c r="R2001">
        <v>11.1</v>
      </c>
      <c r="S2001" s="2">
        <v>0</v>
      </c>
      <c r="T2001" s="3">
        <v>2.2819444444444446</v>
      </c>
      <c r="U2001" t="s">
        <v>1292</v>
      </c>
      <c r="V2001" t="s">
        <v>4251</v>
      </c>
      <c r="W2001" t="s">
        <v>4252</v>
      </c>
      <c r="X2001" t="b">
        <v>0</v>
      </c>
      <c r="Y2001" t="b">
        <v>0</v>
      </c>
    </row>
    <row r="2002" spans="1:25">
      <c r="A2002">
        <v>1000095</v>
      </c>
      <c r="B2002" t="s">
        <v>4061</v>
      </c>
      <c r="C2002" t="s">
        <v>4253</v>
      </c>
      <c r="D2002" t="s">
        <v>1292</v>
      </c>
      <c r="E2002">
        <v>1000095</v>
      </c>
      <c r="F2002" t="s">
        <v>1292</v>
      </c>
      <c r="G2002">
        <v>0</v>
      </c>
      <c r="H2002" t="s">
        <v>1292</v>
      </c>
      <c r="I2002">
        <v>0</v>
      </c>
      <c r="J2002" t="s">
        <v>1292</v>
      </c>
      <c r="K2002">
        <v>0</v>
      </c>
      <c r="L2002" t="s">
        <v>1292</v>
      </c>
      <c r="M2002">
        <v>0</v>
      </c>
      <c r="N2002" t="s">
        <v>1292</v>
      </c>
      <c r="O2002">
        <v>0</v>
      </c>
      <c r="P2002" t="s">
        <v>1306</v>
      </c>
      <c r="Q2002" s="1">
        <v>7573</v>
      </c>
      <c r="R2002">
        <v>18</v>
      </c>
      <c r="S2002" s="2">
        <v>0.02</v>
      </c>
      <c r="T2002" s="3">
        <v>4.0027777777777782</v>
      </c>
      <c r="U2002" s="2">
        <v>0.28999999999999998</v>
      </c>
      <c r="V2002" t="s">
        <v>4253</v>
      </c>
      <c r="W2002" t="s">
        <v>4254</v>
      </c>
      <c r="X2002" t="b">
        <v>0</v>
      </c>
      <c r="Y2002" t="b">
        <v>0</v>
      </c>
    </row>
    <row r="2003" spans="1:25">
      <c r="A2003">
        <v>1000096</v>
      </c>
      <c r="B2003" t="s">
        <v>4061</v>
      </c>
      <c r="C2003" t="s">
        <v>4255</v>
      </c>
      <c r="D2003" t="s">
        <v>1292</v>
      </c>
      <c r="E2003">
        <v>1000096</v>
      </c>
      <c r="F2003" t="s">
        <v>1292</v>
      </c>
      <c r="G2003">
        <v>0</v>
      </c>
      <c r="H2003" t="s">
        <v>1292</v>
      </c>
      <c r="I2003">
        <v>0</v>
      </c>
      <c r="J2003" t="s">
        <v>1292</v>
      </c>
      <c r="K2003">
        <v>0</v>
      </c>
      <c r="L2003" t="s">
        <v>1292</v>
      </c>
      <c r="M2003">
        <v>0</v>
      </c>
      <c r="N2003" t="s">
        <v>1292</v>
      </c>
      <c r="O2003">
        <v>0</v>
      </c>
      <c r="P2003" t="s">
        <v>125</v>
      </c>
      <c r="Q2003" s="1">
        <v>6627</v>
      </c>
      <c r="R2003">
        <v>50.6</v>
      </c>
      <c r="S2003" s="2">
        <v>0.37</v>
      </c>
      <c r="T2003" s="3">
        <v>2.1590277777777778</v>
      </c>
      <c r="U2003" s="2">
        <v>0.19</v>
      </c>
      <c r="V2003" t="s">
        <v>4255</v>
      </c>
      <c r="W2003" t="s">
        <v>4256</v>
      </c>
      <c r="X2003" t="b">
        <v>0</v>
      </c>
      <c r="Y2003" t="b">
        <v>0</v>
      </c>
    </row>
    <row r="2004" spans="1:25">
      <c r="A2004">
        <v>1000097</v>
      </c>
      <c r="B2004" t="s">
        <v>4061</v>
      </c>
      <c r="C2004" t="s">
        <v>4257</v>
      </c>
      <c r="D2004" t="s">
        <v>1292</v>
      </c>
      <c r="E2004">
        <v>1000097</v>
      </c>
      <c r="F2004" t="s">
        <v>1292</v>
      </c>
      <c r="G2004">
        <v>0</v>
      </c>
      <c r="H2004" t="s">
        <v>1292</v>
      </c>
      <c r="I2004">
        <v>0</v>
      </c>
      <c r="J2004" t="s">
        <v>1292</v>
      </c>
      <c r="K2004">
        <v>0</v>
      </c>
      <c r="L2004" t="s">
        <v>1292</v>
      </c>
      <c r="M2004">
        <v>0</v>
      </c>
      <c r="N2004" t="s">
        <v>1292</v>
      </c>
      <c r="O2004">
        <v>0</v>
      </c>
      <c r="P2004" t="s">
        <v>3726</v>
      </c>
      <c r="Q2004" s="1">
        <v>4906</v>
      </c>
      <c r="R2004">
        <v>8.5</v>
      </c>
      <c r="S2004" s="2">
        <v>0.08</v>
      </c>
      <c r="T2004" s="3">
        <v>2.2000000000000002</v>
      </c>
      <c r="U2004" s="2">
        <v>0.2</v>
      </c>
      <c r="V2004" t="s">
        <v>4257</v>
      </c>
      <c r="W2004" t="s">
        <v>4258</v>
      </c>
      <c r="X2004" t="b">
        <v>0</v>
      </c>
      <c r="Y2004" t="b">
        <v>0</v>
      </c>
    </row>
    <row r="2005" spans="1:25">
      <c r="A2005">
        <v>1000098</v>
      </c>
      <c r="B2005" t="s">
        <v>4061</v>
      </c>
      <c r="C2005" t="s">
        <v>4259</v>
      </c>
      <c r="D2005" t="s">
        <v>1292</v>
      </c>
      <c r="E2005">
        <v>1000098</v>
      </c>
      <c r="F2005" t="s">
        <v>1292</v>
      </c>
      <c r="G2005">
        <v>0</v>
      </c>
      <c r="H2005" t="s">
        <v>1292</v>
      </c>
      <c r="I2005">
        <v>0</v>
      </c>
      <c r="J2005" t="s">
        <v>1292</v>
      </c>
      <c r="K2005">
        <v>0</v>
      </c>
      <c r="L2005" t="s">
        <v>1292</v>
      </c>
      <c r="M2005">
        <v>0</v>
      </c>
      <c r="N2005" t="s">
        <v>1292</v>
      </c>
      <c r="O2005">
        <v>0</v>
      </c>
      <c r="P2005" t="s">
        <v>1613</v>
      </c>
      <c r="Q2005" s="1">
        <v>27105</v>
      </c>
      <c r="R2005">
        <v>45.7</v>
      </c>
      <c r="S2005" s="2">
        <v>0</v>
      </c>
      <c r="T2005" s="3">
        <v>2.0770833333333334</v>
      </c>
      <c r="U2005" s="2">
        <v>0.25</v>
      </c>
      <c r="V2005" t="s">
        <v>4259</v>
      </c>
      <c r="W2005" t="s">
        <v>4260</v>
      </c>
      <c r="X2005" t="b">
        <v>0</v>
      </c>
      <c r="Y2005" t="b">
        <v>0</v>
      </c>
    </row>
    <row r="2006" spans="1:25">
      <c r="A2006">
        <v>1000099</v>
      </c>
      <c r="B2006" t="s">
        <v>4061</v>
      </c>
      <c r="C2006" t="s">
        <v>4261</v>
      </c>
      <c r="D2006" t="s">
        <v>1292</v>
      </c>
      <c r="E2006">
        <v>1000099</v>
      </c>
      <c r="F2006" t="s">
        <v>1292</v>
      </c>
      <c r="G2006">
        <v>0</v>
      </c>
      <c r="H2006" t="s">
        <v>1292</v>
      </c>
      <c r="I2006">
        <v>0</v>
      </c>
      <c r="J2006" t="s">
        <v>1292</v>
      </c>
      <c r="K2006">
        <v>0</v>
      </c>
      <c r="L2006" t="s">
        <v>1292</v>
      </c>
      <c r="M2006">
        <v>0</v>
      </c>
      <c r="N2006" t="s">
        <v>1292</v>
      </c>
      <c r="O2006">
        <v>0</v>
      </c>
      <c r="P2006" t="s">
        <v>3326</v>
      </c>
      <c r="Q2006" s="1">
        <v>8218</v>
      </c>
      <c r="R2006">
        <v>15.2</v>
      </c>
      <c r="S2006" s="2">
        <v>0.04</v>
      </c>
      <c r="T2006" t="s">
        <v>801</v>
      </c>
      <c r="U2006" s="2">
        <v>0.45</v>
      </c>
      <c r="V2006" t="s">
        <v>4261</v>
      </c>
      <c r="W2006" t="s">
        <v>4262</v>
      </c>
      <c r="X2006" t="b">
        <v>0</v>
      </c>
      <c r="Y2006" t="b">
        <v>0</v>
      </c>
    </row>
    <row r="2007" spans="1:25">
      <c r="A2007">
        <v>1000100</v>
      </c>
      <c r="B2007" t="s">
        <v>4061</v>
      </c>
      <c r="C2007" t="s">
        <v>4263</v>
      </c>
      <c r="D2007" t="s">
        <v>1292</v>
      </c>
      <c r="E2007">
        <v>1000100</v>
      </c>
      <c r="F2007" t="s">
        <v>1292</v>
      </c>
      <c r="G2007">
        <v>0</v>
      </c>
      <c r="H2007" t="s">
        <v>1292</v>
      </c>
      <c r="I2007">
        <v>0</v>
      </c>
      <c r="J2007" t="s">
        <v>1292</v>
      </c>
      <c r="K2007">
        <v>0</v>
      </c>
      <c r="L2007" t="s">
        <v>1292</v>
      </c>
      <c r="M2007">
        <v>0</v>
      </c>
      <c r="N2007" t="s">
        <v>1292</v>
      </c>
      <c r="O2007">
        <v>0</v>
      </c>
      <c r="P2007" t="s">
        <v>3326</v>
      </c>
      <c r="Q2007" s="1">
        <v>16678</v>
      </c>
      <c r="R2007">
        <v>10.4</v>
      </c>
      <c r="S2007" s="2">
        <v>0.03</v>
      </c>
      <c r="T2007" t="s">
        <v>501</v>
      </c>
      <c r="U2007" s="2">
        <v>0.3</v>
      </c>
      <c r="V2007" t="s">
        <v>4263</v>
      </c>
      <c r="W2007" t="s">
        <v>4264</v>
      </c>
      <c r="X2007" t="b">
        <v>0</v>
      </c>
      <c r="Y2007" t="b">
        <v>0</v>
      </c>
    </row>
    <row r="2008" spans="1:25">
      <c r="A2008">
        <v>1000101</v>
      </c>
      <c r="B2008" t="s">
        <v>4061</v>
      </c>
      <c r="C2008" t="s">
        <v>4265</v>
      </c>
      <c r="D2008" t="s">
        <v>1292</v>
      </c>
      <c r="E2008">
        <v>1000101</v>
      </c>
      <c r="F2008" t="s">
        <v>1292</v>
      </c>
      <c r="G2008">
        <v>0</v>
      </c>
      <c r="H2008" t="s">
        <v>1292</v>
      </c>
      <c r="I2008">
        <v>0</v>
      </c>
      <c r="J2008" t="s">
        <v>1292</v>
      </c>
      <c r="K2008">
        <v>0</v>
      </c>
      <c r="L2008" t="s">
        <v>1292</v>
      </c>
      <c r="M2008">
        <v>0</v>
      </c>
      <c r="N2008" t="s">
        <v>1292</v>
      </c>
      <c r="O2008">
        <v>0</v>
      </c>
      <c r="P2008" t="s">
        <v>1895</v>
      </c>
      <c r="Q2008" s="1">
        <v>12051</v>
      </c>
      <c r="R2008">
        <v>19.8</v>
      </c>
      <c r="S2008" s="2">
        <v>0.01</v>
      </c>
      <c r="T2008" s="3">
        <v>2.1180555555555554</v>
      </c>
      <c r="U2008" s="2">
        <v>0.13</v>
      </c>
      <c r="V2008" t="s">
        <v>4265</v>
      </c>
      <c r="W2008" t="s">
        <v>4266</v>
      </c>
      <c r="X2008" t="b">
        <v>0</v>
      </c>
      <c r="Y2008" t="b">
        <v>0</v>
      </c>
    </row>
    <row r="2009" spans="1:25">
      <c r="A2009">
        <v>1000102</v>
      </c>
      <c r="B2009" t="s">
        <v>4061</v>
      </c>
      <c r="C2009" t="s">
        <v>4267</v>
      </c>
      <c r="D2009" t="s">
        <v>1292</v>
      </c>
      <c r="E2009">
        <v>1000102</v>
      </c>
      <c r="F2009" t="s">
        <v>1292</v>
      </c>
      <c r="G2009">
        <v>0</v>
      </c>
      <c r="H2009" t="s">
        <v>1292</v>
      </c>
      <c r="I2009">
        <v>0</v>
      </c>
      <c r="J2009" t="s">
        <v>1292</v>
      </c>
      <c r="K2009">
        <v>0</v>
      </c>
      <c r="L2009" t="s">
        <v>1292</v>
      </c>
      <c r="M2009">
        <v>0</v>
      </c>
      <c r="N2009" t="s">
        <v>1292</v>
      </c>
      <c r="O2009">
        <v>0</v>
      </c>
      <c r="P2009" t="s">
        <v>1102</v>
      </c>
      <c r="Q2009" s="1">
        <v>3471</v>
      </c>
      <c r="R2009">
        <v>20.5</v>
      </c>
      <c r="S2009" s="2">
        <v>0</v>
      </c>
      <c r="T2009">
        <v>0.92986111111111114</v>
      </c>
      <c r="U2009" s="2">
        <v>0.33</v>
      </c>
      <c r="V2009" t="s">
        <v>4267</v>
      </c>
      <c r="W2009" t="s">
        <v>4268</v>
      </c>
      <c r="X2009" t="b">
        <v>0</v>
      </c>
      <c r="Y2009" t="b">
        <v>0</v>
      </c>
    </row>
    <row r="2010" spans="1:25">
      <c r="A2010">
        <v>1000103</v>
      </c>
      <c r="B2010" t="s">
        <v>4061</v>
      </c>
      <c r="C2010" t="s">
        <v>4269</v>
      </c>
      <c r="D2010" t="s">
        <v>1292</v>
      </c>
      <c r="E2010">
        <v>1000103</v>
      </c>
      <c r="F2010" t="s">
        <v>1292</v>
      </c>
      <c r="G2010">
        <v>0</v>
      </c>
      <c r="H2010" t="s">
        <v>1292</v>
      </c>
      <c r="I2010">
        <v>0</v>
      </c>
      <c r="J2010" t="s">
        <v>1292</v>
      </c>
      <c r="K2010">
        <v>0</v>
      </c>
      <c r="L2010" t="s">
        <v>1292</v>
      </c>
      <c r="M2010">
        <v>0</v>
      </c>
      <c r="N2010" t="s">
        <v>1292</v>
      </c>
      <c r="O2010">
        <v>0</v>
      </c>
      <c r="P2010" t="s">
        <v>1483</v>
      </c>
      <c r="Q2010" s="1">
        <v>13479</v>
      </c>
      <c r="R2010">
        <v>17.8</v>
      </c>
      <c r="S2010" s="2">
        <v>0.02</v>
      </c>
      <c r="T2010" s="3">
        <v>2.3638888888888889</v>
      </c>
      <c r="U2010" s="2">
        <v>0.26</v>
      </c>
      <c r="V2010" t="s">
        <v>4269</v>
      </c>
      <c r="W2010" t="s">
        <v>4270</v>
      </c>
      <c r="X2010" t="b">
        <v>0</v>
      </c>
      <c r="Y2010" t="b">
        <v>0</v>
      </c>
    </row>
    <row r="2011" spans="1:25">
      <c r="A2011">
        <v>1000104</v>
      </c>
      <c r="B2011" t="s">
        <v>4061</v>
      </c>
      <c r="C2011" t="s">
        <v>4271</v>
      </c>
      <c r="D2011" t="s">
        <v>1292</v>
      </c>
      <c r="E2011">
        <v>1000104</v>
      </c>
      <c r="F2011" t="s">
        <v>1292</v>
      </c>
      <c r="G2011">
        <v>0</v>
      </c>
      <c r="H2011" t="s">
        <v>1292</v>
      </c>
      <c r="I2011">
        <v>0</v>
      </c>
      <c r="J2011" t="s">
        <v>1292</v>
      </c>
      <c r="K2011">
        <v>0</v>
      </c>
      <c r="L2011" t="s">
        <v>1292</v>
      </c>
      <c r="M2011">
        <v>0</v>
      </c>
      <c r="N2011" t="s">
        <v>1292</v>
      </c>
      <c r="O2011">
        <v>0</v>
      </c>
      <c r="P2011" t="s">
        <v>1955</v>
      </c>
      <c r="Q2011" s="1">
        <v>3606</v>
      </c>
      <c r="R2011">
        <v>36.799999999999997</v>
      </c>
      <c r="S2011" s="2">
        <v>0</v>
      </c>
      <c r="T2011" s="3">
        <v>2.2409722222222221</v>
      </c>
      <c r="U2011" s="2">
        <v>0.26</v>
      </c>
      <c r="V2011" t="s">
        <v>4271</v>
      </c>
      <c r="W2011" t="s">
        <v>4272</v>
      </c>
      <c r="X2011" t="b">
        <v>0</v>
      </c>
      <c r="Y2011" t="b">
        <v>0</v>
      </c>
    </row>
    <row r="2012" spans="1:25">
      <c r="A2012">
        <v>1000105</v>
      </c>
      <c r="B2012" t="s">
        <v>4061</v>
      </c>
      <c r="C2012" t="s">
        <v>4273</v>
      </c>
      <c r="D2012" t="s">
        <v>1292</v>
      </c>
      <c r="E2012">
        <v>1000105</v>
      </c>
      <c r="F2012" t="s">
        <v>1292</v>
      </c>
      <c r="G2012">
        <v>0</v>
      </c>
      <c r="H2012" t="s">
        <v>1292</v>
      </c>
      <c r="I2012">
        <v>0</v>
      </c>
      <c r="J2012" t="s">
        <v>1292</v>
      </c>
      <c r="K2012">
        <v>0</v>
      </c>
      <c r="L2012" t="s">
        <v>1292</v>
      </c>
      <c r="M2012">
        <v>0</v>
      </c>
      <c r="N2012" t="s">
        <v>1292</v>
      </c>
      <c r="O2012">
        <v>0</v>
      </c>
      <c r="P2012" t="s">
        <v>1102</v>
      </c>
      <c r="Q2012" s="1">
        <v>22802</v>
      </c>
      <c r="R2012">
        <v>48.1</v>
      </c>
      <c r="S2012" s="2">
        <v>0</v>
      </c>
      <c r="T2012" t="s">
        <v>350</v>
      </c>
      <c r="U2012" s="2">
        <v>0.23</v>
      </c>
      <c r="V2012" t="s">
        <v>4273</v>
      </c>
      <c r="W2012" t="s">
        <v>4274</v>
      </c>
      <c r="X2012" t="b">
        <v>0</v>
      </c>
      <c r="Y2012" t="b">
        <v>0</v>
      </c>
    </row>
    <row r="2013" spans="1:25">
      <c r="A2013">
        <v>1000106</v>
      </c>
      <c r="B2013" t="s">
        <v>4061</v>
      </c>
      <c r="C2013" t="s">
        <v>4275</v>
      </c>
      <c r="D2013" t="s">
        <v>1292</v>
      </c>
      <c r="E2013">
        <v>1000106</v>
      </c>
      <c r="F2013" t="s">
        <v>1292</v>
      </c>
      <c r="G2013">
        <v>0</v>
      </c>
      <c r="H2013" t="s">
        <v>1292</v>
      </c>
      <c r="I2013">
        <v>0</v>
      </c>
      <c r="J2013" t="s">
        <v>1292</v>
      </c>
      <c r="K2013">
        <v>0</v>
      </c>
      <c r="L2013" t="s">
        <v>1292</v>
      </c>
      <c r="M2013">
        <v>0</v>
      </c>
      <c r="N2013" t="s">
        <v>1292</v>
      </c>
      <c r="O2013">
        <v>0</v>
      </c>
      <c r="P2013" t="s">
        <v>1102</v>
      </c>
      <c r="Q2013" s="1">
        <v>11859</v>
      </c>
      <c r="R2013">
        <v>19.100000000000001</v>
      </c>
      <c r="S2013" s="2">
        <v>0</v>
      </c>
      <c r="T2013">
        <v>0.76597222222222228</v>
      </c>
      <c r="U2013" s="2">
        <v>0.36</v>
      </c>
      <c r="V2013" t="s">
        <v>4275</v>
      </c>
      <c r="W2013" t="s">
        <v>4276</v>
      </c>
      <c r="X2013" t="b">
        <v>0</v>
      </c>
      <c r="Y2013" t="b">
        <v>0</v>
      </c>
    </row>
    <row r="2014" spans="1:25">
      <c r="A2014">
        <v>1000107</v>
      </c>
      <c r="B2014" t="s">
        <v>4061</v>
      </c>
      <c r="C2014" t="s">
        <v>4277</v>
      </c>
      <c r="D2014" t="s">
        <v>1292</v>
      </c>
      <c r="E2014">
        <v>1000107</v>
      </c>
      <c r="F2014" t="s">
        <v>1292</v>
      </c>
      <c r="G2014">
        <v>0</v>
      </c>
      <c r="H2014" t="s">
        <v>1292</v>
      </c>
      <c r="I2014">
        <v>0</v>
      </c>
      <c r="J2014" t="s">
        <v>1292</v>
      </c>
      <c r="K2014">
        <v>0</v>
      </c>
      <c r="L2014" t="s">
        <v>1292</v>
      </c>
      <c r="M2014">
        <v>0</v>
      </c>
      <c r="N2014" t="s">
        <v>1292</v>
      </c>
      <c r="O2014">
        <v>0</v>
      </c>
      <c r="P2014" t="s">
        <v>1102</v>
      </c>
      <c r="Q2014" s="1">
        <v>2038</v>
      </c>
      <c r="R2014">
        <v>29.5</v>
      </c>
      <c r="S2014" s="2">
        <v>0</v>
      </c>
      <c r="T2014" s="3">
        <v>1.9131944444444444</v>
      </c>
      <c r="U2014" t="s">
        <v>1292</v>
      </c>
      <c r="V2014" t="s">
        <v>4277</v>
      </c>
      <c r="W2014" t="s">
        <v>4278</v>
      </c>
      <c r="X2014" t="b">
        <v>0</v>
      </c>
      <c r="Y2014" t="b">
        <v>0</v>
      </c>
    </row>
    <row r="2015" spans="1:25">
      <c r="A2015">
        <v>1000108</v>
      </c>
      <c r="B2015" t="s">
        <v>4061</v>
      </c>
      <c r="C2015" t="s">
        <v>4279</v>
      </c>
      <c r="D2015" t="s">
        <v>1292</v>
      </c>
      <c r="E2015">
        <v>1000108</v>
      </c>
      <c r="F2015" t="s">
        <v>1292</v>
      </c>
      <c r="G2015">
        <v>0</v>
      </c>
      <c r="H2015" t="s">
        <v>1292</v>
      </c>
      <c r="I2015">
        <v>0</v>
      </c>
      <c r="J2015" t="s">
        <v>1292</v>
      </c>
      <c r="K2015">
        <v>0</v>
      </c>
      <c r="L2015" t="s">
        <v>1292</v>
      </c>
      <c r="M2015">
        <v>0</v>
      </c>
      <c r="N2015" t="s">
        <v>1292</v>
      </c>
      <c r="O2015">
        <v>0</v>
      </c>
      <c r="P2015" t="s">
        <v>895</v>
      </c>
      <c r="Q2015" s="1">
        <v>15721</v>
      </c>
      <c r="R2015">
        <v>31.8</v>
      </c>
      <c r="S2015" s="2">
        <v>7.0000000000000007E-2</v>
      </c>
      <c r="U2015" s="2">
        <v>0.23</v>
      </c>
      <c r="V2015" t="s">
        <v>4279</v>
      </c>
      <c r="W2015" t="s">
        <v>4280</v>
      </c>
      <c r="X2015" t="b">
        <v>0</v>
      </c>
      <c r="Y2015" t="b">
        <v>0</v>
      </c>
    </row>
    <row r="2016" spans="1:25">
      <c r="A2016">
        <v>1000109</v>
      </c>
      <c r="B2016" t="s">
        <v>4061</v>
      </c>
      <c r="C2016" t="s">
        <v>4281</v>
      </c>
      <c r="D2016" t="s">
        <v>1292</v>
      </c>
      <c r="E2016">
        <v>1000109</v>
      </c>
      <c r="F2016" t="s">
        <v>1292</v>
      </c>
      <c r="G2016">
        <v>0</v>
      </c>
      <c r="H2016" t="s">
        <v>1292</v>
      </c>
      <c r="I2016">
        <v>0</v>
      </c>
      <c r="J2016" t="s">
        <v>1292</v>
      </c>
      <c r="K2016">
        <v>0</v>
      </c>
      <c r="L2016" t="s">
        <v>1292</v>
      </c>
      <c r="M2016">
        <v>0</v>
      </c>
      <c r="N2016" t="s">
        <v>1292</v>
      </c>
      <c r="O2016">
        <v>0</v>
      </c>
      <c r="P2016" t="s">
        <v>1846</v>
      </c>
      <c r="Q2016" s="1">
        <v>1743</v>
      </c>
      <c r="R2016">
        <v>8</v>
      </c>
      <c r="S2016" s="2">
        <v>0.03</v>
      </c>
      <c r="T2016" s="3">
        <v>2.3229166666666665</v>
      </c>
      <c r="U2016" s="2">
        <v>0.21</v>
      </c>
      <c r="V2016" t="s">
        <v>4281</v>
      </c>
      <c r="W2016" t="s">
        <v>4282</v>
      </c>
      <c r="X2016" t="b">
        <v>0</v>
      </c>
      <c r="Y2016" t="b">
        <v>0</v>
      </c>
    </row>
    <row r="2017" spans="1:25">
      <c r="A2017">
        <v>1000110</v>
      </c>
      <c r="B2017" t="s">
        <v>4061</v>
      </c>
      <c r="C2017" t="s">
        <v>4283</v>
      </c>
      <c r="D2017" t="s">
        <v>1292</v>
      </c>
      <c r="E2017">
        <v>1000110</v>
      </c>
      <c r="F2017" t="s">
        <v>1292</v>
      </c>
      <c r="G2017">
        <v>0</v>
      </c>
      <c r="H2017" t="s">
        <v>1292</v>
      </c>
      <c r="I2017">
        <v>0</v>
      </c>
      <c r="J2017" t="s">
        <v>1292</v>
      </c>
      <c r="K2017">
        <v>0</v>
      </c>
      <c r="L2017" t="s">
        <v>1292</v>
      </c>
      <c r="M2017">
        <v>0</v>
      </c>
      <c r="N2017" t="s">
        <v>1292</v>
      </c>
      <c r="O2017">
        <v>0</v>
      </c>
      <c r="P2017" t="s">
        <v>4075</v>
      </c>
      <c r="Q2017" s="1">
        <v>13200</v>
      </c>
      <c r="R2017">
        <v>35.299999999999997</v>
      </c>
      <c r="S2017" s="2">
        <v>0.03</v>
      </c>
      <c r="T2017" t="s">
        <v>51</v>
      </c>
      <c r="U2017" t="s">
        <v>1292</v>
      </c>
      <c r="V2017" t="s">
        <v>4283</v>
      </c>
      <c r="W2017" t="s">
        <v>4284</v>
      </c>
      <c r="X2017" t="b">
        <v>0</v>
      </c>
      <c r="Y2017" t="b">
        <v>0</v>
      </c>
    </row>
    <row r="2018" spans="1:25">
      <c r="A2018">
        <v>1000111</v>
      </c>
      <c r="B2018" t="s">
        <v>4061</v>
      </c>
      <c r="C2018" t="s">
        <v>4285</v>
      </c>
      <c r="D2018" t="s">
        <v>1292</v>
      </c>
      <c r="E2018">
        <v>1000111</v>
      </c>
      <c r="F2018" t="s">
        <v>1292</v>
      </c>
      <c r="G2018">
        <v>0</v>
      </c>
      <c r="H2018" t="s">
        <v>1292</v>
      </c>
      <c r="I2018">
        <v>0</v>
      </c>
      <c r="J2018" t="s">
        <v>1292</v>
      </c>
      <c r="K2018">
        <v>0</v>
      </c>
      <c r="L2018" t="s">
        <v>1292</v>
      </c>
      <c r="M2018">
        <v>0</v>
      </c>
      <c r="N2018" t="s">
        <v>1292</v>
      </c>
      <c r="O2018">
        <v>0</v>
      </c>
      <c r="P2018" t="s">
        <v>255</v>
      </c>
      <c r="Q2018" s="1">
        <v>8671</v>
      </c>
      <c r="R2018">
        <v>10.199999999999999</v>
      </c>
      <c r="S2018" s="2">
        <v>0.28000000000000003</v>
      </c>
      <c r="T2018" s="3">
        <v>2.5277777777777777</v>
      </c>
      <c r="U2018" s="2">
        <v>0.06</v>
      </c>
      <c r="V2018" t="s">
        <v>4285</v>
      </c>
      <c r="W2018" t="s">
        <v>667</v>
      </c>
      <c r="X2018" t="b">
        <v>0</v>
      </c>
      <c r="Y2018" t="b">
        <v>0</v>
      </c>
    </row>
    <row r="2019" spans="1:25">
      <c r="A2019">
        <v>1000112</v>
      </c>
      <c r="B2019" t="s">
        <v>4061</v>
      </c>
      <c r="C2019" t="s">
        <v>4286</v>
      </c>
      <c r="D2019" t="s">
        <v>1292</v>
      </c>
      <c r="E2019">
        <v>1000112</v>
      </c>
      <c r="F2019" t="s">
        <v>1292</v>
      </c>
      <c r="G2019">
        <v>0</v>
      </c>
      <c r="H2019" t="s">
        <v>1292</v>
      </c>
      <c r="I2019">
        <v>0</v>
      </c>
      <c r="J2019" t="s">
        <v>1292</v>
      </c>
      <c r="K2019">
        <v>0</v>
      </c>
      <c r="L2019" t="s">
        <v>1292</v>
      </c>
      <c r="M2019">
        <v>0</v>
      </c>
      <c r="N2019" t="s">
        <v>1292</v>
      </c>
      <c r="O2019">
        <v>0</v>
      </c>
      <c r="P2019" t="s">
        <v>26</v>
      </c>
      <c r="Q2019" s="1">
        <v>6485</v>
      </c>
      <c r="R2019">
        <v>16.399999999999999</v>
      </c>
      <c r="S2019" s="2">
        <v>0.14000000000000001</v>
      </c>
      <c r="T2019" s="3">
        <v>2.8965277777777776</v>
      </c>
      <c r="U2019" s="2">
        <v>0.15</v>
      </c>
      <c r="V2019" t="s">
        <v>4286</v>
      </c>
      <c r="W2019" t="s">
        <v>4287</v>
      </c>
      <c r="X2019" t="b">
        <v>0</v>
      </c>
      <c r="Y2019" t="b">
        <v>0</v>
      </c>
    </row>
    <row r="2020" spans="1:25">
      <c r="A2020">
        <v>1000113</v>
      </c>
      <c r="B2020" t="s">
        <v>4061</v>
      </c>
      <c r="C2020" t="s">
        <v>4288</v>
      </c>
      <c r="D2020" t="s">
        <v>1292</v>
      </c>
      <c r="E2020">
        <v>1000113</v>
      </c>
      <c r="F2020" t="s">
        <v>1292</v>
      </c>
      <c r="G2020">
        <v>0</v>
      </c>
      <c r="H2020" t="s">
        <v>1292</v>
      </c>
      <c r="I2020">
        <v>0</v>
      </c>
      <c r="J2020" t="s">
        <v>1292</v>
      </c>
      <c r="K2020">
        <v>0</v>
      </c>
      <c r="L2020" t="s">
        <v>1292</v>
      </c>
      <c r="M2020">
        <v>0</v>
      </c>
      <c r="N2020" t="s">
        <v>1292</v>
      </c>
      <c r="O2020">
        <v>0</v>
      </c>
      <c r="P2020" t="s">
        <v>2290</v>
      </c>
      <c r="Q2020" s="1">
        <v>31737</v>
      </c>
      <c r="R2020">
        <v>27.8</v>
      </c>
      <c r="S2020" s="2">
        <v>0</v>
      </c>
      <c r="T2020" s="3">
        <v>3.0604166666666668</v>
      </c>
      <c r="U2020" s="2">
        <v>0.4</v>
      </c>
      <c r="V2020" t="s">
        <v>4288</v>
      </c>
      <c r="W2020" t="s">
        <v>4289</v>
      </c>
      <c r="X2020" t="b">
        <v>0</v>
      </c>
      <c r="Y2020" t="b">
        <v>0</v>
      </c>
    </row>
    <row r="2021" spans="1:25">
      <c r="A2021">
        <v>1000114</v>
      </c>
      <c r="B2021" t="s">
        <v>4061</v>
      </c>
      <c r="C2021" t="s">
        <v>4290</v>
      </c>
      <c r="D2021" t="s">
        <v>1292</v>
      </c>
      <c r="E2021">
        <v>1000114</v>
      </c>
      <c r="F2021" t="s">
        <v>1292</v>
      </c>
      <c r="G2021">
        <v>0</v>
      </c>
      <c r="H2021" t="s">
        <v>1292</v>
      </c>
      <c r="I2021">
        <v>0</v>
      </c>
      <c r="J2021" t="s">
        <v>1292</v>
      </c>
      <c r="K2021">
        <v>0</v>
      </c>
      <c r="L2021" t="s">
        <v>1292</v>
      </c>
      <c r="M2021">
        <v>0</v>
      </c>
      <c r="N2021" t="s">
        <v>1292</v>
      </c>
      <c r="O2021">
        <v>0</v>
      </c>
      <c r="P2021" t="s">
        <v>895</v>
      </c>
      <c r="Q2021" s="1">
        <v>12639</v>
      </c>
      <c r="R2021">
        <v>30.8</v>
      </c>
      <c r="S2021" s="2">
        <v>0.01</v>
      </c>
      <c r="T2021" s="3">
        <v>1.8722222222222222</v>
      </c>
      <c r="U2021" s="2">
        <v>0.31</v>
      </c>
      <c r="V2021" t="s">
        <v>4290</v>
      </c>
      <c r="W2021" t="s">
        <v>4291</v>
      </c>
      <c r="X2021" t="b">
        <v>0</v>
      </c>
      <c r="Y2021" t="b">
        <v>0</v>
      </c>
    </row>
    <row r="2022" spans="1:25">
      <c r="A2022">
        <v>1000115</v>
      </c>
      <c r="B2022" t="s">
        <v>4061</v>
      </c>
      <c r="C2022" t="s">
        <v>4292</v>
      </c>
      <c r="D2022" t="s">
        <v>1292</v>
      </c>
      <c r="E2022">
        <v>1000115</v>
      </c>
      <c r="F2022" t="s">
        <v>1292</v>
      </c>
      <c r="G2022">
        <v>0</v>
      </c>
      <c r="H2022" t="s">
        <v>1292</v>
      </c>
      <c r="I2022">
        <v>0</v>
      </c>
      <c r="J2022" t="s">
        <v>1292</v>
      </c>
      <c r="K2022">
        <v>0</v>
      </c>
      <c r="L2022" t="s">
        <v>1292</v>
      </c>
      <c r="M2022">
        <v>0</v>
      </c>
      <c r="N2022" t="s">
        <v>1292</v>
      </c>
      <c r="O2022">
        <v>0</v>
      </c>
      <c r="P2022" t="s">
        <v>1895</v>
      </c>
      <c r="Q2022" s="1">
        <v>3977</v>
      </c>
      <c r="R2022">
        <v>11.3</v>
      </c>
      <c r="S2022" s="2">
        <v>0</v>
      </c>
      <c r="T2022" s="3">
        <v>2.1180555555555554</v>
      </c>
      <c r="U2022" s="2">
        <v>0.28999999999999998</v>
      </c>
      <c r="V2022" t="s">
        <v>4292</v>
      </c>
      <c r="W2022" t="s">
        <v>4293</v>
      </c>
      <c r="X2022" t="b">
        <v>0</v>
      </c>
      <c r="Y2022" t="b">
        <v>0</v>
      </c>
    </row>
    <row r="2023" spans="1:25">
      <c r="A2023">
        <v>1000116</v>
      </c>
      <c r="B2023" t="s">
        <v>4061</v>
      </c>
      <c r="C2023" t="s">
        <v>4294</v>
      </c>
      <c r="D2023" t="s">
        <v>1292</v>
      </c>
      <c r="E2023">
        <v>1000116</v>
      </c>
      <c r="F2023" t="s">
        <v>1292</v>
      </c>
      <c r="G2023">
        <v>0</v>
      </c>
      <c r="H2023" t="s">
        <v>1292</v>
      </c>
      <c r="I2023">
        <v>0</v>
      </c>
      <c r="J2023" t="s">
        <v>1292</v>
      </c>
      <c r="K2023">
        <v>0</v>
      </c>
      <c r="L2023" t="s">
        <v>1292</v>
      </c>
      <c r="M2023">
        <v>0</v>
      </c>
      <c r="N2023" t="s">
        <v>1292</v>
      </c>
      <c r="O2023">
        <v>0</v>
      </c>
      <c r="P2023" t="s">
        <v>2672</v>
      </c>
      <c r="Q2023" s="1">
        <v>12975</v>
      </c>
      <c r="R2023">
        <v>13.6</v>
      </c>
      <c r="S2023" s="2">
        <v>0.05</v>
      </c>
      <c r="T2023" t="s">
        <v>1062</v>
      </c>
      <c r="U2023" s="2">
        <v>0.45</v>
      </c>
      <c r="V2023" t="s">
        <v>4294</v>
      </c>
      <c r="W2023" t="s">
        <v>4295</v>
      </c>
      <c r="X2023" t="b">
        <v>0</v>
      </c>
      <c r="Y2023" t="b">
        <v>0</v>
      </c>
    </row>
    <row r="2024" spans="1:25">
      <c r="A2024">
        <v>1000117</v>
      </c>
      <c r="B2024" t="s">
        <v>4061</v>
      </c>
      <c r="C2024" t="s">
        <v>4296</v>
      </c>
      <c r="D2024" t="s">
        <v>1292</v>
      </c>
      <c r="E2024">
        <v>1000117</v>
      </c>
      <c r="F2024" t="s">
        <v>1292</v>
      </c>
      <c r="G2024">
        <v>0</v>
      </c>
      <c r="H2024" t="s">
        <v>1292</v>
      </c>
      <c r="I2024">
        <v>0</v>
      </c>
      <c r="J2024" t="s">
        <v>1292</v>
      </c>
      <c r="K2024">
        <v>0</v>
      </c>
      <c r="L2024" t="s">
        <v>1292</v>
      </c>
      <c r="M2024">
        <v>0</v>
      </c>
      <c r="N2024" t="s">
        <v>1292</v>
      </c>
      <c r="O2024">
        <v>0</v>
      </c>
      <c r="P2024" t="s">
        <v>2672</v>
      </c>
      <c r="Q2024" s="1">
        <v>7367</v>
      </c>
      <c r="R2024">
        <v>6.3</v>
      </c>
      <c r="S2024" s="2">
        <v>0.28000000000000003</v>
      </c>
      <c r="T2024" s="3">
        <v>2.8145833333333332</v>
      </c>
      <c r="U2024" s="2">
        <v>0.09</v>
      </c>
      <c r="V2024" t="s">
        <v>4296</v>
      </c>
      <c r="W2024" t="s">
        <v>2431</v>
      </c>
      <c r="X2024" t="b">
        <v>0</v>
      </c>
      <c r="Y2024" t="b">
        <v>0</v>
      </c>
    </row>
    <row r="2025" spans="1:25">
      <c r="A2025">
        <v>1000118</v>
      </c>
      <c r="B2025" t="s">
        <v>4061</v>
      </c>
      <c r="C2025" t="s">
        <v>4297</v>
      </c>
      <c r="D2025" t="s">
        <v>1292</v>
      </c>
      <c r="E2025">
        <v>1000118</v>
      </c>
      <c r="F2025" t="s">
        <v>1292</v>
      </c>
      <c r="G2025">
        <v>0</v>
      </c>
      <c r="H2025" t="s">
        <v>1292</v>
      </c>
      <c r="I2025">
        <v>0</v>
      </c>
      <c r="J2025" t="s">
        <v>1292</v>
      </c>
      <c r="K2025">
        <v>0</v>
      </c>
      <c r="L2025" t="s">
        <v>1292</v>
      </c>
      <c r="M2025">
        <v>0</v>
      </c>
      <c r="N2025" t="s">
        <v>1292</v>
      </c>
      <c r="O2025">
        <v>0</v>
      </c>
      <c r="P2025" t="s">
        <v>1895</v>
      </c>
      <c r="Q2025" s="1">
        <v>2269</v>
      </c>
      <c r="R2025">
        <v>9.6999999999999993</v>
      </c>
      <c r="S2025" s="2">
        <v>0</v>
      </c>
      <c r="T2025" t="s">
        <v>1062</v>
      </c>
      <c r="U2025" s="2">
        <v>0.41</v>
      </c>
      <c r="V2025" t="s">
        <v>4297</v>
      </c>
      <c r="W2025" t="s">
        <v>4298</v>
      </c>
      <c r="X2025" t="b">
        <v>0</v>
      </c>
      <c r="Y2025" t="b">
        <v>0</v>
      </c>
    </row>
    <row r="2026" spans="1:25">
      <c r="A2026">
        <v>1000119</v>
      </c>
      <c r="B2026" t="s">
        <v>4061</v>
      </c>
      <c r="C2026" t="s">
        <v>4299</v>
      </c>
      <c r="D2026" t="s">
        <v>1292</v>
      </c>
      <c r="E2026">
        <v>1000119</v>
      </c>
      <c r="F2026" t="s">
        <v>1292</v>
      </c>
      <c r="G2026">
        <v>0</v>
      </c>
      <c r="H2026" t="s">
        <v>1292</v>
      </c>
      <c r="I2026">
        <v>0</v>
      </c>
      <c r="J2026" t="s">
        <v>1292</v>
      </c>
      <c r="K2026">
        <v>0</v>
      </c>
      <c r="L2026" t="s">
        <v>1292</v>
      </c>
      <c r="M2026">
        <v>0</v>
      </c>
      <c r="N2026" t="s">
        <v>1292</v>
      </c>
      <c r="O2026">
        <v>0</v>
      </c>
      <c r="P2026" t="s">
        <v>4300</v>
      </c>
      <c r="Q2026" s="1">
        <v>77619</v>
      </c>
      <c r="R2026">
        <v>16.5</v>
      </c>
      <c r="S2026" s="2">
        <v>0.02</v>
      </c>
      <c r="T2026" s="3">
        <v>2.4458333333333333</v>
      </c>
      <c r="U2026" s="2">
        <v>0.28999999999999998</v>
      </c>
      <c r="V2026" t="s">
        <v>4299</v>
      </c>
      <c r="W2026" t="s">
        <v>4301</v>
      </c>
      <c r="X2026" t="b">
        <v>0</v>
      </c>
      <c r="Y2026" t="b">
        <v>0</v>
      </c>
    </row>
    <row r="2027" spans="1:25">
      <c r="A2027">
        <v>1000120</v>
      </c>
      <c r="B2027" t="s">
        <v>4061</v>
      </c>
      <c r="C2027" t="s">
        <v>4302</v>
      </c>
      <c r="D2027" t="s">
        <v>1292</v>
      </c>
      <c r="E2027">
        <v>1000120</v>
      </c>
      <c r="F2027" t="s">
        <v>1292</v>
      </c>
      <c r="G2027">
        <v>0</v>
      </c>
      <c r="H2027" t="s">
        <v>1292</v>
      </c>
      <c r="I2027">
        <v>0</v>
      </c>
      <c r="J2027" t="s">
        <v>1292</v>
      </c>
      <c r="K2027">
        <v>0</v>
      </c>
      <c r="L2027" t="s">
        <v>1292</v>
      </c>
      <c r="M2027">
        <v>0</v>
      </c>
      <c r="N2027" t="s">
        <v>1292</v>
      </c>
      <c r="O2027">
        <v>0</v>
      </c>
      <c r="P2027" t="s">
        <v>1895</v>
      </c>
      <c r="Q2027" s="1">
        <v>5436</v>
      </c>
      <c r="R2027">
        <v>16.399999999999999</v>
      </c>
      <c r="S2027" s="2">
        <v>0</v>
      </c>
      <c r="T2027" s="3">
        <v>1.9131944444444444</v>
      </c>
      <c r="U2027" s="2">
        <v>0.25</v>
      </c>
      <c r="V2027" t="s">
        <v>4302</v>
      </c>
      <c r="W2027" t="s">
        <v>4303</v>
      </c>
      <c r="X2027" t="b">
        <v>0</v>
      </c>
      <c r="Y2027" t="b">
        <v>0</v>
      </c>
    </row>
    <row r="2028" spans="1:25">
      <c r="A2028">
        <v>1000121</v>
      </c>
      <c r="B2028" t="s">
        <v>4061</v>
      </c>
      <c r="C2028" t="s">
        <v>4304</v>
      </c>
      <c r="D2028" t="s">
        <v>1292</v>
      </c>
      <c r="E2028">
        <v>1000121</v>
      </c>
      <c r="F2028" t="s">
        <v>1292</v>
      </c>
      <c r="G2028">
        <v>0</v>
      </c>
      <c r="H2028" t="s">
        <v>1292</v>
      </c>
      <c r="I2028">
        <v>0</v>
      </c>
      <c r="J2028" t="s">
        <v>1292</v>
      </c>
      <c r="K2028">
        <v>0</v>
      </c>
      <c r="L2028" t="s">
        <v>1292</v>
      </c>
      <c r="M2028">
        <v>0</v>
      </c>
      <c r="N2028" t="s">
        <v>1292</v>
      </c>
      <c r="O2028">
        <v>0</v>
      </c>
      <c r="P2028" t="s">
        <v>895</v>
      </c>
      <c r="Q2028" s="1">
        <v>22401</v>
      </c>
      <c r="R2028">
        <v>25.4</v>
      </c>
      <c r="S2028" s="2">
        <v>0.05</v>
      </c>
      <c r="T2028" s="3">
        <v>2.0770833333333334</v>
      </c>
      <c r="U2028" s="2">
        <v>0.3</v>
      </c>
      <c r="V2028" t="s">
        <v>4304</v>
      </c>
      <c r="W2028" t="s">
        <v>4305</v>
      </c>
      <c r="X2028" t="b">
        <v>0</v>
      </c>
      <c r="Y2028" t="b">
        <v>0</v>
      </c>
    </row>
    <row r="2029" spans="1:25">
      <c r="A2029">
        <v>1000122</v>
      </c>
      <c r="B2029" t="s">
        <v>4061</v>
      </c>
      <c r="C2029" t="s">
        <v>4306</v>
      </c>
      <c r="D2029" t="s">
        <v>1292</v>
      </c>
      <c r="E2029">
        <v>1000122</v>
      </c>
      <c r="F2029" t="s">
        <v>1292</v>
      </c>
      <c r="G2029">
        <v>0</v>
      </c>
      <c r="H2029" t="s">
        <v>1292</v>
      </c>
      <c r="I2029">
        <v>0</v>
      </c>
      <c r="J2029" t="s">
        <v>1292</v>
      </c>
      <c r="K2029">
        <v>0</v>
      </c>
      <c r="L2029" t="s">
        <v>1292</v>
      </c>
      <c r="M2029">
        <v>0</v>
      </c>
      <c r="N2029" t="s">
        <v>1292</v>
      </c>
      <c r="O2029">
        <v>0</v>
      </c>
      <c r="P2029" t="s">
        <v>2157</v>
      </c>
      <c r="Q2029" s="1">
        <v>14000</v>
      </c>
      <c r="R2029">
        <v>31.8</v>
      </c>
      <c r="S2029" s="2">
        <v>0</v>
      </c>
      <c r="T2029" s="3">
        <v>2.4048611111111109</v>
      </c>
      <c r="U2029" t="s">
        <v>1292</v>
      </c>
      <c r="V2029" t="s">
        <v>4306</v>
      </c>
      <c r="W2029" t="s">
        <v>4307</v>
      </c>
      <c r="X2029" t="b">
        <v>0</v>
      </c>
      <c r="Y2029" t="b">
        <v>0</v>
      </c>
    </row>
    <row r="2030" spans="1:25">
      <c r="A2030">
        <v>1000123</v>
      </c>
      <c r="B2030" t="s">
        <v>4061</v>
      </c>
      <c r="C2030" t="s">
        <v>4308</v>
      </c>
      <c r="D2030" t="s">
        <v>1292</v>
      </c>
      <c r="E2030">
        <v>1000123</v>
      </c>
      <c r="F2030" t="s">
        <v>1292</v>
      </c>
      <c r="G2030">
        <v>0</v>
      </c>
      <c r="H2030" t="s">
        <v>1292</v>
      </c>
      <c r="I2030">
        <v>0</v>
      </c>
      <c r="J2030" t="s">
        <v>1292</v>
      </c>
      <c r="K2030">
        <v>0</v>
      </c>
      <c r="L2030" t="s">
        <v>1292</v>
      </c>
      <c r="M2030">
        <v>0</v>
      </c>
      <c r="N2030" t="s">
        <v>1292</v>
      </c>
      <c r="O2030">
        <v>0</v>
      </c>
      <c r="P2030" t="s">
        <v>26</v>
      </c>
      <c r="Q2030" s="1">
        <v>2380</v>
      </c>
      <c r="R2030">
        <v>19.8</v>
      </c>
      <c r="S2030" s="2">
        <v>0.1</v>
      </c>
      <c r="T2030" s="3">
        <v>3.2243055555555555</v>
      </c>
      <c r="U2030" s="2">
        <v>0.09</v>
      </c>
      <c r="V2030" t="s">
        <v>4308</v>
      </c>
      <c r="W2030" t="s">
        <v>4309</v>
      </c>
      <c r="X2030" t="b">
        <v>0</v>
      </c>
      <c r="Y2030" t="b">
        <v>0</v>
      </c>
    </row>
    <row r="2031" spans="1:25">
      <c r="A2031">
        <v>1000124</v>
      </c>
      <c r="B2031" t="s">
        <v>4061</v>
      </c>
      <c r="C2031" t="s">
        <v>4310</v>
      </c>
      <c r="D2031" t="s">
        <v>1292</v>
      </c>
      <c r="E2031">
        <v>1000124</v>
      </c>
      <c r="F2031" t="s">
        <v>1292</v>
      </c>
      <c r="G2031">
        <v>0</v>
      </c>
      <c r="H2031" t="s">
        <v>1292</v>
      </c>
      <c r="I2031">
        <v>0</v>
      </c>
      <c r="J2031" t="s">
        <v>1292</v>
      </c>
      <c r="K2031">
        <v>0</v>
      </c>
      <c r="L2031" t="s">
        <v>1292</v>
      </c>
      <c r="M2031">
        <v>0</v>
      </c>
      <c r="N2031" t="s">
        <v>1292</v>
      </c>
      <c r="O2031">
        <v>0</v>
      </c>
      <c r="P2031" t="s">
        <v>895</v>
      </c>
      <c r="Q2031" s="1">
        <v>7252</v>
      </c>
      <c r="R2031">
        <v>20.5</v>
      </c>
      <c r="S2031" s="2">
        <v>0.13</v>
      </c>
      <c r="T2031" s="3">
        <v>2.9375</v>
      </c>
      <c r="U2031" s="2">
        <v>0.16</v>
      </c>
      <c r="V2031" t="s">
        <v>4310</v>
      </c>
      <c r="W2031" t="s">
        <v>4311</v>
      </c>
      <c r="X2031" t="b">
        <v>0</v>
      </c>
      <c r="Y2031" t="b">
        <v>0</v>
      </c>
    </row>
    <row r="2032" spans="1:25">
      <c r="A2032">
        <v>1000125</v>
      </c>
      <c r="B2032" t="s">
        <v>4061</v>
      </c>
      <c r="C2032" t="s">
        <v>4312</v>
      </c>
      <c r="D2032" t="s">
        <v>1292</v>
      </c>
      <c r="E2032">
        <v>1000125</v>
      </c>
      <c r="F2032" t="s">
        <v>1292</v>
      </c>
      <c r="G2032">
        <v>0</v>
      </c>
      <c r="H2032" t="s">
        <v>1292</v>
      </c>
      <c r="I2032">
        <v>0</v>
      </c>
      <c r="J2032" t="s">
        <v>1292</v>
      </c>
      <c r="K2032">
        <v>0</v>
      </c>
      <c r="L2032" t="s">
        <v>1292</v>
      </c>
      <c r="M2032">
        <v>0</v>
      </c>
      <c r="N2032" t="s">
        <v>1292</v>
      </c>
      <c r="O2032">
        <v>0</v>
      </c>
      <c r="P2032" t="s">
        <v>534</v>
      </c>
      <c r="Q2032" s="1">
        <v>14402</v>
      </c>
      <c r="R2032">
        <v>12</v>
      </c>
      <c r="S2032" s="2">
        <v>0.01</v>
      </c>
      <c r="T2032" s="3">
        <v>2.4868055555555557</v>
      </c>
      <c r="U2032" s="2">
        <v>0.34</v>
      </c>
      <c r="V2032" t="s">
        <v>4312</v>
      </c>
      <c r="W2032" t="s">
        <v>4313</v>
      </c>
      <c r="X2032" t="b">
        <v>0</v>
      </c>
      <c r="Y2032" t="b">
        <v>0</v>
      </c>
    </row>
    <row r="2033" spans="1:25">
      <c r="A2033">
        <v>1000126</v>
      </c>
      <c r="B2033" t="s">
        <v>4061</v>
      </c>
      <c r="C2033" t="s">
        <v>4314</v>
      </c>
      <c r="D2033" t="s">
        <v>1292</v>
      </c>
      <c r="E2033">
        <v>1000126</v>
      </c>
      <c r="F2033" t="s">
        <v>1292</v>
      </c>
      <c r="G2033">
        <v>0</v>
      </c>
      <c r="H2033" t="s">
        <v>1292</v>
      </c>
      <c r="I2033">
        <v>0</v>
      </c>
      <c r="J2033" t="s">
        <v>1292</v>
      </c>
      <c r="K2033">
        <v>0</v>
      </c>
      <c r="L2033" t="s">
        <v>1292</v>
      </c>
      <c r="M2033">
        <v>0</v>
      </c>
      <c r="N2033" t="s">
        <v>1292</v>
      </c>
      <c r="O2033">
        <v>0</v>
      </c>
      <c r="P2033" t="s">
        <v>26</v>
      </c>
      <c r="Q2033" s="1">
        <v>2115</v>
      </c>
      <c r="R2033">
        <v>21.2</v>
      </c>
      <c r="S2033" s="2">
        <v>0.04</v>
      </c>
      <c r="T2033" s="3">
        <v>3.2652777777777779</v>
      </c>
      <c r="U2033" s="2">
        <v>0.08</v>
      </c>
      <c r="V2033" t="s">
        <v>4314</v>
      </c>
      <c r="W2033" t="s">
        <v>4315</v>
      </c>
      <c r="X2033" t="b">
        <v>0</v>
      </c>
      <c r="Y2033" t="b">
        <v>0</v>
      </c>
    </row>
    <row r="2034" spans="1:25">
      <c r="A2034">
        <v>1000127</v>
      </c>
      <c r="B2034" t="s">
        <v>4061</v>
      </c>
      <c r="C2034" t="s">
        <v>4316</v>
      </c>
      <c r="D2034" t="s">
        <v>1292</v>
      </c>
      <c r="E2034">
        <v>1000127</v>
      </c>
      <c r="F2034" t="s">
        <v>1292</v>
      </c>
      <c r="G2034">
        <v>0</v>
      </c>
      <c r="H2034" t="s">
        <v>1292</v>
      </c>
      <c r="I2034">
        <v>0</v>
      </c>
      <c r="J2034" t="s">
        <v>1292</v>
      </c>
      <c r="K2034">
        <v>0</v>
      </c>
      <c r="L2034" t="s">
        <v>1292</v>
      </c>
      <c r="M2034">
        <v>0</v>
      </c>
      <c r="N2034" t="s">
        <v>1292</v>
      </c>
      <c r="O2034">
        <v>0</v>
      </c>
      <c r="P2034" t="s">
        <v>1820</v>
      </c>
      <c r="Q2034" s="1">
        <v>7099</v>
      </c>
      <c r="R2034">
        <v>17.600000000000001</v>
      </c>
      <c r="S2034" s="2">
        <v>0.01</v>
      </c>
      <c r="T2034" s="3">
        <v>2.3638888888888889</v>
      </c>
      <c r="U2034" s="2">
        <v>0.32</v>
      </c>
      <c r="V2034" t="s">
        <v>4316</v>
      </c>
      <c r="W2034" t="s">
        <v>4317</v>
      </c>
      <c r="X2034" t="b">
        <v>0</v>
      </c>
      <c r="Y2034" t="b">
        <v>0</v>
      </c>
    </row>
    <row r="2035" spans="1:25">
      <c r="A2035">
        <v>1000128</v>
      </c>
      <c r="B2035" t="s">
        <v>4061</v>
      </c>
      <c r="C2035" t="s">
        <v>4318</v>
      </c>
      <c r="D2035" t="s">
        <v>1292</v>
      </c>
      <c r="E2035">
        <v>1000128</v>
      </c>
      <c r="F2035" t="s">
        <v>1292</v>
      </c>
      <c r="G2035">
        <v>0</v>
      </c>
      <c r="H2035" t="s">
        <v>1292</v>
      </c>
      <c r="I2035">
        <v>0</v>
      </c>
      <c r="J2035" t="s">
        <v>1292</v>
      </c>
      <c r="K2035">
        <v>0</v>
      </c>
      <c r="L2035" t="s">
        <v>1292</v>
      </c>
      <c r="M2035">
        <v>0</v>
      </c>
      <c r="N2035" t="s">
        <v>1292</v>
      </c>
      <c r="O2035">
        <v>0</v>
      </c>
      <c r="P2035" t="s">
        <v>1123</v>
      </c>
      <c r="Q2035" s="1">
        <v>4572</v>
      </c>
      <c r="R2035">
        <v>10.4</v>
      </c>
      <c r="S2035" s="2">
        <v>0.01</v>
      </c>
      <c r="T2035" s="3">
        <v>2.5687500000000001</v>
      </c>
      <c r="U2035" s="2">
        <v>0.33</v>
      </c>
      <c r="V2035" t="s">
        <v>4318</v>
      </c>
      <c r="W2035" t="s">
        <v>4319</v>
      </c>
      <c r="X2035" t="b">
        <v>0</v>
      </c>
      <c r="Y2035" t="b">
        <v>0</v>
      </c>
    </row>
    <row r="2036" spans="1:25">
      <c r="A2036">
        <v>1000129</v>
      </c>
      <c r="B2036" t="s">
        <v>4061</v>
      </c>
      <c r="C2036" t="s">
        <v>4320</v>
      </c>
      <c r="D2036" t="s">
        <v>1292</v>
      </c>
      <c r="E2036">
        <v>1000129</v>
      </c>
      <c r="F2036" t="s">
        <v>1292</v>
      </c>
      <c r="G2036">
        <v>0</v>
      </c>
      <c r="H2036" t="s">
        <v>1292</v>
      </c>
      <c r="I2036">
        <v>0</v>
      </c>
      <c r="J2036" t="s">
        <v>1292</v>
      </c>
      <c r="K2036">
        <v>0</v>
      </c>
      <c r="L2036" t="s">
        <v>1292</v>
      </c>
      <c r="M2036">
        <v>0</v>
      </c>
      <c r="N2036" t="s">
        <v>1292</v>
      </c>
      <c r="O2036">
        <v>0</v>
      </c>
      <c r="P2036" t="s">
        <v>26</v>
      </c>
      <c r="Q2036" s="1">
        <v>6365</v>
      </c>
      <c r="R2036">
        <v>16.8</v>
      </c>
      <c r="S2036" s="2">
        <v>0.38</v>
      </c>
      <c r="T2036" s="3">
        <v>2.5277777777777777</v>
      </c>
      <c r="U2036" s="2">
        <v>0.28999999999999998</v>
      </c>
      <c r="V2036" t="s">
        <v>4320</v>
      </c>
      <c r="W2036" t="s">
        <v>4321</v>
      </c>
      <c r="X2036" t="b">
        <v>0</v>
      </c>
      <c r="Y2036" t="b">
        <v>0</v>
      </c>
    </row>
    <row r="2037" spans="1:25">
      <c r="A2037">
        <v>1000130</v>
      </c>
      <c r="B2037" t="s">
        <v>4061</v>
      </c>
      <c r="C2037" t="s">
        <v>4322</v>
      </c>
      <c r="D2037" t="s">
        <v>1292</v>
      </c>
      <c r="E2037">
        <v>1000130</v>
      </c>
      <c r="F2037" t="s">
        <v>1292</v>
      </c>
      <c r="G2037">
        <v>0</v>
      </c>
      <c r="H2037" t="s">
        <v>1292</v>
      </c>
      <c r="I2037">
        <v>0</v>
      </c>
      <c r="J2037" t="s">
        <v>1292</v>
      </c>
      <c r="K2037">
        <v>0</v>
      </c>
      <c r="L2037" t="s">
        <v>1292</v>
      </c>
      <c r="M2037">
        <v>0</v>
      </c>
      <c r="N2037" t="s">
        <v>1292</v>
      </c>
      <c r="O2037">
        <v>0</v>
      </c>
      <c r="P2037" t="s">
        <v>608</v>
      </c>
      <c r="Q2037">
        <v>527</v>
      </c>
      <c r="R2037">
        <v>11.7</v>
      </c>
      <c r="S2037" s="2">
        <v>0.6</v>
      </c>
      <c r="T2037" s="3">
        <v>1.9541666666666666</v>
      </c>
      <c r="U2037" s="2">
        <v>0.35</v>
      </c>
      <c r="V2037" t="s">
        <v>4322</v>
      </c>
      <c r="W2037" t="s">
        <v>4323</v>
      </c>
      <c r="X2037" t="b">
        <v>0</v>
      </c>
      <c r="Y2037" t="b">
        <v>0</v>
      </c>
    </row>
    <row r="2038" spans="1:25">
      <c r="A2038">
        <v>1000131</v>
      </c>
      <c r="B2038" t="s">
        <v>4061</v>
      </c>
      <c r="C2038" t="s">
        <v>4324</v>
      </c>
      <c r="D2038" t="s">
        <v>1292</v>
      </c>
      <c r="E2038">
        <v>1000131</v>
      </c>
      <c r="F2038" t="s">
        <v>1292</v>
      </c>
      <c r="G2038">
        <v>0</v>
      </c>
      <c r="H2038" t="s">
        <v>1292</v>
      </c>
      <c r="I2038">
        <v>0</v>
      </c>
      <c r="J2038" t="s">
        <v>1292</v>
      </c>
      <c r="K2038">
        <v>0</v>
      </c>
      <c r="L2038" t="s">
        <v>1292</v>
      </c>
      <c r="M2038">
        <v>0</v>
      </c>
      <c r="N2038" t="s">
        <v>1292</v>
      </c>
      <c r="O2038">
        <v>0</v>
      </c>
      <c r="P2038" t="s">
        <v>26</v>
      </c>
      <c r="Q2038" s="1">
        <v>5115</v>
      </c>
      <c r="R2038">
        <v>15.3</v>
      </c>
      <c r="S2038" s="2">
        <v>0.3</v>
      </c>
      <c r="T2038" s="3">
        <v>2.4868055555555557</v>
      </c>
      <c r="U2038" s="2">
        <v>0.14000000000000001</v>
      </c>
      <c r="V2038" t="s">
        <v>4324</v>
      </c>
      <c r="W2038" t="s">
        <v>4325</v>
      </c>
      <c r="X2038" t="b">
        <v>0</v>
      </c>
      <c r="Y2038" t="b">
        <v>0</v>
      </c>
    </row>
    <row r="2039" spans="1:25">
      <c r="A2039">
        <v>1000132</v>
      </c>
      <c r="B2039" t="s">
        <v>4061</v>
      </c>
      <c r="C2039" t="s">
        <v>4326</v>
      </c>
      <c r="D2039" t="s">
        <v>1292</v>
      </c>
      <c r="E2039">
        <v>1000132</v>
      </c>
      <c r="F2039" t="s">
        <v>1292</v>
      </c>
      <c r="G2039">
        <v>0</v>
      </c>
      <c r="H2039" t="s">
        <v>1292</v>
      </c>
      <c r="I2039">
        <v>0</v>
      </c>
      <c r="J2039" t="s">
        <v>1292</v>
      </c>
      <c r="K2039">
        <v>0</v>
      </c>
      <c r="L2039" t="s">
        <v>1292</v>
      </c>
      <c r="M2039">
        <v>0</v>
      </c>
      <c r="N2039" t="s">
        <v>1292</v>
      </c>
      <c r="O2039">
        <v>0</v>
      </c>
      <c r="P2039" t="s">
        <v>4144</v>
      </c>
      <c r="Q2039" s="1">
        <v>11543</v>
      </c>
      <c r="R2039">
        <v>24.3</v>
      </c>
      <c r="S2039" s="2">
        <v>0</v>
      </c>
      <c r="T2039" t="s">
        <v>1062</v>
      </c>
      <c r="U2039" t="s">
        <v>1292</v>
      </c>
      <c r="V2039" t="s">
        <v>4326</v>
      </c>
      <c r="W2039" t="s">
        <v>4327</v>
      </c>
      <c r="X2039" t="b">
        <v>0</v>
      </c>
      <c r="Y2039" t="b">
        <v>0</v>
      </c>
    </row>
    <row r="2040" spans="1:25">
      <c r="A2040">
        <v>1000133</v>
      </c>
      <c r="B2040" t="s">
        <v>4061</v>
      </c>
      <c r="C2040" t="s">
        <v>4328</v>
      </c>
      <c r="D2040" t="s">
        <v>1292</v>
      </c>
      <c r="E2040">
        <v>1000133</v>
      </c>
      <c r="F2040" t="s">
        <v>1292</v>
      </c>
      <c r="G2040">
        <v>0</v>
      </c>
      <c r="H2040" t="s">
        <v>1292</v>
      </c>
      <c r="I2040">
        <v>0</v>
      </c>
      <c r="J2040" t="s">
        <v>1292</v>
      </c>
      <c r="K2040">
        <v>0</v>
      </c>
      <c r="L2040" t="s">
        <v>1292</v>
      </c>
      <c r="M2040">
        <v>0</v>
      </c>
      <c r="N2040" t="s">
        <v>1292</v>
      </c>
      <c r="O2040">
        <v>0</v>
      </c>
      <c r="P2040" t="s">
        <v>4144</v>
      </c>
      <c r="Q2040" s="1">
        <v>17772</v>
      </c>
      <c r="R2040">
        <v>20.7</v>
      </c>
      <c r="S2040" s="2">
        <v>0.02</v>
      </c>
      <c r="T2040" s="3">
        <v>2.4048611111111109</v>
      </c>
      <c r="U2040" s="2">
        <v>0.14000000000000001</v>
      </c>
      <c r="V2040" t="s">
        <v>4328</v>
      </c>
      <c r="W2040" t="s">
        <v>4329</v>
      </c>
      <c r="X2040" t="b">
        <v>0</v>
      </c>
      <c r="Y2040" t="b">
        <v>0</v>
      </c>
    </row>
    <row r="2041" spans="1:25">
      <c r="A2041">
        <v>1000134</v>
      </c>
      <c r="B2041" t="s">
        <v>4061</v>
      </c>
      <c r="C2041" t="s">
        <v>4330</v>
      </c>
      <c r="D2041" t="s">
        <v>1292</v>
      </c>
      <c r="E2041">
        <v>1000134</v>
      </c>
      <c r="F2041" t="s">
        <v>1292</v>
      </c>
      <c r="G2041">
        <v>0</v>
      </c>
      <c r="H2041" t="s">
        <v>1292</v>
      </c>
      <c r="I2041">
        <v>0</v>
      </c>
      <c r="J2041" t="s">
        <v>1292</v>
      </c>
      <c r="K2041">
        <v>0</v>
      </c>
      <c r="L2041" t="s">
        <v>1292</v>
      </c>
      <c r="M2041">
        <v>0</v>
      </c>
      <c r="N2041" t="s">
        <v>1292</v>
      </c>
      <c r="O2041">
        <v>0</v>
      </c>
      <c r="P2041" t="s">
        <v>4144</v>
      </c>
      <c r="Q2041" s="1">
        <v>3336</v>
      </c>
      <c r="R2041">
        <v>6.8</v>
      </c>
      <c r="S2041" s="2">
        <v>0.09</v>
      </c>
      <c r="T2041" s="3">
        <v>1.83125</v>
      </c>
      <c r="U2041" s="2">
        <v>0.11</v>
      </c>
      <c r="V2041" t="s">
        <v>4330</v>
      </c>
      <c r="W2041" t="s">
        <v>4331</v>
      </c>
      <c r="X2041" t="b">
        <v>0</v>
      </c>
      <c r="Y2041" t="b">
        <v>0</v>
      </c>
    </row>
    <row r="2042" spans="1:25">
      <c r="A2042">
        <v>1000135</v>
      </c>
      <c r="B2042" t="s">
        <v>4061</v>
      </c>
      <c r="C2042" t="s">
        <v>4332</v>
      </c>
      <c r="D2042" t="s">
        <v>1292</v>
      </c>
      <c r="E2042">
        <v>1000135</v>
      </c>
      <c r="F2042" t="s">
        <v>1292</v>
      </c>
      <c r="G2042">
        <v>0</v>
      </c>
      <c r="H2042" t="s">
        <v>1292</v>
      </c>
      <c r="I2042">
        <v>0</v>
      </c>
      <c r="J2042" t="s">
        <v>1292</v>
      </c>
      <c r="K2042">
        <v>0</v>
      </c>
      <c r="L2042" t="s">
        <v>1292</v>
      </c>
      <c r="M2042">
        <v>0</v>
      </c>
      <c r="N2042" t="s">
        <v>1292</v>
      </c>
      <c r="O2042">
        <v>0</v>
      </c>
      <c r="P2042" t="s">
        <v>94</v>
      </c>
      <c r="Q2042" s="1">
        <v>5924</v>
      </c>
      <c r="R2042">
        <v>26.6</v>
      </c>
      <c r="S2042" s="2">
        <v>0.01</v>
      </c>
      <c r="T2042" s="3">
        <v>2.036111111111111</v>
      </c>
      <c r="U2042" s="2">
        <v>0.12</v>
      </c>
      <c r="V2042" t="s">
        <v>4332</v>
      </c>
      <c r="W2042" t="s">
        <v>4333</v>
      </c>
      <c r="X2042" t="b">
        <v>0</v>
      </c>
      <c r="Y2042" t="b">
        <v>0</v>
      </c>
    </row>
    <row r="2043" spans="1:25">
      <c r="A2043">
        <v>1000136</v>
      </c>
      <c r="B2043" t="s">
        <v>4061</v>
      </c>
      <c r="C2043" t="s">
        <v>4334</v>
      </c>
      <c r="D2043" t="s">
        <v>1292</v>
      </c>
      <c r="E2043">
        <v>1000136</v>
      </c>
      <c r="F2043" t="s">
        <v>1292</v>
      </c>
      <c r="G2043">
        <v>0</v>
      </c>
      <c r="H2043" t="s">
        <v>1292</v>
      </c>
      <c r="I2043">
        <v>0</v>
      </c>
      <c r="J2043" t="s">
        <v>1292</v>
      </c>
      <c r="K2043">
        <v>0</v>
      </c>
      <c r="L2043" t="s">
        <v>1292</v>
      </c>
      <c r="M2043">
        <v>0</v>
      </c>
      <c r="N2043" t="s">
        <v>1292</v>
      </c>
      <c r="O2043">
        <v>0</v>
      </c>
      <c r="P2043" t="s">
        <v>1448</v>
      </c>
      <c r="Q2043" s="1">
        <v>12750</v>
      </c>
      <c r="R2043">
        <v>29.4</v>
      </c>
      <c r="S2043" s="2">
        <v>0.01</v>
      </c>
      <c r="T2043" s="3">
        <v>2.2819444444444446</v>
      </c>
      <c r="U2043" s="2">
        <v>0.19</v>
      </c>
      <c r="V2043" t="s">
        <v>4334</v>
      </c>
      <c r="W2043" t="s">
        <v>4335</v>
      </c>
      <c r="X2043" t="b">
        <v>0</v>
      </c>
      <c r="Y2043" t="b">
        <v>0</v>
      </c>
    </row>
    <row r="2044" spans="1:25">
      <c r="A2044">
        <v>1000137</v>
      </c>
      <c r="B2044" t="s">
        <v>4061</v>
      </c>
      <c r="C2044" t="s">
        <v>4336</v>
      </c>
      <c r="D2044" t="s">
        <v>1292</v>
      </c>
      <c r="E2044">
        <v>1000137</v>
      </c>
      <c r="F2044" t="s">
        <v>1292</v>
      </c>
      <c r="G2044">
        <v>0</v>
      </c>
      <c r="H2044" t="s">
        <v>1292</v>
      </c>
      <c r="I2044">
        <v>0</v>
      </c>
      <c r="J2044" t="s">
        <v>1292</v>
      </c>
      <c r="K2044">
        <v>0</v>
      </c>
      <c r="L2044" t="s">
        <v>1292</v>
      </c>
      <c r="M2044">
        <v>0</v>
      </c>
      <c r="N2044" t="s">
        <v>1292</v>
      </c>
      <c r="O2044">
        <v>0</v>
      </c>
      <c r="P2044" t="s">
        <v>895</v>
      </c>
      <c r="Q2044" s="1">
        <v>3989</v>
      </c>
      <c r="R2044">
        <v>18.8</v>
      </c>
      <c r="S2044" s="2">
        <v>0</v>
      </c>
      <c r="T2044" t="s">
        <v>113</v>
      </c>
      <c r="U2044" s="2">
        <v>0.26</v>
      </c>
      <c r="V2044" t="s">
        <v>4336</v>
      </c>
      <c r="W2044" t="s">
        <v>4337</v>
      </c>
      <c r="X2044" t="b">
        <v>0</v>
      </c>
      <c r="Y2044" t="b">
        <v>0</v>
      </c>
    </row>
    <row r="2045" spans="1:25">
      <c r="A2045">
        <v>1000138</v>
      </c>
      <c r="B2045" t="s">
        <v>4061</v>
      </c>
      <c r="C2045" t="s">
        <v>4338</v>
      </c>
      <c r="D2045" t="s">
        <v>1292</v>
      </c>
      <c r="E2045">
        <v>1000138</v>
      </c>
      <c r="F2045" t="s">
        <v>1292</v>
      </c>
      <c r="G2045">
        <v>0</v>
      </c>
      <c r="H2045" t="s">
        <v>1292</v>
      </c>
      <c r="I2045">
        <v>0</v>
      </c>
      <c r="J2045" t="s">
        <v>1292</v>
      </c>
      <c r="K2045">
        <v>0</v>
      </c>
      <c r="L2045" t="s">
        <v>1292</v>
      </c>
      <c r="M2045">
        <v>0</v>
      </c>
      <c r="N2045" t="s">
        <v>1292</v>
      </c>
      <c r="O2045">
        <v>0</v>
      </c>
      <c r="P2045" t="s">
        <v>386</v>
      </c>
      <c r="Q2045" s="1">
        <v>8306</v>
      </c>
      <c r="R2045">
        <v>21.9</v>
      </c>
      <c r="S2045" s="2">
        <v>0.06</v>
      </c>
      <c r="T2045" s="3">
        <v>3.1013888888888888</v>
      </c>
      <c r="U2045" s="2">
        <v>0.03</v>
      </c>
      <c r="V2045" t="s">
        <v>4338</v>
      </c>
      <c r="W2045" t="s">
        <v>4339</v>
      </c>
      <c r="X2045" t="b">
        <v>0</v>
      </c>
      <c r="Y2045" t="b">
        <v>0</v>
      </c>
    </row>
    <row r="2046" spans="1:25">
      <c r="A2046">
        <v>1000139</v>
      </c>
      <c r="B2046" t="s">
        <v>4061</v>
      </c>
      <c r="C2046" t="s">
        <v>4340</v>
      </c>
      <c r="D2046" t="s">
        <v>1292</v>
      </c>
      <c r="E2046">
        <v>1000139</v>
      </c>
      <c r="F2046" t="s">
        <v>1292</v>
      </c>
      <c r="G2046">
        <v>0</v>
      </c>
      <c r="H2046" t="s">
        <v>1292</v>
      </c>
      <c r="I2046">
        <v>0</v>
      </c>
      <c r="J2046" t="s">
        <v>1292</v>
      </c>
      <c r="K2046">
        <v>0</v>
      </c>
      <c r="L2046" t="s">
        <v>1292</v>
      </c>
      <c r="M2046">
        <v>0</v>
      </c>
      <c r="N2046" t="s">
        <v>1292</v>
      </c>
      <c r="O2046">
        <v>0</v>
      </c>
      <c r="P2046" t="s">
        <v>1483</v>
      </c>
      <c r="Q2046" s="1">
        <v>9568</v>
      </c>
      <c r="R2046">
        <v>42.9</v>
      </c>
      <c r="S2046" s="2">
        <v>0.01</v>
      </c>
      <c r="T2046">
        <v>0.97083333333333333</v>
      </c>
      <c r="U2046" t="s">
        <v>1292</v>
      </c>
      <c r="V2046" t="s">
        <v>4340</v>
      </c>
      <c r="W2046" t="s">
        <v>4341</v>
      </c>
      <c r="X2046" t="b">
        <v>0</v>
      </c>
      <c r="Y2046" t="b">
        <v>0</v>
      </c>
    </row>
    <row r="2047" spans="1:25">
      <c r="A2047">
        <v>1000140</v>
      </c>
      <c r="B2047" t="s">
        <v>4061</v>
      </c>
      <c r="C2047" t="s">
        <v>4342</v>
      </c>
      <c r="D2047" t="s">
        <v>1292</v>
      </c>
      <c r="E2047">
        <v>1000140</v>
      </c>
      <c r="F2047" t="s">
        <v>1292</v>
      </c>
      <c r="G2047">
        <v>0</v>
      </c>
      <c r="H2047" t="s">
        <v>1292</v>
      </c>
      <c r="I2047">
        <v>0</v>
      </c>
      <c r="J2047" t="s">
        <v>1292</v>
      </c>
      <c r="K2047">
        <v>0</v>
      </c>
      <c r="L2047" t="s">
        <v>1292</v>
      </c>
      <c r="M2047">
        <v>0</v>
      </c>
      <c r="N2047" t="s">
        <v>1292</v>
      </c>
      <c r="O2047">
        <v>0</v>
      </c>
      <c r="P2047" t="s">
        <v>3283</v>
      </c>
      <c r="Q2047" s="1">
        <v>25198</v>
      </c>
      <c r="R2047">
        <v>17.100000000000001</v>
      </c>
      <c r="S2047" s="2">
        <v>0</v>
      </c>
      <c r="T2047" s="3">
        <v>2.5277777777777777</v>
      </c>
      <c r="U2047" s="2">
        <v>0.22</v>
      </c>
      <c r="V2047" t="s">
        <v>4342</v>
      </c>
      <c r="W2047" t="s">
        <v>4343</v>
      </c>
      <c r="X2047" t="b">
        <v>0</v>
      </c>
      <c r="Y2047" t="b">
        <v>0</v>
      </c>
    </row>
    <row r="2048" spans="1:25">
      <c r="A2048">
        <v>1000141</v>
      </c>
      <c r="B2048" t="s">
        <v>4061</v>
      </c>
      <c r="C2048" t="s">
        <v>4344</v>
      </c>
      <c r="D2048" t="s">
        <v>1292</v>
      </c>
      <c r="E2048">
        <v>1000141</v>
      </c>
      <c r="F2048" t="s">
        <v>1292</v>
      </c>
      <c r="G2048">
        <v>0</v>
      </c>
      <c r="H2048" t="s">
        <v>1292</v>
      </c>
      <c r="I2048">
        <v>0</v>
      </c>
      <c r="J2048" t="s">
        <v>1292</v>
      </c>
      <c r="K2048">
        <v>0</v>
      </c>
      <c r="L2048" t="s">
        <v>1292</v>
      </c>
      <c r="M2048">
        <v>0</v>
      </c>
      <c r="N2048" t="s">
        <v>1292</v>
      </c>
      <c r="O2048">
        <v>0</v>
      </c>
      <c r="P2048" t="s">
        <v>386</v>
      </c>
      <c r="Q2048" s="1">
        <v>3181</v>
      </c>
      <c r="R2048">
        <v>7.7</v>
      </c>
      <c r="S2048" s="2">
        <v>0.03</v>
      </c>
      <c r="T2048" s="3">
        <v>2.6506944444444445</v>
      </c>
      <c r="U2048" s="2">
        <v>0.28000000000000003</v>
      </c>
      <c r="V2048" t="s">
        <v>4344</v>
      </c>
      <c r="W2048" t="s">
        <v>4345</v>
      </c>
      <c r="X2048" t="b">
        <v>0</v>
      </c>
      <c r="Y2048" t="b">
        <v>0</v>
      </c>
    </row>
    <row r="2049" spans="1:25">
      <c r="A2049">
        <v>1000142</v>
      </c>
      <c r="B2049" t="s">
        <v>4061</v>
      </c>
      <c r="C2049" t="s">
        <v>4346</v>
      </c>
      <c r="D2049" t="s">
        <v>1292</v>
      </c>
      <c r="E2049">
        <v>1000142</v>
      </c>
      <c r="F2049" t="s">
        <v>1292</v>
      </c>
      <c r="G2049">
        <v>0</v>
      </c>
      <c r="H2049" t="s">
        <v>1292</v>
      </c>
      <c r="I2049">
        <v>0</v>
      </c>
      <c r="J2049" t="s">
        <v>1292</v>
      </c>
      <c r="K2049">
        <v>0</v>
      </c>
      <c r="L2049" t="s">
        <v>1292</v>
      </c>
      <c r="M2049">
        <v>0</v>
      </c>
      <c r="N2049" t="s">
        <v>1292</v>
      </c>
      <c r="O2049">
        <v>0</v>
      </c>
      <c r="P2049" t="s">
        <v>2157</v>
      </c>
      <c r="Q2049">
        <v>271</v>
      </c>
      <c r="R2049">
        <v>4.8</v>
      </c>
      <c r="S2049" s="2">
        <v>0.04</v>
      </c>
      <c r="T2049" s="3">
        <v>2.3229166666666665</v>
      </c>
      <c r="U2049" t="s">
        <v>1292</v>
      </c>
      <c r="V2049" t="s">
        <v>4346</v>
      </c>
      <c r="W2049" t="s">
        <v>4347</v>
      </c>
      <c r="X2049" t="b">
        <v>0</v>
      </c>
      <c r="Y2049" t="b">
        <v>0</v>
      </c>
    </row>
    <row r="2050" spans="1:25">
      <c r="A2050">
        <v>1000143</v>
      </c>
      <c r="B2050" t="s">
        <v>4061</v>
      </c>
      <c r="C2050" t="s">
        <v>4348</v>
      </c>
      <c r="D2050" t="s">
        <v>1292</v>
      </c>
      <c r="E2050">
        <v>1000143</v>
      </c>
      <c r="F2050" t="s">
        <v>1292</v>
      </c>
      <c r="G2050">
        <v>0</v>
      </c>
      <c r="H2050" t="s">
        <v>1292</v>
      </c>
      <c r="I2050">
        <v>0</v>
      </c>
      <c r="J2050" t="s">
        <v>1292</v>
      </c>
      <c r="K2050">
        <v>0</v>
      </c>
      <c r="L2050" t="s">
        <v>1292</v>
      </c>
      <c r="M2050">
        <v>0</v>
      </c>
      <c r="N2050" t="s">
        <v>1292</v>
      </c>
      <c r="O2050">
        <v>0</v>
      </c>
      <c r="P2050" t="s">
        <v>1820</v>
      </c>
      <c r="Q2050" s="1">
        <v>10196</v>
      </c>
      <c r="R2050">
        <v>20.3</v>
      </c>
      <c r="S2050" s="2">
        <v>0.01</v>
      </c>
      <c r="T2050" s="3">
        <v>2.1180555555555554</v>
      </c>
      <c r="U2050" s="2">
        <v>0.37</v>
      </c>
      <c r="V2050" t="s">
        <v>4348</v>
      </c>
      <c r="W2050" t="s">
        <v>4349</v>
      </c>
      <c r="X2050" t="b">
        <v>0</v>
      </c>
      <c r="Y2050" t="b">
        <v>0</v>
      </c>
    </row>
    <row r="2051" spans="1:25">
      <c r="A2051">
        <v>1000144</v>
      </c>
      <c r="B2051" t="s">
        <v>4061</v>
      </c>
      <c r="C2051" t="s">
        <v>4350</v>
      </c>
      <c r="D2051" t="s">
        <v>1292</v>
      </c>
      <c r="E2051">
        <v>1000144</v>
      </c>
      <c r="F2051" t="s">
        <v>1292</v>
      </c>
      <c r="G2051">
        <v>0</v>
      </c>
      <c r="H2051" t="s">
        <v>1292</v>
      </c>
      <c r="I2051">
        <v>0</v>
      </c>
      <c r="J2051" t="s">
        <v>1292</v>
      </c>
      <c r="K2051">
        <v>0</v>
      </c>
      <c r="L2051" t="s">
        <v>1292</v>
      </c>
      <c r="M2051">
        <v>0</v>
      </c>
      <c r="N2051" t="s">
        <v>1292</v>
      </c>
      <c r="O2051">
        <v>0</v>
      </c>
      <c r="P2051" t="s">
        <v>2513</v>
      </c>
      <c r="Q2051" s="1">
        <v>12116</v>
      </c>
      <c r="R2051">
        <v>10.6</v>
      </c>
      <c r="S2051" s="2">
        <v>0.03</v>
      </c>
      <c r="T2051" s="3">
        <v>3.0604166666666668</v>
      </c>
      <c r="U2051" s="2">
        <v>0.21</v>
      </c>
      <c r="V2051" t="s">
        <v>4350</v>
      </c>
      <c r="W2051" t="s">
        <v>4351</v>
      </c>
      <c r="X2051" t="b">
        <v>0</v>
      </c>
      <c r="Y2051" t="b">
        <v>0</v>
      </c>
    </row>
    <row r="2052" spans="1:25">
      <c r="A2052">
        <v>1000145</v>
      </c>
      <c r="B2052" t="s">
        <v>4061</v>
      </c>
      <c r="C2052" t="s">
        <v>4352</v>
      </c>
      <c r="D2052" t="s">
        <v>1292</v>
      </c>
      <c r="E2052">
        <v>1000145</v>
      </c>
      <c r="F2052" t="s">
        <v>1292</v>
      </c>
      <c r="G2052">
        <v>0</v>
      </c>
      <c r="H2052" t="s">
        <v>1292</v>
      </c>
      <c r="I2052">
        <v>0</v>
      </c>
      <c r="J2052" t="s">
        <v>1292</v>
      </c>
      <c r="K2052">
        <v>0</v>
      </c>
      <c r="L2052" t="s">
        <v>1292</v>
      </c>
      <c r="M2052">
        <v>0</v>
      </c>
      <c r="N2052" t="s">
        <v>1292</v>
      </c>
      <c r="O2052">
        <v>0</v>
      </c>
      <c r="P2052" t="s">
        <v>2484</v>
      </c>
      <c r="Q2052" s="1">
        <v>10049</v>
      </c>
      <c r="R2052">
        <v>33</v>
      </c>
      <c r="S2052" s="2">
        <v>0.01</v>
      </c>
      <c r="T2052" s="3">
        <v>2.2409722222222221</v>
      </c>
      <c r="U2052" s="2">
        <v>0.31</v>
      </c>
      <c r="V2052" t="s">
        <v>4352</v>
      </c>
      <c r="W2052" t="s">
        <v>4353</v>
      </c>
      <c r="X2052" t="b">
        <v>0</v>
      </c>
      <c r="Y2052" t="b">
        <v>0</v>
      </c>
    </row>
    <row r="2053" spans="1:25">
      <c r="A2053">
        <v>1000146</v>
      </c>
      <c r="B2053" t="s">
        <v>4061</v>
      </c>
      <c r="C2053" t="s">
        <v>4354</v>
      </c>
      <c r="D2053" t="s">
        <v>1292</v>
      </c>
      <c r="E2053">
        <v>1000146</v>
      </c>
      <c r="F2053" t="s">
        <v>1292</v>
      </c>
      <c r="G2053">
        <v>0</v>
      </c>
      <c r="H2053" t="s">
        <v>1292</v>
      </c>
      <c r="I2053">
        <v>0</v>
      </c>
      <c r="J2053" t="s">
        <v>1292</v>
      </c>
      <c r="K2053">
        <v>0</v>
      </c>
      <c r="L2053" t="s">
        <v>1292</v>
      </c>
      <c r="M2053">
        <v>0</v>
      </c>
      <c r="N2053" t="s">
        <v>1292</v>
      </c>
      <c r="O2053">
        <v>0</v>
      </c>
      <c r="P2053" t="s">
        <v>2836</v>
      </c>
      <c r="Q2053" s="1">
        <v>4644</v>
      </c>
      <c r="R2053">
        <v>12</v>
      </c>
      <c r="S2053" s="2">
        <v>0.44</v>
      </c>
      <c r="T2053" s="3">
        <v>2.2819444444444446</v>
      </c>
      <c r="U2053" s="2">
        <v>0.1</v>
      </c>
      <c r="V2053" t="s">
        <v>4354</v>
      </c>
      <c r="W2053" t="s">
        <v>4355</v>
      </c>
      <c r="X2053" t="b">
        <v>0</v>
      </c>
      <c r="Y2053" t="b">
        <v>0</v>
      </c>
    </row>
    <row r="2054" spans="1:25">
      <c r="A2054">
        <v>1000147</v>
      </c>
      <c r="B2054" t="s">
        <v>4061</v>
      </c>
      <c r="C2054" t="s">
        <v>4356</v>
      </c>
      <c r="D2054" t="s">
        <v>1292</v>
      </c>
      <c r="E2054">
        <v>1000147</v>
      </c>
      <c r="F2054" t="s">
        <v>1292</v>
      </c>
      <c r="G2054">
        <v>0</v>
      </c>
      <c r="H2054" t="s">
        <v>1292</v>
      </c>
      <c r="I2054">
        <v>0</v>
      </c>
      <c r="J2054" t="s">
        <v>1292</v>
      </c>
      <c r="K2054">
        <v>0</v>
      </c>
      <c r="L2054" t="s">
        <v>1292</v>
      </c>
      <c r="M2054">
        <v>0</v>
      </c>
      <c r="N2054" t="s">
        <v>1292</v>
      </c>
      <c r="O2054">
        <v>0</v>
      </c>
      <c r="P2054" t="s">
        <v>99</v>
      </c>
      <c r="Q2054" s="1">
        <v>1564</v>
      </c>
      <c r="R2054">
        <v>37.200000000000003</v>
      </c>
      <c r="S2054" s="2">
        <v>0.33</v>
      </c>
      <c r="T2054" s="3">
        <v>2.0770833333333334</v>
      </c>
      <c r="U2054" t="s">
        <v>1292</v>
      </c>
      <c r="V2054" t="s">
        <v>4356</v>
      </c>
      <c r="W2054" t="s">
        <v>4357</v>
      </c>
      <c r="X2054" t="b">
        <v>0</v>
      </c>
      <c r="Y2054" t="b">
        <v>0</v>
      </c>
    </row>
    <row r="2055" spans="1:25">
      <c r="A2055">
        <v>1000148</v>
      </c>
      <c r="B2055" t="s">
        <v>4061</v>
      </c>
      <c r="C2055" t="s">
        <v>4358</v>
      </c>
      <c r="D2055" t="s">
        <v>1292</v>
      </c>
      <c r="E2055">
        <v>1000148</v>
      </c>
      <c r="F2055" t="s">
        <v>1292</v>
      </c>
      <c r="G2055">
        <v>0</v>
      </c>
      <c r="H2055" t="s">
        <v>1292</v>
      </c>
      <c r="I2055">
        <v>0</v>
      </c>
      <c r="J2055" t="s">
        <v>1292</v>
      </c>
      <c r="K2055">
        <v>0</v>
      </c>
      <c r="L2055" t="s">
        <v>1292</v>
      </c>
      <c r="M2055">
        <v>0</v>
      </c>
      <c r="N2055" t="s">
        <v>1292</v>
      </c>
      <c r="O2055">
        <v>0</v>
      </c>
      <c r="P2055" t="s">
        <v>2229</v>
      </c>
      <c r="Q2055" s="1">
        <v>45431</v>
      </c>
      <c r="R2055">
        <v>39.6</v>
      </c>
      <c r="S2055" s="2">
        <v>0</v>
      </c>
      <c r="T2055" s="3">
        <v>2.4868055555555557</v>
      </c>
      <c r="U2055" s="2">
        <v>0.33</v>
      </c>
      <c r="V2055" t="s">
        <v>4358</v>
      </c>
      <c r="W2055" t="s">
        <v>4359</v>
      </c>
      <c r="X2055" t="b">
        <v>0</v>
      </c>
      <c r="Y2055" t="b">
        <v>0</v>
      </c>
    </row>
    <row r="2056" spans="1:25">
      <c r="A2056">
        <v>1000149</v>
      </c>
      <c r="B2056" t="s">
        <v>4061</v>
      </c>
      <c r="C2056" t="s">
        <v>4360</v>
      </c>
      <c r="D2056" t="s">
        <v>1292</v>
      </c>
      <c r="E2056">
        <v>1000149</v>
      </c>
      <c r="F2056" t="s">
        <v>1292</v>
      </c>
      <c r="G2056">
        <v>0</v>
      </c>
      <c r="H2056" t="s">
        <v>1292</v>
      </c>
      <c r="I2056">
        <v>0</v>
      </c>
      <c r="J2056" t="s">
        <v>1292</v>
      </c>
      <c r="K2056">
        <v>0</v>
      </c>
      <c r="L2056" t="s">
        <v>1292</v>
      </c>
      <c r="M2056">
        <v>0</v>
      </c>
      <c r="N2056" t="s">
        <v>1292</v>
      </c>
      <c r="O2056">
        <v>0</v>
      </c>
      <c r="P2056" t="s">
        <v>1102</v>
      </c>
      <c r="Q2056" s="1">
        <v>2517</v>
      </c>
      <c r="R2056">
        <v>16</v>
      </c>
      <c r="S2056" s="2">
        <v>0</v>
      </c>
      <c r="T2056">
        <v>0.3972222222222222</v>
      </c>
      <c r="U2056" s="2">
        <v>0.38</v>
      </c>
      <c r="V2056" t="s">
        <v>4360</v>
      </c>
      <c r="W2056" t="s">
        <v>4361</v>
      </c>
      <c r="X2056" t="b">
        <v>0</v>
      </c>
      <c r="Y2056" t="b">
        <v>0</v>
      </c>
    </row>
    <row r="2057" spans="1:25">
      <c r="A2057">
        <v>1000150</v>
      </c>
      <c r="B2057" t="s">
        <v>4061</v>
      </c>
      <c r="C2057" t="s">
        <v>4362</v>
      </c>
      <c r="D2057" t="s">
        <v>1292</v>
      </c>
      <c r="E2057">
        <v>1000150</v>
      </c>
      <c r="F2057" t="s">
        <v>1292</v>
      </c>
      <c r="G2057">
        <v>0</v>
      </c>
      <c r="H2057" t="s">
        <v>1292</v>
      </c>
      <c r="I2057">
        <v>0</v>
      </c>
      <c r="J2057" t="s">
        <v>1292</v>
      </c>
      <c r="K2057">
        <v>0</v>
      </c>
      <c r="L2057" t="s">
        <v>1292</v>
      </c>
      <c r="M2057">
        <v>0</v>
      </c>
      <c r="N2057" t="s">
        <v>1292</v>
      </c>
      <c r="O2057">
        <v>0</v>
      </c>
      <c r="P2057" t="s">
        <v>1613</v>
      </c>
      <c r="Q2057" s="1">
        <v>1846</v>
      </c>
      <c r="R2057">
        <v>11</v>
      </c>
      <c r="S2057" s="2">
        <v>0.05</v>
      </c>
      <c r="T2057" s="3">
        <v>2.1590277777777778</v>
      </c>
      <c r="U2057" s="2">
        <v>0.13</v>
      </c>
      <c r="V2057" t="s">
        <v>4362</v>
      </c>
      <c r="W2057" t="s">
        <v>4363</v>
      </c>
      <c r="X2057" t="b">
        <v>0</v>
      </c>
      <c r="Y2057" t="b">
        <v>0</v>
      </c>
    </row>
    <row r="2058" spans="1:25">
      <c r="A2058">
        <v>1000151</v>
      </c>
      <c r="B2058" t="s">
        <v>4061</v>
      </c>
      <c r="C2058" t="s">
        <v>4364</v>
      </c>
      <c r="D2058" t="s">
        <v>1292</v>
      </c>
      <c r="E2058">
        <v>1000151</v>
      </c>
      <c r="F2058" t="s">
        <v>1292</v>
      </c>
      <c r="G2058">
        <v>0</v>
      </c>
      <c r="H2058" t="s">
        <v>1292</v>
      </c>
      <c r="I2058">
        <v>0</v>
      </c>
      <c r="J2058" t="s">
        <v>1292</v>
      </c>
      <c r="K2058">
        <v>0</v>
      </c>
      <c r="L2058" t="s">
        <v>1292</v>
      </c>
      <c r="M2058">
        <v>0</v>
      </c>
      <c r="N2058" t="s">
        <v>1292</v>
      </c>
      <c r="O2058">
        <v>0</v>
      </c>
      <c r="P2058" t="s">
        <v>2290</v>
      </c>
      <c r="Q2058" s="1">
        <v>1115</v>
      </c>
      <c r="R2058">
        <v>16.600000000000001</v>
      </c>
      <c r="S2058" s="2">
        <v>0.04</v>
      </c>
      <c r="T2058" s="3">
        <v>2.2819444444444446</v>
      </c>
      <c r="U2058" t="s">
        <v>1292</v>
      </c>
      <c r="V2058" t="s">
        <v>4364</v>
      </c>
      <c r="W2058" t="s">
        <v>4365</v>
      </c>
      <c r="X2058" t="b">
        <v>0</v>
      </c>
      <c r="Y2058" t="b">
        <v>0</v>
      </c>
    </row>
    <row r="2059" spans="1:25">
      <c r="A2059">
        <v>1000152</v>
      </c>
      <c r="B2059" t="s">
        <v>4061</v>
      </c>
      <c r="C2059" t="s">
        <v>4366</v>
      </c>
      <c r="D2059" t="s">
        <v>1292</v>
      </c>
      <c r="E2059">
        <v>1000152</v>
      </c>
      <c r="F2059" t="s">
        <v>1292</v>
      </c>
      <c r="G2059">
        <v>0</v>
      </c>
      <c r="H2059" t="s">
        <v>1292</v>
      </c>
      <c r="I2059">
        <v>0</v>
      </c>
      <c r="J2059" t="s">
        <v>1292</v>
      </c>
      <c r="K2059">
        <v>0</v>
      </c>
      <c r="L2059" t="s">
        <v>1292</v>
      </c>
      <c r="M2059">
        <v>0</v>
      </c>
      <c r="N2059" t="s">
        <v>1292</v>
      </c>
      <c r="O2059">
        <v>0</v>
      </c>
      <c r="P2059" t="s">
        <v>2290</v>
      </c>
      <c r="Q2059" s="1">
        <v>1203</v>
      </c>
      <c r="R2059">
        <v>44.6</v>
      </c>
      <c r="S2059" s="2">
        <v>0</v>
      </c>
      <c r="T2059" t="s">
        <v>658</v>
      </c>
      <c r="U2059" t="s">
        <v>1292</v>
      </c>
      <c r="V2059" t="s">
        <v>4366</v>
      </c>
      <c r="W2059" t="s">
        <v>4367</v>
      </c>
      <c r="X2059" t="b">
        <v>0</v>
      </c>
      <c r="Y2059" t="b">
        <v>0</v>
      </c>
    </row>
    <row r="2060" spans="1:25">
      <c r="A2060">
        <v>1000153</v>
      </c>
      <c r="B2060" t="s">
        <v>4061</v>
      </c>
      <c r="C2060" t="s">
        <v>4368</v>
      </c>
      <c r="D2060" t="s">
        <v>1292</v>
      </c>
      <c r="E2060">
        <v>1000153</v>
      </c>
      <c r="F2060" t="s">
        <v>1292</v>
      </c>
      <c r="G2060">
        <v>0</v>
      </c>
      <c r="H2060" t="s">
        <v>1292</v>
      </c>
      <c r="I2060">
        <v>0</v>
      </c>
      <c r="J2060" t="s">
        <v>1292</v>
      </c>
      <c r="K2060">
        <v>0</v>
      </c>
      <c r="L2060" t="s">
        <v>1292</v>
      </c>
      <c r="M2060">
        <v>0</v>
      </c>
      <c r="N2060" t="s">
        <v>1292</v>
      </c>
      <c r="O2060">
        <v>0</v>
      </c>
      <c r="P2060" t="s">
        <v>2290</v>
      </c>
      <c r="Q2060" s="1">
        <v>17414</v>
      </c>
      <c r="R2060">
        <v>36.299999999999997</v>
      </c>
      <c r="S2060" s="2">
        <v>0</v>
      </c>
      <c r="T2060" s="3">
        <v>2.6097222222222221</v>
      </c>
      <c r="U2060" t="s">
        <v>1292</v>
      </c>
      <c r="V2060" t="s">
        <v>4368</v>
      </c>
      <c r="W2060" t="s">
        <v>4369</v>
      </c>
      <c r="X2060" t="b">
        <v>0</v>
      </c>
      <c r="Y2060" t="b">
        <v>0</v>
      </c>
    </row>
    <row r="2061" spans="1:25">
      <c r="A2061">
        <v>1000154</v>
      </c>
      <c r="B2061" t="s">
        <v>4061</v>
      </c>
      <c r="C2061" t="s">
        <v>4370</v>
      </c>
      <c r="D2061" t="s">
        <v>1292</v>
      </c>
      <c r="E2061">
        <v>1000154</v>
      </c>
      <c r="F2061" t="s">
        <v>1292</v>
      </c>
      <c r="G2061">
        <v>0</v>
      </c>
      <c r="H2061" t="s">
        <v>1292</v>
      </c>
      <c r="I2061">
        <v>0</v>
      </c>
      <c r="J2061" t="s">
        <v>1292</v>
      </c>
      <c r="K2061">
        <v>0</v>
      </c>
      <c r="L2061" t="s">
        <v>1292</v>
      </c>
      <c r="M2061">
        <v>0</v>
      </c>
      <c r="N2061" t="s">
        <v>1292</v>
      </c>
      <c r="O2061">
        <v>0</v>
      </c>
      <c r="P2061" t="s">
        <v>2290</v>
      </c>
      <c r="Q2061" s="1">
        <v>4321</v>
      </c>
      <c r="R2061">
        <v>25.9</v>
      </c>
      <c r="S2061" s="2">
        <v>0</v>
      </c>
      <c r="T2061" s="3">
        <v>2.3229166666666665</v>
      </c>
      <c r="U2061" t="s">
        <v>1292</v>
      </c>
      <c r="V2061" t="s">
        <v>4370</v>
      </c>
      <c r="W2061" t="s">
        <v>4371</v>
      </c>
      <c r="X2061" t="b">
        <v>0</v>
      </c>
      <c r="Y2061" t="b">
        <v>0</v>
      </c>
    </row>
    <row r="2062" spans="1:25">
      <c r="A2062">
        <v>1000155</v>
      </c>
      <c r="B2062" t="s">
        <v>4061</v>
      </c>
      <c r="C2062" t="s">
        <v>4372</v>
      </c>
      <c r="D2062" t="s">
        <v>1292</v>
      </c>
      <c r="E2062">
        <v>1000155</v>
      </c>
      <c r="F2062" t="s">
        <v>1292</v>
      </c>
      <c r="G2062">
        <v>0</v>
      </c>
      <c r="H2062" t="s">
        <v>1292</v>
      </c>
      <c r="I2062">
        <v>0</v>
      </c>
      <c r="J2062" t="s">
        <v>1292</v>
      </c>
      <c r="K2062">
        <v>0</v>
      </c>
      <c r="L2062" t="s">
        <v>1292</v>
      </c>
      <c r="M2062">
        <v>0</v>
      </c>
      <c r="N2062" t="s">
        <v>1292</v>
      </c>
      <c r="O2062">
        <v>0</v>
      </c>
      <c r="P2062" t="s">
        <v>310</v>
      </c>
      <c r="Q2062" s="1">
        <v>1236</v>
      </c>
      <c r="R2062">
        <v>7.4</v>
      </c>
      <c r="S2062" s="2">
        <v>0.97</v>
      </c>
      <c r="T2062" s="3">
        <v>2.2819444444444446</v>
      </c>
      <c r="U2062" s="2">
        <v>0.17</v>
      </c>
      <c r="V2062" t="s">
        <v>4372</v>
      </c>
      <c r="W2062" t="s">
        <v>4373</v>
      </c>
      <c r="X2062" t="b">
        <v>0</v>
      </c>
      <c r="Y2062" t="b">
        <v>0</v>
      </c>
    </row>
    <row r="2063" spans="1:25">
      <c r="A2063">
        <v>1000156</v>
      </c>
      <c r="B2063" t="s">
        <v>4061</v>
      </c>
      <c r="C2063" t="s">
        <v>4374</v>
      </c>
      <c r="D2063" t="s">
        <v>1292</v>
      </c>
      <c r="E2063">
        <v>1000156</v>
      </c>
      <c r="F2063" t="s">
        <v>1292</v>
      </c>
      <c r="G2063">
        <v>0</v>
      </c>
      <c r="H2063" t="s">
        <v>1292</v>
      </c>
      <c r="I2063">
        <v>0</v>
      </c>
      <c r="J2063" t="s">
        <v>1292</v>
      </c>
      <c r="K2063">
        <v>0</v>
      </c>
      <c r="L2063" t="s">
        <v>1292</v>
      </c>
      <c r="M2063">
        <v>0</v>
      </c>
      <c r="N2063" t="s">
        <v>1292</v>
      </c>
      <c r="O2063">
        <v>0</v>
      </c>
      <c r="P2063" t="s">
        <v>2229</v>
      </c>
      <c r="Q2063" s="1">
        <v>10998</v>
      </c>
      <c r="R2063">
        <v>22.3</v>
      </c>
      <c r="S2063" s="2">
        <v>0</v>
      </c>
      <c r="T2063" s="3">
        <v>2.6097222222222221</v>
      </c>
      <c r="U2063" s="2">
        <v>0.23</v>
      </c>
      <c r="V2063" t="s">
        <v>4374</v>
      </c>
      <c r="W2063" t="s">
        <v>4375</v>
      </c>
      <c r="X2063" t="b">
        <v>0</v>
      </c>
      <c r="Y2063" t="b">
        <v>0</v>
      </c>
    </row>
    <row r="2064" spans="1:25">
      <c r="A2064">
        <v>1000157</v>
      </c>
      <c r="B2064" t="s">
        <v>4061</v>
      </c>
      <c r="C2064" t="s">
        <v>4376</v>
      </c>
      <c r="D2064" t="s">
        <v>1292</v>
      </c>
      <c r="E2064">
        <v>1000157</v>
      </c>
      <c r="F2064" t="s">
        <v>1292</v>
      </c>
      <c r="G2064">
        <v>0</v>
      </c>
      <c r="H2064" t="s">
        <v>1292</v>
      </c>
      <c r="I2064">
        <v>0</v>
      </c>
      <c r="J2064" t="s">
        <v>1292</v>
      </c>
      <c r="K2064">
        <v>0</v>
      </c>
      <c r="L2064" t="s">
        <v>1292</v>
      </c>
      <c r="M2064">
        <v>0</v>
      </c>
      <c r="N2064" t="s">
        <v>1292</v>
      </c>
      <c r="O2064">
        <v>0</v>
      </c>
      <c r="P2064" t="s">
        <v>1102</v>
      </c>
      <c r="Q2064" s="1">
        <v>15664</v>
      </c>
      <c r="R2064">
        <v>25.6</v>
      </c>
      <c r="S2064" s="2">
        <v>0</v>
      </c>
      <c r="T2064" t="s">
        <v>40</v>
      </c>
      <c r="U2064" s="2">
        <v>0.25</v>
      </c>
      <c r="V2064" t="s">
        <v>4376</v>
      </c>
      <c r="W2064" t="s">
        <v>4377</v>
      </c>
      <c r="X2064" t="b">
        <v>0</v>
      </c>
      <c r="Y2064" t="b">
        <v>0</v>
      </c>
    </row>
    <row r="2065" spans="1:25">
      <c r="A2065">
        <v>1000158</v>
      </c>
      <c r="B2065" t="s">
        <v>4061</v>
      </c>
      <c r="C2065" t="s">
        <v>4378</v>
      </c>
      <c r="D2065" t="s">
        <v>1292</v>
      </c>
      <c r="E2065">
        <v>1000158</v>
      </c>
      <c r="F2065" t="s">
        <v>1292</v>
      </c>
      <c r="G2065">
        <v>0</v>
      </c>
      <c r="H2065" t="s">
        <v>1292</v>
      </c>
      <c r="I2065">
        <v>0</v>
      </c>
      <c r="J2065" t="s">
        <v>1292</v>
      </c>
      <c r="K2065">
        <v>0</v>
      </c>
      <c r="L2065" t="s">
        <v>1292</v>
      </c>
      <c r="M2065">
        <v>0</v>
      </c>
      <c r="N2065" t="s">
        <v>1292</v>
      </c>
      <c r="O2065">
        <v>0</v>
      </c>
      <c r="P2065" t="s">
        <v>1613</v>
      </c>
      <c r="Q2065">
        <v>131</v>
      </c>
      <c r="R2065">
        <v>6.2</v>
      </c>
      <c r="S2065" s="2">
        <v>0.15</v>
      </c>
      <c r="T2065" s="3">
        <v>2.6097222222222221</v>
      </c>
      <c r="U2065" t="s">
        <v>1292</v>
      </c>
      <c r="V2065" t="s">
        <v>4378</v>
      </c>
      <c r="W2065" t="s">
        <v>4379</v>
      </c>
      <c r="X2065" t="b">
        <v>0</v>
      </c>
      <c r="Y2065" t="b">
        <v>0</v>
      </c>
    </row>
    <row r="2066" spans="1:25">
      <c r="A2066">
        <v>1000159</v>
      </c>
      <c r="B2066" t="s">
        <v>4061</v>
      </c>
      <c r="C2066" t="s">
        <v>4380</v>
      </c>
      <c r="D2066" t="s">
        <v>1292</v>
      </c>
      <c r="E2066">
        <v>1000159</v>
      </c>
      <c r="F2066" t="s">
        <v>1292</v>
      </c>
      <c r="G2066">
        <v>0</v>
      </c>
      <c r="H2066" t="s">
        <v>1292</v>
      </c>
      <c r="I2066">
        <v>0</v>
      </c>
      <c r="J2066" t="s">
        <v>1292</v>
      </c>
      <c r="K2066">
        <v>0</v>
      </c>
      <c r="L2066" t="s">
        <v>1292</v>
      </c>
      <c r="M2066">
        <v>0</v>
      </c>
      <c r="N2066" t="s">
        <v>1292</v>
      </c>
      <c r="O2066">
        <v>0</v>
      </c>
      <c r="P2066" t="s">
        <v>577</v>
      </c>
      <c r="Q2066" s="1">
        <v>4123</v>
      </c>
      <c r="R2066">
        <v>25.5</v>
      </c>
      <c r="S2066" s="2">
        <v>0</v>
      </c>
      <c r="T2066" s="3">
        <v>2.6916666666666669</v>
      </c>
      <c r="U2066" t="s">
        <v>1292</v>
      </c>
      <c r="V2066" t="s">
        <v>4380</v>
      </c>
      <c r="W2066" t="s">
        <v>4381</v>
      </c>
      <c r="X2066" t="b">
        <v>0</v>
      </c>
      <c r="Y2066" t="b">
        <v>0</v>
      </c>
    </row>
    <row r="2067" spans="1:25">
      <c r="A2067">
        <v>1000160</v>
      </c>
      <c r="B2067" t="s">
        <v>4061</v>
      </c>
      <c r="C2067" t="s">
        <v>4382</v>
      </c>
      <c r="D2067" t="s">
        <v>1292</v>
      </c>
      <c r="E2067">
        <v>1000160</v>
      </c>
      <c r="F2067" t="s">
        <v>1292</v>
      </c>
      <c r="G2067">
        <v>0</v>
      </c>
      <c r="H2067" t="s">
        <v>1292</v>
      </c>
      <c r="I2067">
        <v>0</v>
      </c>
      <c r="J2067" t="s">
        <v>1292</v>
      </c>
      <c r="K2067">
        <v>0</v>
      </c>
      <c r="L2067" t="s">
        <v>1292</v>
      </c>
      <c r="M2067">
        <v>0</v>
      </c>
      <c r="N2067" t="s">
        <v>1292</v>
      </c>
      <c r="O2067">
        <v>0</v>
      </c>
      <c r="P2067" t="s">
        <v>528</v>
      </c>
      <c r="Q2067" s="1">
        <v>8684</v>
      </c>
      <c r="R2067">
        <v>16.399999999999999</v>
      </c>
      <c r="S2067" s="2">
        <v>0.04</v>
      </c>
      <c r="T2067" t="s">
        <v>336</v>
      </c>
      <c r="U2067" s="2">
        <v>0.37</v>
      </c>
      <c r="V2067" t="s">
        <v>4382</v>
      </c>
      <c r="W2067" t="s">
        <v>4383</v>
      </c>
      <c r="X2067" t="b">
        <v>0</v>
      </c>
      <c r="Y2067" t="b">
        <v>0</v>
      </c>
    </row>
    <row r="2068" spans="1:25">
      <c r="A2068">
        <v>1000161</v>
      </c>
      <c r="B2068" t="s">
        <v>4061</v>
      </c>
      <c r="C2068" t="s">
        <v>4384</v>
      </c>
      <c r="D2068" t="s">
        <v>1292</v>
      </c>
      <c r="E2068">
        <v>1000161</v>
      </c>
      <c r="F2068" t="s">
        <v>1292</v>
      </c>
      <c r="G2068">
        <v>0</v>
      </c>
      <c r="H2068" t="s">
        <v>1292</v>
      </c>
      <c r="I2068">
        <v>0</v>
      </c>
      <c r="J2068" t="s">
        <v>1292</v>
      </c>
      <c r="K2068">
        <v>0</v>
      </c>
      <c r="L2068" t="s">
        <v>1292</v>
      </c>
      <c r="M2068">
        <v>0</v>
      </c>
      <c r="N2068" t="s">
        <v>1292</v>
      </c>
      <c r="O2068">
        <v>0</v>
      </c>
      <c r="P2068" t="s">
        <v>2484</v>
      </c>
      <c r="Q2068" s="1">
        <v>153939</v>
      </c>
      <c r="R2068">
        <v>70.599999999999994</v>
      </c>
      <c r="S2068" s="2">
        <v>0.02</v>
      </c>
      <c r="T2068" s="3">
        <v>2.3229166666666665</v>
      </c>
      <c r="U2068" s="2">
        <v>0.13</v>
      </c>
      <c r="V2068" t="s">
        <v>4384</v>
      </c>
      <c r="W2068" t="s">
        <v>4385</v>
      </c>
      <c r="X2068" t="b">
        <v>0</v>
      </c>
      <c r="Y2068" t="b">
        <v>0</v>
      </c>
    </row>
    <row r="2069" spans="1:25">
      <c r="A2069">
        <v>1000162</v>
      </c>
      <c r="B2069" t="s">
        <v>4061</v>
      </c>
      <c r="C2069" t="s">
        <v>4386</v>
      </c>
      <c r="D2069" t="s">
        <v>1292</v>
      </c>
      <c r="E2069">
        <v>1000162</v>
      </c>
      <c r="F2069" t="s">
        <v>1292</v>
      </c>
      <c r="G2069">
        <v>0</v>
      </c>
      <c r="H2069" t="s">
        <v>1292</v>
      </c>
      <c r="I2069">
        <v>0</v>
      </c>
      <c r="J2069" t="s">
        <v>1292</v>
      </c>
      <c r="K2069">
        <v>0</v>
      </c>
      <c r="L2069" t="s">
        <v>1292</v>
      </c>
      <c r="M2069">
        <v>0</v>
      </c>
      <c r="N2069" t="s">
        <v>1292</v>
      </c>
      <c r="O2069">
        <v>0</v>
      </c>
      <c r="P2069" t="s">
        <v>1613</v>
      </c>
      <c r="Q2069" s="1">
        <v>5424</v>
      </c>
      <c r="R2069">
        <v>10.199999999999999</v>
      </c>
      <c r="S2069" s="2">
        <v>0.15</v>
      </c>
      <c r="T2069" s="3">
        <v>1.9131944444444444</v>
      </c>
      <c r="U2069" t="s">
        <v>1292</v>
      </c>
      <c r="V2069" t="s">
        <v>4387</v>
      </c>
      <c r="W2069" t="s">
        <v>4388</v>
      </c>
      <c r="X2069" t="b">
        <v>0</v>
      </c>
      <c r="Y2069" t="b">
        <v>0</v>
      </c>
    </row>
    <row r="2070" spans="1:25">
      <c r="A2070">
        <v>1000163</v>
      </c>
      <c r="B2070" t="s">
        <v>4061</v>
      </c>
      <c r="C2070" t="s">
        <v>4389</v>
      </c>
      <c r="D2070" t="s">
        <v>1292</v>
      </c>
      <c r="E2070">
        <v>1000163</v>
      </c>
      <c r="F2070" t="s">
        <v>1292</v>
      </c>
      <c r="G2070">
        <v>0</v>
      </c>
      <c r="H2070" t="s">
        <v>1292</v>
      </c>
      <c r="I2070">
        <v>0</v>
      </c>
      <c r="J2070" t="s">
        <v>1292</v>
      </c>
      <c r="K2070">
        <v>0</v>
      </c>
      <c r="L2070" t="s">
        <v>1292</v>
      </c>
      <c r="M2070">
        <v>0</v>
      </c>
      <c r="N2070" t="s">
        <v>1292</v>
      </c>
      <c r="O2070">
        <v>0</v>
      </c>
      <c r="P2070" t="s">
        <v>4390</v>
      </c>
      <c r="Q2070">
        <v>816</v>
      </c>
      <c r="R2070">
        <v>4.2</v>
      </c>
      <c r="S2070" s="2">
        <v>0.86</v>
      </c>
      <c r="T2070" s="3">
        <v>2.2000000000000002</v>
      </c>
      <c r="U2070" s="2">
        <v>0.05</v>
      </c>
      <c r="V2070" t="s">
        <v>4389</v>
      </c>
      <c r="W2070" t="s">
        <v>4391</v>
      </c>
      <c r="X2070" t="b">
        <v>0</v>
      </c>
      <c r="Y2070" t="b">
        <v>0</v>
      </c>
    </row>
    <row r="2071" spans="1:25">
      <c r="A2071">
        <v>1000164</v>
      </c>
      <c r="B2071" t="s">
        <v>4061</v>
      </c>
      <c r="C2071" t="s">
        <v>4392</v>
      </c>
      <c r="D2071" t="s">
        <v>1292</v>
      </c>
      <c r="E2071">
        <v>1000164</v>
      </c>
      <c r="F2071" t="s">
        <v>1292</v>
      </c>
      <c r="G2071">
        <v>0</v>
      </c>
      <c r="H2071" t="s">
        <v>1292</v>
      </c>
      <c r="I2071">
        <v>0</v>
      </c>
      <c r="J2071" t="s">
        <v>1292</v>
      </c>
      <c r="K2071">
        <v>0</v>
      </c>
      <c r="L2071" t="s">
        <v>1292</v>
      </c>
      <c r="M2071">
        <v>0</v>
      </c>
      <c r="N2071" t="s">
        <v>1292</v>
      </c>
      <c r="O2071">
        <v>0</v>
      </c>
      <c r="P2071" t="s">
        <v>1123</v>
      </c>
      <c r="Q2071" s="1">
        <v>5229</v>
      </c>
      <c r="R2071">
        <v>20.3</v>
      </c>
      <c r="S2071" s="2">
        <v>0</v>
      </c>
      <c r="T2071" s="3">
        <v>1.7902777777777779</v>
      </c>
      <c r="U2071" s="2">
        <v>0.31</v>
      </c>
      <c r="V2071" t="s">
        <v>4392</v>
      </c>
      <c r="W2071" t="s">
        <v>4393</v>
      </c>
      <c r="X2071" t="b">
        <v>0</v>
      </c>
      <c r="Y2071" t="b">
        <v>0</v>
      </c>
    </row>
    <row r="2072" spans="1:25">
      <c r="A2072">
        <v>1000165</v>
      </c>
      <c r="B2072" t="s">
        <v>4061</v>
      </c>
      <c r="C2072" t="s">
        <v>4394</v>
      </c>
      <c r="D2072" t="s">
        <v>1292</v>
      </c>
      <c r="E2072">
        <v>1000165</v>
      </c>
      <c r="F2072" t="s">
        <v>1292</v>
      </c>
      <c r="G2072">
        <v>0</v>
      </c>
      <c r="H2072" t="s">
        <v>1292</v>
      </c>
      <c r="I2072">
        <v>0</v>
      </c>
      <c r="J2072" t="s">
        <v>1292</v>
      </c>
      <c r="K2072">
        <v>0</v>
      </c>
      <c r="L2072" t="s">
        <v>1292</v>
      </c>
      <c r="M2072">
        <v>0</v>
      </c>
      <c r="N2072" t="s">
        <v>1292</v>
      </c>
      <c r="O2072">
        <v>0</v>
      </c>
      <c r="P2072" t="s">
        <v>528</v>
      </c>
      <c r="Q2072" s="1">
        <v>2687</v>
      </c>
      <c r="R2072">
        <v>8.9</v>
      </c>
      <c r="S2072" s="2">
        <v>0.02</v>
      </c>
      <c r="T2072" s="3">
        <v>2.5277777777777777</v>
      </c>
      <c r="U2072" s="2">
        <v>7.0000000000000007E-2</v>
      </c>
      <c r="V2072" t="s">
        <v>4394</v>
      </c>
      <c r="W2072" t="s">
        <v>4395</v>
      </c>
      <c r="X2072" t="b">
        <v>0</v>
      </c>
      <c r="Y2072" t="b">
        <v>0</v>
      </c>
    </row>
    <row r="2073" spans="1:25">
      <c r="A2073">
        <v>1000166</v>
      </c>
      <c r="B2073" t="s">
        <v>4061</v>
      </c>
      <c r="C2073" t="s">
        <v>4396</v>
      </c>
      <c r="D2073" t="s">
        <v>1292</v>
      </c>
      <c r="E2073">
        <v>1000166</v>
      </c>
      <c r="F2073" t="s">
        <v>1292</v>
      </c>
      <c r="G2073">
        <v>0</v>
      </c>
      <c r="H2073" t="s">
        <v>1292</v>
      </c>
      <c r="I2073">
        <v>0</v>
      </c>
      <c r="J2073" t="s">
        <v>1292</v>
      </c>
      <c r="K2073">
        <v>0</v>
      </c>
      <c r="L2073" t="s">
        <v>1292</v>
      </c>
      <c r="M2073">
        <v>0</v>
      </c>
      <c r="N2073" t="s">
        <v>1292</v>
      </c>
      <c r="O2073">
        <v>0</v>
      </c>
      <c r="P2073" t="s">
        <v>26</v>
      </c>
      <c r="Q2073" s="1">
        <v>4505</v>
      </c>
      <c r="R2073">
        <v>15</v>
      </c>
      <c r="S2073" s="2">
        <v>0.08</v>
      </c>
      <c r="T2073" s="3">
        <v>2.6916666666666669</v>
      </c>
      <c r="U2073" s="2">
        <v>0.13</v>
      </c>
      <c r="V2073" t="s">
        <v>4396</v>
      </c>
      <c r="W2073" t="s">
        <v>4397</v>
      </c>
      <c r="X2073" t="b">
        <v>0</v>
      </c>
      <c r="Y2073" t="b">
        <v>0</v>
      </c>
    </row>
    <row r="2074" spans="1:25">
      <c r="A2074">
        <v>1000167</v>
      </c>
      <c r="B2074" t="s">
        <v>4061</v>
      </c>
      <c r="C2074" t="s">
        <v>4398</v>
      </c>
      <c r="D2074" t="s">
        <v>1292</v>
      </c>
      <c r="E2074">
        <v>1000167</v>
      </c>
      <c r="F2074" t="s">
        <v>1292</v>
      </c>
      <c r="G2074">
        <v>0</v>
      </c>
      <c r="H2074" t="s">
        <v>1292</v>
      </c>
      <c r="I2074">
        <v>0</v>
      </c>
      <c r="J2074" t="s">
        <v>1292</v>
      </c>
      <c r="K2074">
        <v>0</v>
      </c>
      <c r="L2074" t="s">
        <v>1292</v>
      </c>
      <c r="M2074">
        <v>0</v>
      </c>
      <c r="N2074" t="s">
        <v>1292</v>
      </c>
      <c r="O2074">
        <v>0</v>
      </c>
      <c r="P2074" t="s">
        <v>3249</v>
      </c>
      <c r="Q2074" s="1">
        <v>11073</v>
      </c>
      <c r="R2074">
        <v>46.5</v>
      </c>
      <c r="S2074" s="2">
        <v>0</v>
      </c>
      <c r="T2074" s="3">
        <v>2.1180555555555554</v>
      </c>
      <c r="U2074" s="2">
        <v>0.23</v>
      </c>
      <c r="V2074" t="s">
        <v>4398</v>
      </c>
      <c r="W2074" t="s">
        <v>4399</v>
      </c>
      <c r="X2074" t="b">
        <v>0</v>
      </c>
      <c r="Y2074" t="b">
        <v>0</v>
      </c>
    </row>
    <row r="2075" spans="1:25">
      <c r="A2075">
        <v>1000168</v>
      </c>
      <c r="B2075" t="s">
        <v>4061</v>
      </c>
      <c r="C2075" t="s">
        <v>4400</v>
      </c>
      <c r="D2075" t="s">
        <v>1292</v>
      </c>
      <c r="E2075">
        <v>1000168</v>
      </c>
      <c r="F2075" t="s">
        <v>1292</v>
      </c>
      <c r="G2075">
        <v>0</v>
      </c>
      <c r="H2075" t="s">
        <v>1292</v>
      </c>
      <c r="I2075">
        <v>0</v>
      </c>
      <c r="J2075" t="s">
        <v>1292</v>
      </c>
      <c r="K2075">
        <v>0</v>
      </c>
      <c r="L2075" t="s">
        <v>1292</v>
      </c>
      <c r="M2075">
        <v>0</v>
      </c>
      <c r="N2075" t="s">
        <v>1292</v>
      </c>
      <c r="O2075">
        <v>0</v>
      </c>
      <c r="P2075" t="s">
        <v>528</v>
      </c>
      <c r="Q2075" s="1">
        <v>14565</v>
      </c>
      <c r="R2075">
        <v>14.4</v>
      </c>
      <c r="S2075" s="2">
        <v>0.04</v>
      </c>
      <c r="T2075" t="s">
        <v>40</v>
      </c>
      <c r="U2075" s="2">
        <v>0.34</v>
      </c>
      <c r="V2075" t="s">
        <v>4400</v>
      </c>
      <c r="W2075" t="s">
        <v>4401</v>
      </c>
      <c r="X2075" t="b">
        <v>0</v>
      </c>
      <c r="Y2075" t="b">
        <v>0</v>
      </c>
    </row>
    <row r="2076" spans="1:25">
      <c r="A2076">
        <v>1000169</v>
      </c>
      <c r="B2076" t="s">
        <v>4061</v>
      </c>
      <c r="C2076" t="s">
        <v>4402</v>
      </c>
      <c r="D2076" t="s">
        <v>1292</v>
      </c>
      <c r="E2076">
        <v>1000169</v>
      </c>
      <c r="F2076" t="s">
        <v>1292</v>
      </c>
      <c r="G2076">
        <v>0</v>
      </c>
      <c r="H2076" t="s">
        <v>1292</v>
      </c>
      <c r="I2076">
        <v>0</v>
      </c>
      <c r="J2076" t="s">
        <v>1292</v>
      </c>
      <c r="K2076">
        <v>0</v>
      </c>
      <c r="L2076" t="s">
        <v>1292</v>
      </c>
      <c r="M2076">
        <v>0</v>
      </c>
      <c r="N2076" t="s">
        <v>1292</v>
      </c>
      <c r="O2076">
        <v>0</v>
      </c>
      <c r="P2076" t="s">
        <v>2484</v>
      </c>
      <c r="Q2076" s="1">
        <v>14638</v>
      </c>
      <c r="R2076">
        <v>10.8</v>
      </c>
      <c r="S2076" s="2">
        <v>0.01</v>
      </c>
      <c r="T2076" s="3">
        <v>2.8145833333333332</v>
      </c>
      <c r="U2076" s="2">
        <v>0.08</v>
      </c>
      <c r="V2076" t="s">
        <v>4402</v>
      </c>
      <c r="W2076" t="s">
        <v>4403</v>
      </c>
      <c r="X2076" t="b">
        <v>0</v>
      </c>
      <c r="Y2076" t="b">
        <v>0</v>
      </c>
    </row>
    <row r="2077" spans="1:25">
      <c r="A2077">
        <v>1000170</v>
      </c>
      <c r="B2077" t="s">
        <v>4061</v>
      </c>
      <c r="C2077" t="s">
        <v>4404</v>
      </c>
      <c r="D2077" t="s">
        <v>1292</v>
      </c>
      <c r="E2077">
        <v>1000170</v>
      </c>
      <c r="F2077" t="s">
        <v>1292</v>
      </c>
      <c r="G2077">
        <v>0</v>
      </c>
      <c r="H2077" t="s">
        <v>1292</v>
      </c>
      <c r="I2077">
        <v>0</v>
      </c>
      <c r="J2077" t="s">
        <v>1292</v>
      </c>
      <c r="K2077">
        <v>0</v>
      </c>
      <c r="L2077" t="s">
        <v>1292</v>
      </c>
      <c r="M2077">
        <v>0</v>
      </c>
      <c r="N2077" t="s">
        <v>1292</v>
      </c>
      <c r="O2077">
        <v>0</v>
      </c>
      <c r="P2077" t="s">
        <v>2157</v>
      </c>
      <c r="Q2077" s="1">
        <v>4963</v>
      </c>
      <c r="R2077">
        <v>23.5</v>
      </c>
      <c r="S2077" s="2">
        <v>0.02</v>
      </c>
      <c r="T2077" s="3">
        <v>1.83125</v>
      </c>
      <c r="U2077" t="s">
        <v>1292</v>
      </c>
      <c r="V2077" t="s">
        <v>4404</v>
      </c>
      <c r="W2077" t="s">
        <v>4405</v>
      </c>
      <c r="X2077" t="b">
        <v>0</v>
      </c>
      <c r="Y2077" t="b">
        <v>0</v>
      </c>
    </row>
    <row r="2078" spans="1:25">
      <c r="A2078">
        <v>1000171</v>
      </c>
      <c r="B2078" t="s">
        <v>4061</v>
      </c>
      <c r="C2078" t="s">
        <v>4406</v>
      </c>
      <c r="D2078" t="s">
        <v>1292</v>
      </c>
      <c r="E2078">
        <v>1000171</v>
      </c>
      <c r="F2078" t="s">
        <v>1292</v>
      </c>
      <c r="G2078">
        <v>0</v>
      </c>
      <c r="H2078" t="s">
        <v>1292</v>
      </c>
      <c r="I2078">
        <v>0</v>
      </c>
      <c r="J2078" t="s">
        <v>1292</v>
      </c>
      <c r="K2078">
        <v>0</v>
      </c>
      <c r="L2078" t="s">
        <v>1292</v>
      </c>
      <c r="M2078">
        <v>0</v>
      </c>
      <c r="N2078" t="s">
        <v>1292</v>
      </c>
      <c r="O2078">
        <v>0</v>
      </c>
      <c r="P2078" t="s">
        <v>2157</v>
      </c>
      <c r="Q2078" s="1">
        <v>1328</v>
      </c>
      <c r="R2078">
        <v>10.5</v>
      </c>
      <c r="S2078" s="2">
        <v>7.0000000000000007E-2</v>
      </c>
      <c r="T2078" s="3">
        <v>2.2819444444444446</v>
      </c>
      <c r="U2078" t="s">
        <v>1292</v>
      </c>
      <c r="V2078" t="s">
        <v>4406</v>
      </c>
      <c r="W2078" t="s">
        <v>4407</v>
      </c>
      <c r="X2078" t="b">
        <v>0</v>
      </c>
      <c r="Y2078" t="b">
        <v>0</v>
      </c>
    </row>
    <row r="2079" spans="1:25">
      <c r="A2079">
        <v>1000172</v>
      </c>
      <c r="B2079" t="s">
        <v>4061</v>
      </c>
      <c r="C2079" t="s">
        <v>4408</v>
      </c>
      <c r="D2079" t="s">
        <v>1292</v>
      </c>
      <c r="E2079">
        <v>1000172</v>
      </c>
      <c r="F2079" t="s">
        <v>1292</v>
      </c>
      <c r="G2079">
        <v>0</v>
      </c>
      <c r="H2079" t="s">
        <v>1292</v>
      </c>
      <c r="I2079">
        <v>0</v>
      </c>
      <c r="J2079" t="s">
        <v>1292</v>
      </c>
      <c r="K2079">
        <v>0</v>
      </c>
      <c r="L2079" t="s">
        <v>1292</v>
      </c>
      <c r="M2079">
        <v>0</v>
      </c>
      <c r="N2079" t="s">
        <v>1292</v>
      </c>
      <c r="O2079">
        <v>0</v>
      </c>
      <c r="P2079" t="s">
        <v>1102</v>
      </c>
      <c r="Q2079" s="1">
        <v>4300</v>
      </c>
      <c r="R2079">
        <v>21.7</v>
      </c>
      <c r="S2079" s="2">
        <v>0.02</v>
      </c>
      <c r="T2079">
        <v>0.80694444444444446</v>
      </c>
      <c r="U2079" s="2">
        <v>0.39</v>
      </c>
      <c r="V2079" t="s">
        <v>4408</v>
      </c>
      <c r="W2079" t="s">
        <v>4409</v>
      </c>
      <c r="X2079" t="b">
        <v>0</v>
      </c>
      <c r="Y2079" t="b">
        <v>0</v>
      </c>
    </row>
    <row r="2080" spans="1:25">
      <c r="A2080">
        <v>1000173</v>
      </c>
      <c r="B2080" t="s">
        <v>4061</v>
      </c>
      <c r="C2080" t="s">
        <v>4410</v>
      </c>
      <c r="D2080" t="s">
        <v>1292</v>
      </c>
      <c r="E2080">
        <v>1000173</v>
      </c>
      <c r="F2080" t="s">
        <v>1292</v>
      </c>
      <c r="G2080">
        <v>0</v>
      </c>
      <c r="H2080" t="s">
        <v>1292</v>
      </c>
      <c r="I2080">
        <v>0</v>
      </c>
      <c r="J2080" t="s">
        <v>1292</v>
      </c>
      <c r="K2080">
        <v>0</v>
      </c>
      <c r="L2080" t="s">
        <v>1292</v>
      </c>
      <c r="M2080">
        <v>0</v>
      </c>
      <c r="N2080" t="s">
        <v>1292</v>
      </c>
      <c r="O2080">
        <v>0</v>
      </c>
      <c r="P2080" t="s">
        <v>1306</v>
      </c>
      <c r="Q2080" s="1">
        <v>1840</v>
      </c>
      <c r="R2080">
        <v>17.5</v>
      </c>
      <c r="S2080" s="2">
        <v>0.02</v>
      </c>
      <c r="T2080" t="s">
        <v>1062</v>
      </c>
      <c r="U2080" t="s">
        <v>1292</v>
      </c>
      <c r="V2080" t="s">
        <v>4410</v>
      </c>
      <c r="W2080" t="s">
        <v>4411</v>
      </c>
      <c r="X2080" t="b">
        <v>0</v>
      </c>
      <c r="Y2080" t="b">
        <v>0</v>
      </c>
    </row>
    <row r="2081" spans="1:25">
      <c r="A2081">
        <v>1000174</v>
      </c>
      <c r="B2081" t="s">
        <v>4061</v>
      </c>
      <c r="C2081" t="s">
        <v>4412</v>
      </c>
      <c r="D2081" t="s">
        <v>1292</v>
      </c>
      <c r="E2081">
        <v>1000174</v>
      </c>
      <c r="F2081" t="s">
        <v>1292</v>
      </c>
      <c r="G2081">
        <v>0</v>
      </c>
      <c r="H2081" t="s">
        <v>1292</v>
      </c>
      <c r="I2081">
        <v>0</v>
      </c>
      <c r="J2081" t="s">
        <v>1292</v>
      </c>
      <c r="K2081">
        <v>0</v>
      </c>
      <c r="L2081" t="s">
        <v>1292</v>
      </c>
      <c r="M2081">
        <v>0</v>
      </c>
      <c r="N2081" t="s">
        <v>1292</v>
      </c>
      <c r="O2081">
        <v>0</v>
      </c>
      <c r="P2081" t="s">
        <v>2672</v>
      </c>
      <c r="Q2081">
        <v>754</v>
      </c>
      <c r="R2081">
        <v>3.9</v>
      </c>
      <c r="S2081" s="2">
        <v>0.12</v>
      </c>
      <c r="T2081">
        <v>0.47916666666666669</v>
      </c>
      <c r="U2081" s="2">
        <v>0.34</v>
      </c>
      <c r="V2081" t="s">
        <v>4412</v>
      </c>
      <c r="W2081" t="s">
        <v>4413</v>
      </c>
      <c r="X2081" t="b">
        <v>0</v>
      </c>
      <c r="Y2081" t="b">
        <v>0</v>
      </c>
    </row>
    <row r="2082" spans="1:25">
      <c r="A2082">
        <v>1000175</v>
      </c>
      <c r="B2082" t="s">
        <v>4061</v>
      </c>
      <c r="C2082" t="s">
        <v>4414</v>
      </c>
      <c r="D2082" t="s">
        <v>1292</v>
      </c>
      <c r="E2082">
        <v>1000175</v>
      </c>
      <c r="F2082" t="s">
        <v>1292</v>
      </c>
      <c r="G2082">
        <v>0</v>
      </c>
      <c r="H2082" t="s">
        <v>1292</v>
      </c>
      <c r="I2082">
        <v>0</v>
      </c>
      <c r="J2082" t="s">
        <v>1292</v>
      </c>
      <c r="K2082">
        <v>0</v>
      </c>
      <c r="L2082" t="s">
        <v>1292</v>
      </c>
      <c r="M2082">
        <v>0</v>
      </c>
      <c r="N2082" t="s">
        <v>1292</v>
      </c>
      <c r="O2082">
        <v>0</v>
      </c>
      <c r="P2082" t="s">
        <v>26</v>
      </c>
      <c r="Q2082" s="1">
        <v>1005</v>
      </c>
      <c r="R2082">
        <v>11.8</v>
      </c>
      <c r="S2082" s="2">
        <v>0.36</v>
      </c>
      <c r="T2082" s="3">
        <v>2.9375</v>
      </c>
      <c r="U2082" t="s">
        <v>1292</v>
      </c>
      <c r="V2082" t="s">
        <v>4414</v>
      </c>
      <c r="W2082" t="s">
        <v>4415</v>
      </c>
      <c r="X2082" t="b">
        <v>0</v>
      </c>
      <c r="Y2082" t="b">
        <v>0</v>
      </c>
    </row>
    <row r="2083" spans="1:25">
      <c r="A2083">
        <v>1000176</v>
      </c>
      <c r="B2083" t="s">
        <v>4061</v>
      </c>
      <c r="C2083" t="s">
        <v>4416</v>
      </c>
      <c r="D2083" t="s">
        <v>1292</v>
      </c>
      <c r="E2083">
        <v>1000176</v>
      </c>
      <c r="F2083" t="s">
        <v>1292</v>
      </c>
      <c r="G2083">
        <v>0</v>
      </c>
      <c r="H2083" t="s">
        <v>1292</v>
      </c>
      <c r="I2083">
        <v>0</v>
      </c>
      <c r="J2083" t="s">
        <v>1292</v>
      </c>
      <c r="K2083">
        <v>0</v>
      </c>
      <c r="L2083" t="s">
        <v>1292</v>
      </c>
      <c r="M2083">
        <v>0</v>
      </c>
      <c r="N2083" t="s">
        <v>1292</v>
      </c>
      <c r="O2083">
        <v>0</v>
      </c>
      <c r="P2083" t="s">
        <v>2290</v>
      </c>
      <c r="Q2083" s="1">
        <v>16017</v>
      </c>
      <c r="R2083">
        <v>16.899999999999999</v>
      </c>
      <c r="S2083" s="2">
        <v>0.02</v>
      </c>
      <c r="T2083" s="3">
        <v>3.0604166666666668</v>
      </c>
      <c r="U2083" t="s">
        <v>1292</v>
      </c>
      <c r="V2083" t="s">
        <v>4416</v>
      </c>
      <c r="W2083" t="s">
        <v>4417</v>
      </c>
      <c r="X2083" t="b">
        <v>0</v>
      </c>
      <c r="Y2083" t="b">
        <v>0</v>
      </c>
    </row>
    <row r="2084" spans="1:25">
      <c r="A2084">
        <v>1000177</v>
      </c>
      <c r="B2084" t="s">
        <v>4061</v>
      </c>
      <c r="C2084" t="s">
        <v>4418</v>
      </c>
      <c r="D2084" t="s">
        <v>1292</v>
      </c>
      <c r="E2084">
        <v>1000177</v>
      </c>
      <c r="F2084" t="s">
        <v>1292</v>
      </c>
      <c r="G2084">
        <v>0</v>
      </c>
      <c r="H2084" t="s">
        <v>1292</v>
      </c>
      <c r="I2084">
        <v>0</v>
      </c>
      <c r="J2084" t="s">
        <v>1292</v>
      </c>
      <c r="K2084">
        <v>0</v>
      </c>
      <c r="L2084" t="s">
        <v>1292</v>
      </c>
      <c r="M2084">
        <v>0</v>
      </c>
      <c r="N2084" t="s">
        <v>1292</v>
      </c>
      <c r="O2084">
        <v>0</v>
      </c>
      <c r="P2084" t="s">
        <v>26</v>
      </c>
      <c r="Q2084">
        <v>525</v>
      </c>
      <c r="R2084">
        <v>15</v>
      </c>
      <c r="S2084" s="2">
        <v>0.45</v>
      </c>
      <c r="T2084" s="3">
        <v>3.3062499999999999</v>
      </c>
      <c r="U2084" s="2">
        <v>0.13</v>
      </c>
      <c r="V2084" t="s">
        <v>4418</v>
      </c>
      <c r="W2084" t="s">
        <v>4419</v>
      </c>
      <c r="X2084" t="b">
        <v>0</v>
      </c>
      <c r="Y2084" t="b">
        <v>0</v>
      </c>
    </row>
    <row r="2085" spans="1:25">
      <c r="A2085">
        <v>1000178</v>
      </c>
      <c r="B2085" t="s">
        <v>4061</v>
      </c>
      <c r="C2085" t="s">
        <v>4420</v>
      </c>
      <c r="D2085" t="s">
        <v>1292</v>
      </c>
      <c r="E2085">
        <v>1000178</v>
      </c>
      <c r="F2085" t="s">
        <v>1292</v>
      </c>
      <c r="G2085">
        <v>0</v>
      </c>
      <c r="H2085" t="s">
        <v>1292</v>
      </c>
      <c r="I2085">
        <v>0</v>
      </c>
      <c r="J2085" t="s">
        <v>1292</v>
      </c>
      <c r="K2085">
        <v>0</v>
      </c>
      <c r="L2085" t="s">
        <v>1292</v>
      </c>
      <c r="M2085">
        <v>0</v>
      </c>
      <c r="N2085" t="s">
        <v>1292</v>
      </c>
      <c r="O2085">
        <v>0</v>
      </c>
      <c r="P2085" t="s">
        <v>26</v>
      </c>
      <c r="Q2085" s="1">
        <v>3165</v>
      </c>
      <c r="R2085">
        <v>7.7</v>
      </c>
      <c r="S2085" s="2">
        <v>0.63</v>
      </c>
      <c r="T2085" t="s">
        <v>105</v>
      </c>
      <c r="U2085" t="s">
        <v>1292</v>
      </c>
      <c r="V2085" t="s">
        <v>4420</v>
      </c>
      <c r="W2085" t="s">
        <v>4421</v>
      </c>
      <c r="X2085" t="b">
        <v>0</v>
      </c>
      <c r="Y2085" t="b">
        <v>0</v>
      </c>
    </row>
    <row r="2086" spans="1:25">
      <c r="A2086">
        <v>1000179</v>
      </c>
      <c r="B2086" t="s">
        <v>4061</v>
      </c>
      <c r="C2086" t="s">
        <v>4422</v>
      </c>
      <c r="D2086" t="s">
        <v>1292</v>
      </c>
      <c r="E2086">
        <v>1000179</v>
      </c>
      <c r="F2086" t="s">
        <v>1292</v>
      </c>
      <c r="G2086">
        <v>0</v>
      </c>
      <c r="H2086" t="s">
        <v>1292</v>
      </c>
      <c r="I2086">
        <v>0</v>
      </c>
      <c r="J2086" t="s">
        <v>1292</v>
      </c>
      <c r="K2086">
        <v>0</v>
      </c>
      <c r="L2086" t="s">
        <v>1292</v>
      </c>
      <c r="M2086">
        <v>0</v>
      </c>
      <c r="N2086" t="s">
        <v>1292</v>
      </c>
      <c r="O2086">
        <v>0</v>
      </c>
      <c r="P2086" t="s">
        <v>26</v>
      </c>
      <c r="Q2086" s="1">
        <v>5605</v>
      </c>
      <c r="R2086">
        <v>18.100000000000001</v>
      </c>
      <c r="S2086" s="2">
        <v>0.4</v>
      </c>
      <c r="T2086" s="3">
        <v>2.7326388888888888</v>
      </c>
      <c r="U2086" s="2">
        <v>0.1</v>
      </c>
      <c r="V2086" t="s">
        <v>4422</v>
      </c>
      <c r="W2086" t="s">
        <v>4423</v>
      </c>
      <c r="X2086" t="b">
        <v>0</v>
      </c>
      <c r="Y2086" t="b">
        <v>0</v>
      </c>
    </row>
    <row r="2087" spans="1:25">
      <c r="A2087">
        <v>1000180</v>
      </c>
      <c r="B2087" t="s">
        <v>4061</v>
      </c>
      <c r="C2087" t="s">
        <v>4424</v>
      </c>
      <c r="D2087" t="s">
        <v>1292</v>
      </c>
      <c r="E2087">
        <v>1000180</v>
      </c>
      <c r="F2087" t="s">
        <v>1292</v>
      </c>
      <c r="G2087">
        <v>0</v>
      </c>
      <c r="H2087" t="s">
        <v>1292</v>
      </c>
      <c r="I2087">
        <v>0</v>
      </c>
      <c r="J2087" t="s">
        <v>1292</v>
      </c>
      <c r="K2087">
        <v>0</v>
      </c>
      <c r="L2087" t="s">
        <v>1292</v>
      </c>
      <c r="M2087">
        <v>0</v>
      </c>
      <c r="N2087" t="s">
        <v>1292</v>
      </c>
      <c r="O2087">
        <v>0</v>
      </c>
      <c r="P2087" t="s">
        <v>26</v>
      </c>
      <c r="Q2087" s="1">
        <v>6010</v>
      </c>
      <c r="R2087">
        <v>17.7</v>
      </c>
      <c r="S2087" s="2">
        <v>0.11</v>
      </c>
      <c r="T2087" s="3">
        <v>2.9375</v>
      </c>
      <c r="U2087" s="2">
        <v>0.16</v>
      </c>
      <c r="V2087" t="s">
        <v>4424</v>
      </c>
      <c r="W2087" t="s">
        <v>4425</v>
      </c>
      <c r="X2087" t="b">
        <v>0</v>
      </c>
      <c r="Y2087" t="b">
        <v>0</v>
      </c>
    </row>
    <row r="2088" spans="1:25">
      <c r="A2088">
        <v>1000181</v>
      </c>
      <c r="B2088" t="s">
        <v>4061</v>
      </c>
      <c r="C2088" t="s">
        <v>4426</v>
      </c>
      <c r="D2088" t="s">
        <v>1292</v>
      </c>
      <c r="E2088">
        <v>1000181</v>
      </c>
      <c r="F2088" t="s">
        <v>1292</v>
      </c>
      <c r="G2088">
        <v>0</v>
      </c>
      <c r="H2088" t="s">
        <v>1292</v>
      </c>
      <c r="I2088">
        <v>0</v>
      </c>
      <c r="J2088" t="s">
        <v>1292</v>
      </c>
      <c r="K2088">
        <v>0</v>
      </c>
      <c r="L2088" t="s">
        <v>1292</v>
      </c>
      <c r="M2088">
        <v>0</v>
      </c>
      <c r="N2088" t="s">
        <v>1292</v>
      </c>
      <c r="O2088">
        <v>0</v>
      </c>
      <c r="P2088" t="s">
        <v>664</v>
      </c>
      <c r="Q2088" s="1">
        <v>1891</v>
      </c>
      <c r="R2088">
        <v>17.3</v>
      </c>
      <c r="S2088" s="2">
        <v>0.22</v>
      </c>
      <c r="T2088" s="3">
        <v>3.0194444444444444</v>
      </c>
      <c r="U2088" s="2">
        <v>0.21</v>
      </c>
      <c r="V2088" t="s">
        <v>4426</v>
      </c>
      <c r="W2088" t="s">
        <v>4427</v>
      </c>
      <c r="X2088" t="b">
        <v>0</v>
      </c>
      <c r="Y2088" t="b">
        <v>0</v>
      </c>
    </row>
    <row r="2089" spans="1:25">
      <c r="A2089">
        <v>1000182</v>
      </c>
      <c r="B2089" t="s">
        <v>4061</v>
      </c>
      <c r="C2089" t="s">
        <v>4428</v>
      </c>
      <c r="D2089" t="s">
        <v>1292</v>
      </c>
      <c r="E2089">
        <v>1000182</v>
      </c>
      <c r="F2089" t="s">
        <v>1292</v>
      </c>
      <c r="G2089">
        <v>0</v>
      </c>
      <c r="H2089" t="s">
        <v>1292</v>
      </c>
      <c r="I2089">
        <v>0</v>
      </c>
      <c r="J2089" t="s">
        <v>1292</v>
      </c>
      <c r="K2089">
        <v>0</v>
      </c>
      <c r="L2089" t="s">
        <v>1292</v>
      </c>
      <c r="M2089">
        <v>0</v>
      </c>
      <c r="N2089" t="s">
        <v>1292</v>
      </c>
      <c r="O2089">
        <v>0</v>
      </c>
      <c r="P2089" t="s">
        <v>1473</v>
      </c>
      <c r="Q2089" s="1">
        <v>2784</v>
      </c>
      <c r="R2089">
        <v>19.5</v>
      </c>
      <c r="S2089" s="2">
        <v>0.73</v>
      </c>
      <c r="T2089" s="3">
        <v>1.8722222222222222</v>
      </c>
      <c r="U2089" t="s">
        <v>1292</v>
      </c>
      <c r="V2089" t="s">
        <v>4428</v>
      </c>
      <c r="W2089" t="s">
        <v>4429</v>
      </c>
      <c r="X2089" t="b">
        <v>0</v>
      </c>
      <c r="Y2089" t="b">
        <v>0</v>
      </c>
    </row>
    <row r="2090" spans="1:25">
      <c r="A2090">
        <v>1000183</v>
      </c>
      <c r="B2090" t="s">
        <v>4061</v>
      </c>
      <c r="C2090" t="s">
        <v>4430</v>
      </c>
      <c r="D2090" t="s">
        <v>1292</v>
      </c>
      <c r="E2090">
        <v>1000183</v>
      </c>
      <c r="F2090" t="s">
        <v>1292</v>
      </c>
      <c r="G2090">
        <v>0</v>
      </c>
      <c r="H2090" t="s">
        <v>1292</v>
      </c>
      <c r="I2090">
        <v>0</v>
      </c>
      <c r="J2090" t="s">
        <v>1292</v>
      </c>
      <c r="K2090">
        <v>0</v>
      </c>
      <c r="L2090" t="s">
        <v>1292</v>
      </c>
      <c r="M2090">
        <v>0</v>
      </c>
      <c r="N2090" t="s">
        <v>1292</v>
      </c>
      <c r="O2090">
        <v>0</v>
      </c>
      <c r="P2090" t="s">
        <v>1846</v>
      </c>
      <c r="Q2090" s="1">
        <v>17236</v>
      </c>
      <c r="R2090">
        <v>22</v>
      </c>
      <c r="S2090" s="2">
        <v>0.05</v>
      </c>
      <c r="T2090" t="s">
        <v>40</v>
      </c>
      <c r="U2090" s="2">
        <v>0.26</v>
      </c>
      <c r="V2090" t="s">
        <v>4430</v>
      </c>
      <c r="W2090" t="s">
        <v>4431</v>
      </c>
      <c r="X2090" t="b">
        <v>0</v>
      </c>
      <c r="Y2090" t="b">
        <v>0</v>
      </c>
    </row>
    <row r="2091" spans="1:25">
      <c r="A2091">
        <v>1000184</v>
      </c>
      <c r="B2091" t="s">
        <v>4061</v>
      </c>
      <c r="C2091" t="s">
        <v>4432</v>
      </c>
      <c r="D2091" t="s">
        <v>1292</v>
      </c>
      <c r="E2091">
        <v>1000184</v>
      </c>
      <c r="F2091" t="s">
        <v>1292</v>
      </c>
      <c r="G2091">
        <v>0</v>
      </c>
      <c r="H2091" t="s">
        <v>1292</v>
      </c>
      <c r="I2091">
        <v>0</v>
      </c>
      <c r="J2091" t="s">
        <v>1292</v>
      </c>
      <c r="K2091">
        <v>0</v>
      </c>
      <c r="L2091" t="s">
        <v>1292</v>
      </c>
      <c r="M2091">
        <v>0</v>
      </c>
      <c r="N2091" t="s">
        <v>1292</v>
      </c>
      <c r="O2091">
        <v>0</v>
      </c>
      <c r="P2091" t="s">
        <v>795</v>
      </c>
      <c r="Q2091" s="1">
        <v>3193</v>
      </c>
      <c r="R2091">
        <v>43.7</v>
      </c>
      <c r="S2091" s="2">
        <v>0</v>
      </c>
      <c r="T2091" s="3">
        <v>3.0194444444444444</v>
      </c>
      <c r="U2091" t="s">
        <v>1292</v>
      </c>
      <c r="V2091" t="s">
        <v>4432</v>
      </c>
      <c r="W2091" t="s">
        <v>4433</v>
      </c>
      <c r="X2091" t="b">
        <v>0</v>
      </c>
      <c r="Y2091" t="b">
        <v>0</v>
      </c>
    </row>
    <row r="2092" spans="1:25">
      <c r="A2092">
        <v>1000185</v>
      </c>
      <c r="B2092" t="s">
        <v>4061</v>
      </c>
      <c r="C2092" t="s">
        <v>4434</v>
      </c>
      <c r="D2092" t="s">
        <v>1292</v>
      </c>
      <c r="E2092">
        <v>1000185</v>
      </c>
      <c r="F2092" t="s">
        <v>1292</v>
      </c>
      <c r="G2092">
        <v>0</v>
      </c>
      <c r="H2092" t="s">
        <v>1292</v>
      </c>
      <c r="I2092">
        <v>0</v>
      </c>
      <c r="J2092" t="s">
        <v>1292</v>
      </c>
      <c r="K2092">
        <v>0</v>
      </c>
      <c r="L2092" t="s">
        <v>1292</v>
      </c>
      <c r="M2092">
        <v>0</v>
      </c>
      <c r="N2092" t="s">
        <v>1292</v>
      </c>
      <c r="O2092">
        <v>0</v>
      </c>
      <c r="P2092" t="s">
        <v>1102</v>
      </c>
      <c r="Q2092" s="1">
        <v>2378</v>
      </c>
      <c r="R2092">
        <v>11.5</v>
      </c>
      <c r="S2092" s="2">
        <v>0</v>
      </c>
      <c r="T2092">
        <v>0.80694444444444446</v>
      </c>
      <c r="U2092" s="2">
        <v>0.52</v>
      </c>
      <c r="V2092" t="s">
        <v>4434</v>
      </c>
      <c r="W2092" t="s">
        <v>4435</v>
      </c>
      <c r="X2092" t="b">
        <v>0</v>
      </c>
      <c r="Y2092" t="b">
        <v>0</v>
      </c>
    </row>
    <row r="2093" spans="1:25">
      <c r="A2093">
        <v>1000186</v>
      </c>
      <c r="B2093" t="s">
        <v>4061</v>
      </c>
      <c r="C2093" t="s">
        <v>4436</v>
      </c>
      <c r="D2093" t="s">
        <v>1292</v>
      </c>
      <c r="E2093">
        <v>1000186</v>
      </c>
      <c r="F2093" t="s">
        <v>1292</v>
      </c>
      <c r="G2093">
        <v>0</v>
      </c>
      <c r="H2093" t="s">
        <v>1292</v>
      </c>
      <c r="I2093">
        <v>0</v>
      </c>
      <c r="J2093" t="s">
        <v>1292</v>
      </c>
      <c r="K2093">
        <v>0</v>
      </c>
      <c r="L2093" t="s">
        <v>1292</v>
      </c>
      <c r="M2093">
        <v>0</v>
      </c>
      <c r="N2093" t="s">
        <v>1292</v>
      </c>
      <c r="O2093">
        <v>0</v>
      </c>
      <c r="P2093" t="s">
        <v>2377</v>
      </c>
      <c r="Q2093" s="1">
        <v>17122</v>
      </c>
      <c r="R2093">
        <v>13.8</v>
      </c>
      <c r="S2093" s="2">
        <v>0</v>
      </c>
      <c r="T2093" t="s">
        <v>40</v>
      </c>
      <c r="U2093" s="2">
        <v>0.18</v>
      </c>
      <c r="V2093" t="s">
        <v>4436</v>
      </c>
      <c r="W2093" t="s">
        <v>4437</v>
      </c>
      <c r="X2093" t="b">
        <v>0</v>
      </c>
      <c r="Y2093" t="b">
        <v>0</v>
      </c>
    </row>
    <row r="2094" spans="1:25">
      <c r="A2094">
        <v>1000187</v>
      </c>
      <c r="B2094" t="s">
        <v>4061</v>
      </c>
      <c r="C2094" t="s">
        <v>4438</v>
      </c>
      <c r="D2094" t="s">
        <v>1292</v>
      </c>
      <c r="E2094">
        <v>1000187</v>
      </c>
      <c r="F2094" t="s">
        <v>1292</v>
      </c>
      <c r="G2094">
        <v>0</v>
      </c>
      <c r="H2094" t="s">
        <v>1292</v>
      </c>
      <c r="I2094">
        <v>0</v>
      </c>
      <c r="J2094" t="s">
        <v>1292</v>
      </c>
      <c r="K2094">
        <v>0</v>
      </c>
      <c r="L2094" t="s">
        <v>1292</v>
      </c>
      <c r="M2094">
        <v>0</v>
      </c>
      <c r="N2094" t="s">
        <v>1292</v>
      </c>
      <c r="O2094">
        <v>0</v>
      </c>
      <c r="P2094" t="s">
        <v>1483</v>
      </c>
      <c r="Q2094" s="1">
        <v>8876</v>
      </c>
      <c r="R2094">
        <v>16.600000000000001</v>
      </c>
      <c r="S2094" s="2">
        <v>0</v>
      </c>
      <c r="T2094" s="3">
        <v>2.036111111111111</v>
      </c>
      <c r="U2094" s="2">
        <v>0.28999999999999998</v>
      </c>
      <c r="V2094" t="s">
        <v>4438</v>
      </c>
      <c r="W2094" t="s">
        <v>4439</v>
      </c>
      <c r="X2094" t="b">
        <v>0</v>
      </c>
      <c r="Y2094" t="b">
        <v>0</v>
      </c>
    </row>
    <row r="2095" spans="1:25">
      <c r="A2095">
        <v>1000188</v>
      </c>
      <c r="B2095" t="s">
        <v>4061</v>
      </c>
      <c r="C2095" t="s">
        <v>4440</v>
      </c>
      <c r="D2095" t="s">
        <v>1292</v>
      </c>
      <c r="E2095">
        <v>1000188</v>
      </c>
      <c r="F2095" t="s">
        <v>1292</v>
      </c>
      <c r="G2095">
        <v>0</v>
      </c>
      <c r="H2095" t="s">
        <v>1292</v>
      </c>
      <c r="I2095">
        <v>0</v>
      </c>
      <c r="J2095" t="s">
        <v>1292</v>
      </c>
      <c r="K2095">
        <v>0</v>
      </c>
      <c r="L2095" t="s">
        <v>1292</v>
      </c>
      <c r="M2095">
        <v>0</v>
      </c>
      <c r="N2095" t="s">
        <v>1292</v>
      </c>
      <c r="O2095">
        <v>0</v>
      </c>
      <c r="P2095" t="s">
        <v>1895</v>
      </c>
      <c r="Q2095" s="1">
        <v>28031</v>
      </c>
      <c r="R2095">
        <v>34.700000000000003</v>
      </c>
      <c r="S2095" s="2">
        <v>0</v>
      </c>
      <c r="T2095" s="3">
        <v>2.4048611111111109</v>
      </c>
      <c r="U2095" s="2">
        <v>0.26</v>
      </c>
      <c r="V2095" t="s">
        <v>4440</v>
      </c>
      <c r="W2095" t="s">
        <v>4441</v>
      </c>
      <c r="X2095" t="b">
        <v>0</v>
      </c>
      <c r="Y2095" t="b">
        <v>0</v>
      </c>
    </row>
    <row r="2096" spans="1:25">
      <c r="A2096">
        <v>1000189</v>
      </c>
      <c r="B2096" t="s">
        <v>4061</v>
      </c>
      <c r="C2096" t="s">
        <v>4442</v>
      </c>
      <c r="D2096" t="s">
        <v>1292</v>
      </c>
      <c r="E2096">
        <v>1000189</v>
      </c>
      <c r="F2096" t="s">
        <v>1292</v>
      </c>
      <c r="G2096">
        <v>0</v>
      </c>
      <c r="H2096" t="s">
        <v>1292</v>
      </c>
      <c r="I2096">
        <v>0</v>
      </c>
      <c r="J2096" t="s">
        <v>1292</v>
      </c>
      <c r="K2096">
        <v>0</v>
      </c>
      <c r="L2096" t="s">
        <v>1292</v>
      </c>
      <c r="M2096">
        <v>0</v>
      </c>
      <c r="N2096" t="s">
        <v>1292</v>
      </c>
      <c r="O2096">
        <v>0</v>
      </c>
      <c r="P2096" t="s">
        <v>4144</v>
      </c>
      <c r="Q2096" s="1">
        <v>5676</v>
      </c>
      <c r="R2096">
        <v>21.5</v>
      </c>
      <c r="S2096" s="2">
        <v>0</v>
      </c>
      <c r="T2096" s="3">
        <v>2.7326388888888888</v>
      </c>
      <c r="U2096" t="s">
        <v>1292</v>
      </c>
      <c r="V2096" t="s">
        <v>4442</v>
      </c>
      <c r="W2096" t="s">
        <v>4443</v>
      </c>
      <c r="X2096" t="b">
        <v>0</v>
      </c>
      <c r="Y2096" t="b">
        <v>0</v>
      </c>
    </row>
    <row r="2097" spans="1:25">
      <c r="A2097">
        <v>1000190</v>
      </c>
      <c r="B2097" t="s">
        <v>4061</v>
      </c>
      <c r="C2097" t="s">
        <v>4444</v>
      </c>
      <c r="D2097" t="s">
        <v>1292</v>
      </c>
      <c r="E2097">
        <v>1000190</v>
      </c>
      <c r="F2097" t="s">
        <v>1292</v>
      </c>
      <c r="G2097">
        <v>0</v>
      </c>
      <c r="H2097" t="s">
        <v>1292</v>
      </c>
      <c r="I2097">
        <v>0</v>
      </c>
      <c r="J2097" t="s">
        <v>1292</v>
      </c>
      <c r="K2097">
        <v>0</v>
      </c>
      <c r="L2097" t="s">
        <v>1292</v>
      </c>
      <c r="M2097">
        <v>0</v>
      </c>
      <c r="N2097" t="s">
        <v>1292</v>
      </c>
      <c r="O2097">
        <v>0</v>
      </c>
      <c r="P2097" t="s">
        <v>1846</v>
      </c>
      <c r="Q2097" s="1">
        <v>8174</v>
      </c>
      <c r="R2097">
        <v>27.8</v>
      </c>
      <c r="S2097" s="2">
        <v>0.08</v>
      </c>
      <c r="T2097">
        <v>0.80694444444444446</v>
      </c>
      <c r="U2097" s="2">
        <v>0.2</v>
      </c>
      <c r="V2097" t="s">
        <v>4444</v>
      </c>
      <c r="W2097" t="s">
        <v>4445</v>
      </c>
      <c r="X2097" t="b">
        <v>0</v>
      </c>
      <c r="Y2097" t="b">
        <v>0</v>
      </c>
    </row>
    <row r="2098" spans="1:25">
      <c r="A2098">
        <v>1000191</v>
      </c>
      <c r="B2098" t="s">
        <v>4061</v>
      </c>
      <c r="C2098" t="s">
        <v>4446</v>
      </c>
      <c r="D2098" t="s">
        <v>1292</v>
      </c>
      <c r="E2098">
        <v>1000191</v>
      </c>
      <c r="F2098" t="s">
        <v>1292</v>
      </c>
      <c r="G2098">
        <v>0</v>
      </c>
      <c r="H2098" t="s">
        <v>1292</v>
      </c>
      <c r="I2098">
        <v>0</v>
      </c>
      <c r="J2098" t="s">
        <v>1292</v>
      </c>
      <c r="K2098">
        <v>0</v>
      </c>
      <c r="L2098" t="s">
        <v>1292</v>
      </c>
      <c r="M2098">
        <v>0</v>
      </c>
      <c r="N2098" t="s">
        <v>1292</v>
      </c>
      <c r="O2098">
        <v>0</v>
      </c>
      <c r="P2098" t="s">
        <v>1102</v>
      </c>
      <c r="Q2098" s="1">
        <v>2099</v>
      </c>
      <c r="R2098">
        <v>21.4</v>
      </c>
      <c r="S2098" s="2">
        <v>0</v>
      </c>
      <c r="T2098" t="s">
        <v>1062</v>
      </c>
      <c r="U2098" s="2">
        <v>0.39</v>
      </c>
      <c r="V2098" t="s">
        <v>4446</v>
      </c>
      <c r="W2098" t="s">
        <v>4447</v>
      </c>
      <c r="X2098" t="b">
        <v>0</v>
      </c>
      <c r="Y2098" t="b">
        <v>0</v>
      </c>
    </row>
    <row r="2099" spans="1:25">
      <c r="A2099">
        <v>1000192</v>
      </c>
      <c r="B2099" t="s">
        <v>4061</v>
      </c>
      <c r="C2099" t="s">
        <v>4448</v>
      </c>
      <c r="D2099" t="s">
        <v>1292</v>
      </c>
      <c r="E2099">
        <v>1000192</v>
      </c>
      <c r="F2099" t="s">
        <v>1292</v>
      </c>
      <c r="G2099">
        <v>0</v>
      </c>
      <c r="H2099" t="s">
        <v>1292</v>
      </c>
      <c r="I2099">
        <v>0</v>
      </c>
      <c r="J2099" t="s">
        <v>1292</v>
      </c>
      <c r="K2099">
        <v>0</v>
      </c>
      <c r="L2099" t="s">
        <v>1292</v>
      </c>
      <c r="M2099">
        <v>0</v>
      </c>
      <c r="N2099" t="s">
        <v>1292</v>
      </c>
      <c r="O2099">
        <v>0</v>
      </c>
      <c r="P2099" t="s">
        <v>1733</v>
      </c>
      <c r="Q2099" s="1">
        <v>3085</v>
      </c>
      <c r="R2099">
        <v>17.399999999999999</v>
      </c>
      <c r="S2099" s="2">
        <v>7.0000000000000007E-2</v>
      </c>
      <c r="T2099" s="3">
        <v>2.3229166666666665</v>
      </c>
      <c r="U2099" s="2">
        <v>0.33</v>
      </c>
      <c r="V2099" t="s">
        <v>4448</v>
      </c>
      <c r="W2099" t="s">
        <v>4449</v>
      </c>
      <c r="X2099" t="b">
        <v>0</v>
      </c>
      <c r="Y2099" t="b">
        <v>0</v>
      </c>
    </row>
    <row r="2100" spans="1:25">
      <c r="A2100">
        <v>1000193</v>
      </c>
      <c r="B2100" t="s">
        <v>4061</v>
      </c>
      <c r="C2100" t="s">
        <v>4450</v>
      </c>
      <c r="D2100" t="s">
        <v>1292</v>
      </c>
      <c r="E2100">
        <v>1000193</v>
      </c>
      <c r="F2100" t="s">
        <v>1292</v>
      </c>
      <c r="G2100">
        <v>0</v>
      </c>
      <c r="H2100" t="s">
        <v>1292</v>
      </c>
      <c r="I2100">
        <v>0</v>
      </c>
      <c r="J2100" t="s">
        <v>1292</v>
      </c>
      <c r="K2100">
        <v>0</v>
      </c>
      <c r="L2100" t="s">
        <v>1292</v>
      </c>
      <c r="M2100">
        <v>0</v>
      </c>
      <c r="N2100" t="s">
        <v>1292</v>
      </c>
      <c r="O2100">
        <v>0</v>
      </c>
      <c r="P2100" t="s">
        <v>2290</v>
      </c>
      <c r="Q2100" s="1">
        <v>21277</v>
      </c>
      <c r="R2100">
        <v>27.6</v>
      </c>
      <c r="S2100" s="2">
        <v>0</v>
      </c>
      <c r="T2100" s="3">
        <v>2.6506944444444445</v>
      </c>
      <c r="U2100" s="2">
        <v>0.39</v>
      </c>
      <c r="V2100" t="s">
        <v>4450</v>
      </c>
      <c r="X2100" t="b">
        <v>0</v>
      </c>
      <c r="Y2100" t="b">
        <v>0</v>
      </c>
    </row>
    <row r="2101" spans="1:25">
      <c r="A2101">
        <v>1000194</v>
      </c>
      <c r="B2101" t="s">
        <v>4061</v>
      </c>
      <c r="C2101" t="s">
        <v>4451</v>
      </c>
      <c r="D2101" t="s">
        <v>1292</v>
      </c>
      <c r="E2101">
        <v>1000194</v>
      </c>
      <c r="F2101" t="s">
        <v>1292</v>
      </c>
      <c r="G2101">
        <v>0</v>
      </c>
      <c r="H2101" t="s">
        <v>1292</v>
      </c>
      <c r="I2101">
        <v>0</v>
      </c>
      <c r="J2101" t="s">
        <v>1292</v>
      </c>
      <c r="K2101">
        <v>0</v>
      </c>
      <c r="L2101" t="s">
        <v>1292</v>
      </c>
      <c r="M2101">
        <v>0</v>
      </c>
      <c r="N2101" t="s">
        <v>1292</v>
      </c>
      <c r="O2101">
        <v>0</v>
      </c>
      <c r="P2101" t="s">
        <v>528</v>
      </c>
      <c r="Q2101" s="1">
        <v>3168</v>
      </c>
      <c r="R2101">
        <v>14.9</v>
      </c>
      <c r="S2101" s="2">
        <v>0</v>
      </c>
      <c r="T2101" s="3">
        <v>1.9951388888888888</v>
      </c>
      <c r="U2101" s="2">
        <v>0.4</v>
      </c>
      <c r="V2101" t="s">
        <v>4451</v>
      </c>
      <c r="W2101" t="s">
        <v>4452</v>
      </c>
      <c r="X2101" t="b">
        <v>0</v>
      </c>
      <c r="Y2101" t="b">
        <v>0</v>
      </c>
    </row>
    <row r="2102" spans="1:25">
      <c r="A2102">
        <v>1000195</v>
      </c>
      <c r="B2102" t="s">
        <v>4061</v>
      </c>
      <c r="C2102" t="s">
        <v>4453</v>
      </c>
      <c r="D2102" t="s">
        <v>1292</v>
      </c>
      <c r="E2102">
        <v>1000195</v>
      </c>
      <c r="F2102" t="s">
        <v>1292</v>
      </c>
      <c r="G2102">
        <v>0</v>
      </c>
      <c r="H2102" t="s">
        <v>1292</v>
      </c>
      <c r="I2102">
        <v>0</v>
      </c>
      <c r="J2102" t="s">
        <v>1292</v>
      </c>
      <c r="K2102">
        <v>0</v>
      </c>
      <c r="L2102" t="s">
        <v>1292</v>
      </c>
      <c r="M2102">
        <v>0</v>
      </c>
      <c r="N2102" t="s">
        <v>1292</v>
      </c>
      <c r="O2102">
        <v>0</v>
      </c>
      <c r="P2102" t="s">
        <v>1123</v>
      </c>
      <c r="Q2102">
        <v>722</v>
      </c>
      <c r="R2102">
        <v>12.4</v>
      </c>
      <c r="S2102" s="2">
        <v>0.01</v>
      </c>
      <c r="T2102" s="3">
        <v>2.6097222222222221</v>
      </c>
      <c r="U2102" t="s">
        <v>1292</v>
      </c>
      <c r="V2102" t="s">
        <v>4453</v>
      </c>
      <c r="W2102" t="s">
        <v>4454</v>
      </c>
      <c r="X2102" t="b">
        <v>0</v>
      </c>
      <c r="Y2102" t="b">
        <v>0</v>
      </c>
    </row>
    <row r="2103" spans="1:25">
      <c r="A2103">
        <v>1000196</v>
      </c>
      <c r="B2103" t="s">
        <v>4061</v>
      </c>
      <c r="C2103" t="s">
        <v>4455</v>
      </c>
      <c r="D2103" t="s">
        <v>1292</v>
      </c>
      <c r="E2103">
        <v>1000196</v>
      </c>
      <c r="F2103" t="s">
        <v>1292</v>
      </c>
      <c r="G2103">
        <v>0</v>
      </c>
      <c r="H2103" t="s">
        <v>1292</v>
      </c>
      <c r="I2103">
        <v>0</v>
      </c>
      <c r="J2103" t="s">
        <v>1292</v>
      </c>
      <c r="K2103">
        <v>0</v>
      </c>
      <c r="L2103" t="s">
        <v>1292</v>
      </c>
      <c r="M2103">
        <v>0</v>
      </c>
      <c r="N2103" t="s">
        <v>1292</v>
      </c>
      <c r="O2103">
        <v>0</v>
      </c>
      <c r="P2103" t="s">
        <v>4456</v>
      </c>
      <c r="Q2103" s="1">
        <v>4255</v>
      </c>
      <c r="R2103">
        <v>13.3</v>
      </c>
      <c r="S2103" s="2">
        <v>0</v>
      </c>
      <c r="T2103" s="3">
        <v>3.2652777777777779</v>
      </c>
      <c r="U2103" t="s">
        <v>1292</v>
      </c>
      <c r="V2103" t="s">
        <v>4455</v>
      </c>
      <c r="W2103" t="s">
        <v>4457</v>
      </c>
      <c r="X2103" t="b">
        <v>0</v>
      </c>
      <c r="Y2103" t="b">
        <v>0</v>
      </c>
    </row>
    <row r="2104" spans="1:25">
      <c r="A2104">
        <v>1000197</v>
      </c>
      <c r="B2104" t="s">
        <v>4061</v>
      </c>
      <c r="C2104" t="s">
        <v>4458</v>
      </c>
      <c r="D2104" t="s">
        <v>1292</v>
      </c>
      <c r="E2104">
        <v>1000197</v>
      </c>
      <c r="F2104" t="s">
        <v>1292</v>
      </c>
      <c r="G2104">
        <v>0</v>
      </c>
      <c r="H2104" t="s">
        <v>1292</v>
      </c>
      <c r="I2104">
        <v>0</v>
      </c>
      <c r="J2104" t="s">
        <v>1292</v>
      </c>
      <c r="K2104">
        <v>0</v>
      </c>
      <c r="L2104" t="s">
        <v>1292</v>
      </c>
      <c r="M2104">
        <v>0</v>
      </c>
      <c r="N2104" t="s">
        <v>1292</v>
      </c>
      <c r="O2104">
        <v>0</v>
      </c>
      <c r="P2104" t="s">
        <v>528</v>
      </c>
      <c r="Q2104" s="1">
        <v>3787</v>
      </c>
      <c r="R2104">
        <v>7.2</v>
      </c>
      <c r="S2104" s="2">
        <v>0</v>
      </c>
      <c r="T2104" s="3">
        <v>2.4458333333333333</v>
      </c>
      <c r="U2104" s="2">
        <v>0.08</v>
      </c>
      <c r="V2104" t="s">
        <v>4458</v>
      </c>
      <c r="W2104" t="s">
        <v>4459</v>
      </c>
      <c r="X2104" t="b">
        <v>0</v>
      </c>
      <c r="Y2104" t="b">
        <v>0</v>
      </c>
    </row>
    <row r="2105" spans="1:25">
      <c r="A2105">
        <v>1000198</v>
      </c>
      <c r="B2105" t="s">
        <v>4061</v>
      </c>
      <c r="C2105" t="s">
        <v>4460</v>
      </c>
      <c r="D2105" t="s">
        <v>1292</v>
      </c>
      <c r="E2105">
        <v>1000198</v>
      </c>
      <c r="F2105" t="s">
        <v>1292</v>
      </c>
      <c r="G2105">
        <v>0</v>
      </c>
      <c r="H2105" t="s">
        <v>1292</v>
      </c>
      <c r="I2105">
        <v>0</v>
      </c>
      <c r="J2105" t="s">
        <v>1292</v>
      </c>
      <c r="K2105">
        <v>0</v>
      </c>
      <c r="L2105" t="s">
        <v>1292</v>
      </c>
      <c r="M2105">
        <v>0</v>
      </c>
      <c r="N2105" t="s">
        <v>1292</v>
      </c>
      <c r="O2105">
        <v>0</v>
      </c>
      <c r="P2105" t="s">
        <v>528</v>
      </c>
      <c r="Q2105" s="1">
        <v>26210</v>
      </c>
      <c r="R2105">
        <v>15</v>
      </c>
      <c r="S2105" s="2">
        <v>0</v>
      </c>
      <c r="T2105" t="s">
        <v>105</v>
      </c>
      <c r="U2105" s="2">
        <v>0.38</v>
      </c>
      <c r="V2105" t="s">
        <v>4460</v>
      </c>
      <c r="W2105" t="s">
        <v>4461</v>
      </c>
      <c r="X2105" t="b">
        <v>0</v>
      </c>
      <c r="Y2105" t="b">
        <v>0</v>
      </c>
    </row>
    <row r="2106" spans="1:25">
      <c r="A2106">
        <v>1000199</v>
      </c>
      <c r="B2106" t="s">
        <v>4061</v>
      </c>
      <c r="C2106" t="s">
        <v>4462</v>
      </c>
      <c r="D2106" t="s">
        <v>1292</v>
      </c>
      <c r="E2106">
        <v>1000199</v>
      </c>
      <c r="F2106" t="s">
        <v>1292</v>
      </c>
      <c r="G2106">
        <v>0</v>
      </c>
      <c r="H2106" t="s">
        <v>1292</v>
      </c>
      <c r="I2106">
        <v>0</v>
      </c>
      <c r="J2106" t="s">
        <v>1292</v>
      </c>
      <c r="K2106">
        <v>0</v>
      </c>
      <c r="L2106" t="s">
        <v>1292</v>
      </c>
      <c r="M2106">
        <v>0</v>
      </c>
      <c r="N2106" t="s">
        <v>1292</v>
      </c>
      <c r="O2106">
        <v>0</v>
      </c>
      <c r="P2106" t="s">
        <v>1306</v>
      </c>
      <c r="Q2106" s="1">
        <v>4994</v>
      </c>
      <c r="R2106">
        <v>14.4</v>
      </c>
      <c r="S2106" s="2">
        <v>0.03</v>
      </c>
      <c r="T2106" t="s">
        <v>357</v>
      </c>
      <c r="U2106" s="2">
        <v>0.41</v>
      </c>
      <c r="V2106" t="s">
        <v>4462</v>
      </c>
      <c r="W2106" t="s">
        <v>4463</v>
      </c>
      <c r="X2106" t="b">
        <v>0</v>
      </c>
      <c r="Y2106" t="b">
        <v>0</v>
      </c>
    </row>
    <row r="2107" spans="1:25">
      <c r="A2107">
        <v>1000200</v>
      </c>
      <c r="B2107" t="s">
        <v>4061</v>
      </c>
      <c r="C2107" t="s">
        <v>4464</v>
      </c>
      <c r="D2107" t="s">
        <v>1292</v>
      </c>
      <c r="E2107">
        <v>1000200</v>
      </c>
      <c r="F2107" t="s">
        <v>1292</v>
      </c>
      <c r="G2107">
        <v>0</v>
      </c>
      <c r="H2107" t="s">
        <v>1292</v>
      </c>
      <c r="I2107">
        <v>0</v>
      </c>
      <c r="J2107" t="s">
        <v>1292</v>
      </c>
      <c r="K2107">
        <v>0</v>
      </c>
      <c r="L2107" t="s">
        <v>1292</v>
      </c>
      <c r="M2107">
        <v>0</v>
      </c>
      <c r="N2107" t="s">
        <v>1292</v>
      </c>
      <c r="O2107">
        <v>0</v>
      </c>
      <c r="P2107" t="s">
        <v>608</v>
      </c>
      <c r="Q2107" s="1">
        <v>1147</v>
      </c>
      <c r="R2107">
        <v>21</v>
      </c>
      <c r="S2107" s="2">
        <v>0.24</v>
      </c>
      <c r="T2107" t="s">
        <v>357</v>
      </c>
      <c r="U2107" s="2">
        <v>0.34</v>
      </c>
      <c r="V2107" t="s">
        <v>4464</v>
      </c>
      <c r="W2107" t="s">
        <v>4465</v>
      </c>
      <c r="X2107" t="b">
        <v>0</v>
      </c>
      <c r="Y2107" t="b">
        <v>0</v>
      </c>
    </row>
    <row r="2108" spans="1:25">
      <c r="A2108">
        <v>1000201</v>
      </c>
      <c r="B2108" t="s">
        <v>4061</v>
      </c>
      <c r="C2108" t="s">
        <v>4466</v>
      </c>
      <c r="D2108" t="s">
        <v>1292</v>
      </c>
      <c r="E2108">
        <v>1000201</v>
      </c>
      <c r="F2108" t="s">
        <v>1292</v>
      </c>
      <c r="G2108">
        <v>0</v>
      </c>
      <c r="H2108" t="s">
        <v>1292</v>
      </c>
      <c r="I2108">
        <v>0</v>
      </c>
      <c r="J2108" t="s">
        <v>1292</v>
      </c>
      <c r="K2108">
        <v>0</v>
      </c>
      <c r="L2108" t="s">
        <v>1292</v>
      </c>
      <c r="M2108">
        <v>0</v>
      </c>
      <c r="N2108" t="s">
        <v>1292</v>
      </c>
      <c r="O2108">
        <v>0</v>
      </c>
      <c r="P2108" t="s">
        <v>2157</v>
      </c>
      <c r="Q2108" s="1">
        <v>23989</v>
      </c>
      <c r="R2108">
        <v>12.8</v>
      </c>
      <c r="S2108" s="2">
        <v>0.01</v>
      </c>
      <c r="T2108" s="3">
        <v>2.3638888888888889</v>
      </c>
      <c r="U2108" s="2">
        <v>0.23</v>
      </c>
      <c r="V2108" t="s">
        <v>4466</v>
      </c>
      <c r="W2108" t="s">
        <v>4467</v>
      </c>
      <c r="X2108" t="b">
        <v>0</v>
      </c>
      <c r="Y2108" t="b">
        <v>0</v>
      </c>
    </row>
    <row r="2109" spans="1:25">
      <c r="A2109">
        <v>1000202</v>
      </c>
      <c r="B2109" t="s">
        <v>4061</v>
      </c>
      <c r="C2109" t="s">
        <v>4468</v>
      </c>
      <c r="D2109" t="s">
        <v>1292</v>
      </c>
      <c r="E2109">
        <v>1000202</v>
      </c>
      <c r="F2109" t="s">
        <v>1292</v>
      </c>
      <c r="G2109">
        <v>0</v>
      </c>
      <c r="H2109" t="s">
        <v>1292</v>
      </c>
      <c r="I2109">
        <v>0</v>
      </c>
      <c r="J2109" t="s">
        <v>1292</v>
      </c>
      <c r="K2109">
        <v>0</v>
      </c>
      <c r="L2109" t="s">
        <v>1292</v>
      </c>
      <c r="M2109">
        <v>0</v>
      </c>
      <c r="N2109" t="s">
        <v>1292</v>
      </c>
      <c r="O2109">
        <v>0</v>
      </c>
      <c r="P2109" t="s">
        <v>1306</v>
      </c>
      <c r="Q2109" s="1">
        <v>10346</v>
      </c>
      <c r="R2109">
        <v>11.6</v>
      </c>
      <c r="S2109" s="2">
        <v>0.15</v>
      </c>
      <c r="T2109" s="3">
        <v>2.2819444444444446</v>
      </c>
      <c r="U2109" t="s">
        <v>1292</v>
      </c>
      <c r="V2109" t="s">
        <v>4468</v>
      </c>
      <c r="W2109" t="s">
        <v>4469</v>
      </c>
      <c r="X2109" t="b">
        <v>0</v>
      </c>
      <c r="Y2109" t="b">
        <v>0</v>
      </c>
    </row>
    <row r="2110" spans="1:25">
      <c r="A2110">
        <v>1000203</v>
      </c>
      <c r="B2110" t="s">
        <v>4061</v>
      </c>
      <c r="C2110" t="s">
        <v>4470</v>
      </c>
      <c r="D2110" t="s">
        <v>1292</v>
      </c>
      <c r="E2110">
        <v>1000203</v>
      </c>
      <c r="F2110" t="s">
        <v>1292</v>
      </c>
      <c r="G2110">
        <v>0</v>
      </c>
      <c r="H2110" t="s">
        <v>1292</v>
      </c>
      <c r="I2110">
        <v>0</v>
      </c>
      <c r="J2110" t="s">
        <v>1292</v>
      </c>
      <c r="K2110">
        <v>0</v>
      </c>
      <c r="L2110" t="s">
        <v>1292</v>
      </c>
      <c r="M2110">
        <v>0</v>
      </c>
      <c r="N2110" t="s">
        <v>1292</v>
      </c>
      <c r="O2110">
        <v>0</v>
      </c>
      <c r="P2110" t="s">
        <v>386</v>
      </c>
      <c r="Q2110" s="1">
        <v>1667</v>
      </c>
      <c r="R2110">
        <v>7.2</v>
      </c>
      <c r="S2110" s="2">
        <v>0.48</v>
      </c>
      <c r="T2110" s="3">
        <v>1.9951388888888888</v>
      </c>
      <c r="U2110" s="2">
        <v>0.22</v>
      </c>
      <c r="V2110" t="s">
        <v>4470</v>
      </c>
      <c r="W2110" t="s">
        <v>4471</v>
      </c>
      <c r="X2110" t="b">
        <v>0</v>
      </c>
      <c r="Y2110" t="b">
        <v>0</v>
      </c>
    </row>
    <row r="2111" spans="1:25">
      <c r="A2111">
        <v>1000204</v>
      </c>
      <c r="B2111" t="s">
        <v>4061</v>
      </c>
      <c r="C2111" t="s">
        <v>4472</v>
      </c>
      <c r="D2111" t="s">
        <v>1292</v>
      </c>
      <c r="E2111">
        <v>1000204</v>
      </c>
      <c r="F2111" t="s">
        <v>1292</v>
      </c>
      <c r="G2111">
        <v>0</v>
      </c>
      <c r="H2111" t="s">
        <v>1292</v>
      </c>
      <c r="I2111">
        <v>0</v>
      </c>
      <c r="J2111" t="s">
        <v>1292</v>
      </c>
      <c r="K2111">
        <v>0</v>
      </c>
      <c r="L2111" t="s">
        <v>1292</v>
      </c>
      <c r="M2111">
        <v>0</v>
      </c>
      <c r="N2111" t="s">
        <v>1292</v>
      </c>
      <c r="O2111">
        <v>0</v>
      </c>
      <c r="P2111" t="s">
        <v>1820</v>
      </c>
      <c r="Q2111" s="1">
        <v>11929</v>
      </c>
      <c r="R2111">
        <v>22</v>
      </c>
      <c r="S2111" s="2">
        <v>0.01</v>
      </c>
      <c r="T2111" s="3">
        <v>2.3229166666666665</v>
      </c>
      <c r="U2111" s="2">
        <v>0.36</v>
      </c>
      <c r="V2111" t="s">
        <v>4472</v>
      </c>
      <c r="W2111" t="s">
        <v>4473</v>
      </c>
      <c r="X2111" t="b">
        <v>0</v>
      </c>
      <c r="Y2111" t="b">
        <v>0</v>
      </c>
    </row>
    <row r="2112" spans="1:25">
      <c r="A2112">
        <v>1000205</v>
      </c>
      <c r="B2112" t="s">
        <v>4061</v>
      </c>
      <c r="C2112" t="s">
        <v>4474</v>
      </c>
      <c r="D2112" t="s">
        <v>1292</v>
      </c>
      <c r="E2112">
        <v>1000205</v>
      </c>
      <c r="F2112" t="s">
        <v>1292</v>
      </c>
      <c r="G2112">
        <v>0</v>
      </c>
      <c r="H2112" t="s">
        <v>1292</v>
      </c>
      <c r="I2112">
        <v>0</v>
      </c>
      <c r="J2112" t="s">
        <v>1292</v>
      </c>
      <c r="K2112">
        <v>0</v>
      </c>
      <c r="L2112" t="s">
        <v>1292</v>
      </c>
      <c r="M2112">
        <v>0</v>
      </c>
      <c r="N2112" t="s">
        <v>1292</v>
      </c>
      <c r="O2112">
        <v>0</v>
      </c>
      <c r="P2112" t="s">
        <v>2229</v>
      </c>
      <c r="Q2112" s="1">
        <v>17337</v>
      </c>
      <c r="R2112">
        <v>42.4</v>
      </c>
      <c r="S2112" s="2">
        <v>0</v>
      </c>
      <c r="T2112" s="3">
        <v>2.4868055555555557</v>
      </c>
      <c r="U2112" s="2">
        <v>0.15</v>
      </c>
      <c r="V2112" t="s">
        <v>4474</v>
      </c>
      <c r="W2112" t="s">
        <v>4475</v>
      </c>
      <c r="X2112" t="b">
        <v>0</v>
      </c>
      <c r="Y2112" t="b">
        <v>0</v>
      </c>
    </row>
    <row r="2113" spans="1:25">
      <c r="A2113">
        <v>1000206</v>
      </c>
      <c r="B2113" t="s">
        <v>4061</v>
      </c>
      <c r="C2113" t="s">
        <v>4476</v>
      </c>
      <c r="D2113" t="s">
        <v>1292</v>
      </c>
      <c r="E2113">
        <v>1000206</v>
      </c>
      <c r="F2113" t="s">
        <v>1292</v>
      </c>
      <c r="G2113">
        <v>0</v>
      </c>
      <c r="H2113" t="s">
        <v>1292</v>
      </c>
      <c r="I2113">
        <v>0</v>
      </c>
      <c r="J2113" t="s">
        <v>1292</v>
      </c>
      <c r="K2113">
        <v>0</v>
      </c>
      <c r="L2113" t="s">
        <v>1292</v>
      </c>
      <c r="M2113">
        <v>0</v>
      </c>
      <c r="N2113" t="s">
        <v>1292</v>
      </c>
      <c r="O2113">
        <v>0</v>
      </c>
      <c r="P2113" t="s">
        <v>2290</v>
      </c>
      <c r="Q2113" s="1">
        <v>1773</v>
      </c>
      <c r="R2113">
        <v>10.199999999999999</v>
      </c>
      <c r="S2113" s="2">
        <v>0</v>
      </c>
      <c r="T2113" t="s">
        <v>696</v>
      </c>
      <c r="U2113" s="2">
        <v>0.49</v>
      </c>
      <c r="V2113" t="s">
        <v>4476</v>
      </c>
      <c r="W2113" t="s">
        <v>4477</v>
      </c>
      <c r="X2113" t="b">
        <v>0</v>
      </c>
      <c r="Y2113" t="b">
        <v>0</v>
      </c>
    </row>
    <row r="2114" spans="1:25">
      <c r="A2114">
        <v>1000207</v>
      </c>
      <c r="B2114" t="s">
        <v>4061</v>
      </c>
      <c r="C2114" t="s">
        <v>4478</v>
      </c>
      <c r="D2114" t="s">
        <v>1292</v>
      </c>
      <c r="E2114">
        <v>1000207</v>
      </c>
      <c r="F2114" t="s">
        <v>1292</v>
      </c>
      <c r="G2114">
        <v>0</v>
      </c>
      <c r="H2114" t="s">
        <v>1292</v>
      </c>
      <c r="I2114">
        <v>0</v>
      </c>
      <c r="J2114" t="s">
        <v>1292</v>
      </c>
      <c r="K2114">
        <v>0</v>
      </c>
      <c r="L2114" t="s">
        <v>1292</v>
      </c>
      <c r="M2114">
        <v>0</v>
      </c>
      <c r="N2114" t="s">
        <v>1292</v>
      </c>
      <c r="O2114">
        <v>0</v>
      </c>
      <c r="P2114" t="s">
        <v>2290</v>
      </c>
      <c r="Q2114" s="1">
        <v>2004</v>
      </c>
      <c r="R2114">
        <v>12.8</v>
      </c>
      <c r="S2114" s="2">
        <v>0</v>
      </c>
      <c r="T2114" t="s">
        <v>324</v>
      </c>
      <c r="U2114" s="2">
        <v>0.4</v>
      </c>
      <c r="V2114" t="s">
        <v>4478</v>
      </c>
      <c r="X2114" t="b">
        <v>0</v>
      </c>
      <c r="Y2114" t="b">
        <v>0</v>
      </c>
    </row>
    <row r="2115" spans="1:25">
      <c r="A2115">
        <v>1000208</v>
      </c>
      <c r="B2115" t="s">
        <v>4061</v>
      </c>
      <c r="C2115" t="s">
        <v>4479</v>
      </c>
      <c r="D2115" t="s">
        <v>1292</v>
      </c>
      <c r="E2115">
        <v>1000208</v>
      </c>
      <c r="F2115" t="s">
        <v>1292</v>
      </c>
      <c r="G2115">
        <v>0</v>
      </c>
      <c r="H2115" t="s">
        <v>1292</v>
      </c>
      <c r="I2115">
        <v>0</v>
      </c>
      <c r="J2115" t="s">
        <v>1292</v>
      </c>
      <c r="K2115">
        <v>0</v>
      </c>
      <c r="L2115" t="s">
        <v>1292</v>
      </c>
      <c r="M2115">
        <v>0</v>
      </c>
      <c r="N2115" t="s">
        <v>1292</v>
      </c>
      <c r="O2115">
        <v>0</v>
      </c>
      <c r="P2115" t="s">
        <v>2290</v>
      </c>
      <c r="Q2115" s="1">
        <v>1125</v>
      </c>
      <c r="R2115">
        <v>7.6</v>
      </c>
      <c r="S2115" s="2">
        <v>0</v>
      </c>
      <c r="T2115" s="3">
        <v>3.1833333333333331</v>
      </c>
      <c r="U2115" s="2">
        <v>0.17</v>
      </c>
      <c r="V2115" t="s">
        <v>4479</v>
      </c>
      <c r="W2115" t="s">
        <v>1935</v>
      </c>
      <c r="X2115" t="b">
        <v>0</v>
      </c>
      <c r="Y2115" t="b">
        <v>0</v>
      </c>
    </row>
    <row r="2116" spans="1:25">
      <c r="A2116">
        <v>1000209</v>
      </c>
      <c r="B2116" t="s">
        <v>4061</v>
      </c>
      <c r="C2116" t="s">
        <v>4480</v>
      </c>
      <c r="D2116" t="s">
        <v>1292</v>
      </c>
      <c r="E2116">
        <v>1000209</v>
      </c>
      <c r="F2116" t="s">
        <v>1292</v>
      </c>
      <c r="G2116">
        <v>0</v>
      </c>
      <c r="H2116" t="s">
        <v>1292</v>
      </c>
      <c r="I2116">
        <v>0</v>
      </c>
      <c r="J2116" t="s">
        <v>1292</v>
      </c>
      <c r="K2116">
        <v>0</v>
      </c>
      <c r="L2116" t="s">
        <v>1292</v>
      </c>
      <c r="M2116">
        <v>0</v>
      </c>
      <c r="N2116" t="s">
        <v>1292</v>
      </c>
      <c r="O2116">
        <v>0</v>
      </c>
      <c r="P2116" t="s">
        <v>2290</v>
      </c>
      <c r="Q2116">
        <v>350</v>
      </c>
      <c r="R2116">
        <v>11.7</v>
      </c>
      <c r="S2116" s="2">
        <v>0</v>
      </c>
      <c r="T2116" s="3">
        <v>3.1013888888888888</v>
      </c>
      <c r="U2116" t="s">
        <v>1292</v>
      </c>
      <c r="V2116" t="s">
        <v>4480</v>
      </c>
      <c r="W2116" t="s">
        <v>1935</v>
      </c>
      <c r="X2116" t="b">
        <v>0</v>
      </c>
      <c r="Y2116" t="b">
        <v>0</v>
      </c>
    </row>
    <row r="2117" spans="1:25">
      <c r="A2117">
        <v>1000210</v>
      </c>
      <c r="B2117" t="s">
        <v>4061</v>
      </c>
      <c r="C2117" t="s">
        <v>4481</v>
      </c>
      <c r="D2117" t="s">
        <v>1292</v>
      </c>
      <c r="E2117">
        <v>1000210</v>
      </c>
      <c r="F2117" t="s">
        <v>1292</v>
      </c>
      <c r="G2117">
        <v>0</v>
      </c>
      <c r="H2117" t="s">
        <v>1292</v>
      </c>
      <c r="I2117">
        <v>0</v>
      </c>
      <c r="J2117" t="s">
        <v>1292</v>
      </c>
      <c r="K2117">
        <v>0</v>
      </c>
      <c r="L2117" t="s">
        <v>1292</v>
      </c>
      <c r="M2117">
        <v>0</v>
      </c>
      <c r="N2117" t="s">
        <v>1292</v>
      </c>
      <c r="O2117">
        <v>0</v>
      </c>
      <c r="P2117" t="s">
        <v>2290</v>
      </c>
      <c r="Q2117" s="1">
        <v>1227</v>
      </c>
      <c r="R2117">
        <v>15.1</v>
      </c>
      <c r="S2117" s="2">
        <v>0</v>
      </c>
      <c r="T2117" s="3">
        <v>3.2652777777777779</v>
      </c>
      <c r="U2117" t="s">
        <v>1292</v>
      </c>
      <c r="V2117" t="s">
        <v>4481</v>
      </c>
      <c r="W2117" t="s">
        <v>4482</v>
      </c>
      <c r="X2117" t="b">
        <v>0</v>
      </c>
      <c r="Y2117" t="b">
        <v>0</v>
      </c>
    </row>
    <row r="2118" spans="1:25">
      <c r="A2118">
        <v>1000211</v>
      </c>
      <c r="B2118" t="s">
        <v>4061</v>
      </c>
      <c r="C2118" t="s">
        <v>4483</v>
      </c>
      <c r="D2118" t="s">
        <v>1292</v>
      </c>
      <c r="E2118">
        <v>1000211</v>
      </c>
      <c r="F2118" t="s">
        <v>1292</v>
      </c>
      <c r="G2118">
        <v>0</v>
      </c>
      <c r="H2118" t="s">
        <v>1292</v>
      </c>
      <c r="I2118">
        <v>0</v>
      </c>
      <c r="J2118" t="s">
        <v>1292</v>
      </c>
      <c r="K2118">
        <v>0</v>
      </c>
      <c r="L2118" t="s">
        <v>1292</v>
      </c>
      <c r="M2118">
        <v>0</v>
      </c>
      <c r="N2118" t="s">
        <v>1292</v>
      </c>
      <c r="O2118">
        <v>0</v>
      </c>
      <c r="P2118" t="s">
        <v>2290</v>
      </c>
      <c r="Q2118" s="1">
        <v>1202</v>
      </c>
      <c r="R2118">
        <v>9.8000000000000007</v>
      </c>
      <c r="S2118" s="2">
        <v>0</v>
      </c>
      <c r="T2118" s="3">
        <v>2.1180555555555554</v>
      </c>
      <c r="U2118" t="s">
        <v>1292</v>
      </c>
      <c r="V2118" t="s">
        <v>4483</v>
      </c>
      <c r="W2118" t="s">
        <v>1390</v>
      </c>
      <c r="X2118" t="b">
        <v>0</v>
      </c>
      <c r="Y2118" t="b">
        <v>0</v>
      </c>
    </row>
    <row r="2119" spans="1:25">
      <c r="A2119">
        <v>1000212</v>
      </c>
      <c r="B2119" t="s">
        <v>4061</v>
      </c>
      <c r="C2119" t="s">
        <v>4484</v>
      </c>
      <c r="D2119" t="s">
        <v>1292</v>
      </c>
      <c r="E2119">
        <v>1000212</v>
      </c>
      <c r="F2119" t="s">
        <v>1292</v>
      </c>
      <c r="G2119">
        <v>0</v>
      </c>
      <c r="H2119" t="s">
        <v>1292</v>
      </c>
      <c r="I2119">
        <v>0</v>
      </c>
      <c r="J2119" t="s">
        <v>1292</v>
      </c>
      <c r="K2119">
        <v>0</v>
      </c>
      <c r="L2119" t="s">
        <v>1292</v>
      </c>
      <c r="M2119">
        <v>0</v>
      </c>
      <c r="N2119" t="s">
        <v>1292</v>
      </c>
      <c r="O2119">
        <v>0</v>
      </c>
      <c r="P2119" t="s">
        <v>2290</v>
      </c>
      <c r="Q2119">
        <v>606</v>
      </c>
      <c r="R2119">
        <v>16.399999999999999</v>
      </c>
      <c r="S2119" s="2">
        <v>0</v>
      </c>
      <c r="T2119" s="3">
        <v>2.8145833333333332</v>
      </c>
      <c r="U2119" t="s">
        <v>1292</v>
      </c>
      <c r="V2119" t="s">
        <v>4484</v>
      </c>
      <c r="W2119" t="s">
        <v>4485</v>
      </c>
      <c r="X2119" t="b">
        <v>0</v>
      </c>
      <c r="Y2119" t="b">
        <v>0</v>
      </c>
    </row>
    <row r="2120" spans="1:25">
      <c r="A2120">
        <v>1000213</v>
      </c>
      <c r="B2120" t="s">
        <v>4061</v>
      </c>
      <c r="C2120" t="s">
        <v>4486</v>
      </c>
      <c r="D2120" t="s">
        <v>1292</v>
      </c>
      <c r="E2120">
        <v>1000213</v>
      </c>
      <c r="F2120" t="s">
        <v>1292</v>
      </c>
      <c r="G2120">
        <v>0</v>
      </c>
      <c r="H2120" t="s">
        <v>1292</v>
      </c>
      <c r="I2120">
        <v>0</v>
      </c>
      <c r="J2120" t="s">
        <v>1292</v>
      </c>
      <c r="K2120">
        <v>0</v>
      </c>
      <c r="L2120" t="s">
        <v>1292</v>
      </c>
      <c r="M2120">
        <v>0</v>
      </c>
      <c r="N2120" t="s">
        <v>1292</v>
      </c>
      <c r="O2120">
        <v>0</v>
      </c>
      <c r="P2120" t="s">
        <v>2290</v>
      </c>
      <c r="Q2120">
        <v>888</v>
      </c>
      <c r="R2120">
        <v>12</v>
      </c>
      <c r="S2120" s="2">
        <v>0</v>
      </c>
      <c r="T2120" s="3">
        <v>2.1590277777777778</v>
      </c>
      <c r="U2120" t="s">
        <v>1292</v>
      </c>
      <c r="V2120" t="s">
        <v>4486</v>
      </c>
      <c r="W2120" t="s">
        <v>4487</v>
      </c>
      <c r="X2120" t="b">
        <v>0</v>
      </c>
      <c r="Y2120" t="b">
        <v>0</v>
      </c>
    </row>
    <row r="2121" spans="1:25">
      <c r="A2121">
        <v>1000214</v>
      </c>
      <c r="B2121" t="s">
        <v>4061</v>
      </c>
      <c r="C2121" t="s">
        <v>4488</v>
      </c>
      <c r="D2121" t="s">
        <v>1292</v>
      </c>
      <c r="E2121">
        <v>1000214</v>
      </c>
      <c r="F2121" t="s">
        <v>1292</v>
      </c>
      <c r="G2121">
        <v>0</v>
      </c>
      <c r="H2121" t="s">
        <v>1292</v>
      </c>
      <c r="I2121">
        <v>0</v>
      </c>
      <c r="J2121" t="s">
        <v>1292</v>
      </c>
      <c r="K2121">
        <v>0</v>
      </c>
      <c r="L2121" t="s">
        <v>1292</v>
      </c>
      <c r="M2121">
        <v>0</v>
      </c>
      <c r="N2121" t="s">
        <v>1292</v>
      </c>
      <c r="O2121">
        <v>0</v>
      </c>
      <c r="P2121" t="s">
        <v>2290</v>
      </c>
      <c r="Q2121">
        <v>694</v>
      </c>
      <c r="R2121">
        <v>8.5</v>
      </c>
      <c r="S2121" s="2">
        <v>0</v>
      </c>
      <c r="T2121" s="3">
        <v>2.3229166666666665</v>
      </c>
      <c r="U2121" s="2">
        <v>0.21</v>
      </c>
      <c r="V2121" t="s">
        <v>4488</v>
      </c>
      <c r="W2121" t="s">
        <v>4489</v>
      </c>
      <c r="X2121" t="b">
        <v>0</v>
      </c>
      <c r="Y2121" t="b">
        <v>0</v>
      </c>
    </row>
    <row r="2122" spans="1:25">
      <c r="A2122">
        <v>1000215</v>
      </c>
      <c r="B2122" t="s">
        <v>4061</v>
      </c>
      <c r="C2122" t="s">
        <v>4490</v>
      </c>
      <c r="D2122" t="s">
        <v>1292</v>
      </c>
      <c r="E2122">
        <v>1000215</v>
      </c>
      <c r="F2122" t="s">
        <v>1292</v>
      </c>
      <c r="G2122">
        <v>0</v>
      </c>
      <c r="H2122" t="s">
        <v>1292</v>
      </c>
      <c r="I2122">
        <v>0</v>
      </c>
      <c r="J2122" t="s">
        <v>1292</v>
      </c>
      <c r="K2122">
        <v>0</v>
      </c>
      <c r="L2122" t="s">
        <v>1292</v>
      </c>
      <c r="M2122">
        <v>0</v>
      </c>
      <c r="N2122" t="s">
        <v>1292</v>
      </c>
      <c r="O2122">
        <v>0</v>
      </c>
      <c r="P2122" t="s">
        <v>2290</v>
      </c>
      <c r="Q2122">
        <v>966</v>
      </c>
      <c r="R2122">
        <v>13.4</v>
      </c>
      <c r="S2122" s="2">
        <v>0</v>
      </c>
      <c r="T2122" s="3">
        <v>1.7493055555555554</v>
      </c>
      <c r="U2122" t="s">
        <v>1292</v>
      </c>
      <c r="V2122" t="s">
        <v>4490</v>
      </c>
      <c r="W2122" t="s">
        <v>4491</v>
      </c>
      <c r="X2122" t="b">
        <v>0</v>
      </c>
      <c r="Y2122" t="b">
        <v>0</v>
      </c>
    </row>
    <row r="2123" spans="1:25">
      <c r="A2123">
        <v>1000216</v>
      </c>
      <c r="B2123" t="s">
        <v>4061</v>
      </c>
      <c r="C2123" t="s">
        <v>4492</v>
      </c>
      <c r="D2123" t="s">
        <v>1292</v>
      </c>
      <c r="E2123">
        <v>1000216</v>
      </c>
      <c r="F2123" t="s">
        <v>1292</v>
      </c>
      <c r="G2123">
        <v>0</v>
      </c>
      <c r="H2123" t="s">
        <v>1292</v>
      </c>
      <c r="I2123">
        <v>0</v>
      </c>
      <c r="J2123" t="s">
        <v>1292</v>
      </c>
      <c r="K2123">
        <v>0</v>
      </c>
      <c r="L2123" t="s">
        <v>1292</v>
      </c>
      <c r="M2123">
        <v>0</v>
      </c>
      <c r="N2123" t="s">
        <v>1292</v>
      </c>
      <c r="O2123">
        <v>0</v>
      </c>
      <c r="P2123" t="s">
        <v>2290</v>
      </c>
      <c r="Q2123">
        <v>307</v>
      </c>
      <c r="R2123">
        <v>6.5</v>
      </c>
      <c r="S2123" s="2">
        <v>0</v>
      </c>
      <c r="T2123" s="3">
        <v>4.166666666666667</v>
      </c>
      <c r="U2123" t="s">
        <v>1292</v>
      </c>
      <c r="V2123" t="s">
        <v>4492</v>
      </c>
      <c r="W2123" t="s">
        <v>4493</v>
      </c>
      <c r="X2123" t="b">
        <v>0</v>
      </c>
      <c r="Y2123" t="b">
        <v>0</v>
      </c>
    </row>
    <row r="2124" spans="1:25">
      <c r="A2124">
        <v>1000217</v>
      </c>
      <c r="B2124" t="s">
        <v>4061</v>
      </c>
      <c r="C2124" t="s">
        <v>4494</v>
      </c>
      <c r="D2124" t="s">
        <v>1292</v>
      </c>
      <c r="E2124">
        <v>1000217</v>
      </c>
      <c r="F2124" t="s">
        <v>1292</v>
      </c>
      <c r="G2124">
        <v>0</v>
      </c>
      <c r="H2124" t="s">
        <v>1292</v>
      </c>
      <c r="I2124">
        <v>0</v>
      </c>
      <c r="J2124" t="s">
        <v>1292</v>
      </c>
      <c r="K2124">
        <v>0</v>
      </c>
      <c r="L2124" t="s">
        <v>1292</v>
      </c>
      <c r="M2124">
        <v>0</v>
      </c>
      <c r="N2124" t="s">
        <v>1292</v>
      </c>
      <c r="O2124">
        <v>0</v>
      </c>
      <c r="P2124" t="s">
        <v>2290</v>
      </c>
      <c r="Q2124" s="1">
        <v>5345</v>
      </c>
      <c r="R2124">
        <v>15.1</v>
      </c>
      <c r="S2124" s="2">
        <v>0</v>
      </c>
      <c r="T2124" s="3">
        <v>3.7979166666666666</v>
      </c>
      <c r="U2124" t="s">
        <v>1292</v>
      </c>
      <c r="V2124" t="s">
        <v>4494</v>
      </c>
      <c r="W2124" t="s">
        <v>4493</v>
      </c>
      <c r="X2124" t="b">
        <v>0</v>
      </c>
      <c r="Y2124" t="b">
        <v>0</v>
      </c>
    </row>
    <row r="2125" spans="1:25">
      <c r="A2125">
        <v>1000218</v>
      </c>
      <c r="B2125" t="s">
        <v>4061</v>
      </c>
      <c r="C2125" t="s">
        <v>4495</v>
      </c>
      <c r="D2125" t="s">
        <v>1292</v>
      </c>
      <c r="E2125">
        <v>1000218</v>
      </c>
      <c r="F2125" t="s">
        <v>1292</v>
      </c>
      <c r="G2125">
        <v>0</v>
      </c>
      <c r="H2125" t="s">
        <v>1292</v>
      </c>
      <c r="I2125">
        <v>0</v>
      </c>
      <c r="J2125" t="s">
        <v>1292</v>
      </c>
      <c r="K2125">
        <v>0</v>
      </c>
      <c r="L2125" t="s">
        <v>1292</v>
      </c>
      <c r="M2125">
        <v>0</v>
      </c>
      <c r="N2125" t="s">
        <v>1292</v>
      </c>
      <c r="O2125">
        <v>0</v>
      </c>
      <c r="P2125" t="s">
        <v>2290</v>
      </c>
      <c r="Q2125" s="1">
        <v>3886</v>
      </c>
      <c r="R2125">
        <v>14.3</v>
      </c>
      <c r="S2125" s="2">
        <v>0</v>
      </c>
      <c r="T2125" s="3">
        <v>3.879861111111111</v>
      </c>
      <c r="U2125" s="2">
        <v>0.5</v>
      </c>
      <c r="V2125" t="s">
        <v>4495</v>
      </c>
      <c r="W2125" t="s">
        <v>4496</v>
      </c>
      <c r="X2125" t="b">
        <v>0</v>
      </c>
      <c r="Y2125" t="b">
        <v>0</v>
      </c>
    </row>
    <row r="2126" spans="1:25">
      <c r="A2126">
        <v>1000219</v>
      </c>
      <c r="B2126" t="s">
        <v>4061</v>
      </c>
      <c r="C2126" t="s">
        <v>4497</v>
      </c>
      <c r="D2126" t="s">
        <v>1292</v>
      </c>
      <c r="E2126">
        <v>1000219</v>
      </c>
      <c r="F2126" t="s">
        <v>1292</v>
      </c>
      <c r="G2126">
        <v>0</v>
      </c>
      <c r="H2126" t="s">
        <v>1292</v>
      </c>
      <c r="I2126">
        <v>0</v>
      </c>
      <c r="J2126" t="s">
        <v>1292</v>
      </c>
      <c r="K2126">
        <v>0</v>
      </c>
      <c r="L2126" t="s">
        <v>1292</v>
      </c>
      <c r="M2126">
        <v>0</v>
      </c>
      <c r="N2126" t="s">
        <v>1292</v>
      </c>
      <c r="O2126">
        <v>0</v>
      </c>
      <c r="P2126" t="s">
        <v>2290</v>
      </c>
      <c r="Q2126" s="1">
        <v>3251</v>
      </c>
      <c r="R2126">
        <v>10.1</v>
      </c>
      <c r="S2126" s="2">
        <v>0</v>
      </c>
      <c r="T2126" s="3">
        <v>3.5111111111111111</v>
      </c>
      <c r="U2126" s="2">
        <v>0.37</v>
      </c>
      <c r="V2126" t="s">
        <v>4497</v>
      </c>
      <c r="W2126" t="s">
        <v>4498</v>
      </c>
      <c r="X2126" t="b">
        <v>0</v>
      </c>
      <c r="Y2126" t="b">
        <v>0</v>
      </c>
    </row>
    <row r="2127" spans="1:25">
      <c r="A2127">
        <v>1000220</v>
      </c>
      <c r="B2127" t="s">
        <v>4061</v>
      </c>
      <c r="C2127" t="s">
        <v>4499</v>
      </c>
      <c r="D2127" t="s">
        <v>1292</v>
      </c>
      <c r="E2127">
        <v>1000220</v>
      </c>
      <c r="F2127" t="s">
        <v>1292</v>
      </c>
      <c r="G2127">
        <v>0</v>
      </c>
      <c r="H2127" t="s">
        <v>1292</v>
      </c>
      <c r="I2127">
        <v>0</v>
      </c>
      <c r="J2127" t="s">
        <v>1292</v>
      </c>
      <c r="K2127">
        <v>0</v>
      </c>
      <c r="L2127" t="s">
        <v>1292</v>
      </c>
      <c r="M2127">
        <v>0</v>
      </c>
      <c r="N2127" t="s">
        <v>1292</v>
      </c>
      <c r="O2127">
        <v>0</v>
      </c>
      <c r="P2127" t="s">
        <v>2290</v>
      </c>
      <c r="Q2127" s="1">
        <v>2675</v>
      </c>
      <c r="R2127">
        <v>17.399999999999999</v>
      </c>
      <c r="S2127" s="2">
        <v>0</v>
      </c>
      <c r="T2127" s="3">
        <v>3.2243055555555555</v>
      </c>
      <c r="U2127" t="s">
        <v>1292</v>
      </c>
      <c r="V2127" t="s">
        <v>4499</v>
      </c>
      <c r="W2127" t="s">
        <v>4493</v>
      </c>
      <c r="X2127" t="b">
        <v>0</v>
      </c>
      <c r="Y2127" t="b">
        <v>0</v>
      </c>
    </row>
    <row r="2128" spans="1:25">
      <c r="A2128">
        <v>1000221</v>
      </c>
      <c r="B2128" t="s">
        <v>4061</v>
      </c>
      <c r="C2128" t="s">
        <v>4500</v>
      </c>
      <c r="D2128" t="s">
        <v>1292</v>
      </c>
      <c r="E2128">
        <v>1000221</v>
      </c>
      <c r="F2128" t="s">
        <v>1292</v>
      </c>
      <c r="G2128">
        <v>0</v>
      </c>
      <c r="H2128" t="s">
        <v>1292</v>
      </c>
      <c r="I2128">
        <v>0</v>
      </c>
      <c r="J2128" t="s">
        <v>1292</v>
      </c>
      <c r="K2128">
        <v>0</v>
      </c>
      <c r="L2128" t="s">
        <v>1292</v>
      </c>
      <c r="M2128">
        <v>0</v>
      </c>
      <c r="N2128" t="s">
        <v>1292</v>
      </c>
      <c r="O2128">
        <v>0</v>
      </c>
      <c r="P2128" t="s">
        <v>2290</v>
      </c>
      <c r="Q2128">
        <v>626</v>
      </c>
      <c r="R2128">
        <v>10.6</v>
      </c>
      <c r="S2128" t="s">
        <v>4501</v>
      </c>
      <c r="T2128" s="3">
        <v>3.838888888888889</v>
      </c>
      <c r="U2128" t="s">
        <v>1292</v>
      </c>
      <c r="V2128" t="s">
        <v>4500</v>
      </c>
      <c r="W2128" t="s">
        <v>4493</v>
      </c>
      <c r="X2128" t="b">
        <v>0</v>
      </c>
      <c r="Y2128" t="b">
        <v>0</v>
      </c>
    </row>
    <row r="2129" spans="1:25">
      <c r="A2129">
        <v>1000222</v>
      </c>
      <c r="B2129" t="s">
        <v>4061</v>
      </c>
      <c r="C2129" t="s">
        <v>4502</v>
      </c>
      <c r="D2129" t="s">
        <v>1292</v>
      </c>
      <c r="E2129">
        <v>1000222</v>
      </c>
      <c r="F2129" t="s">
        <v>1292</v>
      </c>
      <c r="G2129">
        <v>0</v>
      </c>
      <c r="H2129" t="s">
        <v>1292</v>
      </c>
      <c r="I2129">
        <v>0</v>
      </c>
      <c r="J2129" t="s">
        <v>1292</v>
      </c>
      <c r="K2129">
        <v>0</v>
      </c>
      <c r="L2129" t="s">
        <v>1292</v>
      </c>
      <c r="M2129">
        <v>0</v>
      </c>
      <c r="N2129" t="s">
        <v>1292</v>
      </c>
      <c r="O2129">
        <v>0</v>
      </c>
      <c r="P2129" t="s">
        <v>2290</v>
      </c>
      <c r="Q2129" s="1">
        <v>1386</v>
      </c>
      <c r="R2129">
        <v>10.3</v>
      </c>
      <c r="S2129" s="2">
        <v>0</v>
      </c>
      <c r="T2129" s="3">
        <v>2.7326388888888888</v>
      </c>
      <c r="U2129" t="s">
        <v>1292</v>
      </c>
      <c r="V2129" t="s">
        <v>4502</v>
      </c>
      <c r="W2129" t="s">
        <v>4503</v>
      </c>
      <c r="X2129" t="b">
        <v>0</v>
      </c>
      <c r="Y2129" t="b">
        <v>0</v>
      </c>
    </row>
    <row r="2130" spans="1:25">
      <c r="A2130">
        <v>1000223</v>
      </c>
      <c r="B2130" t="s">
        <v>4061</v>
      </c>
      <c r="C2130" t="s">
        <v>4504</v>
      </c>
      <c r="D2130" t="s">
        <v>1292</v>
      </c>
      <c r="E2130">
        <v>1000223</v>
      </c>
      <c r="F2130" t="s">
        <v>1292</v>
      </c>
      <c r="G2130">
        <v>0</v>
      </c>
      <c r="H2130" t="s">
        <v>1292</v>
      </c>
      <c r="I2130">
        <v>0</v>
      </c>
      <c r="J2130" t="s">
        <v>1292</v>
      </c>
      <c r="K2130">
        <v>0</v>
      </c>
      <c r="L2130" t="s">
        <v>1292</v>
      </c>
      <c r="M2130">
        <v>0</v>
      </c>
      <c r="N2130" t="s">
        <v>1292</v>
      </c>
      <c r="O2130">
        <v>0</v>
      </c>
      <c r="P2130" t="s">
        <v>2290</v>
      </c>
      <c r="Q2130">
        <v>786</v>
      </c>
      <c r="R2130">
        <v>15.1</v>
      </c>
      <c r="S2130" s="2">
        <v>0</v>
      </c>
      <c r="T2130" s="3">
        <v>3.3881944444444443</v>
      </c>
      <c r="U2130" t="s">
        <v>1292</v>
      </c>
      <c r="V2130" t="s">
        <v>4504</v>
      </c>
      <c r="W2130" t="s">
        <v>4505</v>
      </c>
      <c r="X2130" t="b">
        <v>0</v>
      </c>
      <c r="Y2130" t="b">
        <v>0</v>
      </c>
    </row>
    <row r="2131" spans="1:25">
      <c r="A2131">
        <v>1000224</v>
      </c>
      <c r="B2131" t="s">
        <v>4061</v>
      </c>
      <c r="C2131" t="s">
        <v>4506</v>
      </c>
      <c r="D2131" t="s">
        <v>1292</v>
      </c>
      <c r="E2131">
        <v>1000224</v>
      </c>
      <c r="F2131" t="s">
        <v>1292</v>
      </c>
      <c r="G2131">
        <v>0</v>
      </c>
      <c r="H2131" t="s">
        <v>1292</v>
      </c>
      <c r="I2131">
        <v>0</v>
      </c>
      <c r="J2131" t="s">
        <v>1292</v>
      </c>
      <c r="K2131">
        <v>0</v>
      </c>
      <c r="L2131" t="s">
        <v>1292</v>
      </c>
      <c r="M2131">
        <v>0</v>
      </c>
      <c r="N2131" t="s">
        <v>1292</v>
      </c>
      <c r="O2131">
        <v>0</v>
      </c>
      <c r="P2131" t="s">
        <v>2290</v>
      </c>
      <c r="Q2131">
        <v>899</v>
      </c>
      <c r="R2131">
        <v>17.600000000000001</v>
      </c>
      <c r="S2131" s="2">
        <v>0</v>
      </c>
      <c r="T2131" t="s">
        <v>113</v>
      </c>
      <c r="U2131" t="s">
        <v>1292</v>
      </c>
      <c r="V2131" t="s">
        <v>4506</v>
      </c>
      <c r="W2131" t="s">
        <v>1390</v>
      </c>
      <c r="X2131" t="b">
        <v>0</v>
      </c>
      <c r="Y2131" t="b">
        <v>0</v>
      </c>
    </row>
    <row r="2132" spans="1:25">
      <c r="A2132">
        <v>1000225</v>
      </c>
      <c r="B2132" t="s">
        <v>4061</v>
      </c>
      <c r="C2132" t="s">
        <v>4507</v>
      </c>
      <c r="D2132" t="s">
        <v>1292</v>
      </c>
      <c r="E2132">
        <v>1000225</v>
      </c>
      <c r="F2132" t="s">
        <v>1292</v>
      </c>
      <c r="G2132">
        <v>0</v>
      </c>
      <c r="H2132" t="s">
        <v>1292</v>
      </c>
      <c r="I2132">
        <v>0</v>
      </c>
      <c r="J2132" t="s">
        <v>1292</v>
      </c>
      <c r="K2132">
        <v>0</v>
      </c>
      <c r="L2132" t="s">
        <v>1292</v>
      </c>
      <c r="M2132">
        <v>0</v>
      </c>
      <c r="N2132" t="s">
        <v>1292</v>
      </c>
      <c r="O2132">
        <v>0</v>
      </c>
      <c r="P2132" t="s">
        <v>2290</v>
      </c>
      <c r="Q2132">
        <v>801</v>
      </c>
      <c r="R2132">
        <v>8.8000000000000007</v>
      </c>
      <c r="S2132" s="2">
        <v>0</v>
      </c>
      <c r="T2132" s="3">
        <v>1.9131944444444444</v>
      </c>
      <c r="U2132" t="s">
        <v>1292</v>
      </c>
      <c r="V2132" t="s">
        <v>4507</v>
      </c>
      <c r="W2132" t="s">
        <v>4508</v>
      </c>
      <c r="X2132" t="b">
        <v>0</v>
      </c>
      <c r="Y2132" t="b">
        <v>0</v>
      </c>
    </row>
    <row r="2133" spans="1:25">
      <c r="A2133">
        <v>1000226</v>
      </c>
      <c r="B2133" t="s">
        <v>4061</v>
      </c>
      <c r="C2133" t="s">
        <v>4509</v>
      </c>
      <c r="D2133" t="s">
        <v>1292</v>
      </c>
      <c r="E2133">
        <v>1000226</v>
      </c>
      <c r="F2133" t="s">
        <v>1292</v>
      </c>
      <c r="G2133">
        <v>0</v>
      </c>
      <c r="H2133" t="s">
        <v>1292</v>
      </c>
      <c r="I2133">
        <v>0</v>
      </c>
      <c r="J2133" t="s">
        <v>1292</v>
      </c>
      <c r="K2133">
        <v>0</v>
      </c>
      <c r="L2133" t="s">
        <v>1292</v>
      </c>
      <c r="M2133">
        <v>0</v>
      </c>
      <c r="N2133" t="s">
        <v>1292</v>
      </c>
      <c r="O2133">
        <v>0</v>
      </c>
      <c r="P2133" t="s">
        <v>2290</v>
      </c>
      <c r="Q2133">
        <v>493</v>
      </c>
      <c r="R2133">
        <v>14.1</v>
      </c>
      <c r="S2133" s="2">
        <v>0</v>
      </c>
      <c r="T2133" s="3">
        <v>3.4701388888888891</v>
      </c>
      <c r="U2133" t="s">
        <v>1292</v>
      </c>
      <c r="V2133" t="s">
        <v>4509</v>
      </c>
      <c r="W2133" t="s">
        <v>4482</v>
      </c>
      <c r="X2133" t="b">
        <v>0</v>
      </c>
      <c r="Y2133" t="b">
        <v>0</v>
      </c>
    </row>
    <row r="2134" spans="1:25">
      <c r="A2134">
        <v>1000227</v>
      </c>
      <c r="B2134" t="s">
        <v>4061</v>
      </c>
      <c r="C2134" t="s">
        <v>4510</v>
      </c>
      <c r="D2134" t="s">
        <v>1292</v>
      </c>
      <c r="E2134">
        <v>1000227</v>
      </c>
      <c r="F2134" t="s">
        <v>1292</v>
      </c>
      <c r="G2134">
        <v>0</v>
      </c>
      <c r="H2134" t="s">
        <v>1292</v>
      </c>
      <c r="I2134">
        <v>0</v>
      </c>
      <c r="J2134" t="s">
        <v>1292</v>
      </c>
      <c r="K2134">
        <v>0</v>
      </c>
      <c r="L2134" t="s">
        <v>1292</v>
      </c>
      <c r="M2134">
        <v>0</v>
      </c>
      <c r="N2134" t="s">
        <v>1292</v>
      </c>
      <c r="O2134">
        <v>0</v>
      </c>
      <c r="P2134" t="s">
        <v>2290</v>
      </c>
      <c r="Q2134">
        <v>520</v>
      </c>
      <c r="R2134">
        <v>17.3</v>
      </c>
      <c r="S2134" s="2">
        <v>0</v>
      </c>
      <c r="U2134" t="s">
        <v>1292</v>
      </c>
      <c r="V2134" t="s">
        <v>4510</v>
      </c>
      <c r="W2134" t="s">
        <v>4511</v>
      </c>
      <c r="X2134" t="b">
        <v>0</v>
      </c>
      <c r="Y2134" t="b">
        <v>0</v>
      </c>
    </row>
    <row r="2135" spans="1:25">
      <c r="A2135">
        <v>1000228</v>
      </c>
      <c r="B2135" t="s">
        <v>4061</v>
      </c>
      <c r="C2135" t="s">
        <v>4512</v>
      </c>
      <c r="D2135" t="s">
        <v>1292</v>
      </c>
      <c r="E2135">
        <v>1000228</v>
      </c>
      <c r="F2135" t="s">
        <v>1292</v>
      </c>
      <c r="G2135">
        <v>0</v>
      </c>
      <c r="H2135" t="s">
        <v>1292</v>
      </c>
      <c r="I2135">
        <v>0</v>
      </c>
      <c r="J2135" t="s">
        <v>1292</v>
      </c>
      <c r="K2135">
        <v>0</v>
      </c>
      <c r="L2135" t="s">
        <v>1292</v>
      </c>
      <c r="M2135">
        <v>0</v>
      </c>
      <c r="N2135" t="s">
        <v>1292</v>
      </c>
      <c r="O2135">
        <v>0</v>
      </c>
      <c r="P2135" t="s">
        <v>2923</v>
      </c>
      <c r="Q2135" s="1">
        <v>7899</v>
      </c>
      <c r="R2135">
        <v>36.4</v>
      </c>
      <c r="S2135" s="2">
        <v>0.04</v>
      </c>
      <c r="T2135" s="3">
        <v>2.5277777777777777</v>
      </c>
      <c r="U2135" s="2">
        <v>0.27</v>
      </c>
      <c r="V2135" t="s">
        <v>4512</v>
      </c>
      <c r="W2135" t="s">
        <v>4513</v>
      </c>
      <c r="X2135" t="b">
        <v>0</v>
      </c>
      <c r="Y2135" t="b">
        <v>0</v>
      </c>
    </row>
    <row r="2136" spans="1:25">
      <c r="A2136">
        <v>1000229</v>
      </c>
      <c r="B2136" t="s">
        <v>4061</v>
      </c>
      <c r="C2136" t="s">
        <v>4514</v>
      </c>
      <c r="D2136" t="s">
        <v>1292</v>
      </c>
      <c r="E2136">
        <v>1000229</v>
      </c>
      <c r="F2136" t="s">
        <v>1292</v>
      </c>
      <c r="G2136">
        <v>0</v>
      </c>
      <c r="H2136" t="s">
        <v>1292</v>
      </c>
      <c r="I2136">
        <v>0</v>
      </c>
      <c r="J2136" t="s">
        <v>1292</v>
      </c>
      <c r="K2136">
        <v>0</v>
      </c>
      <c r="L2136" t="s">
        <v>1292</v>
      </c>
      <c r="M2136">
        <v>0</v>
      </c>
      <c r="N2136" t="s">
        <v>1292</v>
      </c>
      <c r="O2136">
        <v>0</v>
      </c>
      <c r="P2136" t="s">
        <v>1895</v>
      </c>
      <c r="Q2136" s="1">
        <v>3031</v>
      </c>
      <c r="R2136">
        <v>15.4</v>
      </c>
      <c r="S2136" s="2">
        <v>0</v>
      </c>
      <c r="T2136" s="3">
        <v>2.1590277777777778</v>
      </c>
      <c r="U2136" s="2">
        <v>0.26</v>
      </c>
      <c r="V2136" t="s">
        <v>4514</v>
      </c>
      <c r="W2136" t="s">
        <v>4515</v>
      </c>
      <c r="X2136" t="b">
        <v>0</v>
      </c>
      <c r="Y2136" t="b">
        <v>0</v>
      </c>
    </row>
    <row r="2137" spans="1:25">
      <c r="A2137">
        <v>1000230</v>
      </c>
      <c r="B2137" t="s">
        <v>4061</v>
      </c>
      <c r="C2137" t="s">
        <v>4516</v>
      </c>
      <c r="D2137" t="s">
        <v>1292</v>
      </c>
      <c r="E2137">
        <v>1000230</v>
      </c>
      <c r="F2137" t="s">
        <v>1292</v>
      </c>
      <c r="G2137">
        <v>0</v>
      </c>
      <c r="H2137" t="s">
        <v>1292</v>
      </c>
      <c r="I2137">
        <v>0</v>
      </c>
      <c r="J2137" t="s">
        <v>1292</v>
      </c>
      <c r="K2137">
        <v>0</v>
      </c>
      <c r="L2137" t="s">
        <v>1292</v>
      </c>
      <c r="M2137">
        <v>0</v>
      </c>
      <c r="N2137" t="s">
        <v>1292</v>
      </c>
      <c r="O2137">
        <v>0</v>
      </c>
      <c r="P2137" t="s">
        <v>1895</v>
      </c>
      <c r="Q2137">
        <v>775</v>
      </c>
      <c r="R2137">
        <v>9.9</v>
      </c>
      <c r="S2137" s="2">
        <v>0</v>
      </c>
      <c r="T2137" s="3">
        <v>2.5277777777777777</v>
      </c>
      <c r="U2137" s="2">
        <v>0</v>
      </c>
      <c r="V2137" t="s">
        <v>4516</v>
      </c>
      <c r="X2137" t="b">
        <v>0</v>
      </c>
      <c r="Y2137" t="b">
        <v>0</v>
      </c>
    </row>
    <row r="2138" spans="1:25">
      <c r="A2138">
        <v>1000231</v>
      </c>
      <c r="B2138" t="s">
        <v>4061</v>
      </c>
      <c r="C2138" t="s">
        <v>4517</v>
      </c>
      <c r="D2138" t="s">
        <v>1292</v>
      </c>
      <c r="E2138">
        <v>1000231</v>
      </c>
      <c r="F2138" t="s">
        <v>1292</v>
      </c>
      <c r="G2138">
        <v>0</v>
      </c>
      <c r="H2138" t="s">
        <v>1292</v>
      </c>
      <c r="I2138">
        <v>0</v>
      </c>
      <c r="J2138" t="s">
        <v>1292</v>
      </c>
      <c r="K2138">
        <v>0</v>
      </c>
      <c r="L2138" t="s">
        <v>1292</v>
      </c>
      <c r="M2138">
        <v>0</v>
      </c>
      <c r="N2138" t="s">
        <v>1292</v>
      </c>
      <c r="O2138">
        <v>0</v>
      </c>
      <c r="P2138" t="s">
        <v>534</v>
      </c>
      <c r="Q2138" s="1">
        <v>1070</v>
      </c>
      <c r="R2138">
        <v>11.6</v>
      </c>
      <c r="S2138" s="2">
        <v>0.34</v>
      </c>
      <c r="T2138" s="3">
        <v>4.1256944444444441</v>
      </c>
      <c r="U2138" s="2">
        <v>0.41</v>
      </c>
      <c r="V2138" t="s">
        <v>4517</v>
      </c>
      <c r="W2138" t="s">
        <v>4518</v>
      </c>
      <c r="X2138" t="b">
        <v>0</v>
      </c>
      <c r="Y2138" t="b">
        <v>0</v>
      </c>
    </row>
    <row r="2139" spans="1:25">
      <c r="A2139">
        <v>1000232</v>
      </c>
      <c r="B2139" t="s">
        <v>4061</v>
      </c>
      <c r="C2139" t="s">
        <v>4519</v>
      </c>
      <c r="D2139" t="s">
        <v>1292</v>
      </c>
      <c r="E2139">
        <v>1000232</v>
      </c>
      <c r="F2139" t="s">
        <v>1292</v>
      </c>
      <c r="G2139">
        <v>0</v>
      </c>
      <c r="H2139" t="s">
        <v>1292</v>
      </c>
      <c r="I2139">
        <v>0</v>
      </c>
      <c r="J2139" t="s">
        <v>1292</v>
      </c>
      <c r="K2139">
        <v>0</v>
      </c>
      <c r="L2139" t="s">
        <v>1292</v>
      </c>
      <c r="M2139">
        <v>0</v>
      </c>
      <c r="N2139" t="s">
        <v>1292</v>
      </c>
      <c r="O2139">
        <v>0</v>
      </c>
      <c r="P2139" t="s">
        <v>2952</v>
      </c>
      <c r="Q2139" s="1">
        <v>26399</v>
      </c>
      <c r="R2139">
        <v>55.1</v>
      </c>
      <c r="S2139" s="2">
        <v>0.01</v>
      </c>
      <c r="T2139" t="s">
        <v>801</v>
      </c>
      <c r="U2139" s="2">
        <v>0.23</v>
      </c>
      <c r="V2139" t="s">
        <v>4519</v>
      </c>
      <c r="W2139" t="s">
        <v>4520</v>
      </c>
      <c r="X2139" t="b">
        <v>0</v>
      </c>
      <c r="Y2139" t="b">
        <v>0</v>
      </c>
    </row>
    <row r="2140" spans="1:25">
      <c r="A2140">
        <v>1000233</v>
      </c>
      <c r="B2140" t="s">
        <v>4061</v>
      </c>
      <c r="C2140" t="s">
        <v>4521</v>
      </c>
      <c r="D2140" t="s">
        <v>1292</v>
      </c>
      <c r="E2140">
        <v>1000233</v>
      </c>
      <c r="F2140" t="s">
        <v>1292</v>
      </c>
      <c r="G2140">
        <v>0</v>
      </c>
      <c r="H2140" t="s">
        <v>1292</v>
      </c>
      <c r="I2140">
        <v>0</v>
      </c>
      <c r="J2140" t="s">
        <v>1292</v>
      </c>
      <c r="K2140">
        <v>0</v>
      </c>
      <c r="L2140" t="s">
        <v>1292</v>
      </c>
      <c r="M2140">
        <v>0</v>
      </c>
      <c r="N2140" t="s">
        <v>1292</v>
      </c>
      <c r="O2140">
        <v>0</v>
      </c>
      <c r="P2140" t="s">
        <v>1483</v>
      </c>
      <c r="Q2140" s="1">
        <v>6152</v>
      </c>
      <c r="R2140">
        <v>13</v>
      </c>
      <c r="S2140" s="2">
        <v>0.02</v>
      </c>
      <c r="T2140" t="s">
        <v>658</v>
      </c>
      <c r="U2140" s="2">
        <v>0.28999999999999998</v>
      </c>
      <c r="V2140" t="s">
        <v>4521</v>
      </c>
      <c r="W2140" t="s">
        <v>4522</v>
      </c>
      <c r="X2140" t="b">
        <v>0</v>
      </c>
      <c r="Y2140" t="b">
        <v>0</v>
      </c>
    </row>
    <row r="2141" spans="1:25">
      <c r="A2141">
        <v>1000234</v>
      </c>
      <c r="B2141" t="s">
        <v>4061</v>
      </c>
      <c r="C2141" t="s">
        <v>4523</v>
      </c>
      <c r="D2141" t="s">
        <v>1292</v>
      </c>
      <c r="E2141">
        <v>1000234</v>
      </c>
      <c r="F2141" t="s">
        <v>1292</v>
      </c>
      <c r="G2141">
        <v>0</v>
      </c>
      <c r="H2141" t="s">
        <v>1292</v>
      </c>
      <c r="I2141">
        <v>0</v>
      </c>
      <c r="J2141" t="s">
        <v>1292</v>
      </c>
      <c r="K2141">
        <v>0</v>
      </c>
      <c r="L2141" t="s">
        <v>1292</v>
      </c>
      <c r="M2141">
        <v>0</v>
      </c>
      <c r="N2141" t="s">
        <v>1292</v>
      </c>
      <c r="O2141">
        <v>0</v>
      </c>
      <c r="P2141" t="s">
        <v>1895</v>
      </c>
      <c r="Q2141" s="1">
        <v>1458</v>
      </c>
      <c r="R2141">
        <v>9.6</v>
      </c>
      <c r="S2141" s="2">
        <v>0</v>
      </c>
      <c r="T2141" s="3">
        <v>1.9131944444444444</v>
      </c>
      <c r="U2141" s="2">
        <v>0.37</v>
      </c>
      <c r="V2141" t="s">
        <v>4523</v>
      </c>
      <c r="W2141" t="s">
        <v>4524</v>
      </c>
      <c r="X2141" t="b">
        <v>0</v>
      </c>
      <c r="Y2141" t="b">
        <v>0</v>
      </c>
    </row>
    <row r="2142" spans="1:25">
      <c r="A2142">
        <v>1000235</v>
      </c>
      <c r="B2142" t="s">
        <v>4061</v>
      </c>
      <c r="C2142" t="s">
        <v>4525</v>
      </c>
      <c r="D2142" t="s">
        <v>1292</v>
      </c>
      <c r="E2142">
        <v>1000235</v>
      </c>
      <c r="F2142" t="s">
        <v>1292</v>
      </c>
      <c r="G2142">
        <v>0</v>
      </c>
      <c r="H2142" t="s">
        <v>1292</v>
      </c>
      <c r="I2142">
        <v>0</v>
      </c>
      <c r="J2142" t="s">
        <v>1292</v>
      </c>
      <c r="K2142">
        <v>0</v>
      </c>
      <c r="L2142" t="s">
        <v>1292</v>
      </c>
      <c r="M2142">
        <v>0</v>
      </c>
      <c r="N2142" t="s">
        <v>1292</v>
      </c>
      <c r="O2142">
        <v>0</v>
      </c>
      <c r="P2142" t="s">
        <v>2290</v>
      </c>
      <c r="Q2142" s="1">
        <v>27370</v>
      </c>
      <c r="R2142">
        <v>33.299999999999997</v>
      </c>
      <c r="S2142" s="2">
        <v>0</v>
      </c>
      <c r="T2142" s="3">
        <v>2.4048611111111109</v>
      </c>
      <c r="U2142" s="2">
        <v>0.32</v>
      </c>
      <c r="V2142" t="s">
        <v>4525</v>
      </c>
      <c r="W2142" t="s">
        <v>4526</v>
      </c>
      <c r="X2142" t="b">
        <v>0</v>
      </c>
      <c r="Y2142" t="b">
        <v>0</v>
      </c>
    </row>
    <row r="2143" spans="1:25">
      <c r="A2143">
        <v>1000236</v>
      </c>
      <c r="B2143" t="s">
        <v>4061</v>
      </c>
      <c r="C2143" t="s">
        <v>4527</v>
      </c>
      <c r="D2143" t="s">
        <v>1292</v>
      </c>
      <c r="E2143">
        <v>1000236</v>
      </c>
      <c r="F2143" t="s">
        <v>1292</v>
      </c>
      <c r="G2143">
        <v>0</v>
      </c>
      <c r="H2143" t="s">
        <v>1292</v>
      </c>
      <c r="I2143">
        <v>0</v>
      </c>
      <c r="J2143" t="s">
        <v>1292</v>
      </c>
      <c r="K2143">
        <v>0</v>
      </c>
      <c r="L2143" t="s">
        <v>1292</v>
      </c>
      <c r="M2143">
        <v>0</v>
      </c>
      <c r="N2143" t="s">
        <v>1292</v>
      </c>
      <c r="O2143">
        <v>0</v>
      </c>
      <c r="P2143" t="s">
        <v>2290</v>
      </c>
      <c r="Q2143" s="1">
        <v>5538</v>
      </c>
      <c r="R2143">
        <v>19.600000000000001</v>
      </c>
      <c r="S2143" s="2">
        <v>0</v>
      </c>
      <c r="T2143" s="3">
        <v>3.0604166666666668</v>
      </c>
      <c r="U2143" t="s">
        <v>1292</v>
      </c>
      <c r="V2143" t="s">
        <v>4527</v>
      </c>
      <c r="W2143" t="s">
        <v>4528</v>
      </c>
      <c r="X2143" t="b">
        <v>0</v>
      </c>
      <c r="Y2143" t="b">
        <v>0</v>
      </c>
    </row>
    <row r="2144" spans="1:25">
      <c r="A2144">
        <v>1000237</v>
      </c>
      <c r="B2144" t="s">
        <v>4061</v>
      </c>
      <c r="C2144" t="s">
        <v>4529</v>
      </c>
      <c r="D2144" t="s">
        <v>1292</v>
      </c>
      <c r="E2144">
        <v>1000237</v>
      </c>
      <c r="F2144" t="s">
        <v>1292</v>
      </c>
      <c r="G2144">
        <v>0</v>
      </c>
      <c r="H2144" t="s">
        <v>1292</v>
      </c>
      <c r="I2144">
        <v>0</v>
      </c>
      <c r="J2144" t="s">
        <v>1292</v>
      </c>
      <c r="K2144">
        <v>0</v>
      </c>
      <c r="L2144" t="s">
        <v>1292</v>
      </c>
      <c r="M2144">
        <v>0</v>
      </c>
      <c r="N2144" t="s">
        <v>1292</v>
      </c>
      <c r="O2144">
        <v>0</v>
      </c>
      <c r="P2144" t="s">
        <v>4456</v>
      </c>
      <c r="Q2144" s="1">
        <v>2760</v>
      </c>
      <c r="R2144">
        <v>14.2</v>
      </c>
      <c r="S2144" s="2">
        <v>0.01</v>
      </c>
      <c r="T2144" t="s">
        <v>696</v>
      </c>
      <c r="U2144" t="s">
        <v>1292</v>
      </c>
      <c r="V2144" t="s">
        <v>4529</v>
      </c>
      <c r="W2144" t="s">
        <v>4530</v>
      </c>
      <c r="X2144" t="b">
        <v>0</v>
      </c>
      <c r="Y2144" t="b">
        <v>0</v>
      </c>
    </row>
    <row r="2145" spans="1:25">
      <c r="A2145">
        <v>1000238</v>
      </c>
      <c r="B2145" t="s">
        <v>4061</v>
      </c>
      <c r="C2145" t="s">
        <v>4531</v>
      </c>
      <c r="D2145" t="s">
        <v>1292</v>
      </c>
      <c r="E2145">
        <v>1000238</v>
      </c>
      <c r="F2145" t="s">
        <v>1292</v>
      </c>
      <c r="G2145">
        <v>0</v>
      </c>
      <c r="H2145" t="s">
        <v>1292</v>
      </c>
      <c r="I2145">
        <v>0</v>
      </c>
      <c r="J2145" t="s">
        <v>1292</v>
      </c>
      <c r="K2145">
        <v>0</v>
      </c>
      <c r="L2145" t="s">
        <v>1292</v>
      </c>
      <c r="M2145">
        <v>0</v>
      </c>
      <c r="N2145" t="s">
        <v>1292</v>
      </c>
      <c r="O2145">
        <v>0</v>
      </c>
      <c r="P2145" t="s">
        <v>992</v>
      </c>
      <c r="Q2145" s="1">
        <v>1600</v>
      </c>
      <c r="R2145">
        <v>9.4</v>
      </c>
      <c r="S2145" s="2">
        <v>0</v>
      </c>
      <c r="T2145" s="3">
        <v>3.5520833333333335</v>
      </c>
      <c r="U2145" s="2">
        <v>0.06</v>
      </c>
      <c r="V2145" t="s">
        <v>4531</v>
      </c>
      <c r="W2145" t="s">
        <v>4493</v>
      </c>
      <c r="X2145" t="b">
        <v>0</v>
      </c>
      <c r="Y2145" t="b">
        <v>0</v>
      </c>
    </row>
    <row r="2146" spans="1:25">
      <c r="A2146">
        <v>1000239</v>
      </c>
      <c r="B2146" t="s">
        <v>4061</v>
      </c>
      <c r="C2146" t="s">
        <v>4532</v>
      </c>
      <c r="D2146" t="s">
        <v>1292</v>
      </c>
      <c r="E2146">
        <v>1000239</v>
      </c>
      <c r="F2146" t="s">
        <v>1292</v>
      </c>
      <c r="G2146">
        <v>0</v>
      </c>
      <c r="H2146" t="s">
        <v>1292</v>
      </c>
      <c r="I2146">
        <v>0</v>
      </c>
      <c r="J2146" t="s">
        <v>1292</v>
      </c>
      <c r="K2146">
        <v>0</v>
      </c>
      <c r="L2146" t="s">
        <v>1292</v>
      </c>
      <c r="M2146">
        <v>0</v>
      </c>
      <c r="N2146" t="s">
        <v>1292</v>
      </c>
      <c r="O2146">
        <v>0</v>
      </c>
      <c r="P2146" t="s">
        <v>2513</v>
      </c>
      <c r="Q2146" s="1">
        <v>21744</v>
      </c>
      <c r="R2146">
        <v>21.4</v>
      </c>
      <c r="S2146" s="2">
        <v>0</v>
      </c>
      <c r="T2146" s="3">
        <v>2.1180555555555554</v>
      </c>
      <c r="U2146" s="2">
        <v>0.21</v>
      </c>
      <c r="V2146" t="s">
        <v>4532</v>
      </c>
      <c r="W2146" t="s">
        <v>4533</v>
      </c>
      <c r="X2146" t="b">
        <v>0</v>
      </c>
      <c r="Y2146" t="b">
        <v>0</v>
      </c>
    </row>
    <row r="2147" spans="1:25">
      <c r="A2147">
        <v>1000240</v>
      </c>
      <c r="B2147" t="s">
        <v>4061</v>
      </c>
      <c r="C2147" t="s">
        <v>4534</v>
      </c>
      <c r="D2147" t="s">
        <v>1292</v>
      </c>
      <c r="E2147">
        <v>1000240</v>
      </c>
      <c r="F2147" t="s">
        <v>1292</v>
      </c>
      <c r="G2147">
        <v>0</v>
      </c>
      <c r="H2147" t="s">
        <v>1292</v>
      </c>
      <c r="I2147">
        <v>0</v>
      </c>
      <c r="J2147" t="s">
        <v>1292</v>
      </c>
      <c r="K2147">
        <v>0</v>
      </c>
      <c r="L2147" t="s">
        <v>1292</v>
      </c>
      <c r="M2147">
        <v>0</v>
      </c>
      <c r="N2147" t="s">
        <v>1292</v>
      </c>
      <c r="O2147">
        <v>0</v>
      </c>
      <c r="P2147" t="s">
        <v>386</v>
      </c>
      <c r="Q2147" s="1">
        <v>6169</v>
      </c>
      <c r="R2147">
        <v>19.600000000000001</v>
      </c>
      <c r="S2147" s="2">
        <v>0.1</v>
      </c>
      <c r="T2147" s="3">
        <v>1.9131944444444444</v>
      </c>
      <c r="U2147" t="s">
        <v>1292</v>
      </c>
      <c r="V2147" t="s">
        <v>4534</v>
      </c>
      <c r="W2147" t="s">
        <v>4535</v>
      </c>
      <c r="X2147" t="b">
        <v>0</v>
      </c>
      <c r="Y2147" t="b">
        <v>0</v>
      </c>
    </row>
    <row r="2148" spans="1:25">
      <c r="A2148">
        <v>1000241</v>
      </c>
      <c r="B2148" t="s">
        <v>4061</v>
      </c>
      <c r="C2148" t="s">
        <v>4536</v>
      </c>
      <c r="D2148" t="s">
        <v>1292</v>
      </c>
      <c r="E2148">
        <v>1000241</v>
      </c>
      <c r="F2148" t="s">
        <v>1292</v>
      </c>
      <c r="G2148">
        <v>0</v>
      </c>
      <c r="H2148" t="s">
        <v>1292</v>
      </c>
      <c r="I2148">
        <v>0</v>
      </c>
      <c r="J2148" t="s">
        <v>1292</v>
      </c>
      <c r="K2148">
        <v>0</v>
      </c>
      <c r="L2148" t="s">
        <v>1292</v>
      </c>
      <c r="M2148">
        <v>0</v>
      </c>
      <c r="N2148" t="s">
        <v>1292</v>
      </c>
      <c r="O2148">
        <v>0</v>
      </c>
      <c r="P2148" t="s">
        <v>895</v>
      </c>
      <c r="Q2148" s="1">
        <v>14836</v>
      </c>
      <c r="R2148">
        <v>21.6</v>
      </c>
      <c r="S2148" s="2">
        <v>0.02</v>
      </c>
      <c r="T2148" s="3">
        <v>1.7493055555555554</v>
      </c>
      <c r="U2148" t="s">
        <v>1292</v>
      </c>
      <c r="V2148" t="s">
        <v>4536</v>
      </c>
      <c r="W2148" t="s">
        <v>4537</v>
      </c>
      <c r="X2148" t="b">
        <v>0</v>
      </c>
      <c r="Y2148" t="b">
        <v>0</v>
      </c>
    </row>
    <row r="2149" spans="1:25">
      <c r="A2149">
        <v>1000242</v>
      </c>
      <c r="B2149" t="s">
        <v>4061</v>
      </c>
      <c r="C2149" t="s">
        <v>4538</v>
      </c>
      <c r="D2149" t="s">
        <v>1292</v>
      </c>
      <c r="E2149">
        <v>1000242</v>
      </c>
      <c r="F2149" t="s">
        <v>1292</v>
      </c>
      <c r="G2149">
        <v>0</v>
      </c>
      <c r="H2149" t="s">
        <v>1292</v>
      </c>
      <c r="I2149">
        <v>0</v>
      </c>
      <c r="J2149" t="s">
        <v>1292</v>
      </c>
      <c r="K2149">
        <v>0</v>
      </c>
      <c r="L2149" t="s">
        <v>1292</v>
      </c>
      <c r="M2149">
        <v>0</v>
      </c>
      <c r="N2149" t="s">
        <v>1292</v>
      </c>
      <c r="O2149">
        <v>0</v>
      </c>
      <c r="P2149" t="s">
        <v>577</v>
      </c>
      <c r="Q2149" s="1">
        <v>18445</v>
      </c>
      <c r="R2149">
        <v>16</v>
      </c>
      <c r="S2149" s="2">
        <v>0</v>
      </c>
      <c r="T2149" s="3">
        <v>2.5687500000000001</v>
      </c>
      <c r="U2149" s="2">
        <v>0.15</v>
      </c>
      <c r="V2149" t="s">
        <v>4538</v>
      </c>
      <c r="W2149" t="s">
        <v>4539</v>
      </c>
      <c r="X2149" t="b">
        <v>0</v>
      </c>
      <c r="Y2149" t="b">
        <v>0</v>
      </c>
    </row>
    <row r="2150" spans="1:25">
      <c r="A2150">
        <v>1000243</v>
      </c>
      <c r="B2150" t="s">
        <v>4061</v>
      </c>
      <c r="C2150" t="s">
        <v>4540</v>
      </c>
      <c r="D2150" t="s">
        <v>1292</v>
      </c>
      <c r="E2150">
        <v>1000243</v>
      </c>
      <c r="F2150" t="s">
        <v>1292</v>
      </c>
      <c r="G2150">
        <v>0</v>
      </c>
      <c r="H2150" t="s">
        <v>1292</v>
      </c>
      <c r="I2150">
        <v>0</v>
      </c>
      <c r="J2150" t="s">
        <v>1292</v>
      </c>
      <c r="K2150">
        <v>0</v>
      </c>
      <c r="L2150" t="s">
        <v>1292</v>
      </c>
      <c r="M2150">
        <v>0</v>
      </c>
      <c r="N2150" t="s">
        <v>1292</v>
      </c>
      <c r="O2150">
        <v>0</v>
      </c>
      <c r="P2150" t="s">
        <v>577</v>
      </c>
      <c r="Q2150" s="1">
        <v>5443</v>
      </c>
      <c r="R2150">
        <v>7.5</v>
      </c>
      <c r="S2150" s="2">
        <v>0</v>
      </c>
      <c r="T2150" s="3">
        <v>2.4868055555555557</v>
      </c>
      <c r="U2150" t="s">
        <v>1292</v>
      </c>
      <c r="V2150" t="s">
        <v>4540</v>
      </c>
      <c r="W2150" t="s">
        <v>4541</v>
      </c>
      <c r="X2150" t="b">
        <v>0</v>
      </c>
      <c r="Y2150" t="b">
        <v>0</v>
      </c>
    </row>
    <row r="2151" spans="1:25">
      <c r="A2151">
        <v>1000244</v>
      </c>
      <c r="B2151" t="s">
        <v>4061</v>
      </c>
      <c r="C2151" t="s">
        <v>4542</v>
      </c>
      <c r="D2151" t="s">
        <v>1292</v>
      </c>
      <c r="E2151">
        <v>1000244</v>
      </c>
      <c r="F2151" t="s">
        <v>1292</v>
      </c>
      <c r="G2151">
        <v>0</v>
      </c>
      <c r="H2151" t="s">
        <v>1292</v>
      </c>
      <c r="I2151">
        <v>0</v>
      </c>
      <c r="J2151" t="s">
        <v>1292</v>
      </c>
      <c r="K2151">
        <v>0</v>
      </c>
      <c r="L2151" t="s">
        <v>1292</v>
      </c>
      <c r="M2151">
        <v>0</v>
      </c>
      <c r="N2151" t="s">
        <v>1292</v>
      </c>
      <c r="O2151">
        <v>0</v>
      </c>
      <c r="P2151" t="s">
        <v>2836</v>
      </c>
      <c r="Q2151" s="1">
        <v>1428</v>
      </c>
      <c r="R2151">
        <v>1.6</v>
      </c>
      <c r="S2151" s="2">
        <v>0.73</v>
      </c>
      <c r="T2151" t="s">
        <v>658</v>
      </c>
      <c r="U2151" t="s">
        <v>1292</v>
      </c>
      <c r="V2151" t="s">
        <v>4542</v>
      </c>
      <c r="W2151" t="s">
        <v>4543</v>
      </c>
      <c r="X2151" t="b">
        <v>0</v>
      </c>
      <c r="Y2151" t="b">
        <v>0</v>
      </c>
    </row>
    <row r="2152" spans="1:25">
      <c r="A2152">
        <v>1000245</v>
      </c>
      <c r="B2152" t="s">
        <v>4061</v>
      </c>
      <c r="C2152" t="s">
        <v>4544</v>
      </c>
      <c r="D2152" t="s">
        <v>1292</v>
      </c>
      <c r="E2152">
        <v>1000245</v>
      </c>
      <c r="F2152" t="s">
        <v>1292</v>
      </c>
      <c r="G2152">
        <v>0</v>
      </c>
      <c r="H2152" t="s">
        <v>1292</v>
      </c>
      <c r="I2152">
        <v>0</v>
      </c>
      <c r="J2152" t="s">
        <v>1292</v>
      </c>
      <c r="K2152">
        <v>0</v>
      </c>
      <c r="L2152" t="s">
        <v>1292</v>
      </c>
      <c r="M2152">
        <v>0</v>
      </c>
      <c r="N2152" t="s">
        <v>1292</v>
      </c>
      <c r="O2152">
        <v>0</v>
      </c>
      <c r="P2152" t="s">
        <v>4055</v>
      </c>
      <c r="Q2152" s="1">
        <v>2027</v>
      </c>
      <c r="R2152">
        <v>8.4</v>
      </c>
      <c r="S2152" s="2">
        <v>7.0000000000000007E-2</v>
      </c>
      <c r="T2152" s="3">
        <v>1.9541666666666666</v>
      </c>
      <c r="U2152" t="s">
        <v>1292</v>
      </c>
      <c r="V2152" t="s">
        <v>4544</v>
      </c>
      <c r="W2152" t="s">
        <v>4545</v>
      </c>
      <c r="X2152" t="b">
        <v>0</v>
      </c>
      <c r="Y2152" t="b">
        <v>0</v>
      </c>
    </row>
    <row r="2153" spans="1:25">
      <c r="A2153">
        <v>1000246</v>
      </c>
      <c r="B2153" t="s">
        <v>4061</v>
      </c>
      <c r="C2153" t="s">
        <v>4546</v>
      </c>
      <c r="D2153" t="s">
        <v>1292</v>
      </c>
      <c r="E2153">
        <v>1000246</v>
      </c>
      <c r="F2153" t="s">
        <v>1292</v>
      </c>
      <c r="G2153">
        <v>0</v>
      </c>
      <c r="H2153" t="s">
        <v>1292</v>
      </c>
      <c r="I2153">
        <v>0</v>
      </c>
      <c r="J2153" t="s">
        <v>1292</v>
      </c>
      <c r="K2153">
        <v>0</v>
      </c>
      <c r="L2153" t="s">
        <v>1292</v>
      </c>
      <c r="M2153">
        <v>0</v>
      </c>
      <c r="N2153" t="s">
        <v>1292</v>
      </c>
      <c r="O2153">
        <v>0</v>
      </c>
      <c r="P2153" t="s">
        <v>1223</v>
      </c>
      <c r="Q2153" s="1">
        <v>5978</v>
      </c>
      <c r="R2153">
        <v>19.5</v>
      </c>
      <c r="S2153" s="2">
        <v>0.54</v>
      </c>
      <c r="T2153" s="3">
        <v>2.4458333333333333</v>
      </c>
      <c r="U2153" s="2">
        <v>0.11</v>
      </c>
      <c r="V2153" t="s">
        <v>4546</v>
      </c>
      <c r="W2153" t="s">
        <v>4547</v>
      </c>
      <c r="X2153" t="b">
        <v>0</v>
      </c>
      <c r="Y2153" t="b">
        <v>0</v>
      </c>
    </row>
    <row r="2154" spans="1:25">
      <c r="A2154">
        <v>1000247</v>
      </c>
      <c r="B2154" t="s">
        <v>4061</v>
      </c>
      <c r="C2154" t="s">
        <v>4548</v>
      </c>
      <c r="D2154" t="s">
        <v>1292</v>
      </c>
      <c r="E2154">
        <v>1000247</v>
      </c>
      <c r="F2154" t="s">
        <v>1292</v>
      </c>
      <c r="G2154">
        <v>0</v>
      </c>
      <c r="H2154" t="s">
        <v>1292</v>
      </c>
      <c r="I2154">
        <v>0</v>
      </c>
      <c r="J2154" t="s">
        <v>1292</v>
      </c>
      <c r="K2154">
        <v>0</v>
      </c>
      <c r="L2154" t="s">
        <v>1292</v>
      </c>
      <c r="M2154">
        <v>0</v>
      </c>
      <c r="N2154" t="s">
        <v>1292</v>
      </c>
      <c r="O2154">
        <v>0</v>
      </c>
      <c r="P2154" t="s">
        <v>2171</v>
      </c>
      <c r="Q2154">
        <v>358</v>
      </c>
      <c r="R2154">
        <v>3.9</v>
      </c>
      <c r="S2154" s="2">
        <v>0.15</v>
      </c>
      <c r="T2154" s="3">
        <v>2.036111111111111</v>
      </c>
      <c r="U2154" t="s">
        <v>1292</v>
      </c>
      <c r="V2154" t="s">
        <v>4548</v>
      </c>
      <c r="W2154" t="s">
        <v>4549</v>
      </c>
      <c r="X2154" t="b">
        <v>0</v>
      </c>
      <c r="Y2154" t="b">
        <v>0</v>
      </c>
    </row>
    <row r="2155" spans="1:25">
      <c r="A2155">
        <v>1000248</v>
      </c>
      <c r="B2155" t="s">
        <v>4061</v>
      </c>
      <c r="C2155" t="s">
        <v>4550</v>
      </c>
      <c r="D2155" t="s">
        <v>1292</v>
      </c>
      <c r="E2155">
        <v>1000248</v>
      </c>
      <c r="F2155" t="s">
        <v>1292</v>
      </c>
      <c r="G2155">
        <v>0</v>
      </c>
      <c r="H2155" t="s">
        <v>1292</v>
      </c>
      <c r="I2155">
        <v>0</v>
      </c>
      <c r="J2155" t="s">
        <v>1292</v>
      </c>
      <c r="K2155">
        <v>0</v>
      </c>
      <c r="L2155" t="s">
        <v>1292</v>
      </c>
      <c r="M2155">
        <v>0</v>
      </c>
      <c r="N2155" t="s">
        <v>1292</v>
      </c>
      <c r="O2155">
        <v>0</v>
      </c>
      <c r="P2155" t="s">
        <v>1895</v>
      </c>
      <c r="Q2155" s="1">
        <v>1123</v>
      </c>
      <c r="R2155">
        <v>7.7</v>
      </c>
      <c r="S2155" s="2">
        <v>0</v>
      </c>
      <c r="T2155" s="3">
        <v>2.4048611111111109</v>
      </c>
      <c r="U2155" t="s">
        <v>1292</v>
      </c>
      <c r="V2155" t="s">
        <v>4550</v>
      </c>
      <c r="W2155" t="s">
        <v>4551</v>
      </c>
      <c r="X2155" t="b">
        <v>0</v>
      </c>
      <c r="Y2155" t="b">
        <v>0</v>
      </c>
    </row>
    <row r="2156" spans="1:25">
      <c r="A2156">
        <v>1000249</v>
      </c>
      <c r="B2156" t="s">
        <v>4061</v>
      </c>
      <c r="C2156" t="s">
        <v>4552</v>
      </c>
      <c r="D2156" t="s">
        <v>1292</v>
      </c>
      <c r="E2156">
        <v>1000249</v>
      </c>
      <c r="F2156" t="s">
        <v>1292</v>
      </c>
      <c r="G2156">
        <v>0</v>
      </c>
      <c r="H2156" t="s">
        <v>1292</v>
      </c>
      <c r="I2156">
        <v>0</v>
      </c>
      <c r="J2156" t="s">
        <v>1292</v>
      </c>
      <c r="K2156">
        <v>0</v>
      </c>
      <c r="L2156" t="s">
        <v>1292</v>
      </c>
      <c r="M2156">
        <v>0</v>
      </c>
      <c r="N2156" t="s">
        <v>1292</v>
      </c>
      <c r="O2156">
        <v>0</v>
      </c>
      <c r="P2156" t="s">
        <v>26</v>
      </c>
      <c r="Q2156" s="1">
        <v>4660</v>
      </c>
      <c r="R2156">
        <v>16.600000000000001</v>
      </c>
      <c r="S2156" s="2">
        <v>0.13</v>
      </c>
      <c r="T2156" s="3">
        <v>2.3638888888888889</v>
      </c>
      <c r="U2156" s="2">
        <v>0.17</v>
      </c>
      <c r="V2156" t="s">
        <v>4552</v>
      </c>
      <c r="W2156" t="s">
        <v>4553</v>
      </c>
      <c r="X2156" t="b">
        <v>0</v>
      </c>
      <c r="Y2156" t="b">
        <v>0</v>
      </c>
    </row>
    <row r="2157" spans="1:25">
      <c r="A2157">
        <v>1000250</v>
      </c>
      <c r="B2157" t="s">
        <v>4061</v>
      </c>
      <c r="C2157" t="s">
        <v>4554</v>
      </c>
      <c r="D2157" t="s">
        <v>1292</v>
      </c>
      <c r="E2157">
        <v>1000250</v>
      </c>
      <c r="F2157" t="s">
        <v>1292</v>
      </c>
      <c r="G2157">
        <v>0</v>
      </c>
      <c r="H2157" t="s">
        <v>1292</v>
      </c>
      <c r="I2157">
        <v>0</v>
      </c>
      <c r="J2157" t="s">
        <v>1292</v>
      </c>
      <c r="K2157">
        <v>0</v>
      </c>
      <c r="L2157" t="s">
        <v>1292</v>
      </c>
      <c r="M2157">
        <v>0</v>
      </c>
      <c r="N2157" t="s">
        <v>1292</v>
      </c>
      <c r="O2157">
        <v>0</v>
      </c>
      <c r="P2157" t="s">
        <v>1895</v>
      </c>
      <c r="Q2157" s="1">
        <v>10857</v>
      </c>
      <c r="R2157">
        <v>21.5</v>
      </c>
      <c r="S2157" s="2">
        <v>0</v>
      </c>
      <c r="T2157" t="s">
        <v>357</v>
      </c>
      <c r="U2157" t="s">
        <v>1292</v>
      </c>
      <c r="V2157" t="s">
        <v>4554</v>
      </c>
      <c r="W2157" t="s">
        <v>4555</v>
      </c>
      <c r="X2157" t="b">
        <v>0</v>
      </c>
      <c r="Y2157" t="b">
        <v>0</v>
      </c>
    </row>
    <row r="2158" spans="1:25">
      <c r="A2158">
        <v>1000251</v>
      </c>
      <c r="B2158" t="s">
        <v>4061</v>
      </c>
      <c r="C2158" t="s">
        <v>4556</v>
      </c>
      <c r="D2158" t="s">
        <v>1292</v>
      </c>
      <c r="E2158">
        <v>1000251</v>
      </c>
      <c r="F2158" t="s">
        <v>1292</v>
      </c>
      <c r="G2158">
        <v>0</v>
      </c>
      <c r="H2158" t="s">
        <v>1292</v>
      </c>
      <c r="I2158">
        <v>0</v>
      </c>
      <c r="J2158" t="s">
        <v>1292</v>
      </c>
      <c r="K2158">
        <v>0</v>
      </c>
      <c r="L2158" t="s">
        <v>1292</v>
      </c>
      <c r="M2158">
        <v>0</v>
      </c>
      <c r="N2158" t="s">
        <v>1292</v>
      </c>
      <c r="O2158">
        <v>0</v>
      </c>
      <c r="P2158" t="s">
        <v>577</v>
      </c>
      <c r="Q2158" s="1">
        <v>5547</v>
      </c>
      <c r="R2158">
        <v>16.100000000000001</v>
      </c>
      <c r="S2158" s="2">
        <v>0.32</v>
      </c>
      <c r="T2158" s="3">
        <v>2.1590277777777778</v>
      </c>
      <c r="U2158" t="s">
        <v>1292</v>
      </c>
      <c r="V2158" t="s">
        <v>4556</v>
      </c>
      <c r="W2158" t="s">
        <v>4557</v>
      </c>
      <c r="X2158" t="b">
        <v>0</v>
      </c>
      <c r="Y2158" t="b">
        <v>0</v>
      </c>
    </row>
    <row r="2159" spans="1:25">
      <c r="A2159">
        <v>1000252</v>
      </c>
      <c r="B2159" t="s">
        <v>4061</v>
      </c>
      <c r="C2159" t="s">
        <v>4558</v>
      </c>
      <c r="D2159" t="s">
        <v>1292</v>
      </c>
      <c r="E2159">
        <v>1000252</v>
      </c>
      <c r="F2159" t="s">
        <v>1292</v>
      </c>
      <c r="G2159">
        <v>0</v>
      </c>
      <c r="H2159" t="s">
        <v>1292</v>
      </c>
      <c r="I2159">
        <v>0</v>
      </c>
      <c r="J2159" t="s">
        <v>1292</v>
      </c>
      <c r="K2159">
        <v>0</v>
      </c>
      <c r="L2159" t="s">
        <v>1292</v>
      </c>
      <c r="M2159">
        <v>0</v>
      </c>
      <c r="N2159" t="s">
        <v>1292</v>
      </c>
      <c r="O2159">
        <v>0</v>
      </c>
      <c r="P2159" t="s">
        <v>577</v>
      </c>
      <c r="Q2159" s="1">
        <v>38158</v>
      </c>
      <c r="R2159">
        <v>13.9</v>
      </c>
      <c r="S2159" s="2">
        <v>0</v>
      </c>
      <c r="T2159">
        <v>6.9444444444444448E-2</v>
      </c>
      <c r="U2159" s="2">
        <v>0.24</v>
      </c>
      <c r="V2159" t="s">
        <v>4558</v>
      </c>
      <c r="W2159" t="s">
        <v>4559</v>
      </c>
      <c r="X2159" t="b">
        <v>0</v>
      </c>
      <c r="Y2159" t="b">
        <v>0</v>
      </c>
    </row>
    <row r="2160" spans="1:25">
      <c r="A2160">
        <v>1000253</v>
      </c>
      <c r="B2160" t="s">
        <v>4061</v>
      </c>
      <c r="C2160" t="s">
        <v>4560</v>
      </c>
      <c r="D2160" t="s">
        <v>1292</v>
      </c>
      <c r="E2160">
        <v>1000253</v>
      </c>
      <c r="F2160" t="s">
        <v>1292</v>
      </c>
      <c r="G2160">
        <v>0</v>
      </c>
      <c r="H2160" t="s">
        <v>1292</v>
      </c>
      <c r="I2160">
        <v>0</v>
      </c>
      <c r="J2160" t="s">
        <v>1292</v>
      </c>
      <c r="K2160">
        <v>0</v>
      </c>
      <c r="L2160" t="s">
        <v>1292</v>
      </c>
      <c r="M2160">
        <v>0</v>
      </c>
      <c r="N2160" t="s">
        <v>1292</v>
      </c>
      <c r="O2160">
        <v>0</v>
      </c>
      <c r="P2160" t="s">
        <v>1895</v>
      </c>
      <c r="Q2160" s="1">
        <v>6127</v>
      </c>
      <c r="R2160">
        <v>40</v>
      </c>
      <c r="S2160" s="2">
        <v>0</v>
      </c>
      <c r="T2160">
        <v>0.76597222222222228</v>
      </c>
      <c r="U2160" t="s">
        <v>1292</v>
      </c>
      <c r="V2160" t="s">
        <v>4560</v>
      </c>
      <c r="W2160" t="s">
        <v>4561</v>
      </c>
      <c r="X2160" t="b">
        <v>0</v>
      </c>
      <c r="Y2160" t="b">
        <v>0</v>
      </c>
    </row>
    <row r="2161" spans="1:25">
      <c r="A2161">
        <v>1000254</v>
      </c>
      <c r="B2161" t="s">
        <v>4061</v>
      </c>
      <c r="C2161" t="s">
        <v>4562</v>
      </c>
      <c r="D2161" t="s">
        <v>1292</v>
      </c>
      <c r="E2161">
        <v>1000254</v>
      </c>
      <c r="F2161" t="s">
        <v>1292</v>
      </c>
      <c r="G2161">
        <v>0</v>
      </c>
      <c r="H2161" t="s">
        <v>1292</v>
      </c>
      <c r="I2161">
        <v>0</v>
      </c>
      <c r="J2161" t="s">
        <v>1292</v>
      </c>
      <c r="K2161">
        <v>0</v>
      </c>
      <c r="L2161" t="s">
        <v>1292</v>
      </c>
      <c r="M2161">
        <v>0</v>
      </c>
      <c r="N2161" t="s">
        <v>1292</v>
      </c>
      <c r="O2161">
        <v>0</v>
      </c>
      <c r="P2161" t="s">
        <v>1895</v>
      </c>
      <c r="Q2161" s="1">
        <v>25114</v>
      </c>
      <c r="R2161">
        <v>25.7</v>
      </c>
      <c r="S2161" s="2">
        <v>0</v>
      </c>
      <c r="T2161">
        <v>1.0118055555555556</v>
      </c>
      <c r="U2161" s="2">
        <v>0.43</v>
      </c>
      <c r="V2161" t="s">
        <v>4562</v>
      </c>
      <c r="W2161" t="s">
        <v>4563</v>
      </c>
      <c r="X2161" t="b">
        <v>0</v>
      </c>
      <c r="Y2161" t="b">
        <v>0</v>
      </c>
    </row>
    <row r="2162" spans="1:25">
      <c r="A2162">
        <v>1000255</v>
      </c>
      <c r="B2162" t="s">
        <v>4061</v>
      </c>
      <c r="C2162" t="s">
        <v>4564</v>
      </c>
      <c r="D2162" t="s">
        <v>1292</v>
      </c>
      <c r="E2162">
        <v>1000255</v>
      </c>
      <c r="F2162" t="s">
        <v>1292</v>
      </c>
      <c r="G2162">
        <v>0</v>
      </c>
      <c r="H2162" t="s">
        <v>1292</v>
      </c>
      <c r="I2162">
        <v>0</v>
      </c>
      <c r="J2162" t="s">
        <v>1292</v>
      </c>
      <c r="K2162">
        <v>0</v>
      </c>
      <c r="L2162" t="s">
        <v>1292</v>
      </c>
      <c r="M2162">
        <v>0</v>
      </c>
      <c r="N2162" t="s">
        <v>1292</v>
      </c>
      <c r="O2162">
        <v>0</v>
      </c>
      <c r="P2162" t="s">
        <v>1895</v>
      </c>
      <c r="Q2162" s="1">
        <v>25099</v>
      </c>
      <c r="R2162">
        <v>19.2</v>
      </c>
      <c r="S2162" s="2">
        <v>0</v>
      </c>
      <c r="T2162" t="s">
        <v>105</v>
      </c>
      <c r="U2162" s="2">
        <v>0.42</v>
      </c>
      <c r="V2162" t="s">
        <v>4564</v>
      </c>
      <c r="W2162" t="s">
        <v>4565</v>
      </c>
      <c r="X2162" t="b">
        <v>0</v>
      </c>
      <c r="Y2162" t="b">
        <v>0</v>
      </c>
    </row>
    <row r="2163" spans="1:25">
      <c r="A2163">
        <v>1000256</v>
      </c>
      <c r="B2163" t="s">
        <v>4061</v>
      </c>
      <c r="C2163" t="s">
        <v>4566</v>
      </c>
      <c r="D2163" t="s">
        <v>1292</v>
      </c>
      <c r="E2163">
        <v>1000256</v>
      </c>
      <c r="F2163" t="s">
        <v>1292</v>
      </c>
      <c r="G2163">
        <v>0</v>
      </c>
      <c r="H2163" t="s">
        <v>1292</v>
      </c>
      <c r="I2163">
        <v>0</v>
      </c>
      <c r="J2163" t="s">
        <v>1292</v>
      </c>
      <c r="K2163">
        <v>0</v>
      </c>
      <c r="L2163" t="s">
        <v>1292</v>
      </c>
      <c r="M2163">
        <v>0</v>
      </c>
      <c r="N2163" t="s">
        <v>1292</v>
      </c>
      <c r="O2163">
        <v>0</v>
      </c>
      <c r="P2163" t="s">
        <v>4144</v>
      </c>
      <c r="Q2163" s="1">
        <v>1804</v>
      </c>
      <c r="R2163">
        <v>15.8</v>
      </c>
      <c r="S2163" s="2">
        <v>0.02</v>
      </c>
      <c r="T2163" s="3">
        <v>2.0770833333333334</v>
      </c>
      <c r="U2163" t="s">
        <v>1292</v>
      </c>
      <c r="V2163" t="s">
        <v>4566</v>
      </c>
      <c r="W2163" t="s">
        <v>4567</v>
      </c>
      <c r="X2163" t="b">
        <v>0</v>
      </c>
      <c r="Y2163" t="b">
        <v>0</v>
      </c>
    </row>
    <row r="2164" spans="1:25">
      <c r="A2164">
        <v>1000257</v>
      </c>
      <c r="B2164" t="s">
        <v>4061</v>
      </c>
      <c r="C2164" t="s">
        <v>4568</v>
      </c>
      <c r="D2164" t="s">
        <v>1292</v>
      </c>
      <c r="E2164">
        <v>1000257</v>
      </c>
      <c r="F2164" t="s">
        <v>1292</v>
      </c>
      <c r="G2164">
        <v>0</v>
      </c>
      <c r="H2164" t="s">
        <v>1292</v>
      </c>
      <c r="I2164">
        <v>0</v>
      </c>
      <c r="J2164" t="s">
        <v>1292</v>
      </c>
      <c r="K2164">
        <v>0</v>
      </c>
      <c r="L2164" t="s">
        <v>1292</v>
      </c>
      <c r="M2164">
        <v>0</v>
      </c>
      <c r="N2164" t="s">
        <v>1292</v>
      </c>
      <c r="O2164">
        <v>0</v>
      </c>
      <c r="P2164" t="s">
        <v>4144</v>
      </c>
      <c r="Q2164" s="1">
        <v>15621</v>
      </c>
      <c r="R2164">
        <v>25.1</v>
      </c>
      <c r="S2164" s="2">
        <v>0</v>
      </c>
      <c r="T2164">
        <v>0.88888888888888884</v>
      </c>
      <c r="U2164" t="s">
        <v>1292</v>
      </c>
      <c r="V2164" t="s">
        <v>4568</v>
      </c>
      <c r="W2164" t="s">
        <v>4569</v>
      </c>
      <c r="X2164" t="b">
        <v>0</v>
      </c>
      <c r="Y2164" t="b">
        <v>0</v>
      </c>
    </row>
    <row r="2165" spans="1:25">
      <c r="A2165">
        <v>1000258</v>
      </c>
      <c r="B2165" t="s">
        <v>4061</v>
      </c>
      <c r="C2165" t="s">
        <v>4570</v>
      </c>
      <c r="D2165" t="s">
        <v>1292</v>
      </c>
      <c r="E2165">
        <v>1000258</v>
      </c>
      <c r="F2165" t="s">
        <v>1292</v>
      </c>
      <c r="G2165">
        <v>0</v>
      </c>
      <c r="H2165" t="s">
        <v>1292</v>
      </c>
      <c r="I2165">
        <v>0</v>
      </c>
      <c r="J2165" t="s">
        <v>1292</v>
      </c>
      <c r="K2165">
        <v>0</v>
      </c>
      <c r="L2165" t="s">
        <v>1292</v>
      </c>
      <c r="M2165">
        <v>0</v>
      </c>
      <c r="N2165" t="s">
        <v>1292</v>
      </c>
      <c r="O2165">
        <v>0</v>
      </c>
      <c r="P2165" t="s">
        <v>4144</v>
      </c>
      <c r="Q2165" s="1">
        <v>18359</v>
      </c>
      <c r="R2165">
        <v>20</v>
      </c>
      <c r="S2165" s="2">
        <v>0.01</v>
      </c>
      <c r="T2165" s="3">
        <v>2.6097222222222221</v>
      </c>
      <c r="U2165" s="2">
        <v>0.21</v>
      </c>
      <c r="V2165" t="s">
        <v>4570</v>
      </c>
      <c r="W2165" t="s">
        <v>4571</v>
      </c>
      <c r="X2165" t="b">
        <v>0</v>
      </c>
      <c r="Y2165" t="b">
        <v>0</v>
      </c>
    </row>
    <row r="2166" spans="1:25">
      <c r="A2166">
        <v>1000259</v>
      </c>
      <c r="B2166" t="s">
        <v>4061</v>
      </c>
      <c r="C2166" t="s">
        <v>4572</v>
      </c>
      <c r="D2166" t="s">
        <v>1292</v>
      </c>
      <c r="E2166">
        <v>1000259</v>
      </c>
      <c r="F2166" t="s">
        <v>1292</v>
      </c>
      <c r="G2166">
        <v>0</v>
      </c>
      <c r="H2166" t="s">
        <v>1292</v>
      </c>
      <c r="I2166">
        <v>0</v>
      </c>
      <c r="J2166" t="s">
        <v>1292</v>
      </c>
      <c r="K2166">
        <v>0</v>
      </c>
      <c r="L2166" t="s">
        <v>1292</v>
      </c>
      <c r="M2166">
        <v>0</v>
      </c>
      <c r="N2166" t="s">
        <v>1292</v>
      </c>
      <c r="O2166">
        <v>0</v>
      </c>
      <c r="P2166" t="s">
        <v>1093</v>
      </c>
      <c r="Q2166" s="1">
        <v>10313</v>
      </c>
      <c r="R2166">
        <v>8.4</v>
      </c>
      <c r="S2166" s="2">
        <v>0.02</v>
      </c>
      <c r="T2166" s="3">
        <v>2.5277777777777777</v>
      </c>
      <c r="U2166" s="2">
        <v>0.14000000000000001</v>
      </c>
      <c r="V2166" t="s">
        <v>4572</v>
      </c>
      <c r="W2166" t="s">
        <v>4573</v>
      </c>
      <c r="X2166" t="b">
        <v>0</v>
      </c>
      <c r="Y2166" t="b">
        <v>0</v>
      </c>
    </row>
    <row r="2167" spans="1:25">
      <c r="A2167">
        <v>1000260</v>
      </c>
      <c r="B2167" t="s">
        <v>4061</v>
      </c>
      <c r="C2167" t="s">
        <v>4574</v>
      </c>
      <c r="D2167" t="s">
        <v>1292</v>
      </c>
      <c r="E2167">
        <v>1000260</v>
      </c>
      <c r="F2167" t="s">
        <v>1292</v>
      </c>
      <c r="G2167">
        <v>0</v>
      </c>
      <c r="H2167" t="s">
        <v>1292</v>
      </c>
      <c r="I2167">
        <v>0</v>
      </c>
      <c r="J2167" t="s">
        <v>1292</v>
      </c>
      <c r="K2167">
        <v>0</v>
      </c>
      <c r="L2167" t="s">
        <v>1292</v>
      </c>
      <c r="M2167">
        <v>0</v>
      </c>
      <c r="N2167" t="s">
        <v>1292</v>
      </c>
      <c r="O2167">
        <v>0</v>
      </c>
      <c r="P2167" t="s">
        <v>1102</v>
      </c>
      <c r="Q2167" s="1">
        <v>5340</v>
      </c>
      <c r="R2167">
        <v>18.3</v>
      </c>
      <c r="S2167" s="2">
        <v>0</v>
      </c>
      <c r="T2167" s="3">
        <v>1.9541666666666666</v>
      </c>
      <c r="U2167" t="s">
        <v>1292</v>
      </c>
      <c r="V2167" t="s">
        <v>4574</v>
      </c>
      <c r="W2167" t="s">
        <v>4575</v>
      </c>
      <c r="X2167" t="b">
        <v>0</v>
      </c>
      <c r="Y2167" t="b">
        <v>0</v>
      </c>
    </row>
    <row r="2168" spans="1:25">
      <c r="A2168">
        <v>1000261</v>
      </c>
      <c r="B2168" t="s">
        <v>4061</v>
      </c>
      <c r="C2168" t="s">
        <v>4576</v>
      </c>
      <c r="D2168" t="s">
        <v>1292</v>
      </c>
      <c r="E2168">
        <v>1000261</v>
      </c>
      <c r="F2168" t="s">
        <v>1292</v>
      </c>
      <c r="G2168">
        <v>0</v>
      </c>
      <c r="H2168" t="s">
        <v>1292</v>
      </c>
      <c r="I2168">
        <v>0</v>
      </c>
      <c r="J2168" t="s">
        <v>1292</v>
      </c>
      <c r="K2168">
        <v>0</v>
      </c>
      <c r="L2168" t="s">
        <v>1292</v>
      </c>
      <c r="M2168">
        <v>0</v>
      </c>
      <c r="N2168" t="s">
        <v>1292</v>
      </c>
      <c r="O2168">
        <v>0</v>
      </c>
      <c r="P2168" t="s">
        <v>1895</v>
      </c>
      <c r="Q2168" s="1">
        <v>1376</v>
      </c>
      <c r="R2168">
        <v>10.7</v>
      </c>
      <c r="S2168" s="2">
        <v>0</v>
      </c>
      <c r="T2168" s="3">
        <v>2.4868055555555557</v>
      </c>
      <c r="U2168" s="2">
        <v>0.28999999999999998</v>
      </c>
      <c r="V2168" t="s">
        <v>4576</v>
      </c>
      <c r="W2168" t="s">
        <v>4577</v>
      </c>
      <c r="X2168" t="b">
        <v>0</v>
      </c>
      <c r="Y2168" t="b">
        <v>0</v>
      </c>
    </row>
    <row r="2169" spans="1:25">
      <c r="A2169">
        <v>1000262</v>
      </c>
      <c r="B2169" t="s">
        <v>4061</v>
      </c>
      <c r="C2169" t="s">
        <v>4578</v>
      </c>
      <c r="D2169" t="s">
        <v>1292</v>
      </c>
      <c r="E2169">
        <v>1000262</v>
      </c>
      <c r="F2169" t="s">
        <v>1292</v>
      </c>
      <c r="G2169">
        <v>0</v>
      </c>
      <c r="H2169" t="s">
        <v>1292</v>
      </c>
      <c r="I2169">
        <v>0</v>
      </c>
      <c r="J2169" t="s">
        <v>1292</v>
      </c>
      <c r="K2169">
        <v>0</v>
      </c>
      <c r="L2169" t="s">
        <v>1292</v>
      </c>
      <c r="M2169">
        <v>0</v>
      </c>
      <c r="N2169" t="s">
        <v>1292</v>
      </c>
      <c r="O2169">
        <v>0</v>
      </c>
      <c r="P2169" t="s">
        <v>577</v>
      </c>
      <c r="Q2169" s="1">
        <v>47750</v>
      </c>
      <c r="R2169">
        <v>107.3</v>
      </c>
      <c r="S2169" s="2">
        <v>0</v>
      </c>
      <c r="T2169" s="3">
        <v>2.4048611111111109</v>
      </c>
      <c r="U2169" s="2">
        <v>0.21</v>
      </c>
      <c r="V2169" t="s">
        <v>4578</v>
      </c>
      <c r="W2169" t="s">
        <v>4579</v>
      </c>
      <c r="X2169" t="b">
        <v>0</v>
      </c>
      <c r="Y2169" t="b">
        <v>0</v>
      </c>
    </row>
    <row r="2170" spans="1:25">
      <c r="A2170">
        <v>1000263</v>
      </c>
      <c r="B2170" t="s">
        <v>4061</v>
      </c>
      <c r="C2170" t="s">
        <v>4580</v>
      </c>
      <c r="D2170" t="s">
        <v>1292</v>
      </c>
      <c r="E2170">
        <v>1000263</v>
      </c>
      <c r="F2170" t="s">
        <v>1292</v>
      </c>
      <c r="G2170">
        <v>0</v>
      </c>
      <c r="H2170" t="s">
        <v>1292</v>
      </c>
      <c r="I2170">
        <v>0</v>
      </c>
      <c r="J2170" t="s">
        <v>1292</v>
      </c>
      <c r="K2170">
        <v>0</v>
      </c>
      <c r="L2170" t="s">
        <v>1292</v>
      </c>
      <c r="M2170">
        <v>0</v>
      </c>
      <c r="N2170" t="s">
        <v>1292</v>
      </c>
      <c r="O2170">
        <v>0</v>
      </c>
      <c r="P2170" t="s">
        <v>2672</v>
      </c>
      <c r="Q2170" s="1">
        <v>6304</v>
      </c>
      <c r="R2170">
        <v>11.2</v>
      </c>
      <c r="S2170" s="2">
        <v>0.11</v>
      </c>
      <c r="T2170" s="3">
        <v>2.1590277777777778</v>
      </c>
      <c r="U2170" s="2">
        <v>0.3</v>
      </c>
      <c r="V2170" t="s">
        <v>4580</v>
      </c>
      <c r="W2170" t="s">
        <v>4581</v>
      </c>
      <c r="X2170" t="b">
        <v>0</v>
      </c>
      <c r="Y2170" t="b">
        <v>0</v>
      </c>
    </row>
    <row r="2171" spans="1:25">
      <c r="A2171">
        <v>1000264</v>
      </c>
      <c r="B2171" t="s">
        <v>4061</v>
      </c>
      <c r="C2171" t="s">
        <v>4582</v>
      </c>
      <c r="D2171" t="s">
        <v>1292</v>
      </c>
      <c r="E2171">
        <v>1000264</v>
      </c>
      <c r="F2171" t="s">
        <v>1292</v>
      </c>
      <c r="G2171">
        <v>0</v>
      </c>
      <c r="H2171" t="s">
        <v>1292</v>
      </c>
      <c r="I2171">
        <v>0</v>
      </c>
      <c r="J2171" t="s">
        <v>1292</v>
      </c>
      <c r="K2171">
        <v>0</v>
      </c>
      <c r="L2171" t="s">
        <v>1292</v>
      </c>
      <c r="M2171">
        <v>0</v>
      </c>
      <c r="N2171" t="s">
        <v>1292</v>
      </c>
      <c r="O2171">
        <v>0</v>
      </c>
      <c r="P2171" t="s">
        <v>94</v>
      </c>
      <c r="Q2171" s="1">
        <v>3298</v>
      </c>
      <c r="R2171">
        <v>8.3000000000000007</v>
      </c>
      <c r="S2171" s="2">
        <v>0.02</v>
      </c>
      <c r="U2171" s="2">
        <v>0.39</v>
      </c>
      <c r="V2171" t="s">
        <v>4582</v>
      </c>
      <c r="W2171" t="s">
        <v>4583</v>
      </c>
      <c r="X2171" t="b">
        <v>0</v>
      </c>
      <c r="Y2171" t="b">
        <v>0</v>
      </c>
    </row>
    <row r="2172" spans="1:25">
      <c r="A2172">
        <v>1000265</v>
      </c>
      <c r="B2172" t="s">
        <v>4061</v>
      </c>
      <c r="C2172" t="s">
        <v>4584</v>
      </c>
      <c r="D2172" t="s">
        <v>1292</v>
      </c>
      <c r="E2172">
        <v>1000265</v>
      </c>
      <c r="F2172" t="s">
        <v>1292</v>
      </c>
      <c r="G2172">
        <v>0</v>
      </c>
      <c r="H2172" t="s">
        <v>1292</v>
      </c>
      <c r="I2172">
        <v>0</v>
      </c>
      <c r="J2172" t="s">
        <v>1292</v>
      </c>
      <c r="K2172">
        <v>0</v>
      </c>
      <c r="L2172" t="s">
        <v>1292</v>
      </c>
      <c r="M2172">
        <v>0</v>
      </c>
      <c r="N2172" t="s">
        <v>1292</v>
      </c>
      <c r="O2172">
        <v>0</v>
      </c>
      <c r="P2172" t="s">
        <v>1483</v>
      </c>
      <c r="Q2172" s="1">
        <v>8471</v>
      </c>
      <c r="R2172">
        <v>9.9</v>
      </c>
      <c r="S2172" s="2">
        <v>0.11</v>
      </c>
      <c r="T2172" s="3">
        <v>1.83125</v>
      </c>
      <c r="U2172" s="2">
        <v>0.36</v>
      </c>
      <c r="V2172" t="s">
        <v>4584</v>
      </c>
      <c r="W2172" t="s">
        <v>4585</v>
      </c>
      <c r="X2172" t="b">
        <v>0</v>
      </c>
      <c r="Y2172" t="b">
        <v>0</v>
      </c>
    </row>
    <row r="2173" spans="1:25">
      <c r="A2173">
        <v>1000266</v>
      </c>
      <c r="B2173" t="s">
        <v>4061</v>
      </c>
      <c r="C2173" t="s">
        <v>4586</v>
      </c>
      <c r="D2173" t="s">
        <v>1292</v>
      </c>
      <c r="E2173">
        <v>1000266</v>
      </c>
      <c r="F2173" t="s">
        <v>1292</v>
      </c>
      <c r="G2173">
        <v>0</v>
      </c>
      <c r="H2173" t="s">
        <v>1292</v>
      </c>
      <c r="I2173">
        <v>0</v>
      </c>
      <c r="J2173" t="s">
        <v>1292</v>
      </c>
      <c r="K2173">
        <v>0</v>
      </c>
      <c r="L2173" t="s">
        <v>1292</v>
      </c>
      <c r="M2173">
        <v>0</v>
      </c>
      <c r="N2173" t="s">
        <v>1292</v>
      </c>
      <c r="O2173">
        <v>0</v>
      </c>
      <c r="P2173" t="s">
        <v>2171</v>
      </c>
      <c r="Q2173" s="1">
        <v>7808</v>
      </c>
      <c r="R2173">
        <v>15.4</v>
      </c>
      <c r="S2173" s="2">
        <v>0</v>
      </c>
      <c r="T2173">
        <v>0.47916666666666669</v>
      </c>
      <c r="U2173" s="2">
        <v>0.32</v>
      </c>
      <c r="V2173" t="s">
        <v>4586</v>
      </c>
      <c r="W2173" t="s">
        <v>4587</v>
      </c>
      <c r="X2173" t="b">
        <v>0</v>
      </c>
      <c r="Y2173" t="b">
        <v>0</v>
      </c>
    </row>
    <row r="2174" spans="1:25">
      <c r="A2174">
        <v>1000267</v>
      </c>
      <c r="B2174" t="s">
        <v>4061</v>
      </c>
      <c r="C2174" t="s">
        <v>4588</v>
      </c>
      <c r="D2174" t="s">
        <v>1292</v>
      </c>
      <c r="E2174">
        <v>1000267</v>
      </c>
      <c r="F2174" t="s">
        <v>1292</v>
      </c>
      <c r="G2174">
        <v>0</v>
      </c>
      <c r="H2174" t="s">
        <v>1292</v>
      </c>
      <c r="I2174">
        <v>0</v>
      </c>
      <c r="J2174" t="s">
        <v>1292</v>
      </c>
      <c r="K2174">
        <v>0</v>
      </c>
      <c r="L2174" t="s">
        <v>1292</v>
      </c>
      <c r="M2174">
        <v>0</v>
      </c>
      <c r="N2174" t="s">
        <v>1292</v>
      </c>
      <c r="O2174">
        <v>0</v>
      </c>
      <c r="P2174" t="s">
        <v>528</v>
      </c>
      <c r="Q2174" s="1">
        <v>6239</v>
      </c>
      <c r="R2174">
        <v>63</v>
      </c>
      <c r="S2174" s="2">
        <v>0</v>
      </c>
      <c r="T2174" s="3">
        <v>2.2409722222222221</v>
      </c>
      <c r="U2174" t="s">
        <v>1292</v>
      </c>
      <c r="V2174" t="s">
        <v>4588</v>
      </c>
      <c r="W2174" t="s">
        <v>4589</v>
      </c>
      <c r="X2174" t="b">
        <v>0</v>
      </c>
      <c r="Y2174" t="b">
        <v>0</v>
      </c>
    </row>
    <row r="2175" spans="1:25">
      <c r="A2175">
        <v>1000268</v>
      </c>
      <c r="B2175" t="s">
        <v>4061</v>
      </c>
      <c r="C2175" t="s">
        <v>4590</v>
      </c>
      <c r="D2175" t="s">
        <v>1292</v>
      </c>
      <c r="E2175">
        <v>1000268</v>
      </c>
      <c r="F2175" t="s">
        <v>1292</v>
      </c>
      <c r="G2175">
        <v>0</v>
      </c>
      <c r="H2175" t="s">
        <v>1292</v>
      </c>
      <c r="I2175">
        <v>0</v>
      </c>
      <c r="J2175" t="s">
        <v>1292</v>
      </c>
      <c r="K2175">
        <v>0</v>
      </c>
      <c r="L2175" t="s">
        <v>1292</v>
      </c>
      <c r="M2175">
        <v>0</v>
      </c>
      <c r="N2175" t="s">
        <v>1292</v>
      </c>
      <c r="O2175">
        <v>0</v>
      </c>
      <c r="P2175" t="s">
        <v>2157</v>
      </c>
      <c r="Q2175" s="1">
        <v>4248</v>
      </c>
      <c r="R2175">
        <v>9.9</v>
      </c>
      <c r="S2175" s="2">
        <v>0</v>
      </c>
      <c r="T2175" s="3">
        <v>2.8965277777777776</v>
      </c>
      <c r="U2175" t="s">
        <v>1292</v>
      </c>
      <c r="V2175" t="s">
        <v>4590</v>
      </c>
      <c r="W2175" t="s">
        <v>4591</v>
      </c>
      <c r="X2175" t="b">
        <v>0</v>
      </c>
      <c r="Y2175" t="b">
        <v>0</v>
      </c>
    </row>
    <row r="2176" spans="1:25">
      <c r="A2176">
        <v>1000269</v>
      </c>
      <c r="B2176" t="s">
        <v>4061</v>
      </c>
      <c r="C2176" t="s">
        <v>4592</v>
      </c>
      <c r="D2176" t="s">
        <v>1292</v>
      </c>
      <c r="E2176">
        <v>1000269</v>
      </c>
      <c r="F2176" t="s">
        <v>1292</v>
      </c>
      <c r="G2176">
        <v>0</v>
      </c>
      <c r="H2176" t="s">
        <v>1292</v>
      </c>
      <c r="I2176">
        <v>0</v>
      </c>
      <c r="J2176" t="s">
        <v>1292</v>
      </c>
      <c r="K2176">
        <v>0</v>
      </c>
      <c r="L2176" t="s">
        <v>1292</v>
      </c>
      <c r="M2176">
        <v>0</v>
      </c>
      <c r="N2176" t="s">
        <v>1292</v>
      </c>
      <c r="O2176">
        <v>0</v>
      </c>
      <c r="P2176" t="s">
        <v>2275</v>
      </c>
      <c r="Q2176" s="1">
        <v>5405</v>
      </c>
      <c r="R2176">
        <v>16.7</v>
      </c>
      <c r="S2176" s="2">
        <v>0.02</v>
      </c>
      <c r="T2176" s="3">
        <v>2.1590277777777778</v>
      </c>
      <c r="U2176" s="2">
        <v>0.22</v>
      </c>
      <c r="V2176" t="s">
        <v>4592</v>
      </c>
      <c r="W2176" t="s">
        <v>4593</v>
      </c>
      <c r="X2176" t="b">
        <v>0</v>
      </c>
      <c r="Y2176" t="b">
        <v>0</v>
      </c>
    </row>
    <row r="2177" spans="1:25">
      <c r="A2177">
        <v>1000270</v>
      </c>
      <c r="B2177" t="s">
        <v>4061</v>
      </c>
      <c r="C2177" t="s">
        <v>4594</v>
      </c>
      <c r="D2177" t="s">
        <v>1292</v>
      </c>
      <c r="E2177">
        <v>1000270</v>
      </c>
      <c r="F2177" t="s">
        <v>1292</v>
      </c>
      <c r="G2177">
        <v>0</v>
      </c>
      <c r="H2177" t="s">
        <v>1292</v>
      </c>
      <c r="I2177">
        <v>0</v>
      </c>
      <c r="J2177" t="s">
        <v>1292</v>
      </c>
      <c r="K2177">
        <v>0</v>
      </c>
      <c r="L2177" t="s">
        <v>1292</v>
      </c>
      <c r="M2177">
        <v>0</v>
      </c>
      <c r="N2177" t="s">
        <v>1292</v>
      </c>
      <c r="O2177">
        <v>0</v>
      </c>
      <c r="P2177" t="s">
        <v>2290</v>
      </c>
      <c r="Q2177" s="1">
        <v>15228</v>
      </c>
      <c r="R2177">
        <v>29.5</v>
      </c>
      <c r="S2177" s="2">
        <v>0</v>
      </c>
      <c r="T2177" s="3">
        <v>2.036111111111111</v>
      </c>
      <c r="U2177" s="2">
        <v>0.31</v>
      </c>
      <c r="V2177" t="s">
        <v>4594</v>
      </c>
      <c r="W2177" t="s">
        <v>4595</v>
      </c>
      <c r="X2177" t="b">
        <v>0</v>
      </c>
      <c r="Y2177" t="b">
        <v>0</v>
      </c>
    </row>
    <row r="2178" spans="1:25">
      <c r="A2178">
        <v>1000271</v>
      </c>
      <c r="B2178" t="s">
        <v>4061</v>
      </c>
      <c r="C2178" t="s">
        <v>4596</v>
      </c>
      <c r="D2178" t="s">
        <v>1292</v>
      </c>
      <c r="E2178">
        <v>1000271</v>
      </c>
      <c r="F2178" t="s">
        <v>1292</v>
      </c>
      <c r="G2178">
        <v>0</v>
      </c>
      <c r="H2178" t="s">
        <v>1292</v>
      </c>
      <c r="I2178">
        <v>0</v>
      </c>
      <c r="J2178" t="s">
        <v>1292</v>
      </c>
      <c r="K2178">
        <v>0</v>
      </c>
      <c r="L2178" t="s">
        <v>1292</v>
      </c>
      <c r="M2178">
        <v>0</v>
      </c>
      <c r="N2178" t="s">
        <v>1292</v>
      </c>
      <c r="O2178">
        <v>0</v>
      </c>
      <c r="P2178" t="s">
        <v>1102</v>
      </c>
      <c r="Q2178" s="1">
        <v>2075</v>
      </c>
      <c r="R2178">
        <v>18.7</v>
      </c>
      <c r="S2178" s="2">
        <v>0</v>
      </c>
      <c r="T2178">
        <v>0.56111111111111112</v>
      </c>
      <c r="U2178" s="2">
        <v>0.41</v>
      </c>
      <c r="V2178" t="s">
        <v>4596</v>
      </c>
      <c r="W2178" t="s">
        <v>4597</v>
      </c>
      <c r="X2178" t="b">
        <v>0</v>
      </c>
      <c r="Y2178" t="b">
        <v>0</v>
      </c>
    </row>
    <row r="2179" spans="1:25">
      <c r="A2179">
        <v>1000272</v>
      </c>
      <c r="B2179" t="s">
        <v>4061</v>
      </c>
      <c r="C2179" t="s">
        <v>4598</v>
      </c>
      <c r="D2179" t="s">
        <v>1292</v>
      </c>
      <c r="E2179">
        <v>1000272</v>
      </c>
      <c r="F2179" t="s">
        <v>1292</v>
      </c>
      <c r="G2179">
        <v>0</v>
      </c>
      <c r="H2179" t="s">
        <v>1292</v>
      </c>
      <c r="I2179">
        <v>0</v>
      </c>
      <c r="J2179" t="s">
        <v>1292</v>
      </c>
      <c r="K2179">
        <v>0</v>
      </c>
      <c r="L2179" t="s">
        <v>1292</v>
      </c>
      <c r="M2179">
        <v>0</v>
      </c>
      <c r="N2179" t="s">
        <v>1292</v>
      </c>
      <c r="O2179">
        <v>0</v>
      </c>
      <c r="P2179" t="s">
        <v>26</v>
      </c>
      <c r="Q2179" s="1">
        <v>2260</v>
      </c>
      <c r="R2179">
        <v>15.6</v>
      </c>
      <c r="S2179" s="2">
        <v>0.41</v>
      </c>
      <c r="T2179" s="3">
        <v>2.8145833333333332</v>
      </c>
      <c r="U2179" s="2">
        <v>0.32</v>
      </c>
      <c r="V2179" t="s">
        <v>4598</v>
      </c>
      <c r="W2179" t="s">
        <v>4599</v>
      </c>
      <c r="X2179" t="b">
        <v>0</v>
      </c>
      <c r="Y2179" t="b">
        <v>0</v>
      </c>
    </row>
    <row r="2180" spans="1:25">
      <c r="A2180">
        <v>1000273</v>
      </c>
      <c r="B2180" t="s">
        <v>4061</v>
      </c>
      <c r="C2180" t="s">
        <v>4600</v>
      </c>
      <c r="D2180" t="s">
        <v>1292</v>
      </c>
      <c r="E2180">
        <v>1000273</v>
      </c>
      <c r="F2180" t="s">
        <v>1292</v>
      </c>
      <c r="G2180">
        <v>0</v>
      </c>
      <c r="H2180" t="s">
        <v>1292</v>
      </c>
      <c r="I2180">
        <v>0</v>
      </c>
      <c r="J2180" t="s">
        <v>1292</v>
      </c>
      <c r="K2180">
        <v>0</v>
      </c>
      <c r="L2180" t="s">
        <v>1292</v>
      </c>
      <c r="M2180">
        <v>0</v>
      </c>
      <c r="N2180" t="s">
        <v>1292</v>
      </c>
      <c r="O2180">
        <v>0</v>
      </c>
      <c r="P2180" t="s">
        <v>2672</v>
      </c>
      <c r="Q2180" s="1">
        <v>3496</v>
      </c>
      <c r="R2180">
        <v>8.3000000000000007</v>
      </c>
      <c r="S2180" s="2">
        <v>0.24</v>
      </c>
      <c r="T2180" s="3">
        <v>2.9375</v>
      </c>
      <c r="U2180" s="2">
        <v>0.09</v>
      </c>
      <c r="V2180" t="s">
        <v>4600</v>
      </c>
      <c r="W2180" t="s">
        <v>1408</v>
      </c>
      <c r="X2180" t="b">
        <v>0</v>
      </c>
      <c r="Y2180" t="b">
        <v>0</v>
      </c>
    </row>
    <row r="2181" spans="1:25">
      <c r="A2181">
        <v>1000274</v>
      </c>
      <c r="B2181" t="s">
        <v>4061</v>
      </c>
      <c r="C2181" t="s">
        <v>4601</v>
      </c>
      <c r="D2181" t="s">
        <v>1292</v>
      </c>
      <c r="E2181">
        <v>1000274</v>
      </c>
      <c r="F2181" t="s">
        <v>1292</v>
      </c>
      <c r="G2181">
        <v>0</v>
      </c>
      <c r="H2181" t="s">
        <v>1292</v>
      </c>
      <c r="I2181">
        <v>0</v>
      </c>
      <c r="J2181" t="s">
        <v>1292</v>
      </c>
      <c r="K2181">
        <v>0</v>
      </c>
      <c r="L2181" t="s">
        <v>1292</v>
      </c>
      <c r="M2181">
        <v>0</v>
      </c>
      <c r="N2181" t="s">
        <v>1292</v>
      </c>
      <c r="O2181">
        <v>0</v>
      </c>
      <c r="P2181" t="s">
        <v>1102</v>
      </c>
      <c r="Q2181" s="1">
        <v>6055</v>
      </c>
      <c r="R2181">
        <v>68.8</v>
      </c>
      <c r="S2181" s="2">
        <v>0</v>
      </c>
      <c r="T2181" s="3">
        <v>4.166666666666667</v>
      </c>
      <c r="U2181" s="2">
        <v>0.32</v>
      </c>
      <c r="V2181" t="s">
        <v>4601</v>
      </c>
      <c r="W2181" t="s">
        <v>4602</v>
      </c>
      <c r="X2181" t="b">
        <v>0</v>
      </c>
      <c r="Y2181" t="b">
        <v>0</v>
      </c>
    </row>
    <row r="2182" spans="1:25">
      <c r="A2182">
        <v>1000275</v>
      </c>
      <c r="B2182" t="s">
        <v>4061</v>
      </c>
      <c r="C2182" t="s">
        <v>4603</v>
      </c>
      <c r="D2182" t="s">
        <v>1292</v>
      </c>
      <c r="E2182">
        <v>1000275</v>
      </c>
      <c r="F2182" t="s">
        <v>1292</v>
      </c>
      <c r="G2182">
        <v>0</v>
      </c>
      <c r="H2182" t="s">
        <v>1292</v>
      </c>
      <c r="I2182">
        <v>0</v>
      </c>
      <c r="J2182" t="s">
        <v>1292</v>
      </c>
      <c r="K2182">
        <v>0</v>
      </c>
      <c r="L2182" t="s">
        <v>1292</v>
      </c>
      <c r="M2182">
        <v>0</v>
      </c>
      <c r="N2182" t="s">
        <v>1292</v>
      </c>
      <c r="O2182">
        <v>0</v>
      </c>
      <c r="P2182" t="s">
        <v>1102</v>
      </c>
      <c r="Q2182" s="1">
        <v>14123</v>
      </c>
      <c r="R2182">
        <v>56.3</v>
      </c>
      <c r="S2182" s="2">
        <v>0</v>
      </c>
      <c r="T2182" s="3">
        <v>4.166666666666667</v>
      </c>
      <c r="U2182" s="2">
        <v>0.31</v>
      </c>
      <c r="V2182" t="s">
        <v>4603</v>
      </c>
      <c r="W2182" t="s">
        <v>4604</v>
      </c>
      <c r="X2182" t="b">
        <v>0</v>
      </c>
      <c r="Y2182" t="b">
        <v>0</v>
      </c>
    </row>
    <row r="2183" spans="1:25">
      <c r="A2183">
        <v>1000276</v>
      </c>
      <c r="B2183" t="s">
        <v>4061</v>
      </c>
      <c r="C2183" t="s">
        <v>4605</v>
      </c>
      <c r="D2183" t="s">
        <v>1292</v>
      </c>
      <c r="E2183">
        <v>1000276</v>
      </c>
      <c r="F2183" t="s">
        <v>1292</v>
      </c>
      <c r="G2183">
        <v>0</v>
      </c>
      <c r="H2183" t="s">
        <v>1292</v>
      </c>
      <c r="I2183">
        <v>0</v>
      </c>
      <c r="J2183" t="s">
        <v>1292</v>
      </c>
      <c r="K2183">
        <v>0</v>
      </c>
      <c r="L2183" t="s">
        <v>1292</v>
      </c>
      <c r="M2183">
        <v>0</v>
      </c>
      <c r="N2183" t="s">
        <v>1292</v>
      </c>
      <c r="O2183">
        <v>0</v>
      </c>
      <c r="P2183" t="s">
        <v>1102</v>
      </c>
      <c r="Q2183" s="1">
        <v>7275</v>
      </c>
      <c r="R2183">
        <v>36</v>
      </c>
      <c r="S2183" s="2">
        <v>0</v>
      </c>
      <c r="T2183" s="3">
        <v>4.166666666666667</v>
      </c>
      <c r="U2183" t="s">
        <v>1292</v>
      </c>
      <c r="V2183" t="s">
        <v>4605</v>
      </c>
      <c r="W2183" t="s">
        <v>4606</v>
      </c>
      <c r="X2183" t="b">
        <v>0</v>
      </c>
      <c r="Y2183" t="b">
        <v>0</v>
      </c>
    </row>
    <row r="2184" spans="1:25">
      <c r="A2184">
        <v>1000277</v>
      </c>
      <c r="B2184" t="s">
        <v>4061</v>
      </c>
      <c r="C2184" t="s">
        <v>4607</v>
      </c>
      <c r="D2184" t="s">
        <v>1292</v>
      </c>
      <c r="E2184">
        <v>1000277</v>
      </c>
      <c r="F2184" t="s">
        <v>1292</v>
      </c>
      <c r="G2184">
        <v>0</v>
      </c>
      <c r="H2184" t="s">
        <v>1292</v>
      </c>
      <c r="I2184">
        <v>0</v>
      </c>
      <c r="J2184" t="s">
        <v>1292</v>
      </c>
      <c r="K2184">
        <v>0</v>
      </c>
      <c r="L2184" t="s">
        <v>1292</v>
      </c>
      <c r="M2184">
        <v>0</v>
      </c>
      <c r="N2184" t="s">
        <v>1292</v>
      </c>
      <c r="O2184">
        <v>0</v>
      </c>
      <c r="P2184" t="s">
        <v>94</v>
      </c>
      <c r="Q2184">
        <v>543</v>
      </c>
      <c r="R2184">
        <v>0.5</v>
      </c>
      <c r="S2184" s="2">
        <v>0.28999999999999998</v>
      </c>
      <c r="T2184" t="s">
        <v>357</v>
      </c>
      <c r="U2184" s="2">
        <v>0.42</v>
      </c>
      <c r="V2184" t="s">
        <v>4607</v>
      </c>
      <c r="W2184" t="s">
        <v>4608</v>
      </c>
      <c r="X2184" t="b">
        <v>0</v>
      </c>
      <c r="Y2184" t="b">
        <v>0</v>
      </c>
    </row>
    <row r="2185" spans="1:25">
      <c r="A2185">
        <v>1000278</v>
      </c>
      <c r="B2185" t="s">
        <v>4061</v>
      </c>
      <c r="C2185" t="s">
        <v>4609</v>
      </c>
      <c r="D2185" t="s">
        <v>1292</v>
      </c>
      <c r="E2185">
        <v>1000278</v>
      </c>
      <c r="F2185" t="s">
        <v>1292</v>
      </c>
      <c r="G2185">
        <v>0</v>
      </c>
      <c r="H2185" t="s">
        <v>1292</v>
      </c>
      <c r="I2185">
        <v>0</v>
      </c>
      <c r="J2185" t="s">
        <v>1292</v>
      </c>
      <c r="K2185">
        <v>0</v>
      </c>
      <c r="L2185" t="s">
        <v>1292</v>
      </c>
      <c r="M2185">
        <v>0</v>
      </c>
      <c r="N2185" t="s">
        <v>1292</v>
      </c>
      <c r="O2185">
        <v>0</v>
      </c>
      <c r="P2185" t="s">
        <v>26</v>
      </c>
      <c r="Q2185">
        <v>995</v>
      </c>
      <c r="R2185">
        <v>5</v>
      </c>
      <c r="S2185" s="2">
        <v>0.35</v>
      </c>
      <c r="T2185" s="3">
        <v>2.036111111111111</v>
      </c>
      <c r="U2185" s="2">
        <v>0.09</v>
      </c>
      <c r="V2185" t="s">
        <v>4609</v>
      </c>
      <c r="W2185" t="s">
        <v>4415</v>
      </c>
      <c r="X2185" t="b">
        <v>0</v>
      </c>
      <c r="Y2185" t="b">
        <v>0</v>
      </c>
    </row>
    <row r="2186" spans="1:25">
      <c r="A2186">
        <v>1000279</v>
      </c>
      <c r="B2186" t="s">
        <v>4061</v>
      </c>
      <c r="C2186" t="s">
        <v>4610</v>
      </c>
      <c r="D2186" t="s">
        <v>1292</v>
      </c>
      <c r="E2186">
        <v>1000279</v>
      </c>
      <c r="F2186" t="s">
        <v>1292</v>
      </c>
      <c r="G2186">
        <v>0</v>
      </c>
      <c r="H2186" t="s">
        <v>1292</v>
      </c>
      <c r="I2186">
        <v>0</v>
      </c>
      <c r="J2186" t="s">
        <v>1292</v>
      </c>
      <c r="K2186">
        <v>0</v>
      </c>
      <c r="L2186" t="s">
        <v>1292</v>
      </c>
      <c r="M2186">
        <v>0</v>
      </c>
      <c r="N2186" t="s">
        <v>1292</v>
      </c>
      <c r="O2186">
        <v>0</v>
      </c>
      <c r="P2186" t="s">
        <v>1733</v>
      </c>
      <c r="Q2186" s="1">
        <v>3288</v>
      </c>
      <c r="R2186">
        <v>26.1</v>
      </c>
      <c r="S2186" s="2">
        <v>0.03</v>
      </c>
      <c r="T2186" s="3">
        <v>1.7493055555555554</v>
      </c>
      <c r="U2186" t="s">
        <v>1292</v>
      </c>
      <c r="V2186" t="s">
        <v>4610</v>
      </c>
      <c r="W2186" t="s">
        <v>4611</v>
      </c>
      <c r="X2186" t="b">
        <v>0</v>
      </c>
      <c r="Y2186" t="b">
        <v>0</v>
      </c>
    </row>
    <row r="2187" spans="1:25">
      <c r="A2187">
        <v>1000280</v>
      </c>
      <c r="B2187" t="s">
        <v>4061</v>
      </c>
      <c r="C2187" t="s">
        <v>4612</v>
      </c>
      <c r="D2187" t="s">
        <v>1292</v>
      </c>
      <c r="E2187">
        <v>1000280</v>
      </c>
      <c r="F2187" t="s">
        <v>1292</v>
      </c>
      <c r="G2187">
        <v>0</v>
      </c>
      <c r="H2187" t="s">
        <v>1292</v>
      </c>
      <c r="I2187">
        <v>0</v>
      </c>
      <c r="J2187" t="s">
        <v>1292</v>
      </c>
      <c r="K2187">
        <v>0</v>
      </c>
      <c r="L2187" t="s">
        <v>1292</v>
      </c>
      <c r="M2187">
        <v>0</v>
      </c>
      <c r="N2187" t="s">
        <v>1292</v>
      </c>
      <c r="O2187">
        <v>0</v>
      </c>
      <c r="P2187" t="s">
        <v>608</v>
      </c>
      <c r="Q2187" s="1">
        <v>1992</v>
      </c>
      <c r="R2187">
        <v>12.7</v>
      </c>
      <c r="S2187" s="2">
        <v>0.9</v>
      </c>
      <c r="T2187" s="3">
        <v>3.0194444444444444</v>
      </c>
      <c r="U2187" s="2">
        <v>0.09</v>
      </c>
      <c r="V2187" t="s">
        <v>4612</v>
      </c>
      <c r="W2187" t="s">
        <v>4613</v>
      </c>
      <c r="X2187" t="b">
        <v>0</v>
      </c>
      <c r="Y2187" t="b">
        <v>0</v>
      </c>
    </row>
    <row r="2188" spans="1:25">
      <c r="A2188">
        <v>1000281</v>
      </c>
      <c r="B2188" t="s">
        <v>4061</v>
      </c>
      <c r="C2188" t="s">
        <v>4614</v>
      </c>
      <c r="D2188" t="s">
        <v>1292</v>
      </c>
      <c r="E2188">
        <v>1000281</v>
      </c>
      <c r="F2188" t="s">
        <v>1292</v>
      </c>
      <c r="G2188">
        <v>0</v>
      </c>
      <c r="H2188" t="s">
        <v>1292</v>
      </c>
      <c r="I2188">
        <v>0</v>
      </c>
      <c r="J2188" t="s">
        <v>1292</v>
      </c>
      <c r="K2188">
        <v>0</v>
      </c>
      <c r="L2188" t="s">
        <v>1292</v>
      </c>
      <c r="M2188">
        <v>0</v>
      </c>
      <c r="N2188" t="s">
        <v>1292</v>
      </c>
      <c r="O2188">
        <v>0</v>
      </c>
      <c r="P2188" t="s">
        <v>4144</v>
      </c>
      <c r="Q2188" s="1">
        <v>10382</v>
      </c>
      <c r="R2188">
        <v>27.8</v>
      </c>
      <c r="S2188" s="2">
        <v>0</v>
      </c>
      <c r="T2188" s="3">
        <v>2.4868055555555557</v>
      </c>
      <c r="U2188" s="2">
        <v>0.14000000000000001</v>
      </c>
      <c r="V2188" t="s">
        <v>4614</v>
      </c>
      <c r="W2188" t="s">
        <v>4615</v>
      </c>
      <c r="X2188" t="b">
        <v>0</v>
      </c>
      <c r="Y2188" t="b">
        <v>0</v>
      </c>
    </row>
    <row r="2189" spans="1:25">
      <c r="A2189">
        <v>1000282</v>
      </c>
      <c r="B2189" t="s">
        <v>4061</v>
      </c>
      <c r="C2189" t="s">
        <v>4616</v>
      </c>
      <c r="D2189" t="s">
        <v>1292</v>
      </c>
      <c r="E2189">
        <v>1000282</v>
      </c>
      <c r="F2189" t="s">
        <v>1292</v>
      </c>
      <c r="G2189">
        <v>0</v>
      </c>
      <c r="H2189" t="s">
        <v>1292</v>
      </c>
      <c r="I2189">
        <v>0</v>
      </c>
      <c r="J2189" t="s">
        <v>1292</v>
      </c>
      <c r="K2189">
        <v>0</v>
      </c>
      <c r="L2189" t="s">
        <v>1292</v>
      </c>
      <c r="M2189">
        <v>0</v>
      </c>
      <c r="N2189" t="s">
        <v>1292</v>
      </c>
      <c r="O2189">
        <v>0</v>
      </c>
      <c r="P2189" t="s">
        <v>534</v>
      </c>
      <c r="Q2189" s="1">
        <v>17468</v>
      </c>
      <c r="R2189">
        <v>20.2</v>
      </c>
      <c r="S2189" s="2">
        <v>0.03</v>
      </c>
      <c r="T2189" s="3">
        <v>2.6097222222222221</v>
      </c>
      <c r="U2189" t="s">
        <v>1292</v>
      </c>
      <c r="V2189" t="s">
        <v>4616</v>
      </c>
      <c r="W2189" t="s">
        <v>4617</v>
      </c>
      <c r="X2189" t="b">
        <v>0</v>
      </c>
      <c r="Y2189" t="b">
        <v>0</v>
      </c>
    </row>
    <row r="2190" spans="1:25">
      <c r="A2190">
        <v>1000283</v>
      </c>
      <c r="B2190" t="s">
        <v>4061</v>
      </c>
      <c r="C2190" t="s">
        <v>4618</v>
      </c>
      <c r="D2190" t="s">
        <v>1292</v>
      </c>
      <c r="E2190">
        <v>1000283</v>
      </c>
      <c r="F2190" t="s">
        <v>1292</v>
      </c>
      <c r="G2190">
        <v>0</v>
      </c>
      <c r="H2190" t="s">
        <v>1292</v>
      </c>
      <c r="I2190">
        <v>0</v>
      </c>
      <c r="J2190" t="s">
        <v>1292</v>
      </c>
      <c r="K2190">
        <v>0</v>
      </c>
      <c r="L2190" t="s">
        <v>1292</v>
      </c>
      <c r="M2190">
        <v>0</v>
      </c>
      <c r="N2190" t="s">
        <v>1292</v>
      </c>
      <c r="O2190">
        <v>0</v>
      </c>
      <c r="P2190" t="s">
        <v>94</v>
      </c>
      <c r="Q2190" s="1">
        <v>1185</v>
      </c>
      <c r="R2190">
        <v>23.7</v>
      </c>
      <c r="S2190" s="2">
        <v>0.17</v>
      </c>
      <c r="T2190" s="3">
        <v>2.2819444444444446</v>
      </c>
      <c r="U2190" s="2">
        <v>0.17</v>
      </c>
      <c r="V2190" t="s">
        <v>4618</v>
      </c>
      <c r="W2190" t="s">
        <v>4619</v>
      </c>
      <c r="X2190" t="b">
        <v>0</v>
      </c>
      <c r="Y2190" t="b">
        <v>0</v>
      </c>
    </row>
    <row r="2191" spans="1:25">
      <c r="A2191">
        <v>1000284</v>
      </c>
      <c r="B2191" t="s">
        <v>4061</v>
      </c>
      <c r="C2191" t="s">
        <v>4620</v>
      </c>
      <c r="D2191" t="s">
        <v>1292</v>
      </c>
      <c r="E2191">
        <v>1000284</v>
      </c>
      <c r="F2191" t="s">
        <v>1292</v>
      </c>
      <c r="G2191">
        <v>0</v>
      </c>
      <c r="H2191" t="s">
        <v>1292</v>
      </c>
      <c r="I2191">
        <v>0</v>
      </c>
      <c r="J2191" t="s">
        <v>1292</v>
      </c>
      <c r="K2191">
        <v>0</v>
      </c>
      <c r="L2191" t="s">
        <v>1292</v>
      </c>
      <c r="M2191">
        <v>0</v>
      </c>
      <c r="N2191" t="s">
        <v>1292</v>
      </c>
      <c r="O2191">
        <v>0</v>
      </c>
      <c r="P2191" t="s">
        <v>94</v>
      </c>
      <c r="Q2191" s="1">
        <v>5173</v>
      </c>
      <c r="R2191">
        <v>44.2</v>
      </c>
      <c r="S2191" s="2">
        <v>0.01</v>
      </c>
      <c r="T2191" s="3">
        <v>1.8722222222222222</v>
      </c>
      <c r="U2191" s="2">
        <v>0.25</v>
      </c>
      <c r="V2191" t="s">
        <v>4620</v>
      </c>
      <c r="W2191" t="s">
        <v>4621</v>
      </c>
      <c r="X2191" t="b">
        <v>0</v>
      </c>
      <c r="Y2191" t="b">
        <v>0</v>
      </c>
    </row>
    <row r="2192" spans="1:25">
      <c r="A2192">
        <v>1000285</v>
      </c>
      <c r="B2192" t="s">
        <v>4061</v>
      </c>
      <c r="C2192" t="s">
        <v>4622</v>
      </c>
      <c r="D2192" t="s">
        <v>1292</v>
      </c>
      <c r="E2192">
        <v>1000285</v>
      </c>
      <c r="F2192" t="s">
        <v>1292</v>
      </c>
      <c r="G2192">
        <v>0</v>
      </c>
      <c r="H2192" t="s">
        <v>1292</v>
      </c>
      <c r="I2192">
        <v>0</v>
      </c>
      <c r="J2192" t="s">
        <v>1292</v>
      </c>
      <c r="K2192">
        <v>0</v>
      </c>
      <c r="L2192" t="s">
        <v>1292</v>
      </c>
      <c r="M2192">
        <v>0</v>
      </c>
      <c r="N2192" t="s">
        <v>1292</v>
      </c>
      <c r="O2192">
        <v>0</v>
      </c>
      <c r="P2192" t="s">
        <v>895</v>
      </c>
      <c r="Q2192" s="1">
        <v>10339</v>
      </c>
      <c r="R2192">
        <v>24.2</v>
      </c>
      <c r="S2192" s="2">
        <v>0.19</v>
      </c>
      <c r="T2192" s="3">
        <v>2.4868055555555557</v>
      </c>
      <c r="U2192" s="2">
        <v>0.2</v>
      </c>
      <c r="V2192" t="s">
        <v>4622</v>
      </c>
      <c r="W2192" t="s">
        <v>4623</v>
      </c>
      <c r="X2192" t="b">
        <v>0</v>
      </c>
      <c r="Y2192" t="b">
        <v>0</v>
      </c>
    </row>
    <row r="2193" spans="1:25">
      <c r="A2193">
        <v>1000286</v>
      </c>
      <c r="B2193" t="s">
        <v>4061</v>
      </c>
      <c r="C2193" t="s">
        <v>4624</v>
      </c>
      <c r="D2193" t="s">
        <v>1292</v>
      </c>
      <c r="E2193">
        <v>1000286</v>
      </c>
      <c r="F2193" t="s">
        <v>1292</v>
      </c>
      <c r="G2193">
        <v>0</v>
      </c>
      <c r="H2193" t="s">
        <v>1292</v>
      </c>
      <c r="I2193">
        <v>0</v>
      </c>
      <c r="J2193" t="s">
        <v>1292</v>
      </c>
      <c r="K2193">
        <v>0</v>
      </c>
      <c r="L2193" t="s">
        <v>1292</v>
      </c>
      <c r="M2193">
        <v>0</v>
      </c>
      <c r="N2193" t="s">
        <v>1292</v>
      </c>
      <c r="O2193">
        <v>0</v>
      </c>
      <c r="P2193" t="s">
        <v>313</v>
      </c>
      <c r="Q2193" s="1">
        <v>7461</v>
      </c>
      <c r="R2193">
        <v>34.200000000000003</v>
      </c>
      <c r="S2193" s="2">
        <v>7.0000000000000007E-2</v>
      </c>
      <c r="T2193" s="3">
        <v>2.2409722222222221</v>
      </c>
      <c r="U2193" s="2">
        <v>0.33</v>
      </c>
      <c r="V2193" t="s">
        <v>4624</v>
      </c>
      <c r="W2193" t="s">
        <v>4625</v>
      </c>
      <c r="X2193" t="b">
        <v>0</v>
      </c>
      <c r="Y2193" t="b">
        <v>0</v>
      </c>
    </row>
    <row r="2194" spans="1:25">
      <c r="A2194">
        <v>1000287</v>
      </c>
      <c r="B2194" t="s">
        <v>4061</v>
      </c>
      <c r="C2194" t="s">
        <v>4626</v>
      </c>
      <c r="D2194" t="s">
        <v>1292</v>
      </c>
      <c r="E2194">
        <v>1000287</v>
      </c>
      <c r="F2194" t="s">
        <v>1292</v>
      </c>
      <c r="G2194">
        <v>0</v>
      </c>
      <c r="H2194" t="s">
        <v>1292</v>
      </c>
      <c r="I2194">
        <v>0</v>
      </c>
      <c r="J2194" t="s">
        <v>1292</v>
      </c>
      <c r="K2194">
        <v>0</v>
      </c>
      <c r="L2194" t="s">
        <v>1292</v>
      </c>
      <c r="M2194">
        <v>0</v>
      </c>
      <c r="N2194" t="s">
        <v>1292</v>
      </c>
      <c r="O2194">
        <v>0</v>
      </c>
      <c r="P2194" t="s">
        <v>181</v>
      </c>
      <c r="Q2194" s="1">
        <v>7041</v>
      </c>
      <c r="R2194">
        <v>25</v>
      </c>
      <c r="S2194" s="2">
        <v>0.06</v>
      </c>
      <c r="T2194" t="s">
        <v>696</v>
      </c>
      <c r="U2194" s="2">
        <v>0.31</v>
      </c>
      <c r="V2194" t="s">
        <v>4626</v>
      </c>
      <c r="W2194" t="s">
        <v>4627</v>
      </c>
      <c r="X2194" t="b">
        <v>0</v>
      </c>
      <c r="Y2194" t="b">
        <v>0</v>
      </c>
    </row>
    <row r="2195" spans="1:25">
      <c r="A2195">
        <v>1000288</v>
      </c>
      <c r="B2195" t="s">
        <v>4061</v>
      </c>
      <c r="C2195" t="s">
        <v>4628</v>
      </c>
      <c r="D2195" t="s">
        <v>1292</v>
      </c>
      <c r="E2195">
        <v>1000288</v>
      </c>
      <c r="F2195" t="s">
        <v>1292</v>
      </c>
      <c r="G2195">
        <v>0</v>
      </c>
      <c r="H2195" t="s">
        <v>1292</v>
      </c>
      <c r="I2195">
        <v>0</v>
      </c>
      <c r="J2195" t="s">
        <v>1292</v>
      </c>
      <c r="K2195">
        <v>0</v>
      </c>
      <c r="L2195" t="s">
        <v>1292</v>
      </c>
      <c r="M2195">
        <v>0</v>
      </c>
      <c r="N2195" t="s">
        <v>1292</v>
      </c>
      <c r="O2195">
        <v>0</v>
      </c>
      <c r="P2195" t="s">
        <v>26</v>
      </c>
      <c r="Q2195" s="1">
        <v>2155</v>
      </c>
      <c r="R2195">
        <v>13.1</v>
      </c>
      <c r="S2195" s="2">
        <v>0.1</v>
      </c>
      <c r="T2195" s="3">
        <v>2.5277777777777777</v>
      </c>
      <c r="U2195" s="2">
        <v>0.26</v>
      </c>
      <c r="V2195" t="s">
        <v>4628</v>
      </c>
      <c r="W2195" t="s">
        <v>4629</v>
      </c>
      <c r="X2195" t="b">
        <v>0</v>
      </c>
      <c r="Y2195" t="b">
        <v>0</v>
      </c>
    </row>
    <row r="2196" spans="1:25">
      <c r="A2196">
        <v>1000289</v>
      </c>
      <c r="B2196" t="s">
        <v>4061</v>
      </c>
      <c r="C2196" t="s">
        <v>4630</v>
      </c>
      <c r="D2196" t="s">
        <v>1292</v>
      </c>
      <c r="E2196">
        <v>1000289</v>
      </c>
      <c r="F2196" t="s">
        <v>1292</v>
      </c>
      <c r="G2196">
        <v>0</v>
      </c>
      <c r="H2196" t="s">
        <v>1292</v>
      </c>
      <c r="I2196">
        <v>0</v>
      </c>
      <c r="J2196" t="s">
        <v>1292</v>
      </c>
      <c r="K2196">
        <v>0</v>
      </c>
      <c r="L2196" t="s">
        <v>1292</v>
      </c>
      <c r="M2196">
        <v>0</v>
      </c>
      <c r="N2196" t="s">
        <v>1292</v>
      </c>
      <c r="O2196">
        <v>0</v>
      </c>
      <c r="P2196" t="s">
        <v>26</v>
      </c>
      <c r="Q2196" s="1">
        <v>1975</v>
      </c>
      <c r="R2196">
        <v>18</v>
      </c>
      <c r="S2196" s="2">
        <v>0.11</v>
      </c>
      <c r="T2196" s="3">
        <v>2.8965277777777776</v>
      </c>
      <c r="U2196" s="2">
        <v>0.15</v>
      </c>
      <c r="V2196" t="s">
        <v>4630</v>
      </c>
      <c r="W2196" t="s">
        <v>4631</v>
      </c>
      <c r="X2196" t="b">
        <v>0</v>
      </c>
      <c r="Y2196" t="b">
        <v>0</v>
      </c>
    </row>
    <row r="2197" spans="1:25">
      <c r="A2197">
        <v>1000290</v>
      </c>
      <c r="B2197" t="s">
        <v>4061</v>
      </c>
      <c r="C2197" t="s">
        <v>4632</v>
      </c>
      <c r="D2197" t="s">
        <v>1292</v>
      </c>
      <c r="E2197">
        <v>1000290</v>
      </c>
      <c r="F2197" t="s">
        <v>1292</v>
      </c>
      <c r="G2197">
        <v>0</v>
      </c>
      <c r="H2197" t="s">
        <v>1292</v>
      </c>
      <c r="I2197">
        <v>0</v>
      </c>
      <c r="J2197" t="s">
        <v>1292</v>
      </c>
      <c r="K2197">
        <v>0</v>
      </c>
      <c r="L2197" t="s">
        <v>1292</v>
      </c>
      <c r="M2197">
        <v>0</v>
      </c>
      <c r="N2197" t="s">
        <v>1292</v>
      </c>
      <c r="O2197">
        <v>0</v>
      </c>
      <c r="P2197" t="s">
        <v>2157</v>
      </c>
      <c r="Q2197" s="1">
        <v>4500</v>
      </c>
      <c r="R2197">
        <v>7.5</v>
      </c>
      <c r="S2197" s="2">
        <v>0.01</v>
      </c>
      <c r="T2197" s="3">
        <v>2.6097222222222221</v>
      </c>
      <c r="U2197" s="2">
        <v>0.06</v>
      </c>
      <c r="V2197" t="s">
        <v>4632</v>
      </c>
      <c r="W2197" t="s">
        <v>4633</v>
      </c>
      <c r="X2197" t="b">
        <v>0</v>
      </c>
      <c r="Y2197" t="b">
        <v>0</v>
      </c>
    </row>
    <row r="2198" spans="1:25">
      <c r="A2198">
        <v>1000291</v>
      </c>
      <c r="B2198" t="s">
        <v>4061</v>
      </c>
      <c r="C2198" t="s">
        <v>4634</v>
      </c>
      <c r="D2198" t="s">
        <v>1292</v>
      </c>
      <c r="E2198">
        <v>1000291</v>
      </c>
      <c r="F2198" t="s">
        <v>1292</v>
      </c>
      <c r="G2198">
        <v>0</v>
      </c>
      <c r="H2198" t="s">
        <v>1292</v>
      </c>
      <c r="I2198">
        <v>0</v>
      </c>
      <c r="J2198" t="s">
        <v>1292</v>
      </c>
      <c r="K2198">
        <v>0</v>
      </c>
      <c r="L2198" t="s">
        <v>1292</v>
      </c>
      <c r="M2198">
        <v>0</v>
      </c>
      <c r="N2198" t="s">
        <v>1292</v>
      </c>
      <c r="O2198">
        <v>0</v>
      </c>
      <c r="P2198" t="s">
        <v>1102</v>
      </c>
      <c r="Q2198" s="1">
        <v>1089</v>
      </c>
      <c r="R2198">
        <v>6.4</v>
      </c>
      <c r="S2198" s="2">
        <v>0.01</v>
      </c>
      <c r="T2198" s="3">
        <v>2.7736111111111112</v>
      </c>
      <c r="U2198" s="2">
        <v>0.04</v>
      </c>
      <c r="V2198" t="s">
        <v>4634</v>
      </c>
      <c r="W2198" t="s">
        <v>4635</v>
      </c>
      <c r="X2198" t="b">
        <v>0</v>
      </c>
      <c r="Y2198" t="b">
        <v>0</v>
      </c>
    </row>
    <row r="2199" spans="1:25">
      <c r="A2199">
        <v>1000292</v>
      </c>
      <c r="B2199" t="s">
        <v>4061</v>
      </c>
      <c r="C2199" t="s">
        <v>4636</v>
      </c>
      <c r="D2199" t="s">
        <v>1292</v>
      </c>
      <c r="E2199">
        <v>1000292</v>
      </c>
      <c r="F2199" t="s">
        <v>1292</v>
      </c>
      <c r="G2199">
        <v>0</v>
      </c>
      <c r="H2199" t="s">
        <v>1292</v>
      </c>
      <c r="I2199">
        <v>0</v>
      </c>
      <c r="J2199" t="s">
        <v>1292</v>
      </c>
      <c r="K2199">
        <v>0</v>
      </c>
      <c r="L2199" t="s">
        <v>1292</v>
      </c>
      <c r="M2199">
        <v>0</v>
      </c>
      <c r="N2199" t="s">
        <v>1292</v>
      </c>
      <c r="O2199">
        <v>0</v>
      </c>
      <c r="P2199" t="s">
        <v>895</v>
      </c>
      <c r="Q2199" s="1">
        <v>21163</v>
      </c>
      <c r="R2199">
        <v>7.5</v>
      </c>
      <c r="S2199" s="2">
        <v>0.08</v>
      </c>
      <c r="T2199" s="3">
        <v>2.8965277777777776</v>
      </c>
      <c r="U2199" s="2">
        <v>0.04</v>
      </c>
      <c r="V2199" t="s">
        <v>4636</v>
      </c>
      <c r="W2199" t="s">
        <v>253</v>
      </c>
      <c r="X2199" t="b">
        <v>0</v>
      </c>
      <c r="Y2199" t="b">
        <v>0</v>
      </c>
    </row>
    <row r="2200" spans="1:25">
      <c r="A2200">
        <v>1000293</v>
      </c>
      <c r="B2200" t="s">
        <v>4061</v>
      </c>
      <c r="C2200" t="s">
        <v>4637</v>
      </c>
      <c r="D2200" t="s">
        <v>1292</v>
      </c>
      <c r="E2200">
        <v>1000293</v>
      </c>
      <c r="F2200" t="s">
        <v>1292</v>
      </c>
      <c r="G2200">
        <v>0</v>
      </c>
      <c r="H2200" t="s">
        <v>1292</v>
      </c>
      <c r="I2200">
        <v>0</v>
      </c>
      <c r="J2200" t="s">
        <v>1292</v>
      </c>
      <c r="K2200">
        <v>0</v>
      </c>
      <c r="L2200" t="s">
        <v>1292</v>
      </c>
      <c r="M2200">
        <v>0</v>
      </c>
      <c r="N2200" t="s">
        <v>1292</v>
      </c>
      <c r="O2200">
        <v>0</v>
      </c>
      <c r="P2200" t="s">
        <v>2290</v>
      </c>
      <c r="Q2200" s="1">
        <v>1583</v>
      </c>
      <c r="R2200">
        <v>13.2</v>
      </c>
      <c r="S2200" s="2">
        <v>0</v>
      </c>
      <c r="T2200" s="3">
        <v>2.8145833333333332</v>
      </c>
      <c r="U2200" s="2">
        <v>0.14000000000000001</v>
      </c>
      <c r="V2200" t="s">
        <v>4637</v>
      </c>
      <c r="W2200" t="s">
        <v>4638</v>
      </c>
      <c r="X2200" t="b">
        <v>0</v>
      </c>
      <c r="Y2200" t="b">
        <v>0</v>
      </c>
    </row>
    <row r="2201" spans="1:25">
      <c r="A2201">
        <v>1000294</v>
      </c>
      <c r="B2201" t="s">
        <v>4061</v>
      </c>
      <c r="C2201" t="s">
        <v>4639</v>
      </c>
      <c r="D2201" t="s">
        <v>1292</v>
      </c>
      <c r="E2201">
        <v>1000294</v>
      </c>
      <c r="F2201" t="s">
        <v>1292</v>
      </c>
      <c r="G2201">
        <v>0</v>
      </c>
      <c r="H2201" t="s">
        <v>1292</v>
      </c>
      <c r="I2201">
        <v>0</v>
      </c>
      <c r="J2201" t="s">
        <v>1292</v>
      </c>
      <c r="K2201">
        <v>0</v>
      </c>
      <c r="L2201" t="s">
        <v>1292</v>
      </c>
      <c r="M2201">
        <v>0</v>
      </c>
      <c r="N2201" t="s">
        <v>1292</v>
      </c>
      <c r="O2201">
        <v>0</v>
      </c>
      <c r="P2201" t="s">
        <v>2290</v>
      </c>
      <c r="Q2201">
        <v>453</v>
      </c>
      <c r="R2201">
        <v>26.6</v>
      </c>
      <c r="S2201" s="2">
        <v>0</v>
      </c>
      <c r="T2201" s="3">
        <v>4.166666666666667</v>
      </c>
      <c r="U2201" t="s">
        <v>1292</v>
      </c>
      <c r="V2201" t="s">
        <v>4639</v>
      </c>
      <c r="W2201" t="s">
        <v>4640</v>
      </c>
      <c r="X2201" t="b">
        <v>0</v>
      </c>
      <c r="Y2201" t="b">
        <v>0</v>
      </c>
    </row>
    <row r="2202" spans="1:25">
      <c r="A2202">
        <v>1000295</v>
      </c>
      <c r="B2202" t="s">
        <v>4061</v>
      </c>
      <c r="C2202" t="s">
        <v>4641</v>
      </c>
      <c r="D2202" t="s">
        <v>1292</v>
      </c>
      <c r="E2202">
        <v>1000295</v>
      </c>
      <c r="F2202" t="s">
        <v>1292</v>
      </c>
      <c r="G2202">
        <v>0</v>
      </c>
      <c r="H2202" t="s">
        <v>1292</v>
      </c>
      <c r="I2202">
        <v>0</v>
      </c>
      <c r="J2202" t="s">
        <v>1292</v>
      </c>
      <c r="K2202">
        <v>0</v>
      </c>
      <c r="L2202" t="s">
        <v>1292</v>
      </c>
      <c r="M2202">
        <v>0</v>
      </c>
      <c r="N2202" t="s">
        <v>1292</v>
      </c>
      <c r="O2202">
        <v>0</v>
      </c>
      <c r="P2202" t="s">
        <v>2290</v>
      </c>
      <c r="Q2202" s="1">
        <v>1002</v>
      </c>
      <c r="R2202">
        <v>16.399999999999999</v>
      </c>
      <c r="S2202" s="2">
        <v>0</v>
      </c>
      <c r="T2202" s="3">
        <v>2.7736111111111112</v>
      </c>
      <c r="U2202" t="s">
        <v>1292</v>
      </c>
      <c r="V2202" t="s">
        <v>4641</v>
      </c>
      <c r="W2202" t="s">
        <v>4642</v>
      </c>
      <c r="X2202" t="b">
        <v>0</v>
      </c>
      <c r="Y2202" t="b">
        <v>0</v>
      </c>
    </row>
    <row r="2203" spans="1:25">
      <c r="A2203">
        <v>1000296</v>
      </c>
      <c r="B2203" t="s">
        <v>4061</v>
      </c>
      <c r="C2203" t="s">
        <v>4643</v>
      </c>
      <c r="D2203" t="s">
        <v>1292</v>
      </c>
      <c r="E2203">
        <v>1000296</v>
      </c>
      <c r="F2203" t="s">
        <v>1292</v>
      </c>
      <c r="G2203">
        <v>0</v>
      </c>
      <c r="H2203" t="s">
        <v>1292</v>
      </c>
      <c r="I2203">
        <v>0</v>
      </c>
      <c r="J2203" t="s">
        <v>1292</v>
      </c>
      <c r="K2203">
        <v>0</v>
      </c>
      <c r="L2203" t="s">
        <v>1292</v>
      </c>
      <c r="M2203">
        <v>0</v>
      </c>
      <c r="N2203" t="s">
        <v>1292</v>
      </c>
      <c r="O2203">
        <v>0</v>
      </c>
      <c r="P2203" t="s">
        <v>2290</v>
      </c>
      <c r="Q2203">
        <v>666</v>
      </c>
      <c r="R2203">
        <v>14.2</v>
      </c>
      <c r="S2203" s="2">
        <v>0</v>
      </c>
      <c r="T2203" s="3">
        <v>2.7326388888888888</v>
      </c>
      <c r="U2203" t="s">
        <v>1292</v>
      </c>
      <c r="V2203" t="s">
        <v>4643</v>
      </c>
      <c r="W2203" t="s">
        <v>1935</v>
      </c>
      <c r="X2203" t="b">
        <v>0</v>
      </c>
      <c r="Y2203" t="b">
        <v>0</v>
      </c>
    </row>
    <row r="2204" spans="1:25">
      <c r="A2204">
        <v>1000297</v>
      </c>
      <c r="B2204" t="s">
        <v>4061</v>
      </c>
      <c r="C2204" t="s">
        <v>4644</v>
      </c>
      <c r="D2204" t="s">
        <v>1292</v>
      </c>
      <c r="E2204">
        <v>1000297</v>
      </c>
      <c r="F2204" t="s">
        <v>1292</v>
      </c>
      <c r="G2204">
        <v>0</v>
      </c>
      <c r="H2204" t="s">
        <v>1292</v>
      </c>
      <c r="I2204">
        <v>0</v>
      </c>
      <c r="J2204" t="s">
        <v>1292</v>
      </c>
      <c r="K2204">
        <v>0</v>
      </c>
      <c r="L2204" t="s">
        <v>1292</v>
      </c>
      <c r="M2204">
        <v>0</v>
      </c>
      <c r="N2204" t="s">
        <v>1292</v>
      </c>
      <c r="O2204">
        <v>0</v>
      </c>
      <c r="P2204" t="s">
        <v>2290</v>
      </c>
      <c r="Q2204">
        <v>801</v>
      </c>
      <c r="R2204">
        <v>12</v>
      </c>
      <c r="S2204" s="2">
        <v>0</v>
      </c>
      <c r="T2204" s="3">
        <v>3.4291666666666667</v>
      </c>
      <c r="U2204" t="s">
        <v>1292</v>
      </c>
      <c r="V2204" t="s">
        <v>4644</v>
      </c>
      <c r="W2204" t="s">
        <v>4645</v>
      </c>
      <c r="X2204" t="b">
        <v>0</v>
      </c>
      <c r="Y2204" t="b">
        <v>0</v>
      </c>
    </row>
    <row r="2205" spans="1:25">
      <c r="A2205">
        <v>1000298</v>
      </c>
      <c r="B2205" t="s">
        <v>4061</v>
      </c>
      <c r="C2205" t="s">
        <v>4646</v>
      </c>
      <c r="D2205" t="s">
        <v>1292</v>
      </c>
      <c r="E2205">
        <v>1000298</v>
      </c>
      <c r="F2205" t="s">
        <v>1292</v>
      </c>
      <c r="G2205">
        <v>0</v>
      </c>
      <c r="H2205" t="s">
        <v>1292</v>
      </c>
      <c r="I2205">
        <v>0</v>
      </c>
      <c r="J2205" t="s">
        <v>1292</v>
      </c>
      <c r="K2205">
        <v>0</v>
      </c>
      <c r="L2205" t="s">
        <v>1292</v>
      </c>
      <c r="M2205">
        <v>0</v>
      </c>
      <c r="N2205" t="s">
        <v>1292</v>
      </c>
      <c r="O2205">
        <v>0</v>
      </c>
      <c r="P2205" t="s">
        <v>26</v>
      </c>
      <c r="Q2205" s="1">
        <v>7645</v>
      </c>
      <c r="R2205">
        <v>139</v>
      </c>
      <c r="S2205" s="2">
        <v>0.12</v>
      </c>
      <c r="T2205" s="3">
        <v>2.5687500000000001</v>
      </c>
      <c r="U2205" s="2">
        <v>0.23</v>
      </c>
      <c r="V2205" t="s">
        <v>4646</v>
      </c>
      <c r="W2205" t="s">
        <v>4647</v>
      </c>
      <c r="X2205" t="b">
        <v>0</v>
      </c>
      <c r="Y2205" t="b">
        <v>0</v>
      </c>
    </row>
    <row r="2206" spans="1:25">
      <c r="A2206">
        <v>1000299</v>
      </c>
      <c r="B2206" t="s">
        <v>4061</v>
      </c>
      <c r="C2206" t="s">
        <v>4648</v>
      </c>
      <c r="D2206" t="s">
        <v>1292</v>
      </c>
      <c r="E2206">
        <v>1000299</v>
      </c>
      <c r="F2206" t="s">
        <v>1292</v>
      </c>
      <c r="G2206">
        <v>0</v>
      </c>
      <c r="H2206" t="s">
        <v>1292</v>
      </c>
      <c r="I2206">
        <v>0</v>
      </c>
      <c r="J2206" t="s">
        <v>1292</v>
      </c>
      <c r="K2206">
        <v>0</v>
      </c>
      <c r="L2206" t="s">
        <v>1292</v>
      </c>
      <c r="M2206">
        <v>0</v>
      </c>
      <c r="N2206" t="s">
        <v>1292</v>
      </c>
      <c r="O2206">
        <v>0</v>
      </c>
      <c r="P2206" t="s">
        <v>2157</v>
      </c>
      <c r="Q2206" s="1">
        <v>4829</v>
      </c>
      <c r="R2206">
        <v>17.600000000000001</v>
      </c>
      <c r="S2206" s="2">
        <v>0</v>
      </c>
      <c r="T2206" s="3">
        <v>2.2409722222222221</v>
      </c>
      <c r="U2206" t="s">
        <v>1292</v>
      </c>
      <c r="V2206" t="s">
        <v>4648</v>
      </c>
      <c r="W2206" t="s">
        <v>4649</v>
      </c>
      <c r="X2206" t="b">
        <v>0</v>
      </c>
      <c r="Y2206" t="b">
        <v>0</v>
      </c>
    </row>
    <row r="2207" spans="1:25">
      <c r="A2207">
        <v>1000300</v>
      </c>
      <c r="B2207" t="s">
        <v>4061</v>
      </c>
      <c r="C2207" t="s">
        <v>4650</v>
      </c>
      <c r="D2207" t="s">
        <v>1292</v>
      </c>
      <c r="E2207">
        <v>1000300</v>
      </c>
      <c r="F2207" t="s">
        <v>1292</v>
      </c>
      <c r="G2207">
        <v>0</v>
      </c>
      <c r="H2207" t="s">
        <v>1292</v>
      </c>
      <c r="I2207">
        <v>0</v>
      </c>
      <c r="J2207" t="s">
        <v>1292</v>
      </c>
      <c r="K2207">
        <v>0</v>
      </c>
      <c r="L2207" t="s">
        <v>1292</v>
      </c>
      <c r="M2207">
        <v>0</v>
      </c>
      <c r="N2207" t="s">
        <v>1292</v>
      </c>
      <c r="O2207">
        <v>0</v>
      </c>
      <c r="P2207" t="s">
        <v>94</v>
      </c>
      <c r="Q2207" s="1">
        <v>4017</v>
      </c>
      <c r="R2207">
        <v>15.1</v>
      </c>
      <c r="S2207" s="2">
        <v>0.01</v>
      </c>
      <c r="T2207" s="3">
        <v>1.9951388888888888</v>
      </c>
      <c r="U2207" s="2">
        <v>0.16</v>
      </c>
      <c r="V2207" t="s">
        <v>4650</v>
      </c>
      <c r="W2207" t="s">
        <v>4651</v>
      </c>
      <c r="X2207" t="b">
        <v>0</v>
      </c>
      <c r="Y2207" t="b">
        <v>0</v>
      </c>
    </row>
    <row r="2208" spans="1:25">
      <c r="A2208">
        <v>1000301</v>
      </c>
      <c r="B2208" t="s">
        <v>4061</v>
      </c>
      <c r="C2208" t="s">
        <v>4652</v>
      </c>
      <c r="D2208" t="s">
        <v>1292</v>
      </c>
      <c r="E2208">
        <v>1000301</v>
      </c>
      <c r="F2208" t="s">
        <v>1292</v>
      </c>
      <c r="G2208">
        <v>0</v>
      </c>
      <c r="H2208" t="s">
        <v>1292</v>
      </c>
      <c r="I2208">
        <v>0</v>
      </c>
      <c r="J2208" t="s">
        <v>1292</v>
      </c>
      <c r="K2208">
        <v>0</v>
      </c>
      <c r="L2208" t="s">
        <v>1292</v>
      </c>
      <c r="M2208">
        <v>0</v>
      </c>
      <c r="N2208" t="s">
        <v>1292</v>
      </c>
      <c r="O2208">
        <v>0</v>
      </c>
      <c r="P2208" t="s">
        <v>94</v>
      </c>
      <c r="Q2208" s="1">
        <v>6253</v>
      </c>
      <c r="R2208">
        <v>22.2</v>
      </c>
      <c r="S2208" s="2">
        <v>0.01</v>
      </c>
      <c r="T2208" t="s">
        <v>40</v>
      </c>
      <c r="U2208" s="2">
        <v>0.19</v>
      </c>
      <c r="V2208" t="s">
        <v>4652</v>
      </c>
      <c r="W2208" t="s">
        <v>4653</v>
      </c>
      <c r="X2208" t="b">
        <v>0</v>
      </c>
      <c r="Y2208" t="b">
        <v>0</v>
      </c>
    </row>
    <row r="2209" spans="1:25">
      <c r="A2209">
        <v>1000302</v>
      </c>
      <c r="B2209" t="s">
        <v>4061</v>
      </c>
      <c r="C2209" t="s">
        <v>4654</v>
      </c>
      <c r="D2209" t="s">
        <v>1292</v>
      </c>
      <c r="E2209">
        <v>1000302</v>
      </c>
      <c r="F2209" t="s">
        <v>1292</v>
      </c>
      <c r="G2209">
        <v>0</v>
      </c>
      <c r="H2209" t="s">
        <v>1292</v>
      </c>
      <c r="I2209">
        <v>0</v>
      </c>
      <c r="J2209" t="s">
        <v>1292</v>
      </c>
      <c r="K2209">
        <v>0</v>
      </c>
      <c r="L2209" t="s">
        <v>1292</v>
      </c>
      <c r="M2209">
        <v>0</v>
      </c>
      <c r="N2209" t="s">
        <v>1292</v>
      </c>
      <c r="O2209">
        <v>0</v>
      </c>
      <c r="P2209" t="s">
        <v>94</v>
      </c>
      <c r="Q2209" s="1">
        <v>4645</v>
      </c>
      <c r="R2209">
        <v>25.9</v>
      </c>
      <c r="S2209" s="2">
        <v>0</v>
      </c>
      <c r="T2209">
        <v>0.47916666666666669</v>
      </c>
      <c r="U2209" s="2">
        <v>0.46</v>
      </c>
      <c r="V2209" t="s">
        <v>4654</v>
      </c>
      <c r="W2209" t="s">
        <v>4655</v>
      </c>
      <c r="X2209" t="b">
        <v>0</v>
      </c>
      <c r="Y2209" t="b">
        <v>0</v>
      </c>
    </row>
    <row r="2210" spans="1:25">
      <c r="A2210">
        <v>1000303</v>
      </c>
      <c r="B2210" t="s">
        <v>4061</v>
      </c>
      <c r="C2210" t="s">
        <v>4656</v>
      </c>
      <c r="D2210" t="s">
        <v>1292</v>
      </c>
      <c r="E2210">
        <v>1000303</v>
      </c>
      <c r="F2210" t="s">
        <v>1292</v>
      </c>
      <c r="G2210">
        <v>0</v>
      </c>
      <c r="H2210" t="s">
        <v>1292</v>
      </c>
      <c r="I2210">
        <v>0</v>
      </c>
      <c r="J2210" t="s">
        <v>1292</v>
      </c>
      <c r="K2210">
        <v>0</v>
      </c>
      <c r="L2210" t="s">
        <v>1292</v>
      </c>
      <c r="M2210">
        <v>0</v>
      </c>
      <c r="N2210" t="s">
        <v>1292</v>
      </c>
      <c r="O2210">
        <v>0</v>
      </c>
      <c r="P2210" t="s">
        <v>94</v>
      </c>
      <c r="Q2210" s="1">
        <v>5998</v>
      </c>
      <c r="R2210">
        <v>16</v>
      </c>
      <c r="S2210" s="2">
        <v>0.13</v>
      </c>
      <c r="T2210" t="s">
        <v>51</v>
      </c>
      <c r="U2210" s="2">
        <v>0.22</v>
      </c>
      <c r="V2210" t="s">
        <v>4656</v>
      </c>
      <c r="W2210" t="s">
        <v>4657</v>
      </c>
      <c r="X2210" t="b">
        <v>0</v>
      </c>
      <c r="Y2210" t="b">
        <v>0</v>
      </c>
    </row>
    <row r="2211" spans="1:25">
      <c r="A2211">
        <v>1000304</v>
      </c>
      <c r="B2211" t="s">
        <v>4061</v>
      </c>
      <c r="C2211" t="s">
        <v>4658</v>
      </c>
      <c r="D2211" t="s">
        <v>1292</v>
      </c>
      <c r="E2211">
        <v>1000304</v>
      </c>
      <c r="F2211" t="s">
        <v>1292</v>
      </c>
      <c r="G2211">
        <v>0</v>
      </c>
      <c r="H2211" t="s">
        <v>1292</v>
      </c>
      <c r="I2211">
        <v>0</v>
      </c>
      <c r="J2211" t="s">
        <v>1292</v>
      </c>
      <c r="K2211">
        <v>0</v>
      </c>
      <c r="L2211" t="s">
        <v>1292</v>
      </c>
      <c r="M2211">
        <v>0</v>
      </c>
      <c r="N2211" t="s">
        <v>1292</v>
      </c>
      <c r="O2211">
        <v>0</v>
      </c>
      <c r="P2211" t="s">
        <v>1468</v>
      </c>
      <c r="Q2211" s="1">
        <v>27092</v>
      </c>
      <c r="R2211">
        <v>54</v>
      </c>
      <c r="S2211" s="2">
        <v>0</v>
      </c>
      <c r="T2211" s="3">
        <v>2.6097222222222221</v>
      </c>
      <c r="U2211" s="2">
        <v>0.3</v>
      </c>
      <c r="V2211" t="s">
        <v>4658</v>
      </c>
      <c r="W2211" t="s">
        <v>4659</v>
      </c>
      <c r="X2211" t="b">
        <v>0</v>
      </c>
      <c r="Y2211" t="b">
        <v>0</v>
      </c>
    </row>
    <row r="2212" spans="1:25">
      <c r="A2212">
        <v>1000305</v>
      </c>
      <c r="B2212" t="s">
        <v>4061</v>
      </c>
      <c r="C2212" t="s">
        <v>4660</v>
      </c>
      <c r="D2212" t="s">
        <v>1292</v>
      </c>
      <c r="E2212">
        <v>1000305</v>
      </c>
      <c r="F2212" t="s">
        <v>1292</v>
      </c>
      <c r="G2212">
        <v>0</v>
      </c>
      <c r="H2212" t="s">
        <v>1292</v>
      </c>
      <c r="I2212">
        <v>0</v>
      </c>
      <c r="J2212" t="s">
        <v>1292</v>
      </c>
      <c r="K2212">
        <v>0</v>
      </c>
      <c r="L2212" t="s">
        <v>1292</v>
      </c>
      <c r="M2212">
        <v>0</v>
      </c>
      <c r="N2212" t="s">
        <v>1292</v>
      </c>
      <c r="O2212">
        <v>0</v>
      </c>
      <c r="P2212" t="s">
        <v>4123</v>
      </c>
      <c r="Q2212" s="1">
        <v>17579</v>
      </c>
      <c r="R2212">
        <v>22</v>
      </c>
      <c r="S2212" s="2">
        <v>0</v>
      </c>
      <c r="T2212" t="s">
        <v>529</v>
      </c>
      <c r="U2212" s="2">
        <v>0.34</v>
      </c>
      <c r="V2212" t="s">
        <v>4660</v>
      </c>
      <c r="W2212" t="s">
        <v>4661</v>
      </c>
      <c r="X2212" t="b">
        <v>0</v>
      </c>
      <c r="Y2212" t="b">
        <v>0</v>
      </c>
    </row>
    <row r="2213" spans="1:25">
      <c r="A2213">
        <v>1000306</v>
      </c>
      <c r="B2213" t="s">
        <v>4061</v>
      </c>
      <c r="C2213" t="s">
        <v>4662</v>
      </c>
      <c r="D2213" t="s">
        <v>1292</v>
      </c>
      <c r="E2213">
        <v>1000306</v>
      </c>
      <c r="F2213" t="s">
        <v>1292</v>
      </c>
      <c r="G2213">
        <v>0</v>
      </c>
      <c r="H2213" t="s">
        <v>1292</v>
      </c>
      <c r="I2213">
        <v>0</v>
      </c>
      <c r="J2213" t="s">
        <v>1292</v>
      </c>
      <c r="K2213">
        <v>0</v>
      </c>
      <c r="L2213" t="s">
        <v>1292</v>
      </c>
      <c r="M2213">
        <v>0</v>
      </c>
      <c r="N2213" t="s">
        <v>1292</v>
      </c>
      <c r="O2213">
        <v>0</v>
      </c>
      <c r="P2213" t="s">
        <v>94</v>
      </c>
      <c r="Q2213" s="1">
        <v>4630</v>
      </c>
      <c r="R2213">
        <v>20.100000000000001</v>
      </c>
      <c r="S2213" s="2">
        <v>0</v>
      </c>
      <c r="T2213" t="s">
        <v>51</v>
      </c>
      <c r="U2213" s="2">
        <v>0.33</v>
      </c>
      <c r="V2213" t="s">
        <v>4662</v>
      </c>
      <c r="W2213" t="s">
        <v>4663</v>
      </c>
      <c r="X2213" t="b">
        <v>0</v>
      </c>
      <c r="Y2213" t="b">
        <v>0</v>
      </c>
    </row>
    <row r="2214" spans="1:25">
      <c r="A2214">
        <v>1000307</v>
      </c>
      <c r="B2214" t="s">
        <v>4061</v>
      </c>
      <c r="C2214" t="s">
        <v>4664</v>
      </c>
      <c r="D2214" t="s">
        <v>1292</v>
      </c>
      <c r="E2214">
        <v>1000307</v>
      </c>
      <c r="F2214" t="s">
        <v>1292</v>
      </c>
      <c r="G2214">
        <v>0</v>
      </c>
      <c r="H2214" t="s">
        <v>1292</v>
      </c>
      <c r="I2214">
        <v>0</v>
      </c>
      <c r="J2214" t="s">
        <v>1292</v>
      </c>
      <c r="K2214">
        <v>0</v>
      </c>
      <c r="L2214" t="s">
        <v>1292</v>
      </c>
      <c r="M2214">
        <v>0</v>
      </c>
      <c r="N2214" t="s">
        <v>1292</v>
      </c>
      <c r="O2214">
        <v>0</v>
      </c>
      <c r="P2214" t="s">
        <v>1102</v>
      </c>
      <c r="Q2214" s="1">
        <v>1143</v>
      </c>
      <c r="R2214">
        <v>15</v>
      </c>
      <c r="S2214" s="2">
        <v>0</v>
      </c>
      <c r="T2214" s="3">
        <v>4.166666666666667</v>
      </c>
      <c r="U2214" t="s">
        <v>1292</v>
      </c>
      <c r="V2214" t="s">
        <v>4664</v>
      </c>
      <c r="W2214" t="s">
        <v>4665</v>
      </c>
      <c r="X2214" t="b">
        <v>0</v>
      </c>
      <c r="Y2214" t="b">
        <v>0</v>
      </c>
    </row>
    <row r="2215" spans="1:25">
      <c r="A2215">
        <v>1000308</v>
      </c>
      <c r="B2215" t="s">
        <v>4061</v>
      </c>
      <c r="C2215" t="s">
        <v>4666</v>
      </c>
      <c r="D2215" t="s">
        <v>1292</v>
      </c>
      <c r="E2215">
        <v>1000308</v>
      </c>
      <c r="F2215" t="s">
        <v>1292</v>
      </c>
      <c r="G2215">
        <v>0</v>
      </c>
      <c r="H2215" t="s">
        <v>1292</v>
      </c>
      <c r="I2215">
        <v>0</v>
      </c>
      <c r="J2215" t="s">
        <v>1292</v>
      </c>
      <c r="K2215">
        <v>0</v>
      </c>
      <c r="L2215" t="s">
        <v>1292</v>
      </c>
      <c r="M2215">
        <v>0</v>
      </c>
      <c r="N2215" t="s">
        <v>1292</v>
      </c>
      <c r="O2215">
        <v>0</v>
      </c>
      <c r="P2215" t="s">
        <v>1433</v>
      </c>
      <c r="Q2215" s="1">
        <v>4601</v>
      </c>
      <c r="R2215">
        <v>17.8</v>
      </c>
      <c r="S2215" s="2">
        <v>0</v>
      </c>
      <c r="T2215" t="s">
        <v>113</v>
      </c>
      <c r="U2215" s="2">
        <v>0.28000000000000003</v>
      </c>
      <c r="V2215" t="s">
        <v>4666</v>
      </c>
      <c r="W2215" t="s">
        <v>4667</v>
      </c>
      <c r="X2215" t="b">
        <v>0</v>
      </c>
      <c r="Y2215" t="b">
        <v>0</v>
      </c>
    </row>
    <row r="2216" spans="1:25">
      <c r="A2216">
        <v>1000309</v>
      </c>
      <c r="B2216" t="s">
        <v>4061</v>
      </c>
      <c r="C2216" t="s">
        <v>4668</v>
      </c>
      <c r="D2216" t="s">
        <v>1292</v>
      </c>
      <c r="E2216">
        <v>1000309</v>
      </c>
      <c r="F2216" t="s">
        <v>1292</v>
      </c>
      <c r="G2216">
        <v>0</v>
      </c>
      <c r="H2216" t="s">
        <v>1292</v>
      </c>
      <c r="I2216">
        <v>0</v>
      </c>
      <c r="J2216" t="s">
        <v>1292</v>
      </c>
      <c r="K2216">
        <v>0</v>
      </c>
      <c r="L2216" t="s">
        <v>1292</v>
      </c>
      <c r="M2216">
        <v>0</v>
      </c>
      <c r="N2216" t="s">
        <v>1292</v>
      </c>
      <c r="O2216">
        <v>0</v>
      </c>
      <c r="P2216" t="s">
        <v>1123</v>
      </c>
      <c r="Q2216" s="1">
        <v>4705</v>
      </c>
      <c r="R2216">
        <v>13.6</v>
      </c>
      <c r="S2216" s="2">
        <v>0</v>
      </c>
      <c r="T2216" s="3">
        <v>2.3229166666666665</v>
      </c>
      <c r="U2216" t="s">
        <v>1292</v>
      </c>
      <c r="V2216" t="s">
        <v>4668</v>
      </c>
      <c r="W2216" t="s">
        <v>4669</v>
      </c>
      <c r="X2216" t="b">
        <v>0</v>
      </c>
      <c r="Y2216" t="b">
        <v>0</v>
      </c>
    </row>
    <row r="2217" spans="1:25">
      <c r="A2217">
        <v>1000310</v>
      </c>
      <c r="B2217" t="s">
        <v>4061</v>
      </c>
      <c r="C2217" t="s">
        <v>4670</v>
      </c>
      <c r="D2217" t="s">
        <v>1292</v>
      </c>
      <c r="E2217">
        <v>1000310</v>
      </c>
      <c r="F2217" t="s">
        <v>1292</v>
      </c>
      <c r="G2217">
        <v>0</v>
      </c>
      <c r="H2217" t="s">
        <v>1292</v>
      </c>
      <c r="I2217">
        <v>0</v>
      </c>
      <c r="J2217" t="s">
        <v>1292</v>
      </c>
      <c r="K2217">
        <v>0</v>
      </c>
      <c r="L2217" t="s">
        <v>1292</v>
      </c>
      <c r="M2217">
        <v>0</v>
      </c>
      <c r="N2217" t="s">
        <v>1292</v>
      </c>
      <c r="O2217">
        <v>0</v>
      </c>
      <c r="P2217" t="s">
        <v>2157</v>
      </c>
      <c r="Q2217" s="1">
        <v>2550</v>
      </c>
      <c r="R2217">
        <v>20.100000000000001</v>
      </c>
      <c r="S2217" s="2">
        <v>0.03</v>
      </c>
      <c r="T2217" s="3">
        <v>2.036111111111111</v>
      </c>
      <c r="U2217" s="2">
        <v>0.4</v>
      </c>
      <c r="V2217" t="s">
        <v>4670</v>
      </c>
      <c r="W2217" t="s">
        <v>4671</v>
      </c>
      <c r="X2217" t="b">
        <v>0</v>
      </c>
      <c r="Y2217" t="b">
        <v>0</v>
      </c>
    </row>
    <row r="2218" spans="1:25">
      <c r="A2218">
        <v>1000311</v>
      </c>
      <c r="B2218" t="s">
        <v>4061</v>
      </c>
      <c r="C2218" t="s">
        <v>4672</v>
      </c>
      <c r="D2218" t="s">
        <v>1292</v>
      </c>
      <c r="E2218">
        <v>1000311</v>
      </c>
      <c r="F2218" t="s">
        <v>1292</v>
      </c>
      <c r="G2218">
        <v>0</v>
      </c>
      <c r="H2218" t="s">
        <v>1292</v>
      </c>
      <c r="I2218">
        <v>0</v>
      </c>
      <c r="J2218" t="s">
        <v>1292</v>
      </c>
      <c r="K2218">
        <v>0</v>
      </c>
      <c r="L2218" t="s">
        <v>1292</v>
      </c>
      <c r="M2218">
        <v>0</v>
      </c>
      <c r="N2218" t="s">
        <v>1292</v>
      </c>
      <c r="O2218">
        <v>0</v>
      </c>
      <c r="P2218" t="s">
        <v>29</v>
      </c>
      <c r="Q2218" s="1">
        <v>5285</v>
      </c>
      <c r="R2218">
        <v>14.8</v>
      </c>
      <c r="S2218" s="2">
        <v>0.01</v>
      </c>
      <c r="T2218" s="3">
        <v>2.5277777777777777</v>
      </c>
      <c r="U2218" s="2">
        <v>0.21</v>
      </c>
      <c r="V2218" t="s">
        <v>4672</v>
      </c>
      <c r="W2218" t="s">
        <v>4673</v>
      </c>
      <c r="X2218" t="b">
        <v>0</v>
      </c>
      <c r="Y2218" t="b">
        <v>0</v>
      </c>
    </row>
    <row r="2219" spans="1:25">
      <c r="A2219">
        <v>1000312</v>
      </c>
      <c r="B2219" t="s">
        <v>4061</v>
      </c>
      <c r="C2219" t="s">
        <v>4674</v>
      </c>
      <c r="D2219" t="s">
        <v>1292</v>
      </c>
      <c r="E2219">
        <v>1000312</v>
      </c>
      <c r="F2219" t="s">
        <v>1292</v>
      </c>
      <c r="G2219">
        <v>0</v>
      </c>
      <c r="H2219" t="s">
        <v>1292</v>
      </c>
      <c r="I2219">
        <v>0</v>
      </c>
      <c r="J2219" t="s">
        <v>1292</v>
      </c>
      <c r="K2219">
        <v>0</v>
      </c>
      <c r="L2219" t="s">
        <v>1292</v>
      </c>
      <c r="M2219">
        <v>0</v>
      </c>
      <c r="N2219" t="s">
        <v>1292</v>
      </c>
      <c r="O2219">
        <v>0</v>
      </c>
      <c r="P2219" t="s">
        <v>94</v>
      </c>
      <c r="Q2219" s="1">
        <v>1353</v>
      </c>
      <c r="R2219">
        <v>10.199999999999999</v>
      </c>
      <c r="S2219" s="2">
        <v>0.02</v>
      </c>
      <c r="T2219" s="3">
        <v>2.4868055555555557</v>
      </c>
      <c r="U2219" s="2">
        <v>0.22</v>
      </c>
      <c r="V2219" t="s">
        <v>4674</v>
      </c>
      <c r="W2219" t="s">
        <v>4675</v>
      </c>
      <c r="X2219" t="b">
        <v>0</v>
      </c>
      <c r="Y2219" t="b">
        <v>0</v>
      </c>
    </row>
    <row r="2220" spans="1:25">
      <c r="A2220">
        <v>1000313</v>
      </c>
      <c r="B2220" t="s">
        <v>4061</v>
      </c>
      <c r="C2220" t="s">
        <v>4676</v>
      </c>
      <c r="D2220" t="s">
        <v>1292</v>
      </c>
      <c r="E2220">
        <v>1000313</v>
      </c>
      <c r="F2220" t="s">
        <v>1292</v>
      </c>
      <c r="G2220">
        <v>0</v>
      </c>
      <c r="H2220" t="s">
        <v>1292</v>
      </c>
      <c r="I2220">
        <v>0</v>
      </c>
      <c r="J2220" t="s">
        <v>1292</v>
      </c>
      <c r="K2220">
        <v>0</v>
      </c>
      <c r="L2220" t="s">
        <v>1292</v>
      </c>
      <c r="M2220">
        <v>0</v>
      </c>
      <c r="N2220" t="s">
        <v>1292</v>
      </c>
      <c r="O2220">
        <v>0</v>
      </c>
      <c r="P2220" t="s">
        <v>2290</v>
      </c>
      <c r="Q2220" s="1">
        <v>30653</v>
      </c>
      <c r="R2220">
        <v>29.6</v>
      </c>
      <c r="S2220" s="2">
        <v>0</v>
      </c>
      <c r="T2220" s="3">
        <v>2.6916666666666669</v>
      </c>
      <c r="U2220" s="2">
        <v>0.39</v>
      </c>
      <c r="V2220" t="s">
        <v>4676</v>
      </c>
      <c r="W2220" t="s">
        <v>4677</v>
      </c>
      <c r="X2220" t="b">
        <v>0</v>
      </c>
      <c r="Y2220" t="b">
        <v>0</v>
      </c>
    </row>
    <row r="2221" spans="1:25">
      <c r="A2221">
        <v>1000314</v>
      </c>
      <c r="B2221" t="s">
        <v>4061</v>
      </c>
      <c r="C2221" t="s">
        <v>4678</v>
      </c>
      <c r="D2221" t="s">
        <v>1292</v>
      </c>
      <c r="E2221">
        <v>1000314</v>
      </c>
      <c r="F2221" t="s">
        <v>1292</v>
      </c>
      <c r="G2221">
        <v>0</v>
      </c>
      <c r="H2221" t="s">
        <v>1292</v>
      </c>
      <c r="I2221">
        <v>0</v>
      </c>
      <c r="J2221" t="s">
        <v>1292</v>
      </c>
      <c r="K2221">
        <v>0</v>
      </c>
      <c r="L2221" t="s">
        <v>1292</v>
      </c>
      <c r="M2221">
        <v>0</v>
      </c>
      <c r="N2221" t="s">
        <v>1292</v>
      </c>
      <c r="O2221">
        <v>0</v>
      </c>
      <c r="P2221" t="s">
        <v>528</v>
      </c>
      <c r="Q2221" s="1">
        <v>2385</v>
      </c>
      <c r="R2221">
        <v>25.9</v>
      </c>
      <c r="S2221" s="2">
        <v>0</v>
      </c>
      <c r="T2221" s="3">
        <v>2.3638888888888889</v>
      </c>
      <c r="U2221" s="2">
        <v>0.21</v>
      </c>
      <c r="V2221" t="s">
        <v>4678</v>
      </c>
      <c r="W2221" t="s">
        <v>4679</v>
      </c>
      <c r="X2221" t="b">
        <v>0</v>
      </c>
      <c r="Y2221" t="b">
        <v>0</v>
      </c>
    </row>
    <row r="2222" spans="1:25">
      <c r="A2222">
        <v>1000315</v>
      </c>
      <c r="B2222" t="s">
        <v>4061</v>
      </c>
      <c r="C2222" t="s">
        <v>4680</v>
      </c>
      <c r="D2222" t="s">
        <v>1292</v>
      </c>
      <c r="E2222">
        <v>1000315</v>
      </c>
      <c r="F2222" t="s">
        <v>1292</v>
      </c>
      <c r="G2222">
        <v>0</v>
      </c>
      <c r="H2222" t="s">
        <v>1292</v>
      </c>
      <c r="I2222">
        <v>0</v>
      </c>
      <c r="J2222" t="s">
        <v>1292</v>
      </c>
      <c r="K2222">
        <v>0</v>
      </c>
      <c r="L2222" t="s">
        <v>1292</v>
      </c>
      <c r="M2222">
        <v>0</v>
      </c>
      <c r="N2222" t="s">
        <v>1292</v>
      </c>
      <c r="O2222">
        <v>0</v>
      </c>
      <c r="P2222" t="s">
        <v>528</v>
      </c>
      <c r="Q2222" s="1">
        <v>7066</v>
      </c>
      <c r="R2222">
        <v>19.100000000000001</v>
      </c>
      <c r="S2222" s="2">
        <v>0</v>
      </c>
      <c r="T2222" s="3">
        <v>1.7493055555555554</v>
      </c>
      <c r="U2222" t="s">
        <v>1292</v>
      </c>
      <c r="V2222" t="s">
        <v>4680</v>
      </c>
      <c r="W2222" t="s">
        <v>4681</v>
      </c>
      <c r="X2222" t="b">
        <v>0</v>
      </c>
      <c r="Y2222" t="b">
        <v>0</v>
      </c>
    </row>
    <row r="2223" spans="1:25">
      <c r="A2223">
        <v>1000316</v>
      </c>
      <c r="B2223" t="s">
        <v>4061</v>
      </c>
      <c r="C2223" t="s">
        <v>4682</v>
      </c>
      <c r="D2223" t="s">
        <v>1292</v>
      </c>
      <c r="E2223">
        <v>1000316</v>
      </c>
      <c r="F2223" t="s">
        <v>1292</v>
      </c>
      <c r="G2223">
        <v>0</v>
      </c>
      <c r="H2223" t="s">
        <v>1292</v>
      </c>
      <c r="I2223">
        <v>0</v>
      </c>
      <c r="J2223" t="s">
        <v>1292</v>
      </c>
      <c r="K2223">
        <v>0</v>
      </c>
      <c r="L2223" t="s">
        <v>1292</v>
      </c>
      <c r="M2223">
        <v>0</v>
      </c>
      <c r="N2223" t="s">
        <v>1292</v>
      </c>
      <c r="O2223">
        <v>0</v>
      </c>
      <c r="P2223" t="s">
        <v>1102</v>
      </c>
      <c r="Q2223" s="1">
        <v>4420</v>
      </c>
      <c r="R2223">
        <v>21.1</v>
      </c>
      <c r="S2223" s="2">
        <v>0</v>
      </c>
      <c r="T2223">
        <v>0.92986111111111114</v>
      </c>
      <c r="U2223" s="2">
        <v>0.24</v>
      </c>
      <c r="V2223" t="s">
        <v>4682</v>
      </c>
      <c r="W2223" t="s">
        <v>4683</v>
      </c>
      <c r="X2223" t="b">
        <v>0</v>
      </c>
      <c r="Y2223" t="b">
        <v>0</v>
      </c>
    </row>
    <row r="2224" spans="1:25">
      <c r="A2224">
        <v>1000317</v>
      </c>
      <c r="B2224" t="s">
        <v>4061</v>
      </c>
      <c r="C2224" t="s">
        <v>4684</v>
      </c>
      <c r="D2224" t="s">
        <v>1292</v>
      </c>
      <c r="E2224">
        <v>1000317</v>
      </c>
      <c r="F2224" t="s">
        <v>1292</v>
      </c>
      <c r="G2224">
        <v>0</v>
      </c>
      <c r="H2224" t="s">
        <v>1292</v>
      </c>
      <c r="I2224">
        <v>0</v>
      </c>
      <c r="J2224" t="s">
        <v>1292</v>
      </c>
      <c r="K2224">
        <v>0</v>
      </c>
      <c r="L2224" t="s">
        <v>1292</v>
      </c>
      <c r="M2224">
        <v>0</v>
      </c>
      <c r="N2224" t="s">
        <v>1292</v>
      </c>
      <c r="O2224">
        <v>0</v>
      </c>
      <c r="P2224" t="s">
        <v>2157</v>
      </c>
      <c r="Q2224" s="1">
        <v>9197</v>
      </c>
      <c r="R2224">
        <v>44.2</v>
      </c>
      <c r="S2224" s="2">
        <v>0</v>
      </c>
      <c r="T2224" s="3">
        <v>1.7902777777777779</v>
      </c>
      <c r="U2224" t="s">
        <v>1292</v>
      </c>
      <c r="V2224" t="s">
        <v>4684</v>
      </c>
      <c r="W2224" t="s">
        <v>4685</v>
      </c>
      <c r="X2224" t="b">
        <v>0</v>
      </c>
      <c r="Y2224" t="b">
        <v>0</v>
      </c>
    </row>
    <row r="2225" spans="1:25">
      <c r="A2225">
        <v>1000318</v>
      </c>
      <c r="B2225" t="s">
        <v>4061</v>
      </c>
      <c r="C2225" t="s">
        <v>4686</v>
      </c>
      <c r="D2225" t="s">
        <v>1292</v>
      </c>
      <c r="E2225">
        <v>1000318</v>
      </c>
      <c r="F2225" t="s">
        <v>1292</v>
      </c>
      <c r="G2225">
        <v>0</v>
      </c>
      <c r="H2225" t="s">
        <v>1292</v>
      </c>
      <c r="I2225">
        <v>0</v>
      </c>
      <c r="J2225" t="s">
        <v>1292</v>
      </c>
      <c r="K2225">
        <v>0</v>
      </c>
      <c r="L2225" t="s">
        <v>1292</v>
      </c>
      <c r="M2225">
        <v>0</v>
      </c>
      <c r="N2225" t="s">
        <v>1292</v>
      </c>
      <c r="O2225">
        <v>0</v>
      </c>
      <c r="P2225" t="s">
        <v>125</v>
      </c>
      <c r="Q2225" s="1">
        <v>1324</v>
      </c>
      <c r="R2225">
        <v>11.9</v>
      </c>
      <c r="S2225" s="2">
        <v>0.13</v>
      </c>
      <c r="T2225" t="s">
        <v>145</v>
      </c>
      <c r="U2225" s="2">
        <v>0.43</v>
      </c>
      <c r="V2225" t="s">
        <v>4686</v>
      </c>
      <c r="W2225" t="s">
        <v>4687</v>
      </c>
      <c r="X2225" t="b">
        <v>0</v>
      </c>
      <c r="Y2225" t="b">
        <v>0</v>
      </c>
    </row>
    <row r="2226" spans="1:25">
      <c r="A2226">
        <v>1000319</v>
      </c>
      <c r="B2226" t="s">
        <v>4061</v>
      </c>
      <c r="C2226" t="s">
        <v>4688</v>
      </c>
      <c r="D2226" t="s">
        <v>1292</v>
      </c>
      <c r="E2226">
        <v>1000319</v>
      </c>
      <c r="F2226" t="s">
        <v>1292</v>
      </c>
      <c r="G2226">
        <v>0</v>
      </c>
      <c r="H2226" t="s">
        <v>1292</v>
      </c>
      <c r="I2226">
        <v>0</v>
      </c>
      <c r="J2226" t="s">
        <v>1292</v>
      </c>
      <c r="K2226">
        <v>0</v>
      </c>
      <c r="L2226" t="s">
        <v>1292</v>
      </c>
      <c r="M2226">
        <v>0</v>
      </c>
      <c r="N2226" t="s">
        <v>1292</v>
      </c>
      <c r="O2226">
        <v>0</v>
      </c>
      <c r="P2226" t="s">
        <v>1846</v>
      </c>
      <c r="Q2226" s="1">
        <v>10686</v>
      </c>
      <c r="R2226">
        <v>31.6</v>
      </c>
      <c r="S2226" s="2">
        <v>0</v>
      </c>
      <c r="T2226" t="s">
        <v>658</v>
      </c>
      <c r="U2226" s="2">
        <v>0.28999999999999998</v>
      </c>
      <c r="V2226" t="s">
        <v>4688</v>
      </c>
      <c r="W2226" t="s">
        <v>4689</v>
      </c>
      <c r="X2226" t="b">
        <v>0</v>
      </c>
      <c r="Y2226" t="b">
        <v>0</v>
      </c>
    </row>
    <row r="2227" spans="1:25">
      <c r="A2227">
        <v>1000320</v>
      </c>
      <c r="B2227" t="s">
        <v>4061</v>
      </c>
      <c r="C2227" t="s">
        <v>4690</v>
      </c>
      <c r="D2227" t="s">
        <v>1292</v>
      </c>
      <c r="E2227">
        <v>1000320</v>
      </c>
      <c r="F2227" t="s">
        <v>1292</v>
      </c>
      <c r="G2227">
        <v>0</v>
      </c>
      <c r="H2227" t="s">
        <v>1292</v>
      </c>
      <c r="I2227">
        <v>0</v>
      </c>
      <c r="J2227" t="s">
        <v>1292</v>
      </c>
      <c r="K2227">
        <v>0</v>
      </c>
      <c r="L2227" t="s">
        <v>1292</v>
      </c>
      <c r="M2227">
        <v>0</v>
      </c>
      <c r="N2227" t="s">
        <v>1292</v>
      </c>
      <c r="O2227">
        <v>0</v>
      </c>
      <c r="P2227" t="s">
        <v>528</v>
      </c>
      <c r="Q2227" s="1">
        <v>2639</v>
      </c>
      <c r="R2227">
        <v>34.700000000000003</v>
      </c>
      <c r="S2227" s="2">
        <v>0</v>
      </c>
      <c r="T2227" s="3">
        <v>4.166666666666667</v>
      </c>
      <c r="U2227" s="2">
        <v>0.43</v>
      </c>
      <c r="V2227" t="s">
        <v>4690</v>
      </c>
      <c r="W2227" t="s">
        <v>4691</v>
      </c>
      <c r="X2227" t="b">
        <v>0</v>
      </c>
      <c r="Y2227" t="b">
        <v>0</v>
      </c>
    </row>
    <row r="2228" spans="1:25">
      <c r="A2228">
        <v>1000321</v>
      </c>
      <c r="B2228" t="s">
        <v>4061</v>
      </c>
      <c r="C2228" t="s">
        <v>4692</v>
      </c>
      <c r="D2228" t="s">
        <v>1292</v>
      </c>
      <c r="E2228">
        <v>1000321</v>
      </c>
      <c r="F2228" t="s">
        <v>1292</v>
      </c>
      <c r="G2228">
        <v>0</v>
      </c>
      <c r="H2228" t="s">
        <v>1292</v>
      </c>
      <c r="I2228">
        <v>0</v>
      </c>
      <c r="J2228" t="s">
        <v>1292</v>
      </c>
      <c r="K2228">
        <v>0</v>
      </c>
      <c r="L2228" t="s">
        <v>1292</v>
      </c>
      <c r="M2228">
        <v>0</v>
      </c>
      <c r="N2228" t="s">
        <v>1292</v>
      </c>
      <c r="O2228">
        <v>0</v>
      </c>
      <c r="P2228" t="s">
        <v>1102</v>
      </c>
      <c r="Q2228" s="1">
        <v>1220</v>
      </c>
      <c r="R2228">
        <v>14.4</v>
      </c>
      <c r="S2228" s="2">
        <v>0</v>
      </c>
      <c r="T2228">
        <v>0.97083333333333333</v>
      </c>
      <c r="U2228" s="2">
        <v>0.44</v>
      </c>
      <c r="V2228" t="s">
        <v>4692</v>
      </c>
      <c r="W2228" t="s">
        <v>4693</v>
      </c>
      <c r="X2228" t="b">
        <v>0</v>
      </c>
      <c r="Y2228" t="b">
        <v>0</v>
      </c>
    </row>
    <row r="2229" spans="1:25">
      <c r="A2229">
        <v>1000322</v>
      </c>
      <c r="B2229" t="s">
        <v>4061</v>
      </c>
      <c r="C2229" t="s">
        <v>4694</v>
      </c>
      <c r="D2229" t="s">
        <v>1292</v>
      </c>
      <c r="E2229">
        <v>1000322</v>
      </c>
      <c r="F2229" t="s">
        <v>1292</v>
      </c>
      <c r="G2229">
        <v>0</v>
      </c>
      <c r="H2229" t="s">
        <v>1292</v>
      </c>
      <c r="I2229">
        <v>0</v>
      </c>
      <c r="J2229" t="s">
        <v>1292</v>
      </c>
      <c r="K2229">
        <v>0</v>
      </c>
      <c r="L2229" t="s">
        <v>1292</v>
      </c>
      <c r="M2229">
        <v>0</v>
      </c>
      <c r="N2229" t="s">
        <v>1292</v>
      </c>
      <c r="O2229">
        <v>0</v>
      </c>
      <c r="P2229" t="s">
        <v>255</v>
      </c>
      <c r="Q2229">
        <v>893</v>
      </c>
      <c r="R2229">
        <v>17.100000000000001</v>
      </c>
      <c r="S2229" s="2">
        <v>0.33</v>
      </c>
      <c r="T2229">
        <v>0.80694444444444446</v>
      </c>
      <c r="U2229" s="2">
        <v>0.45</v>
      </c>
      <c r="V2229" t="s">
        <v>4694</v>
      </c>
      <c r="W2229" t="s">
        <v>1390</v>
      </c>
      <c r="X2229" t="b">
        <v>0</v>
      </c>
      <c r="Y2229" t="b">
        <v>0</v>
      </c>
    </row>
    <row r="2230" spans="1:25">
      <c r="A2230">
        <v>1000323</v>
      </c>
      <c r="B2230" t="s">
        <v>4061</v>
      </c>
      <c r="C2230" t="s">
        <v>4695</v>
      </c>
      <c r="D2230" t="s">
        <v>1292</v>
      </c>
      <c r="E2230">
        <v>1000323</v>
      </c>
      <c r="F2230" t="s">
        <v>1292</v>
      </c>
      <c r="G2230">
        <v>0</v>
      </c>
      <c r="H2230" t="s">
        <v>1292</v>
      </c>
      <c r="I2230">
        <v>0</v>
      </c>
      <c r="J2230" t="s">
        <v>1292</v>
      </c>
      <c r="K2230">
        <v>0</v>
      </c>
      <c r="L2230" t="s">
        <v>1292</v>
      </c>
      <c r="M2230">
        <v>0</v>
      </c>
      <c r="N2230" t="s">
        <v>1292</v>
      </c>
      <c r="O2230">
        <v>0</v>
      </c>
      <c r="P2230" t="s">
        <v>26</v>
      </c>
      <c r="Q2230">
        <v>210</v>
      </c>
      <c r="R2230">
        <v>2.8</v>
      </c>
      <c r="S2230" s="2">
        <v>0.36</v>
      </c>
      <c r="T2230" s="3">
        <v>2.7326388888888888</v>
      </c>
      <c r="U2230" s="2">
        <v>0.05</v>
      </c>
      <c r="V2230" t="s">
        <v>4695</v>
      </c>
      <c r="W2230" t="s">
        <v>4696</v>
      </c>
      <c r="X2230" t="b">
        <v>0</v>
      </c>
      <c r="Y2230" t="b">
        <v>0</v>
      </c>
    </row>
    <row r="2231" spans="1:25">
      <c r="A2231">
        <v>1000324</v>
      </c>
      <c r="B2231" t="s">
        <v>4061</v>
      </c>
      <c r="C2231" t="s">
        <v>4697</v>
      </c>
      <c r="D2231" t="s">
        <v>1292</v>
      </c>
      <c r="E2231">
        <v>1000324</v>
      </c>
      <c r="F2231" t="s">
        <v>1292</v>
      </c>
      <c r="G2231">
        <v>0</v>
      </c>
      <c r="H2231" t="s">
        <v>1292</v>
      </c>
      <c r="I2231">
        <v>0</v>
      </c>
      <c r="J2231" t="s">
        <v>1292</v>
      </c>
      <c r="K2231">
        <v>0</v>
      </c>
      <c r="L2231" t="s">
        <v>1292</v>
      </c>
      <c r="M2231">
        <v>0</v>
      </c>
      <c r="N2231" t="s">
        <v>1292</v>
      </c>
      <c r="O2231">
        <v>0</v>
      </c>
      <c r="P2231" t="s">
        <v>2513</v>
      </c>
      <c r="Q2231" s="1">
        <v>7895</v>
      </c>
      <c r="R2231">
        <v>25.8</v>
      </c>
      <c r="S2231" s="2">
        <v>0.02</v>
      </c>
      <c r="T2231" s="3">
        <v>1.9131944444444444</v>
      </c>
      <c r="U2231" s="2">
        <v>0.23</v>
      </c>
      <c r="V2231" t="s">
        <v>4697</v>
      </c>
      <c r="W2231" t="s">
        <v>4698</v>
      </c>
      <c r="X2231" t="b">
        <v>0</v>
      </c>
      <c r="Y2231" t="b">
        <v>0</v>
      </c>
    </row>
    <row r="2232" spans="1:25">
      <c r="A2232">
        <v>1000325</v>
      </c>
      <c r="B2232" t="s">
        <v>4061</v>
      </c>
      <c r="C2232" t="s">
        <v>4699</v>
      </c>
      <c r="D2232" t="s">
        <v>1292</v>
      </c>
      <c r="E2232">
        <v>1000325</v>
      </c>
      <c r="F2232" t="s">
        <v>1292</v>
      </c>
      <c r="G2232">
        <v>0</v>
      </c>
      <c r="H2232" t="s">
        <v>1292</v>
      </c>
      <c r="I2232">
        <v>0</v>
      </c>
      <c r="J2232" t="s">
        <v>1292</v>
      </c>
      <c r="K2232">
        <v>0</v>
      </c>
      <c r="L2232" t="s">
        <v>1292</v>
      </c>
      <c r="M2232">
        <v>0</v>
      </c>
      <c r="N2232" t="s">
        <v>1292</v>
      </c>
      <c r="O2232">
        <v>0</v>
      </c>
      <c r="P2232" t="s">
        <v>29</v>
      </c>
      <c r="Q2232">
        <v>502</v>
      </c>
      <c r="R2232">
        <v>14.8</v>
      </c>
      <c r="S2232" s="2">
        <v>0.96</v>
      </c>
      <c r="T2232" s="3">
        <v>2.3229166666666665</v>
      </c>
      <c r="U2232" t="s">
        <v>1292</v>
      </c>
      <c r="V2232" t="s">
        <v>4699</v>
      </c>
      <c r="W2232" t="s">
        <v>4642</v>
      </c>
      <c r="X2232" t="b">
        <v>0</v>
      </c>
      <c r="Y2232" t="b">
        <v>0</v>
      </c>
    </row>
    <row r="2233" spans="1:25">
      <c r="A2233">
        <v>1000326</v>
      </c>
      <c r="B2233" t="s">
        <v>4061</v>
      </c>
      <c r="C2233" t="s">
        <v>4700</v>
      </c>
      <c r="D2233" t="s">
        <v>1292</v>
      </c>
      <c r="E2233">
        <v>1000326</v>
      </c>
      <c r="F2233" t="s">
        <v>1292</v>
      </c>
      <c r="G2233">
        <v>0</v>
      </c>
      <c r="H2233" t="s">
        <v>1292</v>
      </c>
      <c r="I2233">
        <v>0</v>
      </c>
      <c r="J2233" t="s">
        <v>1292</v>
      </c>
      <c r="K2233">
        <v>0</v>
      </c>
      <c r="L2233" t="s">
        <v>1292</v>
      </c>
      <c r="M2233">
        <v>0</v>
      </c>
      <c r="N2233" t="s">
        <v>1292</v>
      </c>
      <c r="O2233">
        <v>0</v>
      </c>
      <c r="P2233" t="s">
        <v>94</v>
      </c>
      <c r="Q2233" s="1">
        <v>2823</v>
      </c>
      <c r="R2233">
        <v>12.1</v>
      </c>
      <c r="S2233" s="2">
        <v>0.13</v>
      </c>
      <c r="U2233" s="2">
        <v>0.27</v>
      </c>
      <c r="V2233" t="s">
        <v>4700</v>
      </c>
      <c r="W2233" t="s">
        <v>4701</v>
      </c>
      <c r="X2233" t="b">
        <v>0</v>
      </c>
      <c r="Y2233" t="b">
        <v>0</v>
      </c>
    </row>
    <row r="2234" spans="1:25">
      <c r="A2234">
        <v>1000327</v>
      </c>
      <c r="B2234" t="s">
        <v>4061</v>
      </c>
      <c r="C2234" t="s">
        <v>4702</v>
      </c>
      <c r="D2234" t="s">
        <v>1292</v>
      </c>
      <c r="E2234">
        <v>1000327</v>
      </c>
      <c r="F2234" t="s">
        <v>1292</v>
      </c>
      <c r="G2234">
        <v>0</v>
      </c>
      <c r="H2234" t="s">
        <v>1292</v>
      </c>
      <c r="I2234">
        <v>0</v>
      </c>
      <c r="J2234" t="s">
        <v>1292</v>
      </c>
      <c r="K2234">
        <v>0</v>
      </c>
      <c r="L2234" t="s">
        <v>1292</v>
      </c>
      <c r="M2234">
        <v>0</v>
      </c>
      <c r="N2234" t="s">
        <v>1292</v>
      </c>
      <c r="O2234">
        <v>0</v>
      </c>
      <c r="P2234" t="s">
        <v>1306</v>
      </c>
      <c r="Q2234" s="1">
        <v>3040</v>
      </c>
      <c r="R2234">
        <v>32.700000000000003</v>
      </c>
      <c r="S2234" s="2">
        <v>0.01</v>
      </c>
      <c r="T2234" t="s">
        <v>801</v>
      </c>
      <c r="U2234" t="s">
        <v>1292</v>
      </c>
      <c r="V2234" t="s">
        <v>4702</v>
      </c>
      <c r="W2234" t="s">
        <v>4703</v>
      </c>
      <c r="X2234" t="b">
        <v>0</v>
      </c>
      <c r="Y2234" t="b">
        <v>0</v>
      </c>
    </row>
    <row r="2235" spans="1:25">
      <c r="A2235">
        <v>1000328</v>
      </c>
      <c r="B2235" t="s">
        <v>4061</v>
      </c>
      <c r="C2235" t="s">
        <v>4704</v>
      </c>
      <c r="D2235" t="s">
        <v>1292</v>
      </c>
      <c r="E2235">
        <v>1000328</v>
      </c>
      <c r="F2235" t="s">
        <v>1292</v>
      </c>
      <c r="G2235">
        <v>0</v>
      </c>
      <c r="H2235" t="s">
        <v>1292</v>
      </c>
      <c r="I2235">
        <v>0</v>
      </c>
      <c r="J2235" t="s">
        <v>1292</v>
      </c>
      <c r="K2235">
        <v>0</v>
      </c>
      <c r="L2235" t="s">
        <v>1292</v>
      </c>
      <c r="M2235">
        <v>0</v>
      </c>
      <c r="N2235" t="s">
        <v>1292</v>
      </c>
      <c r="O2235">
        <v>0</v>
      </c>
      <c r="P2235" t="s">
        <v>4456</v>
      </c>
      <c r="Q2235" s="1">
        <v>1784</v>
      </c>
      <c r="R2235">
        <v>17.7</v>
      </c>
      <c r="S2235" s="2">
        <v>0</v>
      </c>
      <c r="T2235" s="3">
        <v>2.5687500000000001</v>
      </c>
      <c r="U2235" t="s">
        <v>1292</v>
      </c>
      <c r="V2235" t="s">
        <v>4704</v>
      </c>
      <c r="W2235" t="s">
        <v>4705</v>
      </c>
      <c r="X2235" t="b">
        <v>0</v>
      </c>
      <c r="Y2235" t="b">
        <v>0</v>
      </c>
    </row>
    <row r="2236" spans="1:25">
      <c r="A2236">
        <v>1000329</v>
      </c>
      <c r="B2236" t="s">
        <v>4061</v>
      </c>
      <c r="C2236" t="s">
        <v>4706</v>
      </c>
      <c r="D2236" t="s">
        <v>1292</v>
      </c>
      <c r="E2236">
        <v>1000329</v>
      </c>
      <c r="F2236" t="s">
        <v>1292</v>
      </c>
      <c r="G2236">
        <v>0</v>
      </c>
      <c r="H2236" t="s">
        <v>1292</v>
      </c>
      <c r="I2236">
        <v>0</v>
      </c>
      <c r="J2236" t="s">
        <v>1292</v>
      </c>
      <c r="K2236">
        <v>0</v>
      </c>
      <c r="L2236" t="s">
        <v>1292</v>
      </c>
      <c r="M2236">
        <v>0</v>
      </c>
      <c r="N2236" t="s">
        <v>1292</v>
      </c>
      <c r="O2236">
        <v>0</v>
      </c>
      <c r="P2236" t="s">
        <v>1306</v>
      </c>
      <c r="Q2236" s="1">
        <v>5656</v>
      </c>
      <c r="R2236">
        <v>14.9</v>
      </c>
      <c r="S2236" s="2">
        <v>0.01</v>
      </c>
      <c r="T2236" t="s">
        <v>105</v>
      </c>
      <c r="U2236" t="s">
        <v>1292</v>
      </c>
      <c r="V2236" t="s">
        <v>4706</v>
      </c>
      <c r="W2236" t="s">
        <v>4707</v>
      </c>
      <c r="X2236" t="b">
        <v>0</v>
      </c>
      <c r="Y2236" t="b">
        <v>0</v>
      </c>
    </row>
    <row r="2237" spans="1:25">
      <c r="A2237">
        <v>1000330</v>
      </c>
      <c r="B2237" t="s">
        <v>4061</v>
      </c>
      <c r="C2237" t="s">
        <v>4708</v>
      </c>
      <c r="D2237" t="s">
        <v>1292</v>
      </c>
      <c r="E2237">
        <v>1000330</v>
      </c>
      <c r="F2237" t="s">
        <v>1292</v>
      </c>
      <c r="G2237">
        <v>0</v>
      </c>
      <c r="H2237" t="s">
        <v>1292</v>
      </c>
      <c r="I2237">
        <v>0</v>
      </c>
      <c r="J2237" t="s">
        <v>1292</v>
      </c>
      <c r="K2237">
        <v>0</v>
      </c>
      <c r="L2237" t="s">
        <v>1292</v>
      </c>
      <c r="M2237">
        <v>0</v>
      </c>
      <c r="N2237" t="s">
        <v>1292</v>
      </c>
      <c r="O2237">
        <v>0</v>
      </c>
      <c r="P2237" t="s">
        <v>2536</v>
      </c>
      <c r="Q2237" s="1">
        <v>6413</v>
      </c>
      <c r="R2237">
        <v>31.3</v>
      </c>
      <c r="S2237" s="2">
        <v>0.04</v>
      </c>
      <c r="T2237" s="3">
        <v>2.2409722222222221</v>
      </c>
      <c r="U2237" s="2">
        <v>0.44</v>
      </c>
      <c r="V2237" t="s">
        <v>4708</v>
      </c>
      <c r="W2237" t="s">
        <v>4709</v>
      </c>
      <c r="X2237" t="b">
        <v>0</v>
      </c>
      <c r="Y2237" t="b">
        <v>0</v>
      </c>
    </row>
    <row r="2238" spans="1:25">
      <c r="A2238">
        <v>1000331</v>
      </c>
      <c r="B2238" t="s">
        <v>4061</v>
      </c>
      <c r="C2238" t="s">
        <v>4710</v>
      </c>
      <c r="D2238" t="s">
        <v>1292</v>
      </c>
      <c r="E2238">
        <v>1000331</v>
      </c>
      <c r="F2238" t="s">
        <v>1292</v>
      </c>
      <c r="G2238">
        <v>0</v>
      </c>
      <c r="H2238" t="s">
        <v>1292</v>
      </c>
      <c r="I2238">
        <v>0</v>
      </c>
      <c r="J2238" t="s">
        <v>1292</v>
      </c>
      <c r="K2238">
        <v>0</v>
      </c>
      <c r="L2238" t="s">
        <v>1292</v>
      </c>
      <c r="M2238">
        <v>0</v>
      </c>
      <c r="N2238" t="s">
        <v>1292</v>
      </c>
      <c r="O2238">
        <v>0</v>
      </c>
      <c r="P2238" t="s">
        <v>4456</v>
      </c>
      <c r="Q2238">
        <v>552</v>
      </c>
      <c r="R2238">
        <v>9.1999999999999993</v>
      </c>
      <c r="S2238" s="2">
        <v>0</v>
      </c>
      <c r="T2238" t="s">
        <v>501</v>
      </c>
      <c r="U2238" t="s">
        <v>1292</v>
      </c>
      <c r="V2238" t="s">
        <v>4710</v>
      </c>
      <c r="W2238" t="s">
        <v>4711</v>
      </c>
      <c r="X2238" t="b">
        <v>0</v>
      </c>
      <c r="Y2238" t="b">
        <v>0</v>
      </c>
    </row>
    <row r="2239" spans="1:25">
      <c r="A2239">
        <v>1000332</v>
      </c>
      <c r="B2239" t="s">
        <v>4061</v>
      </c>
      <c r="C2239" t="s">
        <v>4712</v>
      </c>
      <c r="D2239" t="s">
        <v>1292</v>
      </c>
      <c r="E2239">
        <v>1000332</v>
      </c>
      <c r="F2239" t="s">
        <v>1292</v>
      </c>
      <c r="G2239">
        <v>0</v>
      </c>
      <c r="H2239" t="s">
        <v>1292</v>
      </c>
      <c r="I2239">
        <v>0</v>
      </c>
      <c r="J2239" t="s">
        <v>1292</v>
      </c>
      <c r="K2239">
        <v>0</v>
      </c>
      <c r="L2239" t="s">
        <v>1292</v>
      </c>
      <c r="M2239">
        <v>0</v>
      </c>
      <c r="N2239" t="s">
        <v>1292</v>
      </c>
      <c r="O2239">
        <v>0</v>
      </c>
      <c r="P2239" t="s">
        <v>4713</v>
      </c>
      <c r="Q2239">
        <v>469</v>
      </c>
      <c r="R2239">
        <v>17.399999999999999</v>
      </c>
      <c r="S2239" s="2">
        <v>0.69</v>
      </c>
      <c r="T2239" t="s">
        <v>145</v>
      </c>
      <c r="U2239" s="2">
        <v>0.04</v>
      </c>
      <c r="V2239" t="s">
        <v>4712</v>
      </c>
      <c r="W2239" t="s">
        <v>4489</v>
      </c>
      <c r="X2239" t="b">
        <v>0</v>
      </c>
      <c r="Y2239" t="b">
        <v>0</v>
      </c>
    </row>
    <row r="2240" spans="1:25">
      <c r="A2240">
        <v>1000333</v>
      </c>
      <c r="B2240" t="s">
        <v>4061</v>
      </c>
      <c r="C2240" t="s">
        <v>4714</v>
      </c>
      <c r="D2240" t="s">
        <v>1292</v>
      </c>
      <c r="E2240">
        <v>1000333</v>
      </c>
      <c r="F2240" t="s">
        <v>1292</v>
      </c>
      <c r="G2240">
        <v>0</v>
      </c>
      <c r="H2240" t="s">
        <v>1292</v>
      </c>
      <c r="I2240">
        <v>0</v>
      </c>
      <c r="J2240" t="s">
        <v>1292</v>
      </c>
      <c r="K2240">
        <v>0</v>
      </c>
      <c r="L2240" t="s">
        <v>1292</v>
      </c>
      <c r="M2240">
        <v>0</v>
      </c>
      <c r="N2240" t="s">
        <v>1292</v>
      </c>
      <c r="O2240">
        <v>0</v>
      </c>
      <c r="P2240" t="s">
        <v>1220</v>
      </c>
      <c r="Q2240" s="1">
        <v>8507</v>
      </c>
      <c r="R2240">
        <v>40.700000000000003</v>
      </c>
      <c r="S2240" s="2">
        <v>0.02</v>
      </c>
      <c r="T2240" s="3">
        <v>2.2409722222222221</v>
      </c>
      <c r="U2240" s="2">
        <v>0.4</v>
      </c>
      <c r="V2240" t="s">
        <v>4714</v>
      </c>
      <c r="W2240" t="s">
        <v>4715</v>
      </c>
      <c r="X2240" t="b">
        <v>0</v>
      </c>
      <c r="Y2240" t="b">
        <v>0</v>
      </c>
    </row>
    <row r="2241" spans="1:25">
      <c r="A2241">
        <v>1000334</v>
      </c>
      <c r="B2241" t="s">
        <v>4061</v>
      </c>
      <c r="C2241" t="s">
        <v>4716</v>
      </c>
      <c r="D2241" t="s">
        <v>1292</v>
      </c>
      <c r="E2241">
        <v>1000334</v>
      </c>
      <c r="F2241" t="s">
        <v>1292</v>
      </c>
      <c r="G2241">
        <v>0</v>
      </c>
      <c r="H2241" t="s">
        <v>1292</v>
      </c>
      <c r="I2241">
        <v>0</v>
      </c>
      <c r="J2241" t="s">
        <v>1292</v>
      </c>
      <c r="K2241">
        <v>0</v>
      </c>
      <c r="L2241" t="s">
        <v>1292</v>
      </c>
      <c r="M2241">
        <v>0</v>
      </c>
      <c r="N2241" t="s">
        <v>1292</v>
      </c>
      <c r="O2241">
        <v>0</v>
      </c>
      <c r="P2241" t="s">
        <v>1853</v>
      </c>
      <c r="Q2241" s="1">
        <v>3273</v>
      </c>
      <c r="R2241">
        <v>13</v>
      </c>
      <c r="S2241" s="2">
        <v>0.04</v>
      </c>
      <c r="T2241" s="3">
        <v>3.0194444444444444</v>
      </c>
      <c r="U2241" s="2">
        <v>0.39</v>
      </c>
      <c r="V2241" t="s">
        <v>4716</v>
      </c>
      <c r="W2241" t="s">
        <v>4503</v>
      </c>
      <c r="X2241" t="b">
        <v>0</v>
      </c>
      <c r="Y2241" t="b">
        <v>0</v>
      </c>
    </row>
    <row r="2242" spans="1:25">
      <c r="A2242">
        <v>1000335</v>
      </c>
      <c r="B2242" t="s">
        <v>4061</v>
      </c>
      <c r="C2242" t="s">
        <v>4717</v>
      </c>
      <c r="D2242" t="s">
        <v>1292</v>
      </c>
      <c r="E2242">
        <v>1000335</v>
      </c>
      <c r="F2242" t="s">
        <v>1292</v>
      </c>
      <c r="G2242">
        <v>0</v>
      </c>
      <c r="H2242" t="s">
        <v>1292</v>
      </c>
      <c r="I2242">
        <v>0</v>
      </c>
      <c r="J2242" t="s">
        <v>1292</v>
      </c>
      <c r="K2242">
        <v>0</v>
      </c>
      <c r="L2242" t="s">
        <v>1292</v>
      </c>
      <c r="M2242">
        <v>0</v>
      </c>
      <c r="N2242" t="s">
        <v>1292</v>
      </c>
      <c r="O2242">
        <v>0</v>
      </c>
      <c r="P2242" t="s">
        <v>1102</v>
      </c>
      <c r="Q2242" s="1">
        <v>9569</v>
      </c>
      <c r="R2242">
        <v>13.6</v>
      </c>
      <c r="S2242" s="2">
        <v>0.01</v>
      </c>
      <c r="T2242" t="s">
        <v>1062</v>
      </c>
      <c r="U2242" s="2">
        <v>0.27</v>
      </c>
      <c r="V2242" t="s">
        <v>4717</v>
      </c>
      <c r="W2242" t="s">
        <v>4718</v>
      </c>
      <c r="X2242" t="b">
        <v>0</v>
      </c>
      <c r="Y2242" t="b">
        <v>0</v>
      </c>
    </row>
    <row r="2243" spans="1:25">
      <c r="A2243">
        <v>1000336</v>
      </c>
      <c r="B2243" t="s">
        <v>4061</v>
      </c>
      <c r="C2243" t="s">
        <v>4719</v>
      </c>
      <c r="D2243" t="s">
        <v>1292</v>
      </c>
      <c r="E2243">
        <v>1000336</v>
      </c>
      <c r="F2243" t="s">
        <v>1292</v>
      </c>
      <c r="G2243">
        <v>0</v>
      </c>
      <c r="H2243" t="s">
        <v>1292</v>
      </c>
      <c r="I2243">
        <v>0</v>
      </c>
      <c r="J2243" t="s">
        <v>1292</v>
      </c>
      <c r="K2243">
        <v>0</v>
      </c>
      <c r="L2243" t="s">
        <v>1292</v>
      </c>
      <c r="M2243">
        <v>0</v>
      </c>
      <c r="N2243" t="s">
        <v>1292</v>
      </c>
      <c r="O2243">
        <v>0</v>
      </c>
      <c r="P2243" t="s">
        <v>2157</v>
      </c>
      <c r="Q2243" s="1">
        <v>5023</v>
      </c>
      <c r="R2243">
        <v>10.199999999999999</v>
      </c>
      <c r="S2243" s="2">
        <v>0.01</v>
      </c>
      <c r="T2243" s="3">
        <v>2.5277777777777777</v>
      </c>
      <c r="U2243" t="s">
        <v>1292</v>
      </c>
      <c r="V2243" t="s">
        <v>4719</v>
      </c>
      <c r="W2243" t="s">
        <v>4720</v>
      </c>
      <c r="X2243" t="b">
        <v>0</v>
      </c>
      <c r="Y2243" t="b">
        <v>0</v>
      </c>
    </row>
    <row r="2244" spans="1:25">
      <c r="A2244">
        <v>1000337</v>
      </c>
      <c r="B2244" t="s">
        <v>4061</v>
      </c>
      <c r="C2244" t="s">
        <v>4721</v>
      </c>
      <c r="D2244" t="s">
        <v>1292</v>
      </c>
      <c r="E2244">
        <v>1000337</v>
      </c>
      <c r="F2244" t="s">
        <v>1292</v>
      </c>
      <c r="G2244">
        <v>0</v>
      </c>
      <c r="H2244" t="s">
        <v>1292</v>
      </c>
      <c r="I2244">
        <v>0</v>
      </c>
      <c r="J2244" t="s">
        <v>1292</v>
      </c>
      <c r="K2244">
        <v>0</v>
      </c>
      <c r="L2244" t="s">
        <v>1292</v>
      </c>
      <c r="M2244">
        <v>0</v>
      </c>
      <c r="N2244" t="s">
        <v>1292</v>
      </c>
      <c r="O2244">
        <v>0</v>
      </c>
      <c r="P2244" t="s">
        <v>2224</v>
      </c>
      <c r="Q2244" s="1">
        <v>17102</v>
      </c>
      <c r="R2244">
        <v>45</v>
      </c>
      <c r="S2244" s="2">
        <v>0.01</v>
      </c>
      <c r="T2244" s="3">
        <v>2.4048611111111109</v>
      </c>
      <c r="U2244" s="2">
        <v>0.28000000000000003</v>
      </c>
      <c r="V2244" t="s">
        <v>4721</v>
      </c>
      <c r="W2244" t="s">
        <v>4722</v>
      </c>
      <c r="X2244" t="b">
        <v>0</v>
      </c>
      <c r="Y2244" t="b">
        <v>0</v>
      </c>
    </row>
    <row r="2245" spans="1:25">
      <c r="A2245">
        <v>1000338</v>
      </c>
      <c r="B2245" t="s">
        <v>4061</v>
      </c>
      <c r="C2245" t="s">
        <v>4723</v>
      </c>
      <c r="D2245" t="s">
        <v>1292</v>
      </c>
      <c r="E2245">
        <v>1000338</v>
      </c>
      <c r="F2245" t="s">
        <v>1292</v>
      </c>
      <c r="G2245">
        <v>0</v>
      </c>
      <c r="H2245" t="s">
        <v>1292</v>
      </c>
      <c r="I2245">
        <v>0</v>
      </c>
      <c r="J2245" t="s">
        <v>1292</v>
      </c>
      <c r="K2245">
        <v>0</v>
      </c>
      <c r="L2245" t="s">
        <v>1292</v>
      </c>
      <c r="M2245">
        <v>0</v>
      </c>
      <c r="N2245" t="s">
        <v>1292</v>
      </c>
      <c r="O2245">
        <v>0</v>
      </c>
      <c r="P2245" t="s">
        <v>534</v>
      </c>
      <c r="Q2245" s="1">
        <v>10104</v>
      </c>
      <c r="R2245">
        <v>8.4</v>
      </c>
      <c r="S2245" s="2">
        <v>0.7</v>
      </c>
      <c r="T2245">
        <v>0.19236111111111112</v>
      </c>
      <c r="U2245" s="2">
        <v>0.46</v>
      </c>
      <c r="V2245" t="s">
        <v>4723</v>
      </c>
      <c r="W2245" t="s">
        <v>4724</v>
      </c>
      <c r="X2245" t="b">
        <v>0</v>
      </c>
      <c r="Y2245" t="b">
        <v>0</v>
      </c>
    </row>
    <row r="2246" spans="1:25">
      <c r="A2246">
        <v>1000339</v>
      </c>
      <c r="B2246" t="s">
        <v>4061</v>
      </c>
      <c r="C2246" t="s">
        <v>4725</v>
      </c>
      <c r="D2246" t="s">
        <v>1292</v>
      </c>
      <c r="E2246">
        <v>1000339</v>
      </c>
      <c r="F2246" t="s">
        <v>1292</v>
      </c>
      <c r="G2246">
        <v>0</v>
      </c>
      <c r="H2246" t="s">
        <v>1292</v>
      </c>
      <c r="I2246">
        <v>0</v>
      </c>
      <c r="J2246" t="s">
        <v>1292</v>
      </c>
      <c r="K2246">
        <v>0</v>
      </c>
      <c r="L2246" t="s">
        <v>1292</v>
      </c>
      <c r="M2246">
        <v>0</v>
      </c>
      <c r="N2246" t="s">
        <v>1292</v>
      </c>
      <c r="O2246">
        <v>0</v>
      </c>
      <c r="P2246" t="s">
        <v>1955</v>
      </c>
      <c r="Q2246" s="1">
        <v>17824</v>
      </c>
      <c r="R2246">
        <v>14.3</v>
      </c>
      <c r="S2246" s="2">
        <v>0</v>
      </c>
      <c r="T2246" t="s">
        <v>51</v>
      </c>
      <c r="U2246" s="2">
        <v>0.14000000000000001</v>
      </c>
      <c r="V2246" t="s">
        <v>4725</v>
      </c>
      <c r="W2246" t="s">
        <v>4726</v>
      </c>
      <c r="X2246" t="b">
        <v>0</v>
      </c>
      <c r="Y2246" t="b">
        <v>0</v>
      </c>
    </row>
    <row r="2247" spans="1:25">
      <c r="A2247">
        <v>1000340</v>
      </c>
      <c r="B2247" t="s">
        <v>4061</v>
      </c>
      <c r="C2247" t="s">
        <v>4727</v>
      </c>
      <c r="D2247" t="s">
        <v>1292</v>
      </c>
      <c r="E2247">
        <v>1000340</v>
      </c>
      <c r="F2247" t="s">
        <v>1292</v>
      </c>
      <c r="G2247">
        <v>0</v>
      </c>
      <c r="H2247" t="s">
        <v>1292</v>
      </c>
      <c r="I2247">
        <v>0</v>
      </c>
      <c r="J2247" t="s">
        <v>1292</v>
      </c>
      <c r="K2247">
        <v>0</v>
      </c>
      <c r="L2247" t="s">
        <v>1292</v>
      </c>
      <c r="M2247">
        <v>0</v>
      </c>
      <c r="N2247" t="s">
        <v>1292</v>
      </c>
      <c r="O2247">
        <v>0</v>
      </c>
      <c r="P2247" t="s">
        <v>1554</v>
      </c>
      <c r="Q2247" s="1">
        <v>4864</v>
      </c>
      <c r="R2247">
        <v>19.600000000000001</v>
      </c>
      <c r="S2247" s="2">
        <v>0.18</v>
      </c>
      <c r="T2247" s="3">
        <v>2.2819444444444446</v>
      </c>
      <c r="U2247" s="2">
        <v>0.46</v>
      </c>
      <c r="V2247" t="s">
        <v>4727</v>
      </c>
      <c r="W2247" t="s">
        <v>4728</v>
      </c>
      <c r="X2247" t="b">
        <v>0</v>
      </c>
      <c r="Y2247" t="b">
        <v>0</v>
      </c>
    </row>
    <row r="2248" spans="1:25">
      <c r="A2248">
        <v>1000341</v>
      </c>
      <c r="B2248" t="s">
        <v>4061</v>
      </c>
      <c r="C2248" t="s">
        <v>4729</v>
      </c>
      <c r="D2248" t="s">
        <v>1292</v>
      </c>
      <c r="E2248">
        <v>1000341</v>
      </c>
      <c r="F2248" t="s">
        <v>1292</v>
      </c>
      <c r="G2248">
        <v>0</v>
      </c>
      <c r="H2248" t="s">
        <v>1292</v>
      </c>
      <c r="I2248">
        <v>0</v>
      </c>
      <c r="J2248" t="s">
        <v>1292</v>
      </c>
      <c r="K2248">
        <v>0</v>
      </c>
      <c r="L2248" t="s">
        <v>1292</v>
      </c>
      <c r="M2248">
        <v>0</v>
      </c>
      <c r="N2248" t="s">
        <v>1292</v>
      </c>
      <c r="O2248">
        <v>0</v>
      </c>
      <c r="P2248" t="s">
        <v>2513</v>
      </c>
      <c r="Q2248" s="1">
        <v>3282</v>
      </c>
      <c r="R2248">
        <v>37.700000000000003</v>
      </c>
      <c r="S2248" s="2">
        <v>0.01</v>
      </c>
      <c r="T2248" t="s">
        <v>501</v>
      </c>
      <c r="U2248" s="2">
        <v>0.55000000000000004</v>
      </c>
      <c r="V2248" t="s">
        <v>4729</v>
      </c>
      <c r="W2248" t="s">
        <v>4730</v>
      </c>
      <c r="X2248" t="b">
        <v>0</v>
      </c>
      <c r="Y2248" t="b">
        <v>0</v>
      </c>
    </row>
    <row r="2249" spans="1:25">
      <c r="A2249">
        <v>1000342</v>
      </c>
      <c r="B2249" t="s">
        <v>4061</v>
      </c>
      <c r="C2249" t="s">
        <v>4731</v>
      </c>
      <c r="D2249" t="s">
        <v>1292</v>
      </c>
      <c r="E2249">
        <v>1000342</v>
      </c>
      <c r="F2249" t="s">
        <v>1292</v>
      </c>
      <c r="G2249">
        <v>0</v>
      </c>
      <c r="H2249" t="s">
        <v>1292</v>
      </c>
      <c r="I2249">
        <v>0</v>
      </c>
      <c r="J2249" t="s">
        <v>1292</v>
      </c>
      <c r="K2249">
        <v>0</v>
      </c>
      <c r="L2249" t="s">
        <v>1292</v>
      </c>
      <c r="M2249">
        <v>0</v>
      </c>
      <c r="N2249" t="s">
        <v>1292</v>
      </c>
      <c r="O2249">
        <v>0</v>
      </c>
      <c r="P2249" t="s">
        <v>895</v>
      </c>
      <c r="Q2249" s="1">
        <v>5005</v>
      </c>
      <c r="R2249">
        <v>21.3</v>
      </c>
      <c r="S2249" s="2">
        <v>0.1</v>
      </c>
      <c r="T2249" s="3">
        <v>2.2000000000000002</v>
      </c>
      <c r="U2249" s="2">
        <v>0.21</v>
      </c>
      <c r="V2249" t="s">
        <v>4731</v>
      </c>
      <c r="W2249" t="s">
        <v>4732</v>
      </c>
      <c r="X2249" t="b">
        <v>0</v>
      </c>
      <c r="Y2249" t="b">
        <v>0</v>
      </c>
    </row>
    <row r="2250" spans="1:25">
      <c r="A2250">
        <v>1000343</v>
      </c>
      <c r="B2250" t="s">
        <v>4061</v>
      </c>
      <c r="C2250" t="s">
        <v>4733</v>
      </c>
      <c r="D2250" t="s">
        <v>1292</v>
      </c>
      <c r="E2250">
        <v>1000343</v>
      </c>
      <c r="F2250" t="s">
        <v>1292</v>
      </c>
      <c r="G2250">
        <v>0</v>
      </c>
      <c r="H2250" t="s">
        <v>1292</v>
      </c>
      <c r="I2250">
        <v>0</v>
      </c>
      <c r="J2250" t="s">
        <v>1292</v>
      </c>
      <c r="K2250">
        <v>0</v>
      </c>
      <c r="L2250" t="s">
        <v>1292</v>
      </c>
      <c r="M2250">
        <v>0</v>
      </c>
      <c r="N2250" t="s">
        <v>1292</v>
      </c>
      <c r="O2250">
        <v>0</v>
      </c>
      <c r="P2250" t="s">
        <v>895</v>
      </c>
      <c r="Q2250" s="1">
        <v>34637</v>
      </c>
      <c r="R2250">
        <v>39</v>
      </c>
      <c r="S2250" s="2">
        <v>0.13</v>
      </c>
      <c r="T2250" s="3">
        <v>1.9131944444444444</v>
      </c>
      <c r="U2250" s="2">
        <v>0.25</v>
      </c>
      <c r="V2250" t="s">
        <v>4733</v>
      </c>
      <c r="W2250" t="s">
        <v>4734</v>
      </c>
      <c r="X2250" t="b">
        <v>0</v>
      </c>
      <c r="Y2250" t="b">
        <v>0</v>
      </c>
    </row>
    <row r="2251" spans="1:25">
      <c r="A2251">
        <v>1000344</v>
      </c>
      <c r="B2251" t="s">
        <v>4061</v>
      </c>
      <c r="C2251" t="s">
        <v>4735</v>
      </c>
      <c r="D2251" t="s">
        <v>1292</v>
      </c>
      <c r="E2251">
        <v>1000344</v>
      </c>
      <c r="F2251" t="s">
        <v>1292</v>
      </c>
      <c r="G2251">
        <v>0</v>
      </c>
      <c r="H2251" t="s">
        <v>1292</v>
      </c>
      <c r="I2251">
        <v>0</v>
      </c>
      <c r="J2251" t="s">
        <v>1292</v>
      </c>
      <c r="K2251">
        <v>0</v>
      </c>
      <c r="L2251" t="s">
        <v>1292</v>
      </c>
      <c r="M2251">
        <v>0</v>
      </c>
      <c r="N2251" t="s">
        <v>1292</v>
      </c>
      <c r="O2251">
        <v>0</v>
      </c>
      <c r="P2251" t="s">
        <v>895</v>
      </c>
      <c r="Q2251" s="1">
        <v>12495</v>
      </c>
      <c r="R2251">
        <v>26</v>
      </c>
      <c r="S2251" s="2">
        <v>0.11</v>
      </c>
      <c r="U2251" s="2">
        <v>0.32</v>
      </c>
      <c r="V2251" t="s">
        <v>4735</v>
      </c>
      <c r="W2251" t="s">
        <v>4736</v>
      </c>
      <c r="X2251" t="b">
        <v>0</v>
      </c>
      <c r="Y2251" t="b">
        <v>0</v>
      </c>
    </row>
    <row r="2252" spans="1:25">
      <c r="A2252">
        <v>1000345</v>
      </c>
      <c r="B2252" t="s">
        <v>4061</v>
      </c>
      <c r="C2252" t="s">
        <v>4737</v>
      </c>
      <c r="D2252" t="s">
        <v>1292</v>
      </c>
      <c r="E2252">
        <v>1000345</v>
      </c>
      <c r="F2252" t="s">
        <v>1292</v>
      </c>
      <c r="G2252">
        <v>0</v>
      </c>
      <c r="H2252" t="s">
        <v>1292</v>
      </c>
      <c r="I2252">
        <v>0</v>
      </c>
      <c r="J2252" t="s">
        <v>1292</v>
      </c>
      <c r="K2252">
        <v>0</v>
      </c>
      <c r="L2252" t="s">
        <v>1292</v>
      </c>
      <c r="M2252">
        <v>0</v>
      </c>
      <c r="N2252" t="s">
        <v>1292</v>
      </c>
      <c r="O2252">
        <v>0</v>
      </c>
      <c r="P2252" t="s">
        <v>895</v>
      </c>
      <c r="Q2252" s="1">
        <v>8563</v>
      </c>
      <c r="R2252">
        <v>15.3</v>
      </c>
      <c r="S2252" s="2">
        <v>0.14000000000000001</v>
      </c>
      <c r="T2252" s="3">
        <v>2.2409722222222221</v>
      </c>
      <c r="U2252" s="2">
        <v>0.19</v>
      </c>
      <c r="V2252" t="s">
        <v>4737</v>
      </c>
      <c r="W2252" t="s">
        <v>4738</v>
      </c>
      <c r="X2252" t="b">
        <v>0</v>
      </c>
      <c r="Y2252" t="b">
        <v>0</v>
      </c>
    </row>
    <row r="2253" spans="1:25">
      <c r="A2253">
        <v>1000346</v>
      </c>
      <c r="B2253" t="s">
        <v>4061</v>
      </c>
      <c r="C2253" t="s">
        <v>4739</v>
      </c>
      <c r="D2253" t="s">
        <v>1292</v>
      </c>
      <c r="E2253">
        <v>1000346</v>
      </c>
      <c r="F2253" t="s">
        <v>1292</v>
      </c>
      <c r="G2253">
        <v>0</v>
      </c>
      <c r="H2253" t="s">
        <v>1292</v>
      </c>
      <c r="I2253">
        <v>0</v>
      </c>
      <c r="J2253" t="s">
        <v>1292</v>
      </c>
      <c r="K2253">
        <v>0</v>
      </c>
      <c r="L2253" t="s">
        <v>1292</v>
      </c>
      <c r="M2253">
        <v>0</v>
      </c>
      <c r="N2253" t="s">
        <v>1292</v>
      </c>
      <c r="O2253">
        <v>0</v>
      </c>
      <c r="P2253" t="s">
        <v>1846</v>
      </c>
      <c r="Q2253" s="1">
        <v>5115</v>
      </c>
      <c r="R2253">
        <v>18.100000000000001</v>
      </c>
      <c r="S2253" s="2">
        <v>0.01</v>
      </c>
      <c r="T2253" t="s">
        <v>105</v>
      </c>
      <c r="U2253" t="s">
        <v>1292</v>
      </c>
      <c r="V2253" t="s">
        <v>4739</v>
      </c>
      <c r="W2253" t="s">
        <v>4740</v>
      </c>
      <c r="X2253" t="b">
        <v>0</v>
      </c>
      <c r="Y2253" t="b">
        <v>0</v>
      </c>
    </row>
    <row r="2254" spans="1:25">
      <c r="A2254">
        <v>1000347</v>
      </c>
      <c r="B2254" t="s">
        <v>4061</v>
      </c>
      <c r="C2254" t="s">
        <v>4741</v>
      </c>
      <c r="D2254" t="s">
        <v>1292</v>
      </c>
      <c r="E2254">
        <v>1000347</v>
      </c>
      <c r="F2254" t="s">
        <v>1292</v>
      </c>
      <c r="G2254">
        <v>0</v>
      </c>
      <c r="H2254" t="s">
        <v>1292</v>
      </c>
      <c r="I2254">
        <v>0</v>
      </c>
      <c r="J2254" t="s">
        <v>1292</v>
      </c>
      <c r="K2254">
        <v>0</v>
      </c>
      <c r="L2254" t="s">
        <v>1292</v>
      </c>
      <c r="M2254">
        <v>0</v>
      </c>
      <c r="N2254" t="s">
        <v>1292</v>
      </c>
      <c r="O2254">
        <v>0</v>
      </c>
      <c r="P2254" t="s">
        <v>397</v>
      </c>
      <c r="Q2254" s="1">
        <v>8109</v>
      </c>
      <c r="R2254">
        <v>18.899999999999999</v>
      </c>
      <c r="S2254" s="2">
        <v>0.06</v>
      </c>
      <c r="T2254" s="3">
        <v>3.0604166666666668</v>
      </c>
      <c r="U2254" s="2">
        <v>0.13</v>
      </c>
      <c r="V2254" t="s">
        <v>4741</v>
      </c>
      <c r="W2254" t="s">
        <v>4742</v>
      </c>
      <c r="X2254" t="b">
        <v>0</v>
      </c>
      <c r="Y2254" t="b">
        <v>0</v>
      </c>
    </row>
    <row r="2255" spans="1:25">
      <c r="A2255">
        <v>1000348</v>
      </c>
      <c r="B2255" t="s">
        <v>4061</v>
      </c>
      <c r="C2255" t="s">
        <v>4743</v>
      </c>
      <c r="D2255" t="s">
        <v>1292</v>
      </c>
      <c r="E2255">
        <v>1000348</v>
      </c>
      <c r="F2255" t="s">
        <v>1292</v>
      </c>
      <c r="G2255">
        <v>0</v>
      </c>
      <c r="H2255" t="s">
        <v>1292</v>
      </c>
      <c r="I2255">
        <v>0</v>
      </c>
      <c r="J2255" t="s">
        <v>1292</v>
      </c>
      <c r="K2255">
        <v>0</v>
      </c>
      <c r="L2255" t="s">
        <v>1292</v>
      </c>
      <c r="M2255">
        <v>0</v>
      </c>
      <c r="N2255" t="s">
        <v>1292</v>
      </c>
      <c r="O2255">
        <v>0</v>
      </c>
      <c r="P2255" t="s">
        <v>1123</v>
      </c>
      <c r="Q2255" s="1">
        <v>8489</v>
      </c>
      <c r="R2255">
        <v>17.3</v>
      </c>
      <c r="S2255" s="2">
        <v>0.03</v>
      </c>
      <c r="T2255" t="s">
        <v>162</v>
      </c>
      <c r="U2255" s="2">
        <v>0.48</v>
      </c>
      <c r="V2255" t="s">
        <v>4743</v>
      </c>
      <c r="W2255" t="s">
        <v>4744</v>
      </c>
      <c r="X2255" t="b">
        <v>0</v>
      </c>
      <c r="Y2255" t="b">
        <v>0</v>
      </c>
    </row>
    <row r="2256" spans="1:25">
      <c r="A2256">
        <v>1000349</v>
      </c>
      <c r="B2256" t="s">
        <v>4061</v>
      </c>
      <c r="C2256" t="s">
        <v>4745</v>
      </c>
      <c r="D2256" t="s">
        <v>1292</v>
      </c>
      <c r="E2256">
        <v>1000349</v>
      </c>
      <c r="F2256" t="s">
        <v>1292</v>
      </c>
      <c r="G2256">
        <v>0</v>
      </c>
      <c r="H2256" t="s">
        <v>1292</v>
      </c>
      <c r="I2256">
        <v>0</v>
      </c>
      <c r="J2256" t="s">
        <v>1292</v>
      </c>
      <c r="K2256">
        <v>0</v>
      </c>
      <c r="L2256" t="s">
        <v>1292</v>
      </c>
      <c r="M2256">
        <v>0</v>
      </c>
      <c r="N2256" t="s">
        <v>1292</v>
      </c>
      <c r="O2256">
        <v>0</v>
      </c>
      <c r="P2256" t="s">
        <v>2157</v>
      </c>
      <c r="Q2256" s="1">
        <v>1728</v>
      </c>
      <c r="R2256">
        <v>15.3</v>
      </c>
      <c r="S2256" s="2">
        <v>0</v>
      </c>
      <c r="T2256" s="3">
        <v>2.5687500000000001</v>
      </c>
      <c r="U2256" t="s">
        <v>1292</v>
      </c>
      <c r="V2256" t="s">
        <v>4745</v>
      </c>
      <c r="W2256" t="s">
        <v>1199</v>
      </c>
      <c r="X2256" t="b">
        <v>0</v>
      </c>
      <c r="Y2256" t="b">
        <v>0</v>
      </c>
    </row>
    <row r="2257" spans="1:25">
      <c r="A2257">
        <v>1000350</v>
      </c>
      <c r="B2257" t="s">
        <v>4061</v>
      </c>
      <c r="C2257" t="s">
        <v>4746</v>
      </c>
      <c r="D2257" t="s">
        <v>1292</v>
      </c>
      <c r="E2257">
        <v>1000350</v>
      </c>
      <c r="F2257" t="s">
        <v>1292</v>
      </c>
      <c r="G2257">
        <v>0</v>
      </c>
      <c r="H2257" t="s">
        <v>1292</v>
      </c>
      <c r="I2257">
        <v>0</v>
      </c>
      <c r="J2257" t="s">
        <v>1292</v>
      </c>
      <c r="K2257">
        <v>0</v>
      </c>
      <c r="L2257" t="s">
        <v>1292</v>
      </c>
      <c r="M2257">
        <v>0</v>
      </c>
      <c r="N2257" t="s">
        <v>1292</v>
      </c>
      <c r="O2257">
        <v>0</v>
      </c>
      <c r="P2257" t="s">
        <v>1554</v>
      </c>
      <c r="Q2257" s="1">
        <v>5258</v>
      </c>
      <c r="R2257">
        <v>19.8</v>
      </c>
      <c r="S2257" s="2">
        <v>0.17</v>
      </c>
      <c r="T2257" t="s">
        <v>696</v>
      </c>
      <c r="U2257" s="2">
        <v>0.27</v>
      </c>
      <c r="V2257" t="s">
        <v>4746</v>
      </c>
      <c r="W2257" t="s">
        <v>4747</v>
      </c>
      <c r="X2257" t="b">
        <v>0</v>
      </c>
      <c r="Y2257" t="b">
        <v>0</v>
      </c>
    </row>
    <row r="2258" spans="1:25">
      <c r="A2258">
        <v>1000351</v>
      </c>
      <c r="B2258" t="s">
        <v>4061</v>
      </c>
      <c r="C2258" t="s">
        <v>4748</v>
      </c>
      <c r="D2258" t="s">
        <v>1292</v>
      </c>
      <c r="E2258">
        <v>1000351</v>
      </c>
      <c r="F2258" t="s">
        <v>1292</v>
      </c>
      <c r="G2258">
        <v>0</v>
      </c>
      <c r="H2258" t="s">
        <v>1292</v>
      </c>
      <c r="I2258">
        <v>0</v>
      </c>
      <c r="J2258" t="s">
        <v>1292</v>
      </c>
      <c r="K2258">
        <v>0</v>
      </c>
      <c r="L2258" t="s">
        <v>1292</v>
      </c>
      <c r="M2258">
        <v>0</v>
      </c>
      <c r="N2258" t="s">
        <v>1292</v>
      </c>
      <c r="O2258">
        <v>0</v>
      </c>
      <c r="P2258" t="s">
        <v>94</v>
      </c>
      <c r="Q2258" s="1">
        <v>1190</v>
      </c>
      <c r="R2258">
        <v>7.3</v>
      </c>
      <c r="S2258" s="2">
        <v>0.41</v>
      </c>
      <c r="T2258">
        <v>0.97083333333333333</v>
      </c>
      <c r="U2258" s="2">
        <v>0.45</v>
      </c>
      <c r="V2258" t="s">
        <v>4748</v>
      </c>
      <c r="W2258" t="s">
        <v>4749</v>
      </c>
      <c r="X2258" t="b">
        <v>0</v>
      </c>
      <c r="Y2258" t="b">
        <v>0</v>
      </c>
    </row>
    <row r="2259" spans="1:25">
      <c r="A2259">
        <v>1000352</v>
      </c>
      <c r="B2259" t="s">
        <v>4061</v>
      </c>
      <c r="C2259" t="s">
        <v>4750</v>
      </c>
      <c r="D2259" t="s">
        <v>1292</v>
      </c>
      <c r="E2259">
        <v>1000352</v>
      </c>
      <c r="F2259" t="s">
        <v>1292</v>
      </c>
      <c r="G2259">
        <v>0</v>
      </c>
      <c r="H2259" t="s">
        <v>1292</v>
      </c>
      <c r="I2259">
        <v>0</v>
      </c>
      <c r="J2259" t="s">
        <v>1292</v>
      </c>
      <c r="K2259">
        <v>0</v>
      </c>
      <c r="L2259" t="s">
        <v>1292</v>
      </c>
      <c r="M2259">
        <v>0</v>
      </c>
      <c r="N2259" t="s">
        <v>1292</v>
      </c>
      <c r="O2259">
        <v>0</v>
      </c>
      <c r="P2259" t="s">
        <v>94</v>
      </c>
      <c r="Q2259" s="1">
        <v>5420</v>
      </c>
      <c r="R2259">
        <v>27.9</v>
      </c>
      <c r="S2259" s="2">
        <v>0.56000000000000005</v>
      </c>
      <c r="T2259" t="s">
        <v>105</v>
      </c>
      <c r="U2259" s="2">
        <v>0.33</v>
      </c>
      <c r="V2259" t="s">
        <v>4750</v>
      </c>
      <c r="W2259" t="s">
        <v>4751</v>
      </c>
      <c r="X2259" t="b">
        <v>0</v>
      </c>
      <c r="Y2259" t="b">
        <v>0</v>
      </c>
    </row>
    <row r="2260" spans="1:25">
      <c r="A2260">
        <v>1000353</v>
      </c>
      <c r="B2260" t="s">
        <v>4061</v>
      </c>
      <c r="C2260" t="s">
        <v>4752</v>
      </c>
      <c r="D2260" t="s">
        <v>1292</v>
      </c>
      <c r="E2260">
        <v>1000353</v>
      </c>
      <c r="F2260" t="s">
        <v>1292</v>
      </c>
      <c r="G2260">
        <v>0</v>
      </c>
      <c r="H2260" t="s">
        <v>1292</v>
      </c>
      <c r="I2260">
        <v>0</v>
      </c>
      <c r="J2260" t="s">
        <v>1292</v>
      </c>
      <c r="K2260">
        <v>0</v>
      </c>
      <c r="L2260" t="s">
        <v>1292</v>
      </c>
      <c r="M2260">
        <v>0</v>
      </c>
      <c r="N2260" t="s">
        <v>1292</v>
      </c>
      <c r="O2260">
        <v>0</v>
      </c>
      <c r="P2260" t="s">
        <v>1846</v>
      </c>
      <c r="Q2260" s="1">
        <v>3815</v>
      </c>
      <c r="R2260">
        <v>13.2</v>
      </c>
      <c r="S2260" s="2">
        <v>0</v>
      </c>
      <c r="T2260" t="s">
        <v>324</v>
      </c>
      <c r="U2260" t="s">
        <v>1292</v>
      </c>
      <c r="V2260" t="s">
        <v>4752</v>
      </c>
      <c r="W2260" t="s">
        <v>4753</v>
      </c>
      <c r="X2260" t="b">
        <v>0</v>
      </c>
      <c r="Y2260" t="b">
        <v>0</v>
      </c>
    </row>
    <row r="2261" spans="1:25">
      <c r="A2261">
        <v>1000354</v>
      </c>
      <c r="B2261" t="s">
        <v>4061</v>
      </c>
      <c r="C2261" t="s">
        <v>4754</v>
      </c>
      <c r="D2261" t="s">
        <v>1292</v>
      </c>
      <c r="E2261">
        <v>1000354</v>
      </c>
      <c r="F2261" t="s">
        <v>1292</v>
      </c>
      <c r="G2261">
        <v>0</v>
      </c>
      <c r="H2261" t="s">
        <v>1292</v>
      </c>
      <c r="I2261">
        <v>0</v>
      </c>
      <c r="J2261" t="s">
        <v>1292</v>
      </c>
      <c r="K2261">
        <v>0</v>
      </c>
      <c r="L2261" t="s">
        <v>1292</v>
      </c>
      <c r="M2261">
        <v>0</v>
      </c>
      <c r="N2261" t="s">
        <v>1292</v>
      </c>
      <c r="O2261">
        <v>0</v>
      </c>
      <c r="P2261" t="s">
        <v>2171</v>
      </c>
      <c r="Q2261" s="1">
        <v>10328</v>
      </c>
      <c r="R2261">
        <v>16.600000000000001</v>
      </c>
      <c r="S2261" s="2">
        <v>0.01</v>
      </c>
      <c r="T2261" s="3">
        <v>2.8965277777777776</v>
      </c>
      <c r="U2261" s="2">
        <v>0.19</v>
      </c>
      <c r="V2261" t="s">
        <v>4754</v>
      </c>
      <c r="W2261" t="s">
        <v>4755</v>
      </c>
      <c r="X2261" t="b">
        <v>0</v>
      </c>
      <c r="Y2261" t="b">
        <v>0</v>
      </c>
    </row>
    <row r="2262" spans="1:25">
      <c r="A2262">
        <v>1000355</v>
      </c>
      <c r="B2262" t="s">
        <v>4061</v>
      </c>
      <c r="C2262" t="s">
        <v>4756</v>
      </c>
      <c r="D2262" t="s">
        <v>1292</v>
      </c>
      <c r="E2262">
        <v>1000355</v>
      </c>
      <c r="F2262" t="s">
        <v>1292</v>
      </c>
      <c r="G2262">
        <v>0</v>
      </c>
      <c r="H2262" t="s">
        <v>1292</v>
      </c>
      <c r="I2262">
        <v>0</v>
      </c>
      <c r="J2262" t="s">
        <v>1292</v>
      </c>
      <c r="K2262">
        <v>0</v>
      </c>
      <c r="L2262" t="s">
        <v>1292</v>
      </c>
      <c r="M2262">
        <v>0</v>
      </c>
      <c r="N2262" t="s">
        <v>1292</v>
      </c>
      <c r="O2262">
        <v>0</v>
      </c>
      <c r="P2262" t="s">
        <v>4144</v>
      </c>
      <c r="Q2262" s="1">
        <v>10399</v>
      </c>
      <c r="R2262">
        <v>18.5</v>
      </c>
      <c r="S2262" s="2">
        <v>0</v>
      </c>
      <c r="T2262">
        <v>0.72499999999999998</v>
      </c>
      <c r="U2262" s="2">
        <v>0.41</v>
      </c>
      <c r="V2262" t="s">
        <v>4756</v>
      </c>
      <c r="W2262" t="s">
        <v>4757</v>
      </c>
      <c r="X2262" t="b">
        <v>0</v>
      </c>
      <c r="Y2262" t="b">
        <v>0</v>
      </c>
    </row>
    <row r="2263" spans="1:25">
      <c r="A2263">
        <v>1000356</v>
      </c>
      <c r="B2263" t="s">
        <v>4061</v>
      </c>
      <c r="C2263" t="s">
        <v>4758</v>
      </c>
      <c r="D2263" t="s">
        <v>1292</v>
      </c>
      <c r="E2263">
        <v>1000356</v>
      </c>
      <c r="F2263" t="s">
        <v>1292</v>
      </c>
      <c r="G2263">
        <v>0</v>
      </c>
      <c r="H2263" t="s">
        <v>1292</v>
      </c>
      <c r="I2263">
        <v>0</v>
      </c>
      <c r="J2263" t="s">
        <v>1292</v>
      </c>
      <c r="K2263">
        <v>0</v>
      </c>
      <c r="L2263" t="s">
        <v>1292</v>
      </c>
      <c r="M2263">
        <v>0</v>
      </c>
      <c r="N2263" t="s">
        <v>1292</v>
      </c>
      <c r="O2263">
        <v>0</v>
      </c>
      <c r="P2263" t="s">
        <v>4144</v>
      </c>
      <c r="Q2263" s="1">
        <v>17881</v>
      </c>
      <c r="R2263">
        <v>27.5</v>
      </c>
      <c r="S2263" s="2">
        <v>0</v>
      </c>
      <c r="T2263" s="3">
        <v>2.6506944444444445</v>
      </c>
      <c r="U2263" t="s">
        <v>1292</v>
      </c>
      <c r="V2263" t="s">
        <v>4758</v>
      </c>
      <c r="W2263" t="s">
        <v>4759</v>
      </c>
      <c r="X2263" t="b">
        <v>0</v>
      </c>
      <c r="Y2263" t="b">
        <v>0</v>
      </c>
    </row>
    <row r="2264" spans="1:25">
      <c r="A2264">
        <v>1000357</v>
      </c>
      <c r="B2264" t="s">
        <v>4061</v>
      </c>
      <c r="C2264" t="s">
        <v>4760</v>
      </c>
      <c r="D2264" t="s">
        <v>1292</v>
      </c>
      <c r="E2264">
        <v>1000357</v>
      </c>
      <c r="F2264" t="s">
        <v>1292</v>
      </c>
      <c r="G2264">
        <v>0</v>
      </c>
      <c r="H2264" t="s">
        <v>1292</v>
      </c>
      <c r="I2264">
        <v>0</v>
      </c>
      <c r="J2264" t="s">
        <v>1292</v>
      </c>
      <c r="K2264">
        <v>0</v>
      </c>
      <c r="L2264" t="s">
        <v>1292</v>
      </c>
      <c r="M2264">
        <v>0</v>
      </c>
      <c r="N2264" t="s">
        <v>1292</v>
      </c>
      <c r="O2264">
        <v>0</v>
      </c>
      <c r="P2264" t="s">
        <v>691</v>
      </c>
      <c r="Q2264" s="1">
        <v>3210</v>
      </c>
      <c r="R2264">
        <v>13.8</v>
      </c>
      <c r="S2264" s="2">
        <v>0</v>
      </c>
      <c r="T2264" t="s">
        <v>796</v>
      </c>
      <c r="U2264" s="2">
        <v>0.39</v>
      </c>
      <c r="V2264" t="s">
        <v>4760</v>
      </c>
      <c r="W2264" t="s">
        <v>4761</v>
      </c>
      <c r="X2264" t="b">
        <v>0</v>
      </c>
      <c r="Y2264" t="b">
        <v>0</v>
      </c>
    </row>
    <row r="2265" spans="1:25">
      <c r="A2265">
        <v>1000358</v>
      </c>
      <c r="B2265" t="s">
        <v>4061</v>
      </c>
      <c r="C2265" t="s">
        <v>4762</v>
      </c>
      <c r="D2265" t="s">
        <v>1292</v>
      </c>
      <c r="E2265">
        <v>1000358</v>
      </c>
      <c r="F2265" t="s">
        <v>1292</v>
      </c>
      <c r="G2265">
        <v>0</v>
      </c>
      <c r="H2265" t="s">
        <v>1292</v>
      </c>
      <c r="I2265">
        <v>0</v>
      </c>
      <c r="J2265" t="s">
        <v>1292</v>
      </c>
      <c r="K2265">
        <v>0</v>
      </c>
      <c r="L2265" t="s">
        <v>1292</v>
      </c>
      <c r="M2265">
        <v>0</v>
      </c>
      <c r="N2265" t="s">
        <v>1292</v>
      </c>
      <c r="O2265">
        <v>0</v>
      </c>
      <c r="P2265" t="s">
        <v>2952</v>
      </c>
      <c r="Q2265" s="1">
        <v>8592</v>
      </c>
      <c r="R2265">
        <v>40</v>
      </c>
      <c r="S2265" s="2">
        <v>0</v>
      </c>
      <c r="T2265" s="3">
        <v>1.9951388888888888</v>
      </c>
      <c r="U2265" s="2">
        <v>0.22</v>
      </c>
      <c r="V2265" t="s">
        <v>4762</v>
      </c>
      <c r="W2265" t="s">
        <v>4763</v>
      </c>
      <c r="X2265" t="b">
        <v>0</v>
      </c>
      <c r="Y2265" t="b">
        <v>0</v>
      </c>
    </row>
    <row r="2266" spans="1:25">
      <c r="A2266">
        <v>1000359</v>
      </c>
      <c r="B2266" t="s">
        <v>4061</v>
      </c>
      <c r="C2266" t="s">
        <v>4764</v>
      </c>
      <c r="D2266" t="s">
        <v>1292</v>
      </c>
      <c r="E2266">
        <v>1000359</v>
      </c>
      <c r="F2266" t="s">
        <v>1292</v>
      </c>
      <c r="G2266">
        <v>0</v>
      </c>
      <c r="H2266" t="s">
        <v>1292</v>
      </c>
      <c r="I2266">
        <v>0</v>
      </c>
      <c r="J2266" t="s">
        <v>1292</v>
      </c>
      <c r="K2266">
        <v>0</v>
      </c>
      <c r="L2266" t="s">
        <v>1292</v>
      </c>
      <c r="M2266">
        <v>0</v>
      </c>
      <c r="N2266" t="s">
        <v>1292</v>
      </c>
      <c r="O2266">
        <v>0</v>
      </c>
      <c r="P2266" t="s">
        <v>255</v>
      </c>
      <c r="Q2266" s="1">
        <v>11201</v>
      </c>
      <c r="R2266">
        <v>19.7</v>
      </c>
      <c r="S2266" s="2">
        <v>0.14000000000000001</v>
      </c>
      <c r="T2266" s="3">
        <v>2.2819444444444446</v>
      </c>
      <c r="U2266" s="2">
        <v>0.35</v>
      </c>
      <c r="V2266" t="s">
        <v>4764</v>
      </c>
      <c r="W2266" t="s">
        <v>4765</v>
      </c>
      <c r="X2266" t="b">
        <v>0</v>
      </c>
      <c r="Y2266" t="b">
        <v>0</v>
      </c>
    </row>
    <row r="2267" spans="1:25">
      <c r="A2267">
        <v>1000360</v>
      </c>
      <c r="B2267" t="s">
        <v>4061</v>
      </c>
      <c r="C2267" t="s">
        <v>4766</v>
      </c>
      <c r="D2267" t="s">
        <v>1292</v>
      </c>
      <c r="E2267">
        <v>1000360</v>
      </c>
      <c r="F2267" t="s">
        <v>1292</v>
      </c>
      <c r="G2267">
        <v>0</v>
      </c>
      <c r="H2267" t="s">
        <v>1292</v>
      </c>
      <c r="I2267">
        <v>0</v>
      </c>
      <c r="J2267" t="s">
        <v>1292</v>
      </c>
      <c r="K2267">
        <v>0</v>
      </c>
      <c r="L2267" t="s">
        <v>1292</v>
      </c>
      <c r="M2267">
        <v>0</v>
      </c>
      <c r="N2267" t="s">
        <v>1292</v>
      </c>
      <c r="O2267">
        <v>0</v>
      </c>
      <c r="P2267" t="s">
        <v>2952</v>
      </c>
      <c r="Q2267" s="1">
        <v>8060</v>
      </c>
      <c r="R2267">
        <v>39.1</v>
      </c>
      <c r="S2267" s="2">
        <v>0</v>
      </c>
      <c r="T2267" s="3">
        <v>2.1180555555555554</v>
      </c>
      <c r="U2267" s="2">
        <v>0.23</v>
      </c>
      <c r="V2267" t="s">
        <v>4766</v>
      </c>
      <c r="W2267" t="s">
        <v>4767</v>
      </c>
      <c r="X2267" t="b">
        <v>0</v>
      </c>
      <c r="Y2267" t="b">
        <v>0</v>
      </c>
    </row>
    <row r="2268" spans="1:25">
      <c r="A2268">
        <v>1000361</v>
      </c>
      <c r="B2268" t="s">
        <v>4061</v>
      </c>
      <c r="C2268" t="s">
        <v>4768</v>
      </c>
      <c r="D2268" t="s">
        <v>1292</v>
      </c>
      <c r="E2268">
        <v>1000361</v>
      </c>
      <c r="F2268" t="s">
        <v>1292</v>
      </c>
      <c r="G2268">
        <v>0</v>
      </c>
      <c r="H2268" t="s">
        <v>1292</v>
      </c>
      <c r="I2268">
        <v>0</v>
      </c>
      <c r="J2268" t="s">
        <v>1292</v>
      </c>
      <c r="K2268">
        <v>0</v>
      </c>
      <c r="L2268" t="s">
        <v>1292</v>
      </c>
      <c r="M2268">
        <v>0</v>
      </c>
      <c r="N2268" t="s">
        <v>1292</v>
      </c>
      <c r="O2268">
        <v>0</v>
      </c>
      <c r="P2268" t="s">
        <v>895</v>
      </c>
      <c r="Q2268" s="1">
        <v>4840</v>
      </c>
      <c r="R2268">
        <v>24</v>
      </c>
      <c r="S2268" s="2">
        <v>0.04</v>
      </c>
      <c r="T2268" s="3">
        <v>2.3229166666666665</v>
      </c>
      <c r="U2268" s="2">
        <v>0.37</v>
      </c>
      <c r="V2268" t="s">
        <v>4768</v>
      </c>
      <c r="W2268" t="s">
        <v>4769</v>
      </c>
      <c r="X2268" t="b">
        <v>0</v>
      </c>
      <c r="Y2268" t="b">
        <v>0</v>
      </c>
    </row>
    <row r="2269" spans="1:25">
      <c r="A2269">
        <v>1000362</v>
      </c>
      <c r="B2269" t="s">
        <v>4061</v>
      </c>
      <c r="C2269" t="s">
        <v>4770</v>
      </c>
      <c r="D2269" t="s">
        <v>1292</v>
      </c>
      <c r="E2269">
        <v>1000362</v>
      </c>
      <c r="F2269" t="s">
        <v>1292</v>
      </c>
      <c r="G2269">
        <v>0</v>
      </c>
      <c r="H2269" t="s">
        <v>1292</v>
      </c>
      <c r="I2269">
        <v>0</v>
      </c>
      <c r="J2269" t="s">
        <v>1292</v>
      </c>
      <c r="K2269">
        <v>0</v>
      </c>
      <c r="L2269" t="s">
        <v>1292</v>
      </c>
      <c r="M2269">
        <v>0</v>
      </c>
      <c r="N2269" t="s">
        <v>1292</v>
      </c>
      <c r="O2269">
        <v>0</v>
      </c>
      <c r="P2269" t="s">
        <v>1123</v>
      </c>
      <c r="Q2269" s="1">
        <v>2790</v>
      </c>
      <c r="R2269">
        <v>7.6</v>
      </c>
      <c r="S2269" s="2">
        <v>0</v>
      </c>
      <c r="T2269" s="3">
        <v>2.6506944444444445</v>
      </c>
      <c r="U2269" s="2">
        <v>0.21</v>
      </c>
      <c r="V2269" t="s">
        <v>4770</v>
      </c>
      <c r="W2269" t="s">
        <v>4771</v>
      </c>
      <c r="X2269" t="b">
        <v>0</v>
      </c>
      <c r="Y2269" t="b">
        <v>0</v>
      </c>
    </row>
    <row r="2270" spans="1:25">
      <c r="A2270">
        <v>1000363</v>
      </c>
      <c r="B2270" t="s">
        <v>4061</v>
      </c>
      <c r="C2270" t="s">
        <v>4772</v>
      </c>
      <c r="D2270" t="s">
        <v>1292</v>
      </c>
      <c r="E2270">
        <v>1000363</v>
      </c>
      <c r="F2270" t="s">
        <v>1292</v>
      </c>
      <c r="G2270">
        <v>0</v>
      </c>
      <c r="H2270" t="s">
        <v>1292</v>
      </c>
      <c r="I2270">
        <v>0</v>
      </c>
      <c r="J2270" t="s">
        <v>1292</v>
      </c>
      <c r="K2270">
        <v>0</v>
      </c>
      <c r="L2270" t="s">
        <v>1292</v>
      </c>
      <c r="M2270">
        <v>0</v>
      </c>
      <c r="N2270" t="s">
        <v>1292</v>
      </c>
      <c r="O2270">
        <v>0</v>
      </c>
      <c r="P2270" t="s">
        <v>1306</v>
      </c>
      <c r="Q2270" s="1">
        <v>13360</v>
      </c>
      <c r="R2270">
        <v>9.1</v>
      </c>
      <c r="S2270" s="2">
        <v>7.0000000000000007E-2</v>
      </c>
      <c r="T2270" s="3">
        <v>2.8145833333333332</v>
      </c>
      <c r="U2270" s="2">
        <v>0.3</v>
      </c>
      <c r="V2270" t="s">
        <v>4772</v>
      </c>
      <c r="W2270" t="s">
        <v>4773</v>
      </c>
      <c r="X2270" t="b">
        <v>0</v>
      </c>
      <c r="Y2270" t="b">
        <v>0</v>
      </c>
    </row>
    <row r="2271" spans="1:25">
      <c r="A2271">
        <v>1000364</v>
      </c>
      <c r="B2271" t="s">
        <v>4061</v>
      </c>
      <c r="C2271" t="s">
        <v>4774</v>
      </c>
      <c r="D2271" t="s">
        <v>1292</v>
      </c>
      <c r="E2271">
        <v>1000364</v>
      </c>
      <c r="F2271" t="s">
        <v>1292</v>
      </c>
      <c r="G2271">
        <v>0</v>
      </c>
      <c r="H2271" t="s">
        <v>1292</v>
      </c>
      <c r="I2271">
        <v>0</v>
      </c>
      <c r="J2271" t="s">
        <v>1292</v>
      </c>
      <c r="K2271">
        <v>0</v>
      </c>
      <c r="L2271" t="s">
        <v>1292</v>
      </c>
      <c r="M2271">
        <v>0</v>
      </c>
      <c r="N2271" t="s">
        <v>1292</v>
      </c>
      <c r="O2271">
        <v>0</v>
      </c>
      <c r="P2271" t="s">
        <v>1306</v>
      </c>
      <c r="Q2271" s="1">
        <v>4904</v>
      </c>
      <c r="R2271">
        <v>13.6</v>
      </c>
      <c r="S2271" s="2">
        <v>0.01</v>
      </c>
      <c r="T2271" s="3">
        <v>2.3638888888888889</v>
      </c>
      <c r="U2271" s="2">
        <v>0.21</v>
      </c>
      <c r="V2271" t="s">
        <v>4774</v>
      </c>
      <c r="W2271" t="s">
        <v>4775</v>
      </c>
      <c r="X2271" t="b">
        <v>0</v>
      </c>
      <c r="Y2271" t="b">
        <v>0</v>
      </c>
    </row>
    <row r="2272" spans="1:25">
      <c r="A2272">
        <v>1000365</v>
      </c>
      <c r="B2272" t="s">
        <v>4061</v>
      </c>
      <c r="C2272" t="s">
        <v>4776</v>
      </c>
      <c r="D2272" t="s">
        <v>1292</v>
      </c>
      <c r="E2272">
        <v>1000365</v>
      </c>
      <c r="F2272" t="s">
        <v>1292</v>
      </c>
      <c r="G2272">
        <v>0</v>
      </c>
      <c r="H2272" t="s">
        <v>1292</v>
      </c>
      <c r="I2272">
        <v>0</v>
      </c>
      <c r="J2272" t="s">
        <v>1292</v>
      </c>
      <c r="K2272">
        <v>0</v>
      </c>
      <c r="L2272" t="s">
        <v>1292</v>
      </c>
      <c r="M2272">
        <v>0</v>
      </c>
      <c r="N2272" t="s">
        <v>1292</v>
      </c>
      <c r="O2272">
        <v>0</v>
      </c>
      <c r="P2272" t="s">
        <v>4144</v>
      </c>
      <c r="Q2272" s="1">
        <v>28389</v>
      </c>
      <c r="R2272">
        <v>28.7</v>
      </c>
      <c r="S2272" s="2">
        <v>0.02</v>
      </c>
      <c r="T2272" s="3">
        <v>1.8722222222222222</v>
      </c>
      <c r="U2272" s="2">
        <v>0.23</v>
      </c>
      <c r="V2272" t="s">
        <v>4776</v>
      </c>
      <c r="W2272" t="s">
        <v>4777</v>
      </c>
      <c r="X2272" t="b">
        <v>0</v>
      </c>
      <c r="Y2272" t="b">
        <v>0</v>
      </c>
    </row>
    <row r="2273" spans="1:25">
      <c r="A2273">
        <v>1000366</v>
      </c>
      <c r="B2273" t="s">
        <v>4061</v>
      </c>
      <c r="C2273" t="s">
        <v>4778</v>
      </c>
      <c r="D2273" t="s">
        <v>1292</v>
      </c>
      <c r="E2273">
        <v>1000366</v>
      </c>
      <c r="F2273" t="s">
        <v>1292</v>
      </c>
      <c r="G2273">
        <v>0</v>
      </c>
      <c r="H2273" t="s">
        <v>1292</v>
      </c>
      <c r="I2273">
        <v>0</v>
      </c>
      <c r="J2273" t="s">
        <v>1292</v>
      </c>
      <c r="K2273">
        <v>0</v>
      </c>
      <c r="L2273" t="s">
        <v>1292</v>
      </c>
      <c r="M2273">
        <v>0</v>
      </c>
      <c r="N2273" t="s">
        <v>1292</v>
      </c>
      <c r="O2273">
        <v>0</v>
      </c>
      <c r="P2273" t="s">
        <v>4144</v>
      </c>
      <c r="Q2273" s="1">
        <v>11421</v>
      </c>
      <c r="R2273">
        <v>26.3</v>
      </c>
      <c r="S2273" s="2">
        <v>0</v>
      </c>
      <c r="T2273">
        <v>0.68402777777777779</v>
      </c>
      <c r="U2273" t="s">
        <v>1292</v>
      </c>
      <c r="V2273" t="s">
        <v>4778</v>
      </c>
      <c r="W2273" t="s">
        <v>4779</v>
      </c>
      <c r="X2273" t="b">
        <v>0</v>
      </c>
      <c r="Y2273" t="b">
        <v>0</v>
      </c>
    </row>
    <row r="2274" spans="1:25">
      <c r="A2274">
        <v>1000367</v>
      </c>
      <c r="B2274" t="s">
        <v>4061</v>
      </c>
      <c r="C2274" t="s">
        <v>4780</v>
      </c>
      <c r="D2274" t="s">
        <v>1292</v>
      </c>
      <c r="E2274">
        <v>1000367</v>
      </c>
      <c r="F2274" t="s">
        <v>1292</v>
      </c>
      <c r="G2274">
        <v>0</v>
      </c>
      <c r="H2274" t="s">
        <v>1292</v>
      </c>
      <c r="I2274">
        <v>0</v>
      </c>
      <c r="J2274" t="s">
        <v>1292</v>
      </c>
      <c r="K2274">
        <v>0</v>
      </c>
      <c r="L2274" t="s">
        <v>1292</v>
      </c>
      <c r="M2274">
        <v>0</v>
      </c>
      <c r="N2274" t="s">
        <v>1292</v>
      </c>
      <c r="O2274">
        <v>0</v>
      </c>
      <c r="P2274" t="s">
        <v>1306</v>
      </c>
      <c r="Q2274" s="1">
        <v>5178</v>
      </c>
      <c r="R2274">
        <v>27.6</v>
      </c>
      <c r="S2274" s="2">
        <v>0.02</v>
      </c>
      <c r="T2274" t="s">
        <v>801</v>
      </c>
      <c r="U2274" s="2">
        <v>0.5</v>
      </c>
      <c r="V2274" t="s">
        <v>4780</v>
      </c>
      <c r="W2274" t="s">
        <v>4781</v>
      </c>
      <c r="X2274" t="b">
        <v>0</v>
      </c>
      <c r="Y2274" t="b">
        <v>0</v>
      </c>
    </row>
    <row r="2275" spans="1:25">
      <c r="A2275">
        <v>1000368</v>
      </c>
      <c r="B2275" t="s">
        <v>4061</v>
      </c>
      <c r="C2275" t="s">
        <v>4782</v>
      </c>
      <c r="D2275" t="s">
        <v>1292</v>
      </c>
      <c r="E2275">
        <v>1000368</v>
      </c>
      <c r="F2275" t="s">
        <v>1292</v>
      </c>
      <c r="G2275">
        <v>0</v>
      </c>
      <c r="H2275" t="s">
        <v>1292</v>
      </c>
      <c r="I2275">
        <v>0</v>
      </c>
      <c r="J2275" t="s">
        <v>1292</v>
      </c>
      <c r="K2275">
        <v>0</v>
      </c>
      <c r="L2275" t="s">
        <v>1292</v>
      </c>
      <c r="M2275">
        <v>0</v>
      </c>
      <c r="N2275" t="s">
        <v>1292</v>
      </c>
      <c r="O2275">
        <v>0</v>
      </c>
      <c r="P2275" t="s">
        <v>1306</v>
      </c>
      <c r="Q2275" s="1">
        <v>16862</v>
      </c>
      <c r="R2275">
        <v>16.100000000000001</v>
      </c>
      <c r="S2275" s="2">
        <v>0.03</v>
      </c>
      <c r="T2275" s="3">
        <v>2.4868055555555557</v>
      </c>
      <c r="U2275" s="2">
        <v>0.22</v>
      </c>
      <c r="V2275" t="s">
        <v>4782</v>
      </c>
      <c r="W2275" t="s">
        <v>4783</v>
      </c>
      <c r="X2275" t="b">
        <v>0</v>
      </c>
      <c r="Y2275" t="b">
        <v>0</v>
      </c>
    </row>
    <row r="2276" spans="1:25">
      <c r="A2276">
        <v>1000369</v>
      </c>
      <c r="B2276" t="s">
        <v>4061</v>
      </c>
      <c r="C2276" t="s">
        <v>4784</v>
      </c>
      <c r="D2276" t="s">
        <v>1292</v>
      </c>
      <c r="E2276">
        <v>1000369</v>
      </c>
      <c r="F2276" t="s">
        <v>1292</v>
      </c>
      <c r="G2276">
        <v>0</v>
      </c>
      <c r="H2276" t="s">
        <v>1292</v>
      </c>
      <c r="I2276">
        <v>0</v>
      </c>
      <c r="J2276" t="s">
        <v>1292</v>
      </c>
      <c r="K2276">
        <v>0</v>
      </c>
      <c r="L2276" t="s">
        <v>1292</v>
      </c>
      <c r="M2276">
        <v>0</v>
      </c>
      <c r="N2276" t="s">
        <v>1292</v>
      </c>
      <c r="O2276">
        <v>0</v>
      </c>
      <c r="P2276" t="s">
        <v>1306</v>
      </c>
      <c r="Q2276" s="1">
        <v>6154</v>
      </c>
      <c r="R2276">
        <v>18.600000000000001</v>
      </c>
      <c r="S2276" s="2">
        <v>0.02</v>
      </c>
      <c r="T2276" s="3">
        <v>4.166666666666667</v>
      </c>
      <c r="U2276" t="s">
        <v>1292</v>
      </c>
      <c r="V2276" t="s">
        <v>4784</v>
      </c>
      <c r="W2276" t="s">
        <v>4785</v>
      </c>
      <c r="X2276" t="b">
        <v>0</v>
      </c>
      <c r="Y2276" t="b">
        <v>0</v>
      </c>
    </row>
    <row r="2277" spans="1:25">
      <c r="A2277">
        <v>1000370</v>
      </c>
      <c r="B2277" t="s">
        <v>4061</v>
      </c>
      <c r="C2277" t="s">
        <v>4786</v>
      </c>
      <c r="D2277" t="s">
        <v>1292</v>
      </c>
      <c r="E2277">
        <v>1000370</v>
      </c>
      <c r="F2277" t="s">
        <v>1292</v>
      </c>
      <c r="G2277">
        <v>0</v>
      </c>
      <c r="H2277" t="s">
        <v>1292</v>
      </c>
      <c r="I2277">
        <v>0</v>
      </c>
      <c r="J2277" t="s">
        <v>1292</v>
      </c>
      <c r="K2277">
        <v>0</v>
      </c>
      <c r="L2277" t="s">
        <v>1292</v>
      </c>
      <c r="M2277">
        <v>0</v>
      </c>
      <c r="N2277" t="s">
        <v>1292</v>
      </c>
      <c r="O2277">
        <v>0</v>
      </c>
      <c r="P2277" t="s">
        <v>1306</v>
      </c>
      <c r="Q2277">
        <v>138</v>
      </c>
      <c r="R2277">
        <v>2.9</v>
      </c>
      <c r="S2277" s="2">
        <v>0</v>
      </c>
      <c r="T2277" s="3">
        <v>2.6916666666666669</v>
      </c>
      <c r="U2277" t="s">
        <v>1292</v>
      </c>
      <c r="V2277" t="s">
        <v>4786</v>
      </c>
      <c r="W2277" t="s">
        <v>4787</v>
      </c>
      <c r="X2277" t="b">
        <v>0</v>
      </c>
      <c r="Y2277" t="b">
        <v>0</v>
      </c>
    </row>
    <row r="2278" spans="1:25">
      <c r="A2278">
        <v>1000371</v>
      </c>
      <c r="B2278" t="s">
        <v>4061</v>
      </c>
      <c r="C2278" t="s">
        <v>4788</v>
      </c>
      <c r="D2278" t="s">
        <v>1292</v>
      </c>
      <c r="E2278">
        <v>1000371</v>
      </c>
      <c r="F2278" t="s">
        <v>1292</v>
      </c>
      <c r="G2278">
        <v>0</v>
      </c>
      <c r="H2278" t="s">
        <v>1292</v>
      </c>
      <c r="I2278">
        <v>0</v>
      </c>
      <c r="J2278" t="s">
        <v>1292</v>
      </c>
      <c r="K2278">
        <v>0</v>
      </c>
      <c r="L2278" t="s">
        <v>1292</v>
      </c>
      <c r="M2278">
        <v>0</v>
      </c>
      <c r="N2278" t="s">
        <v>1292</v>
      </c>
      <c r="O2278">
        <v>0</v>
      </c>
      <c r="P2278" t="s">
        <v>255</v>
      </c>
      <c r="Q2278" s="1">
        <v>9290</v>
      </c>
      <c r="R2278">
        <v>24.1</v>
      </c>
      <c r="S2278" s="2">
        <v>0.03</v>
      </c>
      <c r="T2278" t="s">
        <v>324</v>
      </c>
      <c r="U2278" s="2">
        <v>0.28999999999999998</v>
      </c>
      <c r="V2278" t="s">
        <v>4788</v>
      </c>
      <c r="W2278" t="s">
        <v>4789</v>
      </c>
      <c r="X2278" t="b">
        <v>0</v>
      </c>
      <c r="Y2278" t="b">
        <v>0</v>
      </c>
    </row>
    <row r="2279" spans="1:25">
      <c r="A2279">
        <v>1000372</v>
      </c>
      <c r="B2279" t="s">
        <v>4061</v>
      </c>
      <c r="C2279" t="s">
        <v>4790</v>
      </c>
      <c r="D2279" t="s">
        <v>1292</v>
      </c>
      <c r="E2279">
        <v>1000372</v>
      </c>
      <c r="F2279" t="s">
        <v>1292</v>
      </c>
      <c r="G2279">
        <v>0</v>
      </c>
      <c r="H2279" t="s">
        <v>1292</v>
      </c>
      <c r="I2279">
        <v>0</v>
      </c>
      <c r="J2279" t="s">
        <v>1292</v>
      </c>
      <c r="K2279">
        <v>0</v>
      </c>
      <c r="L2279" t="s">
        <v>1292</v>
      </c>
      <c r="M2279">
        <v>0</v>
      </c>
      <c r="N2279" t="s">
        <v>1292</v>
      </c>
      <c r="O2279">
        <v>0</v>
      </c>
      <c r="P2279" t="s">
        <v>94</v>
      </c>
      <c r="Q2279" s="1">
        <v>1064</v>
      </c>
      <c r="R2279">
        <v>26</v>
      </c>
      <c r="S2279" s="2">
        <v>0.05</v>
      </c>
      <c r="T2279" s="3">
        <v>4.166666666666667</v>
      </c>
      <c r="U2279" s="2">
        <v>0</v>
      </c>
      <c r="V2279" t="s">
        <v>4790</v>
      </c>
      <c r="W2279" t="s">
        <v>4791</v>
      </c>
      <c r="X2279" t="b">
        <v>0</v>
      </c>
      <c r="Y2279" t="b">
        <v>0</v>
      </c>
    </row>
    <row r="2280" spans="1:25">
      <c r="A2280">
        <v>1000373</v>
      </c>
      <c r="B2280" t="s">
        <v>4061</v>
      </c>
      <c r="C2280" t="s">
        <v>4792</v>
      </c>
      <c r="D2280" t="s">
        <v>1292</v>
      </c>
      <c r="E2280">
        <v>1000373</v>
      </c>
      <c r="F2280" t="s">
        <v>1292</v>
      </c>
      <c r="G2280">
        <v>0</v>
      </c>
      <c r="H2280" t="s">
        <v>1292</v>
      </c>
      <c r="I2280">
        <v>0</v>
      </c>
      <c r="J2280" t="s">
        <v>1292</v>
      </c>
      <c r="K2280">
        <v>0</v>
      </c>
      <c r="L2280" t="s">
        <v>1292</v>
      </c>
      <c r="M2280">
        <v>0</v>
      </c>
      <c r="N2280" t="s">
        <v>1292</v>
      </c>
      <c r="O2280">
        <v>0</v>
      </c>
      <c r="P2280" t="s">
        <v>1123</v>
      </c>
      <c r="Q2280">
        <v>435</v>
      </c>
      <c r="R2280">
        <v>7.4</v>
      </c>
      <c r="S2280" s="2">
        <v>0</v>
      </c>
      <c r="T2280" s="3">
        <v>3.4291666666666667</v>
      </c>
      <c r="U2280" s="2">
        <v>0.11</v>
      </c>
      <c r="V2280" t="s">
        <v>4792</v>
      </c>
      <c r="W2280" t="s">
        <v>4793</v>
      </c>
      <c r="X2280" t="b">
        <v>0</v>
      </c>
      <c r="Y2280" t="b">
        <v>0</v>
      </c>
    </row>
    <row r="2281" spans="1:25">
      <c r="A2281">
        <v>1000374</v>
      </c>
      <c r="B2281" t="s">
        <v>4061</v>
      </c>
      <c r="C2281" t="s">
        <v>4794</v>
      </c>
      <c r="D2281" t="s">
        <v>1292</v>
      </c>
      <c r="E2281">
        <v>1000374</v>
      </c>
      <c r="F2281" t="s">
        <v>1292</v>
      </c>
      <c r="G2281">
        <v>0</v>
      </c>
      <c r="H2281" t="s">
        <v>1292</v>
      </c>
      <c r="I2281">
        <v>0</v>
      </c>
      <c r="J2281" t="s">
        <v>1292</v>
      </c>
      <c r="K2281">
        <v>0</v>
      </c>
      <c r="L2281" t="s">
        <v>1292</v>
      </c>
      <c r="M2281">
        <v>0</v>
      </c>
      <c r="N2281" t="s">
        <v>1292</v>
      </c>
      <c r="O2281">
        <v>0</v>
      </c>
      <c r="P2281" t="s">
        <v>1123</v>
      </c>
      <c r="Q2281" s="1">
        <v>5083</v>
      </c>
      <c r="R2281">
        <v>14.6</v>
      </c>
      <c r="S2281" s="2">
        <v>0.1</v>
      </c>
      <c r="U2281" s="2">
        <v>0.47</v>
      </c>
      <c r="V2281" t="s">
        <v>4794</v>
      </c>
      <c r="W2281" t="s">
        <v>4795</v>
      </c>
      <c r="X2281" t="b">
        <v>0</v>
      </c>
      <c r="Y2281" t="b">
        <v>0</v>
      </c>
    </row>
    <row r="2282" spans="1:25">
      <c r="A2282">
        <v>1000375</v>
      </c>
      <c r="B2282" t="s">
        <v>4061</v>
      </c>
      <c r="C2282" t="s">
        <v>4796</v>
      </c>
      <c r="D2282" t="s">
        <v>1292</v>
      </c>
      <c r="E2282">
        <v>1000375</v>
      </c>
      <c r="F2282" t="s">
        <v>1292</v>
      </c>
      <c r="G2282">
        <v>0</v>
      </c>
      <c r="H2282" t="s">
        <v>1292</v>
      </c>
      <c r="I2282">
        <v>0</v>
      </c>
      <c r="J2282" t="s">
        <v>1292</v>
      </c>
      <c r="K2282">
        <v>0</v>
      </c>
      <c r="L2282" t="s">
        <v>1292</v>
      </c>
      <c r="M2282">
        <v>0</v>
      </c>
      <c r="N2282" t="s">
        <v>1292</v>
      </c>
      <c r="O2282">
        <v>0</v>
      </c>
      <c r="P2282" t="s">
        <v>1123</v>
      </c>
      <c r="Q2282" s="1">
        <v>8692</v>
      </c>
      <c r="R2282">
        <v>13.8</v>
      </c>
      <c r="S2282" s="2">
        <v>0.04</v>
      </c>
      <c r="T2282" s="3">
        <v>2.036111111111111</v>
      </c>
      <c r="U2282" s="2">
        <v>0.14000000000000001</v>
      </c>
      <c r="V2282" t="s">
        <v>4796</v>
      </c>
      <c r="W2282" t="s">
        <v>4797</v>
      </c>
      <c r="X2282" t="b">
        <v>0</v>
      </c>
      <c r="Y2282" t="b">
        <v>0</v>
      </c>
    </row>
    <row r="2283" spans="1:25">
      <c r="A2283">
        <v>1000376</v>
      </c>
      <c r="B2283" t="s">
        <v>4061</v>
      </c>
      <c r="C2283" t="s">
        <v>4798</v>
      </c>
      <c r="D2283" t="s">
        <v>1292</v>
      </c>
      <c r="E2283">
        <v>1000376</v>
      </c>
      <c r="F2283" t="s">
        <v>1292</v>
      </c>
      <c r="G2283">
        <v>0</v>
      </c>
      <c r="H2283" t="s">
        <v>1292</v>
      </c>
      <c r="I2283">
        <v>0</v>
      </c>
      <c r="J2283" t="s">
        <v>1292</v>
      </c>
      <c r="K2283">
        <v>0</v>
      </c>
      <c r="L2283" t="s">
        <v>1292</v>
      </c>
      <c r="M2283">
        <v>0</v>
      </c>
      <c r="N2283" t="s">
        <v>1292</v>
      </c>
      <c r="O2283">
        <v>0</v>
      </c>
      <c r="P2283" t="s">
        <v>3326</v>
      </c>
      <c r="Q2283" s="1">
        <v>2917</v>
      </c>
      <c r="R2283">
        <v>12.3</v>
      </c>
      <c r="S2283" s="2">
        <v>0.06</v>
      </c>
      <c r="T2283" s="3">
        <v>2.2000000000000002</v>
      </c>
      <c r="U2283" s="2">
        <v>0.34</v>
      </c>
      <c r="V2283" t="s">
        <v>4798</v>
      </c>
      <c r="W2283" t="s">
        <v>4799</v>
      </c>
      <c r="X2283" t="b">
        <v>0</v>
      </c>
      <c r="Y2283" t="b">
        <v>0</v>
      </c>
    </row>
    <row r="2284" spans="1:25">
      <c r="A2284">
        <v>1000377</v>
      </c>
      <c r="B2284" t="s">
        <v>4061</v>
      </c>
      <c r="C2284" t="s">
        <v>4800</v>
      </c>
      <c r="D2284" t="s">
        <v>1292</v>
      </c>
      <c r="E2284">
        <v>1000377</v>
      </c>
      <c r="F2284" t="s">
        <v>1292</v>
      </c>
      <c r="G2284">
        <v>0</v>
      </c>
      <c r="H2284" t="s">
        <v>1292</v>
      </c>
      <c r="I2284">
        <v>0</v>
      </c>
      <c r="J2284" t="s">
        <v>1292</v>
      </c>
      <c r="K2284">
        <v>0</v>
      </c>
      <c r="L2284" t="s">
        <v>1292</v>
      </c>
      <c r="M2284">
        <v>0</v>
      </c>
      <c r="N2284" t="s">
        <v>1292</v>
      </c>
      <c r="O2284">
        <v>0</v>
      </c>
      <c r="P2284" t="s">
        <v>1846</v>
      </c>
      <c r="Q2284" s="1">
        <v>6170</v>
      </c>
      <c r="R2284">
        <v>15.5</v>
      </c>
      <c r="S2284" s="2">
        <v>0</v>
      </c>
      <c r="T2284">
        <v>0.88888888888888884</v>
      </c>
      <c r="U2284" s="2">
        <v>0.45</v>
      </c>
      <c r="V2284" t="s">
        <v>4800</v>
      </c>
      <c r="W2284" t="s">
        <v>4801</v>
      </c>
      <c r="X2284" t="b">
        <v>0</v>
      </c>
      <c r="Y2284" t="b">
        <v>0</v>
      </c>
    </row>
    <row r="2285" spans="1:25">
      <c r="A2285">
        <v>1000378</v>
      </c>
      <c r="B2285" t="s">
        <v>4061</v>
      </c>
      <c r="C2285" t="s">
        <v>4802</v>
      </c>
      <c r="D2285" t="s">
        <v>1292</v>
      </c>
      <c r="E2285">
        <v>1000378</v>
      </c>
      <c r="F2285" t="s">
        <v>1292</v>
      </c>
      <c r="G2285">
        <v>0</v>
      </c>
      <c r="H2285" t="s">
        <v>1292</v>
      </c>
      <c r="I2285">
        <v>0</v>
      </c>
      <c r="J2285" t="s">
        <v>1292</v>
      </c>
      <c r="K2285">
        <v>0</v>
      </c>
      <c r="L2285" t="s">
        <v>1292</v>
      </c>
      <c r="M2285">
        <v>0</v>
      </c>
      <c r="N2285" t="s">
        <v>1292</v>
      </c>
      <c r="O2285">
        <v>0</v>
      </c>
      <c r="P2285" t="s">
        <v>1102</v>
      </c>
      <c r="Q2285" s="1">
        <v>9872</v>
      </c>
      <c r="R2285">
        <v>20.2</v>
      </c>
      <c r="S2285" s="2">
        <v>0</v>
      </c>
      <c r="T2285" s="3">
        <v>1.83125</v>
      </c>
      <c r="U2285" s="2">
        <v>0.44</v>
      </c>
      <c r="V2285" t="s">
        <v>4802</v>
      </c>
      <c r="W2285" t="s">
        <v>4803</v>
      </c>
      <c r="X2285" t="b">
        <v>0</v>
      </c>
      <c r="Y2285" t="b">
        <v>0</v>
      </c>
    </row>
    <row r="2286" spans="1:25">
      <c r="A2286">
        <v>1000379</v>
      </c>
      <c r="B2286" t="s">
        <v>4061</v>
      </c>
      <c r="C2286" t="s">
        <v>4804</v>
      </c>
      <c r="D2286" t="s">
        <v>1292</v>
      </c>
      <c r="E2286">
        <v>1000379</v>
      </c>
      <c r="F2286" t="s">
        <v>1292</v>
      </c>
      <c r="G2286">
        <v>0</v>
      </c>
      <c r="H2286" t="s">
        <v>1292</v>
      </c>
      <c r="I2286">
        <v>0</v>
      </c>
      <c r="J2286" t="s">
        <v>1292</v>
      </c>
      <c r="K2286">
        <v>0</v>
      </c>
      <c r="L2286" t="s">
        <v>1292</v>
      </c>
      <c r="M2286">
        <v>0</v>
      </c>
      <c r="N2286" t="s">
        <v>1292</v>
      </c>
      <c r="O2286">
        <v>0</v>
      </c>
      <c r="P2286" t="s">
        <v>1102</v>
      </c>
      <c r="Q2286" s="1">
        <v>5283</v>
      </c>
      <c r="R2286">
        <v>15.4</v>
      </c>
      <c r="S2286" s="2">
        <v>0.03</v>
      </c>
      <c r="T2286" t="s">
        <v>658</v>
      </c>
      <c r="U2286" s="2">
        <v>0.08</v>
      </c>
      <c r="V2286" t="s">
        <v>4804</v>
      </c>
      <c r="W2286" t="s">
        <v>1199</v>
      </c>
      <c r="X2286" t="b">
        <v>0</v>
      </c>
      <c r="Y2286" t="b">
        <v>0</v>
      </c>
    </row>
    <row r="2287" spans="1:25">
      <c r="A2287">
        <v>1000380</v>
      </c>
      <c r="B2287" t="s">
        <v>4061</v>
      </c>
      <c r="C2287" t="s">
        <v>4805</v>
      </c>
      <c r="D2287" t="s">
        <v>1292</v>
      </c>
      <c r="E2287">
        <v>1000380</v>
      </c>
      <c r="F2287" t="s">
        <v>1292</v>
      </c>
      <c r="G2287">
        <v>0</v>
      </c>
      <c r="H2287" t="s">
        <v>1292</v>
      </c>
      <c r="I2287">
        <v>0</v>
      </c>
      <c r="J2287" t="s">
        <v>1292</v>
      </c>
      <c r="K2287">
        <v>0</v>
      </c>
      <c r="L2287" t="s">
        <v>1292</v>
      </c>
      <c r="M2287">
        <v>0</v>
      </c>
      <c r="N2287" t="s">
        <v>1292</v>
      </c>
      <c r="O2287">
        <v>0</v>
      </c>
      <c r="P2287" t="s">
        <v>4144</v>
      </c>
      <c r="Q2287" s="1">
        <v>8057</v>
      </c>
      <c r="R2287">
        <v>17.3</v>
      </c>
      <c r="S2287" s="2">
        <v>0.13</v>
      </c>
      <c r="T2287" s="3">
        <v>2.4048611111111109</v>
      </c>
      <c r="U2287" t="s">
        <v>1292</v>
      </c>
      <c r="V2287" t="s">
        <v>4805</v>
      </c>
      <c r="W2287" t="s">
        <v>4806</v>
      </c>
      <c r="X2287" t="b">
        <v>0</v>
      </c>
      <c r="Y2287" t="b">
        <v>0</v>
      </c>
    </row>
    <row r="2288" spans="1:25">
      <c r="A2288">
        <v>1000381</v>
      </c>
      <c r="B2288" t="s">
        <v>4061</v>
      </c>
      <c r="C2288" t="s">
        <v>4807</v>
      </c>
      <c r="D2288" t="s">
        <v>1292</v>
      </c>
      <c r="E2288">
        <v>1000381</v>
      </c>
      <c r="F2288" t="s">
        <v>1292</v>
      </c>
      <c r="G2288">
        <v>0</v>
      </c>
      <c r="H2288" t="s">
        <v>1292</v>
      </c>
      <c r="I2288">
        <v>0</v>
      </c>
      <c r="J2288" t="s">
        <v>1292</v>
      </c>
      <c r="K2288">
        <v>0</v>
      </c>
      <c r="L2288" t="s">
        <v>1292</v>
      </c>
      <c r="M2288">
        <v>0</v>
      </c>
      <c r="N2288" t="s">
        <v>1292</v>
      </c>
      <c r="O2288">
        <v>0</v>
      </c>
      <c r="P2288" t="s">
        <v>534</v>
      </c>
      <c r="Q2288" s="1">
        <v>1316</v>
      </c>
      <c r="R2288">
        <v>8</v>
      </c>
      <c r="S2288" s="2">
        <v>0.67</v>
      </c>
      <c r="T2288" t="s">
        <v>801</v>
      </c>
      <c r="U2288" s="2">
        <v>0.42</v>
      </c>
      <c r="V2288" t="s">
        <v>4807</v>
      </c>
      <c r="W2288" t="s">
        <v>4808</v>
      </c>
      <c r="X2288" t="b">
        <v>0</v>
      </c>
      <c r="Y2288" t="b">
        <v>0</v>
      </c>
    </row>
    <row r="2289" spans="1:25">
      <c r="A2289">
        <v>1000382</v>
      </c>
      <c r="B2289" t="s">
        <v>4061</v>
      </c>
      <c r="C2289" t="s">
        <v>4809</v>
      </c>
      <c r="D2289" t="s">
        <v>1292</v>
      </c>
      <c r="E2289">
        <v>1000382</v>
      </c>
      <c r="F2289" t="s">
        <v>1292</v>
      </c>
      <c r="G2289">
        <v>0</v>
      </c>
      <c r="H2289" t="s">
        <v>1292</v>
      </c>
      <c r="I2289">
        <v>0</v>
      </c>
      <c r="J2289" t="s">
        <v>1292</v>
      </c>
      <c r="K2289">
        <v>0</v>
      </c>
      <c r="L2289" t="s">
        <v>1292</v>
      </c>
      <c r="M2289">
        <v>0</v>
      </c>
      <c r="N2289" t="s">
        <v>1292</v>
      </c>
      <c r="O2289">
        <v>0</v>
      </c>
      <c r="P2289" t="s">
        <v>1123</v>
      </c>
      <c r="Q2289" s="1">
        <v>1487</v>
      </c>
      <c r="R2289">
        <v>9.1</v>
      </c>
      <c r="S2289" s="2">
        <v>0</v>
      </c>
      <c r="T2289" s="3">
        <v>2.3638888888888889</v>
      </c>
      <c r="U2289" t="s">
        <v>1292</v>
      </c>
      <c r="V2289" t="s">
        <v>4809</v>
      </c>
      <c r="W2289" t="s">
        <v>4810</v>
      </c>
      <c r="X2289" t="b">
        <v>0</v>
      </c>
      <c r="Y2289" t="b">
        <v>0</v>
      </c>
    </row>
    <row r="2290" spans="1:25">
      <c r="A2290">
        <v>1000383</v>
      </c>
      <c r="B2290" t="s">
        <v>4061</v>
      </c>
      <c r="C2290" t="s">
        <v>4811</v>
      </c>
      <c r="D2290" t="s">
        <v>1292</v>
      </c>
      <c r="E2290">
        <v>1000383</v>
      </c>
      <c r="F2290" t="s">
        <v>1292</v>
      </c>
      <c r="G2290">
        <v>0</v>
      </c>
      <c r="H2290" t="s">
        <v>1292</v>
      </c>
      <c r="I2290">
        <v>0</v>
      </c>
      <c r="J2290" t="s">
        <v>1292</v>
      </c>
      <c r="K2290">
        <v>0</v>
      </c>
      <c r="L2290" t="s">
        <v>1292</v>
      </c>
      <c r="M2290">
        <v>0</v>
      </c>
      <c r="N2290" t="s">
        <v>1292</v>
      </c>
      <c r="O2290">
        <v>0</v>
      </c>
      <c r="P2290" t="s">
        <v>1102</v>
      </c>
      <c r="Q2290" s="1">
        <v>3211</v>
      </c>
      <c r="R2290">
        <v>13.7</v>
      </c>
      <c r="S2290" s="2">
        <v>0.02</v>
      </c>
      <c r="T2290" s="3">
        <v>2.5277777777777777</v>
      </c>
      <c r="U2290" s="2">
        <v>0.04</v>
      </c>
      <c r="V2290" t="s">
        <v>4811</v>
      </c>
      <c r="W2290" t="s">
        <v>4812</v>
      </c>
      <c r="X2290" t="b">
        <v>0</v>
      </c>
      <c r="Y2290" t="b">
        <v>0</v>
      </c>
    </row>
    <row r="2291" spans="1:25">
      <c r="A2291">
        <v>1000384</v>
      </c>
      <c r="B2291" t="s">
        <v>4061</v>
      </c>
      <c r="C2291" t="s">
        <v>4813</v>
      </c>
      <c r="D2291" t="s">
        <v>1292</v>
      </c>
      <c r="E2291">
        <v>1000384</v>
      </c>
      <c r="F2291" t="s">
        <v>1292</v>
      </c>
      <c r="G2291">
        <v>0</v>
      </c>
      <c r="H2291" t="s">
        <v>1292</v>
      </c>
      <c r="I2291">
        <v>0</v>
      </c>
      <c r="J2291" t="s">
        <v>1292</v>
      </c>
      <c r="K2291">
        <v>0</v>
      </c>
      <c r="L2291" t="s">
        <v>1292</v>
      </c>
      <c r="M2291">
        <v>0</v>
      </c>
      <c r="N2291" t="s">
        <v>1292</v>
      </c>
      <c r="O2291">
        <v>0</v>
      </c>
      <c r="P2291" t="s">
        <v>1102</v>
      </c>
      <c r="Q2291" s="1">
        <v>3766</v>
      </c>
      <c r="R2291">
        <v>18.3</v>
      </c>
      <c r="S2291" s="2">
        <v>0</v>
      </c>
      <c r="T2291" s="3">
        <v>4.166666666666667</v>
      </c>
      <c r="U2291" s="2">
        <v>0.24</v>
      </c>
      <c r="V2291" t="s">
        <v>4813</v>
      </c>
      <c r="W2291" t="s">
        <v>4814</v>
      </c>
      <c r="X2291" t="b">
        <v>0</v>
      </c>
      <c r="Y2291" t="b">
        <v>0</v>
      </c>
    </row>
    <row r="2292" spans="1:25">
      <c r="A2292">
        <v>1000385</v>
      </c>
      <c r="B2292" t="s">
        <v>4061</v>
      </c>
      <c r="C2292" t="s">
        <v>4815</v>
      </c>
      <c r="D2292" t="s">
        <v>1292</v>
      </c>
      <c r="E2292">
        <v>1000385</v>
      </c>
      <c r="F2292" t="s">
        <v>1292</v>
      </c>
      <c r="G2292">
        <v>0</v>
      </c>
      <c r="H2292" t="s">
        <v>1292</v>
      </c>
      <c r="I2292">
        <v>0</v>
      </c>
      <c r="J2292" t="s">
        <v>1292</v>
      </c>
      <c r="K2292">
        <v>0</v>
      </c>
      <c r="L2292" t="s">
        <v>1292</v>
      </c>
      <c r="M2292">
        <v>0</v>
      </c>
      <c r="N2292" t="s">
        <v>1292</v>
      </c>
      <c r="O2292">
        <v>0</v>
      </c>
      <c r="P2292" t="s">
        <v>2157</v>
      </c>
      <c r="Q2292" s="1">
        <v>17513</v>
      </c>
      <c r="R2292">
        <v>23.7</v>
      </c>
      <c r="S2292" s="2">
        <v>0</v>
      </c>
      <c r="T2292" s="3">
        <v>2.5687500000000001</v>
      </c>
      <c r="U2292" s="2">
        <v>0.39</v>
      </c>
      <c r="V2292" t="s">
        <v>4815</v>
      </c>
      <c r="W2292" t="s">
        <v>4816</v>
      </c>
      <c r="X2292" t="b">
        <v>0</v>
      </c>
      <c r="Y2292" t="b">
        <v>0</v>
      </c>
    </row>
    <row r="2293" spans="1:25">
      <c r="A2293">
        <v>1000386</v>
      </c>
      <c r="B2293" t="s">
        <v>4061</v>
      </c>
      <c r="C2293" t="s">
        <v>4817</v>
      </c>
      <c r="D2293" t="s">
        <v>1292</v>
      </c>
      <c r="E2293">
        <v>1000386</v>
      </c>
      <c r="F2293" t="s">
        <v>1292</v>
      </c>
      <c r="G2293">
        <v>0</v>
      </c>
      <c r="H2293" t="s">
        <v>1292</v>
      </c>
      <c r="I2293">
        <v>0</v>
      </c>
      <c r="J2293" t="s">
        <v>1292</v>
      </c>
      <c r="K2293">
        <v>0</v>
      </c>
      <c r="L2293" t="s">
        <v>1292</v>
      </c>
      <c r="M2293">
        <v>0</v>
      </c>
      <c r="N2293" t="s">
        <v>1292</v>
      </c>
      <c r="O2293">
        <v>0</v>
      </c>
      <c r="P2293" t="s">
        <v>94</v>
      </c>
      <c r="Q2293" s="1">
        <v>1977</v>
      </c>
      <c r="R2293">
        <v>14.6</v>
      </c>
      <c r="S2293" s="2">
        <v>0.05</v>
      </c>
      <c r="T2293">
        <v>0.56111111111111112</v>
      </c>
      <c r="U2293" s="2">
        <v>0.42</v>
      </c>
      <c r="V2293" t="s">
        <v>4817</v>
      </c>
      <c r="W2293" t="s">
        <v>4818</v>
      </c>
      <c r="X2293" t="b">
        <v>0</v>
      </c>
      <c r="Y2293" t="b">
        <v>0</v>
      </c>
    </row>
    <row r="2294" spans="1:25">
      <c r="A2294">
        <v>1000387</v>
      </c>
      <c r="B2294" t="s">
        <v>4061</v>
      </c>
      <c r="C2294" t="s">
        <v>4819</v>
      </c>
      <c r="D2294" t="s">
        <v>1292</v>
      </c>
      <c r="E2294">
        <v>1000387</v>
      </c>
      <c r="F2294" t="s">
        <v>1292</v>
      </c>
      <c r="G2294">
        <v>0</v>
      </c>
      <c r="H2294" t="s">
        <v>1292</v>
      </c>
      <c r="I2294">
        <v>0</v>
      </c>
      <c r="J2294" t="s">
        <v>1292</v>
      </c>
      <c r="K2294">
        <v>0</v>
      </c>
      <c r="L2294" t="s">
        <v>1292</v>
      </c>
      <c r="M2294">
        <v>0</v>
      </c>
      <c r="N2294" t="s">
        <v>1292</v>
      </c>
      <c r="O2294">
        <v>0</v>
      </c>
      <c r="P2294" t="s">
        <v>2157</v>
      </c>
      <c r="Q2294" s="1">
        <v>2130</v>
      </c>
      <c r="R2294">
        <v>16.399999999999999</v>
      </c>
      <c r="S2294" s="2">
        <v>0.01</v>
      </c>
      <c r="T2294" s="3">
        <v>1.9951388888888888</v>
      </c>
      <c r="U2294" t="s">
        <v>1292</v>
      </c>
      <c r="V2294" t="s">
        <v>4819</v>
      </c>
      <c r="W2294" t="s">
        <v>4820</v>
      </c>
      <c r="X2294" t="b">
        <v>0</v>
      </c>
      <c r="Y2294" t="b">
        <v>0</v>
      </c>
    </row>
    <row r="2295" spans="1:25">
      <c r="A2295">
        <v>1000388</v>
      </c>
      <c r="B2295" t="s">
        <v>4061</v>
      </c>
      <c r="C2295" t="s">
        <v>4821</v>
      </c>
      <c r="D2295" t="s">
        <v>1292</v>
      </c>
      <c r="E2295">
        <v>1000388</v>
      </c>
      <c r="F2295" t="s">
        <v>1292</v>
      </c>
      <c r="G2295">
        <v>0</v>
      </c>
      <c r="H2295" t="s">
        <v>1292</v>
      </c>
      <c r="I2295">
        <v>0</v>
      </c>
      <c r="J2295" t="s">
        <v>1292</v>
      </c>
      <c r="K2295">
        <v>0</v>
      </c>
      <c r="L2295" t="s">
        <v>1292</v>
      </c>
      <c r="M2295">
        <v>0</v>
      </c>
      <c r="N2295" t="s">
        <v>1292</v>
      </c>
      <c r="O2295">
        <v>0</v>
      </c>
      <c r="P2295" t="s">
        <v>94</v>
      </c>
      <c r="Q2295" s="1">
        <v>11485</v>
      </c>
      <c r="R2295">
        <v>34.700000000000003</v>
      </c>
      <c r="S2295" s="2">
        <v>0.03</v>
      </c>
      <c r="T2295" t="s">
        <v>501</v>
      </c>
      <c r="U2295" s="2">
        <v>0.09</v>
      </c>
      <c r="V2295" t="s">
        <v>4821</v>
      </c>
      <c r="W2295" t="s">
        <v>4822</v>
      </c>
      <c r="X2295" t="b">
        <v>0</v>
      </c>
      <c r="Y2295" t="b">
        <v>0</v>
      </c>
    </row>
    <row r="2296" spans="1:25">
      <c r="A2296">
        <v>1000389</v>
      </c>
      <c r="B2296" t="s">
        <v>4061</v>
      </c>
      <c r="C2296" t="s">
        <v>4823</v>
      </c>
      <c r="D2296" t="s">
        <v>1292</v>
      </c>
      <c r="E2296">
        <v>1000389</v>
      </c>
      <c r="F2296" t="s">
        <v>1292</v>
      </c>
      <c r="G2296">
        <v>0</v>
      </c>
      <c r="H2296" t="s">
        <v>1292</v>
      </c>
      <c r="I2296">
        <v>0</v>
      </c>
      <c r="J2296" t="s">
        <v>1292</v>
      </c>
      <c r="K2296">
        <v>0</v>
      </c>
      <c r="L2296" t="s">
        <v>1292</v>
      </c>
      <c r="M2296">
        <v>0</v>
      </c>
      <c r="N2296" t="s">
        <v>1292</v>
      </c>
      <c r="O2296">
        <v>0</v>
      </c>
      <c r="P2296" t="s">
        <v>895</v>
      </c>
      <c r="Q2296" s="1">
        <v>1747</v>
      </c>
      <c r="R2296">
        <v>16.2</v>
      </c>
      <c r="S2296" s="2">
        <v>0.08</v>
      </c>
      <c r="T2296" s="3">
        <v>2.8965277777777776</v>
      </c>
      <c r="U2296" t="s">
        <v>1292</v>
      </c>
      <c r="V2296" t="s">
        <v>4823</v>
      </c>
      <c r="W2296" t="s">
        <v>4824</v>
      </c>
      <c r="X2296" t="b">
        <v>0</v>
      </c>
      <c r="Y2296" t="b">
        <v>0</v>
      </c>
    </row>
    <row r="2297" spans="1:25">
      <c r="A2297">
        <v>1000390</v>
      </c>
      <c r="B2297" t="s">
        <v>4061</v>
      </c>
      <c r="C2297" t="s">
        <v>4825</v>
      </c>
      <c r="D2297" t="s">
        <v>1292</v>
      </c>
      <c r="E2297">
        <v>1000390</v>
      </c>
      <c r="F2297" t="s">
        <v>1292</v>
      </c>
      <c r="G2297">
        <v>0</v>
      </c>
      <c r="H2297" t="s">
        <v>1292</v>
      </c>
      <c r="I2297">
        <v>0</v>
      </c>
      <c r="J2297" t="s">
        <v>1292</v>
      </c>
      <c r="K2297">
        <v>0</v>
      </c>
      <c r="L2297" t="s">
        <v>1292</v>
      </c>
      <c r="M2297">
        <v>0</v>
      </c>
      <c r="N2297" t="s">
        <v>1292</v>
      </c>
      <c r="O2297">
        <v>0</v>
      </c>
      <c r="P2297" t="s">
        <v>1102</v>
      </c>
      <c r="Q2297">
        <v>760</v>
      </c>
      <c r="R2297">
        <v>24.5</v>
      </c>
      <c r="S2297" s="2">
        <v>0</v>
      </c>
      <c r="T2297" s="3">
        <v>2.8965277777777776</v>
      </c>
      <c r="U2297" t="s">
        <v>1292</v>
      </c>
      <c r="V2297" t="s">
        <v>4825</v>
      </c>
      <c r="W2297" t="s">
        <v>4826</v>
      </c>
      <c r="X2297" t="b">
        <v>0</v>
      </c>
      <c r="Y2297" t="b">
        <v>0</v>
      </c>
    </row>
    <row r="2298" spans="1:25">
      <c r="A2298">
        <v>1000391</v>
      </c>
      <c r="B2298" t="s">
        <v>4061</v>
      </c>
      <c r="C2298" t="s">
        <v>4827</v>
      </c>
      <c r="D2298" t="s">
        <v>1292</v>
      </c>
      <c r="E2298">
        <v>1000391</v>
      </c>
      <c r="F2298" t="s">
        <v>1292</v>
      </c>
      <c r="G2298">
        <v>0</v>
      </c>
      <c r="H2298" t="s">
        <v>1292</v>
      </c>
      <c r="I2298">
        <v>0</v>
      </c>
      <c r="J2298" t="s">
        <v>1292</v>
      </c>
      <c r="K2298">
        <v>0</v>
      </c>
      <c r="L2298" t="s">
        <v>1292</v>
      </c>
      <c r="M2298">
        <v>0</v>
      </c>
      <c r="N2298" t="s">
        <v>1292</v>
      </c>
      <c r="O2298">
        <v>0</v>
      </c>
      <c r="P2298" t="s">
        <v>1306</v>
      </c>
      <c r="Q2298" s="1">
        <v>7384</v>
      </c>
      <c r="R2298">
        <v>9.1</v>
      </c>
      <c r="S2298" s="2">
        <v>0.05</v>
      </c>
      <c r="T2298" s="3">
        <v>2.6506944444444445</v>
      </c>
      <c r="U2298" s="2">
        <v>0.31</v>
      </c>
      <c r="V2298" t="s">
        <v>4827</v>
      </c>
      <c r="W2298" t="s">
        <v>4828</v>
      </c>
      <c r="X2298" t="b">
        <v>0</v>
      </c>
      <c r="Y2298" t="b">
        <v>0</v>
      </c>
    </row>
    <row r="2299" spans="1:25">
      <c r="A2299">
        <v>1000392</v>
      </c>
      <c r="B2299" t="s">
        <v>4061</v>
      </c>
      <c r="C2299" t="s">
        <v>4829</v>
      </c>
      <c r="D2299" t="s">
        <v>1292</v>
      </c>
      <c r="E2299">
        <v>1000392</v>
      </c>
      <c r="F2299" t="s">
        <v>1292</v>
      </c>
      <c r="G2299">
        <v>0</v>
      </c>
      <c r="H2299" t="s">
        <v>1292</v>
      </c>
      <c r="I2299">
        <v>0</v>
      </c>
      <c r="J2299" t="s">
        <v>1292</v>
      </c>
      <c r="K2299">
        <v>0</v>
      </c>
      <c r="L2299" t="s">
        <v>1292</v>
      </c>
      <c r="M2299">
        <v>0</v>
      </c>
      <c r="N2299" t="s">
        <v>1292</v>
      </c>
      <c r="O2299">
        <v>0</v>
      </c>
      <c r="P2299" t="s">
        <v>94</v>
      </c>
      <c r="Q2299" s="1">
        <v>10050</v>
      </c>
      <c r="R2299">
        <v>40</v>
      </c>
      <c r="S2299" s="2">
        <v>0.01</v>
      </c>
      <c r="T2299" s="3">
        <v>1.83125</v>
      </c>
      <c r="U2299" s="2">
        <v>0.31</v>
      </c>
      <c r="V2299" t="s">
        <v>4829</v>
      </c>
      <c r="W2299" t="s">
        <v>4830</v>
      </c>
      <c r="X2299" t="b">
        <v>0</v>
      </c>
      <c r="Y2299" t="b">
        <v>0</v>
      </c>
    </row>
    <row r="2300" spans="1:25">
      <c r="A2300">
        <v>1000393</v>
      </c>
      <c r="B2300" t="s">
        <v>4061</v>
      </c>
      <c r="C2300" t="s">
        <v>4831</v>
      </c>
      <c r="D2300" t="s">
        <v>1292</v>
      </c>
      <c r="E2300">
        <v>1000393</v>
      </c>
      <c r="F2300" t="s">
        <v>1292</v>
      </c>
      <c r="G2300">
        <v>0</v>
      </c>
      <c r="H2300" t="s">
        <v>1292</v>
      </c>
      <c r="I2300">
        <v>0</v>
      </c>
      <c r="J2300" t="s">
        <v>1292</v>
      </c>
      <c r="K2300">
        <v>0</v>
      </c>
      <c r="L2300" t="s">
        <v>1292</v>
      </c>
      <c r="M2300">
        <v>0</v>
      </c>
      <c r="N2300" t="s">
        <v>1292</v>
      </c>
      <c r="O2300">
        <v>0</v>
      </c>
      <c r="P2300" t="s">
        <v>94</v>
      </c>
      <c r="Q2300" s="1">
        <v>8714</v>
      </c>
      <c r="R2300">
        <v>23.3</v>
      </c>
      <c r="S2300" s="2">
        <v>0.01</v>
      </c>
      <c r="T2300" s="3">
        <v>1.7902777777777779</v>
      </c>
      <c r="U2300" s="2">
        <v>0.33</v>
      </c>
      <c r="V2300" t="s">
        <v>4831</v>
      </c>
      <c r="W2300" t="s">
        <v>4832</v>
      </c>
      <c r="X2300" t="b">
        <v>0</v>
      </c>
      <c r="Y2300" t="b">
        <v>0</v>
      </c>
    </row>
    <row r="2301" spans="1:25">
      <c r="A2301">
        <v>1000394</v>
      </c>
      <c r="B2301" t="s">
        <v>4061</v>
      </c>
      <c r="C2301" t="s">
        <v>4833</v>
      </c>
      <c r="D2301" t="s">
        <v>1292</v>
      </c>
      <c r="E2301">
        <v>1000394</v>
      </c>
      <c r="F2301" t="s">
        <v>1292</v>
      </c>
      <c r="G2301">
        <v>0</v>
      </c>
      <c r="H2301" t="s">
        <v>1292</v>
      </c>
      <c r="I2301">
        <v>0</v>
      </c>
      <c r="J2301" t="s">
        <v>1292</v>
      </c>
      <c r="K2301">
        <v>0</v>
      </c>
      <c r="L2301" t="s">
        <v>1292</v>
      </c>
      <c r="M2301">
        <v>0</v>
      </c>
      <c r="N2301" t="s">
        <v>1292</v>
      </c>
      <c r="O2301">
        <v>0</v>
      </c>
      <c r="P2301" t="s">
        <v>94</v>
      </c>
      <c r="Q2301" s="1">
        <v>4388</v>
      </c>
      <c r="R2301">
        <v>23.7</v>
      </c>
      <c r="S2301" s="2">
        <v>0.01</v>
      </c>
      <c r="T2301" s="3">
        <v>4.166666666666667</v>
      </c>
      <c r="U2301" s="2">
        <v>0.09</v>
      </c>
      <c r="V2301" t="s">
        <v>4833</v>
      </c>
      <c r="W2301" t="s">
        <v>4834</v>
      </c>
      <c r="X2301" t="b">
        <v>0</v>
      </c>
      <c r="Y2301" t="b">
        <v>0</v>
      </c>
    </row>
    <row r="2302" spans="1:25">
      <c r="A2302">
        <v>1000395</v>
      </c>
      <c r="B2302" t="s">
        <v>4061</v>
      </c>
      <c r="C2302" t="s">
        <v>4835</v>
      </c>
      <c r="D2302" t="s">
        <v>1292</v>
      </c>
      <c r="E2302">
        <v>1000395</v>
      </c>
      <c r="F2302" t="s">
        <v>1292</v>
      </c>
      <c r="G2302">
        <v>0</v>
      </c>
      <c r="H2302" t="s">
        <v>1292</v>
      </c>
      <c r="I2302">
        <v>0</v>
      </c>
      <c r="J2302" t="s">
        <v>1292</v>
      </c>
      <c r="K2302">
        <v>0</v>
      </c>
      <c r="L2302" t="s">
        <v>1292</v>
      </c>
      <c r="M2302">
        <v>0</v>
      </c>
      <c r="N2302" t="s">
        <v>1292</v>
      </c>
      <c r="O2302">
        <v>0</v>
      </c>
      <c r="P2302" t="s">
        <v>2157</v>
      </c>
      <c r="Q2302" s="1">
        <v>4536</v>
      </c>
      <c r="R2302">
        <v>9.3000000000000007</v>
      </c>
      <c r="S2302" s="2">
        <v>0.01</v>
      </c>
      <c r="T2302" s="3">
        <v>2.1180555555555554</v>
      </c>
      <c r="U2302" s="2">
        <v>0.38</v>
      </c>
      <c r="V2302" t="s">
        <v>4835</v>
      </c>
      <c r="W2302" t="s">
        <v>4836</v>
      </c>
      <c r="X2302" t="b">
        <v>0</v>
      </c>
      <c r="Y2302" t="b">
        <v>0</v>
      </c>
    </row>
    <row r="2303" spans="1:25">
      <c r="A2303">
        <v>1000396</v>
      </c>
      <c r="B2303" t="s">
        <v>4061</v>
      </c>
      <c r="C2303" t="s">
        <v>4837</v>
      </c>
      <c r="D2303" t="s">
        <v>1292</v>
      </c>
      <c r="E2303">
        <v>1000396</v>
      </c>
      <c r="F2303" t="s">
        <v>1292</v>
      </c>
      <c r="G2303">
        <v>0</v>
      </c>
      <c r="H2303" t="s">
        <v>1292</v>
      </c>
      <c r="I2303">
        <v>0</v>
      </c>
      <c r="J2303" t="s">
        <v>1292</v>
      </c>
      <c r="K2303">
        <v>0</v>
      </c>
      <c r="L2303" t="s">
        <v>1292</v>
      </c>
      <c r="M2303">
        <v>0</v>
      </c>
      <c r="N2303" t="s">
        <v>1292</v>
      </c>
      <c r="O2303">
        <v>0</v>
      </c>
      <c r="P2303" t="s">
        <v>528</v>
      </c>
      <c r="Q2303" s="1">
        <v>3318</v>
      </c>
      <c r="R2303">
        <v>12.2</v>
      </c>
      <c r="S2303" s="2">
        <v>0</v>
      </c>
      <c r="T2303" t="s">
        <v>105</v>
      </c>
      <c r="U2303" s="2">
        <v>0.44</v>
      </c>
      <c r="V2303" t="s">
        <v>4837</v>
      </c>
      <c r="W2303" t="s">
        <v>4838</v>
      </c>
      <c r="X2303" t="b">
        <v>0</v>
      </c>
      <c r="Y2303" t="b">
        <v>0</v>
      </c>
    </row>
    <row r="2304" spans="1:25">
      <c r="A2304">
        <v>1000397</v>
      </c>
      <c r="B2304" t="s">
        <v>4061</v>
      </c>
      <c r="C2304" t="s">
        <v>4839</v>
      </c>
      <c r="D2304" t="s">
        <v>1292</v>
      </c>
      <c r="E2304">
        <v>1000397</v>
      </c>
      <c r="F2304" t="s">
        <v>1292</v>
      </c>
      <c r="G2304">
        <v>0</v>
      </c>
      <c r="H2304" t="s">
        <v>1292</v>
      </c>
      <c r="I2304">
        <v>0</v>
      </c>
      <c r="J2304" t="s">
        <v>1292</v>
      </c>
      <c r="K2304">
        <v>0</v>
      </c>
      <c r="L2304" t="s">
        <v>1292</v>
      </c>
      <c r="M2304">
        <v>0</v>
      </c>
      <c r="N2304" t="s">
        <v>1292</v>
      </c>
      <c r="O2304">
        <v>0</v>
      </c>
      <c r="P2304" t="s">
        <v>1433</v>
      </c>
      <c r="Q2304" s="1">
        <v>12063</v>
      </c>
      <c r="R2304">
        <v>41</v>
      </c>
      <c r="S2304" s="2">
        <v>0</v>
      </c>
      <c r="T2304" t="s">
        <v>40</v>
      </c>
      <c r="U2304" s="2">
        <v>0.27</v>
      </c>
      <c r="V2304" t="s">
        <v>4839</v>
      </c>
      <c r="W2304" t="s">
        <v>4840</v>
      </c>
      <c r="X2304" t="b">
        <v>0</v>
      </c>
      <c r="Y2304" t="b">
        <v>0</v>
      </c>
    </row>
    <row r="2305" spans="1:25">
      <c r="A2305">
        <v>1000398</v>
      </c>
      <c r="B2305" t="s">
        <v>4061</v>
      </c>
      <c r="C2305" t="s">
        <v>4841</v>
      </c>
      <c r="D2305" t="s">
        <v>1292</v>
      </c>
      <c r="E2305">
        <v>1000398</v>
      </c>
      <c r="F2305" t="s">
        <v>1292</v>
      </c>
      <c r="G2305">
        <v>0</v>
      </c>
      <c r="H2305" t="s">
        <v>1292</v>
      </c>
      <c r="I2305">
        <v>0</v>
      </c>
      <c r="J2305" t="s">
        <v>1292</v>
      </c>
      <c r="K2305">
        <v>0</v>
      </c>
      <c r="L2305" t="s">
        <v>1292</v>
      </c>
      <c r="M2305">
        <v>0</v>
      </c>
      <c r="N2305" t="s">
        <v>1292</v>
      </c>
      <c r="O2305">
        <v>0</v>
      </c>
      <c r="P2305" t="s">
        <v>255</v>
      </c>
      <c r="Q2305" s="1">
        <v>6857</v>
      </c>
      <c r="R2305">
        <v>12.1</v>
      </c>
      <c r="S2305" s="2">
        <v>0.31</v>
      </c>
      <c r="T2305" s="3">
        <v>2.7736111111111112</v>
      </c>
      <c r="U2305" s="2">
        <v>0.05</v>
      </c>
      <c r="V2305" t="s">
        <v>4841</v>
      </c>
      <c r="W2305" t="s">
        <v>4842</v>
      </c>
      <c r="X2305" t="b">
        <v>0</v>
      </c>
      <c r="Y2305" t="b">
        <v>0</v>
      </c>
    </row>
    <row r="2306" spans="1:25">
      <c r="A2306">
        <v>1000399</v>
      </c>
      <c r="B2306" t="s">
        <v>4061</v>
      </c>
      <c r="C2306" t="s">
        <v>4843</v>
      </c>
      <c r="D2306" t="s">
        <v>1292</v>
      </c>
      <c r="E2306">
        <v>1000399</v>
      </c>
      <c r="F2306" t="s">
        <v>1292</v>
      </c>
      <c r="G2306">
        <v>0</v>
      </c>
      <c r="H2306" t="s">
        <v>1292</v>
      </c>
      <c r="I2306">
        <v>0</v>
      </c>
      <c r="J2306" t="s">
        <v>1292</v>
      </c>
      <c r="K2306">
        <v>0</v>
      </c>
      <c r="L2306" t="s">
        <v>1292</v>
      </c>
      <c r="M2306">
        <v>0</v>
      </c>
      <c r="N2306" t="s">
        <v>1292</v>
      </c>
      <c r="O2306">
        <v>0</v>
      </c>
      <c r="P2306" t="s">
        <v>895</v>
      </c>
      <c r="Q2306" s="1">
        <v>4583</v>
      </c>
      <c r="R2306">
        <v>9.6</v>
      </c>
      <c r="S2306" s="2">
        <v>0.01</v>
      </c>
      <c r="T2306" s="3">
        <v>3.0604166666666668</v>
      </c>
      <c r="U2306" t="s">
        <v>1292</v>
      </c>
      <c r="V2306" t="s">
        <v>4843</v>
      </c>
      <c r="W2306" t="s">
        <v>4844</v>
      </c>
      <c r="X2306" t="b">
        <v>0</v>
      </c>
      <c r="Y2306" t="b">
        <v>0</v>
      </c>
    </row>
    <row r="2307" spans="1:25">
      <c r="A2307">
        <v>1000400</v>
      </c>
      <c r="B2307" t="s">
        <v>4061</v>
      </c>
      <c r="C2307" t="s">
        <v>4845</v>
      </c>
      <c r="D2307" t="s">
        <v>1292</v>
      </c>
      <c r="E2307">
        <v>1000400</v>
      </c>
      <c r="F2307" t="s">
        <v>1292</v>
      </c>
      <c r="G2307">
        <v>0</v>
      </c>
      <c r="H2307" t="s">
        <v>1292</v>
      </c>
      <c r="I2307">
        <v>0</v>
      </c>
      <c r="J2307" t="s">
        <v>1292</v>
      </c>
      <c r="K2307">
        <v>0</v>
      </c>
      <c r="L2307" t="s">
        <v>1292</v>
      </c>
      <c r="M2307">
        <v>0</v>
      </c>
      <c r="N2307" t="s">
        <v>1292</v>
      </c>
      <c r="O2307">
        <v>0</v>
      </c>
      <c r="P2307" t="s">
        <v>2836</v>
      </c>
      <c r="Q2307">
        <v>138</v>
      </c>
      <c r="R2307">
        <v>0.4</v>
      </c>
      <c r="S2307" s="2">
        <v>0.01</v>
      </c>
      <c r="T2307" t="s">
        <v>51</v>
      </c>
      <c r="U2307" t="s">
        <v>1292</v>
      </c>
      <c r="V2307" t="s">
        <v>4845</v>
      </c>
      <c r="W2307" t="s">
        <v>4846</v>
      </c>
      <c r="X2307" t="b">
        <v>0</v>
      </c>
      <c r="Y2307" t="b">
        <v>0</v>
      </c>
    </row>
    <row r="2308" spans="1:25">
      <c r="A2308">
        <v>1000401</v>
      </c>
      <c r="B2308" t="s">
        <v>4061</v>
      </c>
      <c r="C2308" t="s">
        <v>4847</v>
      </c>
      <c r="D2308" t="s">
        <v>1292</v>
      </c>
      <c r="E2308">
        <v>1000401</v>
      </c>
      <c r="F2308" t="s">
        <v>1292</v>
      </c>
      <c r="G2308">
        <v>0</v>
      </c>
      <c r="H2308" t="s">
        <v>1292</v>
      </c>
      <c r="I2308">
        <v>0</v>
      </c>
      <c r="J2308" t="s">
        <v>1292</v>
      </c>
      <c r="K2308">
        <v>0</v>
      </c>
      <c r="L2308" t="s">
        <v>1292</v>
      </c>
      <c r="M2308">
        <v>0</v>
      </c>
      <c r="N2308" t="s">
        <v>1292</v>
      </c>
      <c r="O2308">
        <v>0</v>
      </c>
      <c r="P2308" t="s">
        <v>2399</v>
      </c>
      <c r="Q2308" s="1">
        <v>1339</v>
      </c>
      <c r="R2308">
        <v>25.3</v>
      </c>
      <c r="S2308" s="2">
        <v>0.04</v>
      </c>
      <c r="T2308" s="3">
        <v>2.3638888888888889</v>
      </c>
      <c r="U2308" t="s">
        <v>1292</v>
      </c>
      <c r="V2308" t="s">
        <v>4847</v>
      </c>
      <c r="W2308" t="s">
        <v>4848</v>
      </c>
      <c r="X2308" t="b">
        <v>0</v>
      </c>
      <c r="Y2308" t="b">
        <v>0</v>
      </c>
    </row>
    <row r="2309" spans="1:25">
      <c r="A2309">
        <v>1000402</v>
      </c>
      <c r="B2309" t="s">
        <v>4061</v>
      </c>
      <c r="C2309" t="s">
        <v>4849</v>
      </c>
      <c r="D2309" t="s">
        <v>1292</v>
      </c>
      <c r="E2309">
        <v>1000402</v>
      </c>
      <c r="F2309" t="s">
        <v>1292</v>
      </c>
      <c r="G2309">
        <v>0</v>
      </c>
      <c r="H2309" t="s">
        <v>1292</v>
      </c>
      <c r="I2309">
        <v>0</v>
      </c>
      <c r="J2309" t="s">
        <v>1292</v>
      </c>
      <c r="K2309">
        <v>0</v>
      </c>
      <c r="L2309" t="s">
        <v>1292</v>
      </c>
      <c r="M2309">
        <v>0</v>
      </c>
      <c r="N2309" t="s">
        <v>1292</v>
      </c>
      <c r="O2309">
        <v>0</v>
      </c>
      <c r="P2309" t="s">
        <v>1123</v>
      </c>
      <c r="Q2309" s="1">
        <v>11210</v>
      </c>
      <c r="R2309">
        <v>11.2</v>
      </c>
      <c r="S2309" s="2">
        <v>0.01</v>
      </c>
      <c r="T2309" s="3">
        <v>2.5277777777777777</v>
      </c>
      <c r="U2309" s="2">
        <v>0.19</v>
      </c>
      <c r="V2309" t="s">
        <v>4849</v>
      </c>
      <c r="W2309" t="s">
        <v>4850</v>
      </c>
      <c r="X2309" t="b">
        <v>0</v>
      </c>
      <c r="Y2309" t="b">
        <v>0</v>
      </c>
    </row>
    <row r="2310" spans="1:25">
      <c r="A2310">
        <v>1000403</v>
      </c>
      <c r="B2310" t="s">
        <v>4061</v>
      </c>
      <c r="C2310" t="s">
        <v>4851</v>
      </c>
      <c r="D2310" t="s">
        <v>1292</v>
      </c>
      <c r="E2310">
        <v>1000403</v>
      </c>
      <c r="F2310" t="s">
        <v>1292</v>
      </c>
      <c r="G2310">
        <v>0</v>
      </c>
      <c r="H2310" t="s">
        <v>1292</v>
      </c>
      <c r="I2310">
        <v>0</v>
      </c>
      <c r="J2310" t="s">
        <v>1292</v>
      </c>
      <c r="K2310">
        <v>0</v>
      </c>
      <c r="L2310" t="s">
        <v>1292</v>
      </c>
      <c r="M2310">
        <v>0</v>
      </c>
      <c r="N2310" t="s">
        <v>1292</v>
      </c>
      <c r="O2310">
        <v>0</v>
      </c>
      <c r="P2310" t="s">
        <v>94</v>
      </c>
      <c r="Q2310" s="1">
        <v>1141</v>
      </c>
      <c r="R2310">
        <v>20.399999999999999</v>
      </c>
      <c r="S2310" s="2">
        <v>0.02</v>
      </c>
      <c r="T2310" s="3">
        <v>2.6506944444444445</v>
      </c>
      <c r="U2310" s="2">
        <v>0</v>
      </c>
      <c r="V2310" t="s">
        <v>4851</v>
      </c>
      <c r="W2310" t="s">
        <v>4852</v>
      </c>
      <c r="X2310" t="b">
        <v>0</v>
      </c>
      <c r="Y2310" t="b">
        <v>0</v>
      </c>
    </row>
    <row r="2311" spans="1:25">
      <c r="A2311">
        <v>1000404</v>
      </c>
      <c r="B2311" t="s">
        <v>4061</v>
      </c>
      <c r="C2311" t="s">
        <v>4853</v>
      </c>
      <c r="D2311" t="s">
        <v>1292</v>
      </c>
      <c r="E2311">
        <v>1000404</v>
      </c>
      <c r="F2311" t="s">
        <v>1292</v>
      </c>
      <c r="G2311">
        <v>0</v>
      </c>
      <c r="H2311" t="s">
        <v>1292</v>
      </c>
      <c r="I2311">
        <v>0</v>
      </c>
      <c r="J2311" t="s">
        <v>1292</v>
      </c>
      <c r="K2311">
        <v>0</v>
      </c>
      <c r="L2311" t="s">
        <v>1292</v>
      </c>
      <c r="M2311">
        <v>0</v>
      </c>
      <c r="N2311" t="s">
        <v>1292</v>
      </c>
      <c r="O2311">
        <v>0</v>
      </c>
      <c r="P2311" t="s">
        <v>94</v>
      </c>
      <c r="Q2311" s="1">
        <v>1937</v>
      </c>
      <c r="R2311">
        <v>18.3</v>
      </c>
      <c r="S2311" t="s">
        <v>4501</v>
      </c>
      <c r="T2311" s="3">
        <v>4.166666666666667</v>
      </c>
      <c r="U2311" s="2">
        <v>0.24</v>
      </c>
      <c r="V2311" t="s">
        <v>4853</v>
      </c>
      <c r="W2311" t="s">
        <v>4854</v>
      </c>
      <c r="X2311" t="b">
        <v>0</v>
      </c>
      <c r="Y2311" t="b">
        <v>0</v>
      </c>
    </row>
    <row r="2312" spans="1:25">
      <c r="A2312">
        <v>1000405</v>
      </c>
      <c r="B2312" t="s">
        <v>4061</v>
      </c>
      <c r="C2312" t="s">
        <v>4855</v>
      </c>
      <c r="D2312" t="s">
        <v>1292</v>
      </c>
      <c r="E2312">
        <v>1000405</v>
      </c>
      <c r="F2312" t="s">
        <v>1292</v>
      </c>
      <c r="G2312">
        <v>0</v>
      </c>
      <c r="H2312" t="s">
        <v>1292</v>
      </c>
      <c r="I2312">
        <v>0</v>
      </c>
      <c r="J2312" t="s">
        <v>1292</v>
      </c>
      <c r="K2312">
        <v>0</v>
      </c>
      <c r="L2312" t="s">
        <v>1292</v>
      </c>
      <c r="M2312">
        <v>0</v>
      </c>
      <c r="N2312" t="s">
        <v>1292</v>
      </c>
      <c r="O2312">
        <v>0</v>
      </c>
      <c r="P2312" t="s">
        <v>94</v>
      </c>
      <c r="Q2312" s="1">
        <v>1337</v>
      </c>
      <c r="R2312">
        <v>8.5</v>
      </c>
      <c r="S2312" s="2">
        <v>0.04</v>
      </c>
      <c r="T2312" s="3">
        <v>4.166666666666667</v>
      </c>
      <c r="U2312" s="2">
        <v>0.12</v>
      </c>
      <c r="V2312" t="s">
        <v>4855</v>
      </c>
      <c r="W2312" t="s">
        <v>4856</v>
      </c>
      <c r="X2312" t="b">
        <v>0</v>
      </c>
      <c r="Y2312" t="b">
        <v>0</v>
      </c>
    </row>
    <row r="2313" spans="1:25">
      <c r="A2313">
        <v>1000406</v>
      </c>
      <c r="B2313" t="s">
        <v>4061</v>
      </c>
      <c r="C2313" t="s">
        <v>4857</v>
      </c>
      <c r="D2313" t="s">
        <v>1292</v>
      </c>
      <c r="E2313">
        <v>1000406</v>
      </c>
      <c r="F2313" t="s">
        <v>1292</v>
      </c>
      <c r="G2313">
        <v>0</v>
      </c>
      <c r="H2313" t="s">
        <v>1292</v>
      </c>
      <c r="I2313">
        <v>0</v>
      </c>
      <c r="J2313" t="s">
        <v>1292</v>
      </c>
      <c r="K2313">
        <v>0</v>
      </c>
      <c r="L2313" t="s">
        <v>1292</v>
      </c>
      <c r="M2313">
        <v>0</v>
      </c>
      <c r="N2313" t="s">
        <v>1292</v>
      </c>
      <c r="O2313">
        <v>0</v>
      </c>
      <c r="P2313" t="s">
        <v>4858</v>
      </c>
      <c r="Q2313" s="1">
        <v>5768</v>
      </c>
      <c r="R2313">
        <v>15</v>
      </c>
      <c r="S2313" s="2">
        <v>0.11</v>
      </c>
      <c r="T2313" s="3">
        <v>2.4048611111111109</v>
      </c>
      <c r="U2313" s="2">
        <v>0.26</v>
      </c>
      <c r="V2313" t="s">
        <v>4857</v>
      </c>
      <c r="W2313" t="s">
        <v>4859</v>
      </c>
      <c r="X2313" t="b">
        <v>0</v>
      </c>
      <c r="Y2313" t="b">
        <v>0</v>
      </c>
    </row>
    <row r="2314" spans="1:25">
      <c r="A2314">
        <v>1000407</v>
      </c>
      <c r="B2314" t="s">
        <v>4061</v>
      </c>
      <c r="C2314" t="s">
        <v>4860</v>
      </c>
      <c r="D2314" t="s">
        <v>1292</v>
      </c>
      <c r="E2314">
        <v>1000407</v>
      </c>
      <c r="F2314" t="s">
        <v>1292</v>
      </c>
      <c r="G2314">
        <v>0</v>
      </c>
      <c r="H2314" t="s">
        <v>1292</v>
      </c>
      <c r="I2314">
        <v>0</v>
      </c>
      <c r="J2314" t="s">
        <v>1292</v>
      </c>
      <c r="K2314">
        <v>0</v>
      </c>
      <c r="L2314" t="s">
        <v>1292</v>
      </c>
      <c r="M2314">
        <v>0</v>
      </c>
      <c r="N2314" t="s">
        <v>1292</v>
      </c>
      <c r="O2314">
        <v>0</v>
      </c>
      <c r="P2314" t="s">
        <v>1306</v>
      </c>
      <c r="Q2314" s="1">
        <v>14225</v>
      </c>
      <c r="R2314">
        <v>21.4</v>
      </c>
      <c r="S2314" s="2">
        <v>0.02</v>
      </c>
      <c r="T2314" s="3">
        <v>2.4868055555555557</v>
      </c>
      <c r="U2314" s="2">
        <v>0.3</v>
      </c>
      <c r="V2314" t="s">
        <v>4860</v>
      </c>
      <c r="W2314" t="s">
        <v>4861</v>
      </c>
      <c r="X2314" t="b">
        <v>0</v>
      </c>
      <c r="Y2314" t="b">
        <v>0</v>
      </c>
    </row>
    <row r="2315" spans="1:25">
      <c r="A2315">
        <v>1000408</v>
      </c>
      <c r="B2315" t="s">
        <v>4061</v>
      </c>
      <c r="C2315" t="s">
        <v>4862</v>
      </c>
      <c r="D2315" t="s">
        <v>1292</v>
      </c>
      <c r="E2315">
        <v>1000408</v>
      </c>
      <c r="F2315" t="s">
        <v>1292</v>
      </c>
      <c r="G2315">
        <v>0</v>
      </c>
      <c r="H2315" t="s">
        <v>1292</v>
      </c>
      <c r="I2315">
        <v>0</v>
      </c>
      <c r="J2315" t="s">
        <v>1292</v>
      </c>
      <c r="K2315">
        <v>0</v>
      </c>
      <c r="L2315" t="s">
        <v>1292</v>
      </c>
      <c r="M2315">
        <v>0</v>
      </c>
      <c r="N2315" t="s">
        <v>1292</v>
      </c>
      <c r="O2315">
        <v>0</v>
      </c>
      <c r="P2315" t="s">
        <v>1102</v>
      </c>
      <c r="Q2315" s="1">
        <v>2656</v>
      </c>
      <c r="R2315">
        <v>15.3</v>
      </c>
      <c r="S2315" s="2">
        <v>0</v>
      </c>
      <c r="T2315" s="3">
        <v>1.8722222222222222</v>
      </c>
      <c r="U2315" t="s">
        <v>1292</v>
      </c>
      <c r="V2315" t="s">
        <v>4862</v>
      </c>
      <c r="W2315" t="s">
        <v>4863</v>
      </c>
      <c r="X2315" t="b">
        <v>0</v>
      </c>
      <c r="Y2315" t="b">
        <v>0</v>
      </c>
    </row>
    <row r="2316" spans="1:25">
      <c r="A2316">
        <v>1000409</v>
      </c>
      <c r="B2316" t="s">
        <v>4061</v>
      </c>
      <c r="C2316" t="s">
        <v>4864</v>
      </c>
      <c r="D2316" t="s">
        <v>1292</v>
      </c>
      <c r="E2316">
        <v>1000409</v>
      </c>
      <c r="F2316" t="s">
        <v>1292</v>
      </c>
      <c r="G2316">
        <v>0</v>
      </c>
      <c r="H2316" t="s">
        <v>1292</v>
      </c>
      <c r="I2316">
        <v>0</v>
      </c>
      <c r="J2316" t="s">
        <v>1292</v>
      </c>
      <c r="K2316">
        <v>0</v>
      </c>
      <c r="L2316" t="s">
        <v>1292</v>
      </c>
      <c r="M2316">
        <v>0</v>
      </c>
      <c r="N2316" t="s">
        <v>1292</v>
      </c>
      <c r="O2316">
        <v>0</v>
      </c>
      <c r="P2316" t="s">
        <v>1895</v>
      </c>
      <c r="Q2316" s="1">
        <v>3239</v>
      </c>
      <c r="R2316">
        <v>12.9</v>
      </c>
      <c r="S2316" s="2">
        <v>0</v>
      </c>
      <c r="T2316" t="s">
        <v>350</v>
      </c>
      <c r="U2316" s="2">
        <v>0.35</v>
      </c>
      <c r="V2316" t="s">
        <v>4864</v>
      </c>
      <c r="W2316" t="s">
        <v>4865</v>
      </c>
      <c r="X2316" t="b">
        <v>0</v>
      </c>
      <c r="Y2316" t="b">
        <v>0</v>
      </c>
    </row>
    <row r="2317" spans="1:25">
      <c r="A2317">
        <v>1000410</v>
      </c>
      <c r="B2317" t="s">
        <v>4061</v>
      </c>
      <c r="C2317" t="s">
        <v>4866</v>
      </c>
      <c r="D2317" t="s">
        <v>1292</v>
      </c>
      <c r="E2317">
        <v>1000410</v>
      </c>
      <c r="F2317" t="s">
        <v>1292</v>
      </c>
      <c r="G2317">
        <v>0</v>
      </c>
      <c r="H2317" t="s">
        <v>1292</v>
      </c>
      <c r="I2317">
        <v>0</v>
      </c>
      <c r="J2317" t="s">
        <v>1292</v>
      </c>
      <c r="K2317">
        <v>0</v>
      </c>
      <c r="L2317" t="s">
        <v>1292</v>
      </c>
      <c r="M2317">
        <v>0</v>
      </c>
      <c r="N2317" t="s">
        <v>1292</v>
      </c>
      <c r="O2317">
        <v>0</v>
      </c>
      <c r="P2317" t="s">
        <v>2290</v>
      </c>
      <c r="Q2317" s="1">
        <v>18528</v>
      </c>
      <c r="R2317">
        <v>21.6</v>
      </c>
      <c r="S2317" s="2">
        <v>0</v>
      </c>
      <c r="T2317" s="3">
        <v>2.5277777777777777</v>
      </c>
      <c r="U2317" s="2">
        <v>0.41</v>
      </c>
      <c r="V2317" t="s">
        <v>4866</v>
      </c>
      <c r="W2317" t="s">
        <v>4867</v>
      </c>
      <c r="X2317" t="b">
        <v>0</v>
      </c>
      <c r="Y2317" t="b">
        <v>0</v>
      </c>
    </row>
    <row r="2318" spans="1:25">
      <c r="A2318">
        <v>1000411</v>
      </c>
      <c r="B2318" t="s">
        <v>4061</v>
      </c>
      <c r="C2318" t="s">
        <v>4868</v>
      </c>
      <c r="D2318" t="s">
        <v>1292</v>
      </c>
      <c r="E2318">
        <v>1000411</v>
      </c>
      <c r="F2318" t="s">
        <v>1292</v>
      </c>
      <c r="G2318">
        <v>0</v>
      </c>
      <c r="H2318" t="s">
        <v>1292</v>
      </c>
      <c r="I2318">
        <v>0</v>
      </c>
      <c r="J2318" t="s">
        <v>1292</v>
      </c>
      <c r="K2318">
        <v>0</v>
      </c>
      <c r="L2318" t="s">
        <v>1292</v>
      </c>
      <c r="M2318">
        <v>0</v>
      </c>
      <c r="N2318" t="s">
        <v>1292</v>
      </c>
      <c r="O2318">
        <v>0</v>
      </c>
      <c r="P2318" t="s">
        <v>1820</v>
      </c>
      <c r="Q2318" s="1">
        <v>9094</v>
      </c>
      <c r="R2318">
        <v>18.899999999999999</v>
      </c>
      <c r="S2318" s="2">
        <v>0.01</v>
      </c>
      <c r="T2318" s="3">
        <v>2.3638888888888889</v>
      </c>
      <c r="U2318" s="2">
        <v>0.22</v>
      </c>
      <c r="V2318" t="s">
        <v>4868</v>
      </c>
      <c r="W2318" t="s">
        <v>4869</v>
      </c>
      <c r="X2318" t="b">
        <v>0</v>
      </c>
      <c r="Y2318" t="b">
        <v>0</v>
      </c>
    </row>
    <row r="2319" spans="1:25">
      <c r="A2319">
        <v>1000412</v>
      </c>
      <c r="B2319" t="s">
        <v>4061</v>
      </c>
      <c r="C2319" t="s">
        <v>4870</v>
      </c>
      <c r="D2319" t="s">
        <v>1292</v>
      </c>
      <c r="E2319">
        <v>1000412</v>
      </c>
      <c r="F2319" t="s">
        <v>1292</v>
      </c>
      <c r="G2319">
        <v>0</v>
      </c>
      <c r="H2319" t="s">
        <v>1292</v>
      </c>
      <c r="I2319">
        <v>0</v>
      </c>
      <c r="J2319" t="s">
        <v>1292</v>
      </c>
      <c r="K2319">
        <v>0</v>
      </c>
      <c r="L2319" t="s">
        <v>1292</v>
      </c>
      <c r="M2319">
        <v>0</v>
      </c>
      <c r="N2319" t="s">
        <v>1292</v>
      </c>
      <c r="O2319">
        <v>0</v>
      </c>
      <c r="P2319" t="s">
        <v>2513</v>
      </c>
      <c r="Q2319" s="1">
        <v>13935</v>
      </c>
      <c r="R2319">
        <v>13.7</v>
      </c>
      <c r="S2319" s="2">
        <v>0.02</v>
      </c>
      <c r="T2319" s="3">
        <v>2.2819444444444446</v>
      </c>
      <c r="U2319" s="2">
        <v>0.22</v>
      </c>
      <c r="V2319" t="s">
        <v>4870</v>
      </c>
      <c r="W2319" t="s">
        <v>4871</v>
      </c>
      <c r="X2319" t="b">
        <v>0</v>
      </c>
      <c r="Y2319" t="b">
        <v>0</v>
      </c>
    </row>
    <row r="2320" spans="1:25">
      <c r="A2320">
        <v>1000413</v>
      </c>
      <c r="B2320" t="s">
        <v>4061</v>
      </c>
      <c r="C2320" t="s">
        <v>4872</v>
      </c>
      <c r="D2320" t="s">
        <v>1292</v>
      </c>
      <c r="E2320">
        <v>1000413</v>
      </c>
      <c r="F2320" t="s">
        <v>1292</v>
      </c>
      <c r="G2320">
        <v>0</v>
      </c>
      <c r="H2320" t="s">
        <v>1292</v>
      </c>
      <c r="I2320">
        <v>0</v>
      </c>
      <c r="J2320" t="s">
        <v>1292</v>
      </c>
      <c r="K2320">
        <v>0</v>
      </c>
      <c r="L2320" t="s">
        <v>1292</v>
      </c>
      <c r="M2320">
        <v>0</v>
      </c>
      <c r="N2320" t="s">
        <v>1292</v>
      </c>
      <c r="O2320">
        <v>0</v>
      </c>
      <c r="P2320" t="s">
        <v>26</v>
      </c>
      <c r="Q2320" s="1">
        <v>2225</v>
      </c>
      <c r="R2320">
        <v>15.9</v>
      </c>
      <c r="S2320" s="2">
        <v>0.12</v>
      </c>
      <c r="T2320" s="3">
        <v>3.1423611111111112</v>
      </c>
      <c r="U2320" s="2">
        <v>0.09</v>
      </c>
      <c r="V2320" t="s">
        <v>4872</v>
      </c>
      <c r="W2320" t="s">
        <v>4415</v>
      </c>
      <c r="X2320" t="b">
        <v>0</v>
      </c>
      <c r="Y2320" t="b">
        <v>0</v>
      </c>
    </row>
    <row r="2321" spans="1:25">
      <c r="A2321">
        <v>1000414</v>
      </c>
      <c r="B2321" t="s">
        <v>4061</v>
      </c>
      <c r="C2321" t="s">
        <v>4873</v>
      </c>
      <c r="D2321" t="s">
        <v>1292</v>
      </c>
      <c r="E2321">
        <v>1000414</v>
      </c>
      <c r="F2321" t="s">
        <v>1292</v>
      </c>
      <c r="G2321">
        <v>0</v>
      </c>
      <c r="H2321" t="s">
        <v>1292</v>
      </c>
      <c r="I2321">
        <v>0</v>
      </c>
      <c r="J2321" t="s">
        <v>1292</v>
      </c>
      <c r="K2321">
        <v>0</v>
      </c>
      <c r="L2321" t="s">
        <v>1292</v>
      </c>
      <c r="M2321">
        <v>0</v>
      </c>
      <c r="N2321" t="s">
        <v>1292</v>
      </c>
      <c r="O2321">
        <v>0</v>
      </c>
      <c r="P2321" t="s">
        <v>26</v>
      </c>
      <c r="Q2321" s="1">
        <v>1460</v>
      </c>
      <c r="R2321">
        <v>20.9</v>
      </c>
      <c r="S2321" s="2">
        <v>0.11</v>
      </c>
      <c r="T2321" t="s">
        <v>113</v>
      </c>
      <c r="U2321" t="s">
        <v>1292</v>
      </c>
      <c r="V2321" t="s">
        <v>4873</v>
      </c>
      <c r="W2321" t="s">
        <v>4874</v>
      </c>
      <c r="X2321" t="b">
        <v>0</v>
      </c>
      <c r="Y2321" t="b">
        <v>0</v>
      </c>
    </row>
    <row r="2322" spans="1:25">
      <c r="A2322">
        <v>1000415</v>
      </c>
      <c r="B2322" t="s">
        <v>4061</v>
      </c>
      <c r="C2322" t="s">
        <v>4875</v>
      </c>
      <c r="D2322" t="s">
        <v>1292</v>
      </c>
      <c r="E2322">
        <v>1000415</v>
      </c>
      <c r="F2322" t="s">
        <v>1292</v>
      </c>
      <c r="G2322">
        <v>0</v>
      </c>
      <c r="H2322" t="s">
        <v>1292</v>
      </c>
      <c r="I2322">
        <v>0</v>
      </c>
      <c r="J2322" t="s">
        <v>1292</v>
      </c>
      <c r="K2322">
        <v>0</v>
      </c>
      <c r="L2322" t="s">
        <v>1292</v>
      </c>
      <c r="M2322">
        <v>0</v>
      </c>
      <c r="N2322" t="s">
        <v>1292</v>
      </c>
      <c r="O2322">
        <v>0</v>
      </c>
      <c r="P2322" t="s">
        <v>26</v>
      </c>
      <c r="Q2322" s="1">
        <v>3790</v>
      </c>
      <c r="R2322">
        <v>23.7</v>
      </c>
      <c r="S2322" s="2">
        <v>0.09</v>
      </c>
      <c r="T2322" s="3">
        <v>2.6916666666666669</v>
      </c>
      <c r="U2322" s="2">
        <v>0.13</v>
      </c>
      <c r="V2322" t="s">
        <v>4875</v>
      </c>
      <c r="W2322" t="s">
        <v>4876</v>
      </c>
      <c r="X2322" t="b">
        <v>0</v>
      </c>
      <c r="Y2322" t="b">
        <v>0</v>
      </c>
    </row>
    <row r="2323" spans="1:25">
      <c r="A2323">
        <v>1000416</v>
      </c>
      <c r="B2323" t="s">
        <v>4061</v>
      </c>
      <c r="C2323" t="s">
        <v>4877</v>
      </c>
      <c r="D2323" t="s">
        <v>1292</v>
      </c>
      <c r="E2323">
        <v>1000416</v>
      </c>
      <c r="F2323" t="s">
        <v>1292</v>
      </c>
      <c r="G2323">
        <v>0</v>
      </c>
      <c r="H2323" t="s">
        <v>1292</v>
      </c>
      <c r="I2323">
        <v>0</v>
      </c>
      <c r="J2323" t="s">
        <v>1292</v>
      </c>
      <c r="K2323">
        <v>0</v>
      </c>
      <c r="L2323" t="s">
        <v>1292</v>
      </c>
      <c r="M2323">
        <v>0</v>
      </c>
      <c r="N2323" t="s">
        <v>1292</v>
      </c>
      <c r="O2323">
        <v>0</v>
      </c>
      <c r="P2323" t="s">
        <v>1123</v>
      </c>
      <c r="Q2323" s="1">
        <v>7814</v>
      </c>
      <c r="R2323">
        <v>12.4</v>
      </c>
      <c r="S2323" s="2">
        <v>0.01</v>
      </c>
      <c r="T2323" s="3">
        <v>2.8965277777777776</v>
      </c>
      <c r="U2323" s="2">
        <v>0.25</v>
      </c>
      <c r="V2323" t="s">
        <v>4877</v>
      </c>
      <c r="W2323" t="s">
        <v>4878</v>
      </c>
      <c r="X2323" t="b">
        <v>0</v>
      </c>
      <c r="Y2323" t="b">
        <v>0</v>
      </c>
    </row>
    <row r="2324" spans="1:25">
      <c r="A2324">
        <v>1000417</v>
      </c>
      <c r="B2324" t="s">
        <v>4061</v>
      </c>
      <c r="C2324" t="s">
        <v>4879</v>
      </c>
      <c r="D2324" t="s">
        <v>1292</v>
      </c>
      <c r="E2324">
        <v>1000417</v>
      </c>
      <c r="F2324" t="s">
        <v>1292</v>
      </c>
      <c r="G2324">
        <v>0</v>
      </c>
      <c r="H2324" t="s">
        <v>1292</v>
      </c>
      <c r="I2324">
        <v>0</v>
      </c>
      <c r="J2324" t="s">
        <v>1292</v>
      </c>
      <c r="K2324">
        <v>0</v>
      </c>
      <c r="L2324" t="s">
        <v>1292</v>
      </c>
      <c r="M2324">
        <v>0</v>
      </c>
      <c r="N2324" t="s">
        <v>1292</v>
      </c>
      <c r="O2324">
        <v>0</v>
      </c>
      <c r="P2324" t="s">
        <v>1102</v>
      </c>
      <c r="Q2324" s="1">
        <v>4953</v>
      </c>
      <c r="R2324">
        <v>10</v>
      </c>
      <c r="S2324" s="2">
        <v>0.04</v>
      </c>
      <c r="T2324" s="3">
        <v>2.2819444444444446</v>
      </c>
      <c r="U2324" s="2">
        <v>0.03</v>
      </c>
      <c r="V2324" t="s">
        <v>4879</v>
      </c>
      <c r="W2324" t="s">
        <v>4880</v>
      </c>
      <c r="X2324" t="b">
        <v>0</v>
      </c>
      <c r="Y2324" t="b">
        <v>0</v>
      </c>
    </row>
    <row r="2325" spans="1:25">
      <c r="A2325">
        <v>1000418</v>
      </c>
      <c r="B2325" t="s">
        <v>4061</v>
      </c>
      <c r="C2325" t="s">
        <v>4881</v>
      </c>
      <c r="D2325" t="s">
        <v>1292</v>
      </c>
      <c r="E2325">
        <v>1000418</v>
      </c>
      <c r="F2325" t="s">
        <v>1292</v>
      </c>
      <c r="G2325">
        <v>0</v>
      </c>
      <c r="H2325" t="s">
        <v>1292</v>
      </c>
      <c r="I2325">
        <v>0</v>
      </c>
      <c r="J2325" t="s">
        <v>1292</v>
      </c>
      <c r="K2325">
        <v>0</v>
      </c>
      <c r="L2325" t="s">
        <v>1292</v>
      </c>
      <c r="M2325">
        <v>0</v>
      </c>
      <c r="N2325" t="s">
        <v>1292</v>
      </c>
      <c r="O2325">
        <v>0</v>
      </c>
      <c r="P2325" t="s">
        <v>1846</v>
      </c>
      <c r="Q2325" s="1">
        <v>4242</v>
      </c>
      <c r="R2325">
        <v>19.399999999999999</v>
      </c>
      <c r="S2325" s="2">
        <v>0</v>
      </c>
      <c r="T2325" s="3">
        <v>2.0770833333333334</v>
      </c>
      <c r="U2325" s="2">
        <v>0.33</v>
      </c>
      <c r="V2325" t="s">
        <v>4881</v>
      </c>
      <c r="W2325" t="s">
        <v>4882</v>
      </c>
      <c r="X2325" t="b">
        <v>0</v>
      </c>
      <c r="Y2325" t="b">
        <v>0</v>
      </c>
    </row>
    <row r="2326" spans="1:25">
      <c r="A2326">
        <v>1000419</v>
      </c>
      <c r="B2326" t="s">
        <v>4061</v>
      </c>
      <c r="C2326" t="s">
        <v>4883</v>
      </c>
      <c r="D2326" t="s">
        <v>1292</v>
      </c>
      <c r="E2326">
        <v>1000419</v>
      </c>
      <c r="F2326" t="s">
        <v>1292</v>
      </c>
      <c r="G2326">
        <v>0</v>
      </c>
      <c r="H2326" t="s">
        <v>1292</v>
      </c>
      <c r="I2326">
        <v>0</v>
      </c>
      <c r="J2326" t="s">
        <v>1292</v>
      </c>
      <c r="K2326">
        <v>0</v>
      </c>
      <c r="L2326" t="s">
        <v>1292</v>
      </c>
      <c r="M2326">
        <v>0</v>
      </c>
      <c r="N2326" t="s">
        <v>1292</v>
      </c>
      <c r="O2326">
        <v>0</v>
      </c>
      <c r="P2326" t="s">
        <v>664</v>
      </c>
      <c r="Q2326" s="1">
        <v>2233</v>
      </c>
      <c r="R2326">
        <v>5.7</v>
      </c>
      <c r="S2326" s="2">
        <v>0.41</v>
      </c>
      <c r="T2326">
        <v>0.84791666666666665</v>
      </c>
      <c r="U2326" s="2">
        <v>0.21</v>
      </c>
      <c r="V2326" t="s">
        <v>4883</v>
      </c>
      <c r="W2326" t="s">
        <v>4884</v>
      </c>
      <c r="X2326" t="b">
        <v>0</v>
      </c>
      <c r="Y2326" t="b">
        <v>0</v>
      </c>
    </row>
    <row r="2327" spans="1:25">
      <c r="A2327">
        <v>1000420</v>
      </c>
      <c r="B2327" t="s">
        <v>4061</v>
      </c>
      <c r="C2327" t="s">
        <v>4885</v>
      </c>
      <c r="D2327" t="s">
        <v>1292</v>
      </c>
      <c r="E2327">
        <v>1000420</v>
      </c>
      <c r="F2327" t="s">
        <v>1292</v>
      </c>
      <c r="G2327">
        <v>0</v>
      </c>
      <c r="H2327" t="s">
        <v>1292</v>
      </c>
      <c r="I2327">
        <v>0</v>
      </c>
      <c r="J2327" t="s">
        <v>1292</v>
      </c>
      <c r="K2327">
        <v>0</v>
      </c>
      <c r="L2327" t="s">
        <v>1292</v>
      </c>
      <c r="M2327">
        <v>0</v>
      </c>
      <c r="N2327" t="s">
        <v>1292</v>
      </c>
      <c r="O2327">
        <v>0</v>
      </c>
      <c r="P2327" t="s">
        <v>2036</v>
      </c>
      <c r="Q2327" s="1">
        <v>1570</v>
      </c>
      <c r="R2327">
        <v>14.3</v>
      </c>
      <c r="S2327" s="2">
        <v>0</v>
      </c>
      <c r="T2327" s="3">
        <v>1.7493055555555554</v>
      </c>
      <c r="U2327" t="s">
        <v>1292</v>
      </c>
      <c r="V2327" t="s">
        <v>4885</v>
      </c>
      <c r="W2327" t="s">
        <v>4886</v>
      </c>
      <c r="X2327" t="b">
        <v>0</v>
      </c>
      <c r="Y2327" t="b">
        <v>0</v>
      </c>
    </row>
    <row r="2328" spans="1:25">
      <c r="A2328">
        <v>1000421</v>
      </c>
      <c r="B2328" t="s">
        <v>4061</v>
      </c>
      <c r="C2328" t="s">
        <v>4887</v>
      </c>
      <c r="D2328" t="s">
        <v>1292</v>
      </c>
      <c r="E2328">
        <v>1000421</v>
      </c>
      <c r="F2328" t="s">
        <v>1292</v>
      </c>
      <c r="G2328">
        <v>0</v>
      </c>
      <c r="H2328" t="s">
        <v>1292</v>
      </c>
      <c r="I2328">
        <v>0</v>
      </c>
      <c r="J2328" t="s">
        <v>1292</v>
      </c>
      <c r="K2328">
        <v>0</v>
      </c>
      <c r="L2328" t="s">
        <v>1292</v>
      </c>
      <c r="M2328">
        <v>0</v>
      </c>
      <c r="N2328" t="s">
        <v>1292</v>
      </c>
      <c r="O2328">
        <v>0</v>
      </c>
      <c r="P2328" t="s">
        <v>125</v>
      </c>
      <c r="Q2328" s="1">
        <v>9154</v>
      </c>
      <c r="R2328">
        <v>20.2</v>
      </c>
      <c r="S2328" s="2">
        <v>0.17</v>
      </c>
      <c r="T2328" s="3">
        <v>2.1180555555555554</v>
      </c>
      <c r="U2328" s="2">
        <v>0.35</v>
      </c>
      <c r="V2328" t="s">
        <v>4887</v>
      </c>
      <c r="W2328" t="s">
        <v>4888</v>
      </c>
      <c r="X2328" t="b">
        <v>0</v>
      </c>
      <c r="Y2328" t="b">
        <v>0</v>
      </c>
    </row>
    <row r="2329" spans="1:25">
      <c r="A2329">
        <v>1000422</v>
      </c>
      <c r="B2329" t="s">
        <v>4061</v>
      </c>
      <c r="C2329" t="s">
        <v>4889</v>
      </c>
      <c r="D2329" t="s">
        <v>1292</v>
      </c>
      <c r="E2329">
        <v>1000422</v>
      </c>
      <c r="F2329" t="s">
        <v>1292</v>
      </c>
      <c r="G2329">
        <v>0</v>
      </c>
      <c r="H2329" t="s">
        <v>1292</v>
      </c>
      <c r="I2329">
        <v>0</v>
      </c>
      <c r="J2329" t="s">
        <v>1292</v>
      </c>
      <c r="K2329">
        <v>0</v>
      </c>
      <c r="L2329" t="s">
        <v>1292</v>
      </c>
      <c r="M2329">
        <v>0</v>
      </c>
      <c r="N2329" t="s">
        <v>1292</v>
      </c>
      <c r="O2329">
        <v>0</v>
      </c>
      <c r="P2329" t="s">
        <v>26</v>
      </c>
      <c r="Q2329" s="1">
        <v>4640</v>
      </c>
      <c r="R2329">
        <v>17.2</v>
      </c>
      <c r="S2329" s="2">
        <v>0.14000000000000001</v>
      </c>
      <c r="T2329" s="3">
        <v>2.6916666666666669</v>
      </c>
      <c r="U2329" s="2">
        <v>0.18</v>
      </c>
      <c r="V2329" t="s">
        <v>4889</v>
      </c>
      <c r="W2329" t="s">
        <v>4890</v>
      </c>
      <c r="X2329" t="b">
        <v>0</v>
      </c>
      <c r="Y2329" t="b">
        <v>0</v>
      </c>
    </row>
    <row r="2330" spans="1:25">
      <c r="A2330">
        <v>1000423</v>
      </c>
      <c r="B2330" t="s">
        <v>4061</v>
      </c>
      <c r="C2330" t="s">
        <v>4891</v>
      </c>
      <c r="D2330" t="s">
        <v>1292</v>
      </c>
      <c r="E2330">
        <v>1000423</v>
      </c>
      <c r="F2330" t="s">
        <v>1292</v>
      </c>
      <c r="G2330">
        <v>0</v>
      </c>
      <c r="H2330" t="s">
        <v>1292</v>
      </c>
      <c r="I2330">
        <v>0</v>
      </c>
      <c r="J2330" t="s">
        <v>1292</v>
      </c>
      <c r="K2330">
        <v>0</v>
      </c>
      <c r="L2330" t="s">
        <v>1292</v>
      </c>
      <c r="M2330">
        <v>0</v>
      </c>
      <c r="N2330" t="s">
        <v>1292</v>
      </c>
      <c r="O2330">
        <v>0</v>
      </c>
      <c r="P2330" t="s">
        <v>26</v>
      </c>
      <c r="Q2330">
        <v>925</v>
      </c>
      <c r="R2330">
        <v>18.5</v>
      </c>
      <c r="S2330" s="2">
        <v>0.22</v>
      </c>
      <c r="T2330" s="3">
        <v>2.4458333333333333</v>
      </c>
      <c r="U2330" s="2">
        <v>0</v>
      </c>
      <c r="V2330" t="s">
        <v>4891</v>
      </c>
      <c r="W2330" t="s">
        <v>4892</v>
      </c>
      <c r="X2330" t="b">
        <v>0</v>
      </c>
      <c r="Y2330" t="b">
        <v>0</v>
      </c>
    </row>
    <row r="2331" spans="1:25">
      <c r="A2331">
        <v>1000424</v>
      </c>
      <c r="B2331" t="s">
        <v>4061</v>
      </c>
      <c r="C2331" t="s">
        <v>4893</v>
      </c>
      <c r="D2331" t="s">
        <v>1292</v>
      </c>
      <c r="E2331">
        <v>1000424</v>
      </c>
      <c r="F2331" t="s">
        <v>1292</v>
      </c>
      <c r="G2331">
        <v>0</v>
      </c>
      <c r="H2331" t="s">
        <v>1292</v>
      </c>
      <c r="I2331">
        <v>0</v>
      </c>
      <c r="J2331" t="s">
        <v>1292</v>
      </c>
      <c r="K2331">
        <v>0</v>
      </c>
      <c r="L2331" t="s">
        <v>1292</v>
      </c>
      <c r="M2331">
        <v>0</v>
      </c>
      <c r="N2331" t="s">
        <v>1292</v>
      </c>
      <c r="O2331">
        <v>0</v>
      </c>
      <c r="P2331" t="s">
        <v>26</v>
      </c>
      <c r="Q2331">
        <v>200</v>
      </c>
      <c r="R2331">
        <v>2.1</v>
      </c>
      <c r="S2331" s="2">
        <v>0.28000000000000003</v>
      </c>
      <c r="T2331" s="3">
        <v>2.9784722222222224</v>
      </c>
      <c r="U2331" s="2">
        <v>7.0000000000000007E-2</v>
      </c>
      <c r="V2331" t="s">
        <v>4893</v>
      </c>
      <c r="W2331" t="s">
        <v>4894</v>
      </c>
      <c r="X2331" t="b">
        <v>0</v>
      </c>
      <c r="Y2331" t="b">
        <v>0</v>
      </c>
    </row>
    <row r="2332" spans="1:25">
      <c r="A2332">
        <v>1000425</v>
      </c>
      <c r="B2332" t="s">
        <v>4061</v>
      </c>
      <c r="C2332" t="s">
        <v>4895</v>
      </c>
      <c r="D2332" t="s">
        <v>1292</v>
      </c>
      <c r="E2332">
        <v>1000425</v>
      </c>
      <c r="F2332" t="s">
        <v>1292</v>
      </c>
      <c r="G2332">
        <v>0</v>
      </c>
      <c r="H2332" t="s">
        <v>1292</v>
      </c>
      <c r="I2332">
        <v>0</v>
      </c>
      <c r="J2332" t="s">
        <v>1292</v>
      </c>
      <c r="K2332">
        <v>0</v>
      </c>
      <c r="L2332" t="s">
        <v>1292</v>
      </c>
      <c r="M2332">
        <v>0</v>
      </c>
      <c r="N2332" t="s">
        <v>1292</v>
      </c>
      <c r="O2332">
        <v>0</v>
      </c>
      <c r="P2332" t="s">
        <v>528</v>
      </c>
      <c r="Q2332" s="1">
        <v>2193</v>
      </c>
      <c r="R2332">
        <v>19.100000000000001</v>
      </c>
      <c r="S2332" s="2">
        <v>0</v>
      </c>
      <c r="T2332">
        <v>0.68402777777777779</v>
      </c>
      <c r="U2332" s="2">
        <v>0.46</v>
      </c>
      <c r="V2332" t="s">
        <v>4895</v>
      </c>
      <c r="W2332" t="s">
        <v>4896</v>
      </c>
      <c r="X2332" t="b">
        <v>0</v>
      </c>
      <c r="Y2332" t="b">
        <v>0</v>
      </c>
    </row>
    <row r="2333" spans="1:25">
      <c r="A2333">
        <v>1000426</v>
      </c>
      <c r="B2333" t="s">
        <v>4061</v>
      </c>
      <c r="C2333" t="s">
        <v>4897</v>
      </c>
      <c r="D2333" t="s">
        <v>1292</v>
      </c>
      <c r="E2333">
        <v>1000426</v>
      </c>
      <c r="F2333" t="s">
        <v>1292</v>
      </c>
      <c r="G2333">
        <v>0</v>
      </c>
      <c r="H2333" t="s">
        <v>1292</v>
      </c>
      <c r="I2333">
        <v>0</v>
      </c>
      <c r="J2333" t="s">
        <v>1292</v>
      </c>
      <c r="K2333">
        <v>0</v>
      </c>
      <c r="L2333" t="s">
        <v>1292</v>
      </c>
      <c r="M2333">
        <v>0</v>
      </c>
      <c r="N2333" t="s">
        <v>1292</v>
      </c>
      <c r="O2333">
        <v>0</v>
      </c>
      <c r="P2333" t="s">
        <v>26</v>
      </c>
      <c r="Q2333">
        <v>270</v>
      </c>
      <c r="R2333">
        <v>6.8</v>
      </c>
      <c r="S2333" s="2">
        <v>0.4</v>
      </c>
      <c r="T2333" s="3">
        <v>2.3229166666666665</v>
      </c>
      <c r="U2333" s="2">
        <v>0.67</v>
      </c>
      <c r="V2333" t="s">
        <v>4897</v>
      </c>
      <c r="W2333" t="s">
        <v>4415</v>
      </c>
      <c r="X2333" t="b">
        <v>0</v>
      </c>
      <c r="Y2333" t="b">
        <v>0</v>
      </c>
    </row>
    <row r="2334" spans="1:25">
      <c r="A2334">
        <v>1000427</v>
      </c>
      <c r="B2334" t="s">
        <v>4061</v>
      </c>
      <c r="C2334" t="s">
        <v>4898</v>
      </c>
      <c r="D2334" t="s">
        <v>1292</v>
      </c>
      <c r="E2334">
        <v>1000427</v>
      </c>
      <c r="F2334" t="s">
        <v>1292</v>
      </c>
      <c r="G2334">
        <v>0</v>
      </c>
      <c r="H2334" t="s">
        <v>1292</v>
      </c>
      <c r="I2334">
        <v>0</v>
      </c>
      <c r="J2334" t="s">
        <v>1292</v>
      </c>
      <c r="K2334">
        <v>0</v>
      </c>
      <c r="L2334" t="s">
        <v>1292</v>
      </c>
      <c r="M2334">
        <v>0</v>
      </c>
      <c r="N2334" t="s">
        <v>1292</v>
      </c>
      <c r="O2334">
        <v>0</v>
      </c>
      <c r="P2334" t="s">
        <v>26</v>
      </c>
      <c r="Q2334" s="1">
        <v>2125</v>
      </c>
      <c r="R2334">
        <v>20.2</v>
      </c>
      <c r="S2334" s="2">
        <v>0.91</v>
      </c>
      <c r="T2334" t="s">
        <v>40</v>
      </c>
      <c r="U2334" s="2">
        <v>0.16</v>
      </c>
      <c r="V2334" t="s">
        <v>4898</v>
      </c>
      <c r="W2334" t="s">
        <v>4899</v>
      </c>
      <c r="X2334" t="b">
        <v>0</v>
      </c>
      <c r="Y2334" t="b">
        <v>0</v>
      </c>
    </row>
    <row r="2335" spans="1:25">
      <c r="A2335">
        <v>1000428</v>
      </c>
      <c r="B2335" t="s">
        <v>4061</v>
      </c>
      <c r="C2335" t="s">
        <v>4900</v>
      </c>
      <c r="D2335" t="s">
        <v>1292</v>
      </c>
      <c r="E2335">
        <v>1000428</v>
      </c>
      <c r="F2335" t="s">
        <v>1292</v>
      </c>
      <c r="G2335">
        <v>0</v>
      </c>
      <c r="H2335" t="s">
        <v>1292</v>
      </c>
      <c r="I2335">
        <v>0</v>
      </c>
      <c r="J2335" t="s">
        <v>1292</v>
      </c>
      <c r="K2335">
        <v>0</v>
      </c>
      <c r="L2335" t="s">
        <v>1292</v>
      </c>
      <c r="M2335">
        <v>0</v>
      </c>
      <c r="N2335" t="s">
        <v>1292</v>
      </c>
      <c r="O2335">
        <v>0</v>
      </c>
      <c r="P2335" t="s">
        <v>26</v>
      </c>
      <c r="Q2335">
        <v>870</v>
      </c>
      <c r="R2335">
        <v>1.7</v>
      </c>
      <c r="S2335" s="2">
        <v>0.56999999999999995</v>
      </c>
      <c r="T2335" s="3">
        <v>3.0194444444444444</v>
      </c>
      <c r="U2335" s="2">
        <v>0.06</v>
      </c>
      <c r="V2335" t="s">
        <v>4900</v>
      </c>
      <c r="W2335" t="s">
        <v>4901</v>
      </c>
      <c r="X2335" t="b">
        <v>0</v>
      </c>
      <c r="Y2335" t="b">
        <v>0</v>
      </c>
    </row>
    <row r="2336" spans="1:25">
      <c r="A2336">
        <v>1000429</v>
      </c>
      <c r="B2336" t="s">
        <v>4061</v>
      </c>
      <c r="C2336" t="s">
        <v>4902</v>
      </c>
      <c r="D2336" t="s">
        <v>1292</v>
      </c>
      <c r="E2336">
        <v>1000429</v>
      </c>
      <c r="F2336" t="s">
        <v>1292</v>
      </c>
      <c r="G2336">
        <v>0</v>
      </c>
      <c r="H2336" t="s">
        <v>1292</v>
      </c>
      <c r="I2336">
        <v>0</v>
      </c>
      <c r="J2336" t="s">
        <v>1292</v>
      </c>
      <c r="K2336">
        <v>0</v>
      </c>
      <c r="L2336" t="s">
        <v>1292</v>
      </c>
      <c r="M2336">
        <v>0</v>
      </c>
      <c r="N2336" t="s">
        <v>1292</v>
      </c>
      <c r="O2336">
        <v>0</v>
      </c>
      <c r="P2336" t="s">
        <v>26</v>
      </c>
      <c r="Q2336" s="1">
        <v>10065</v>
      </c>
      <c r="R2336">
        <v>25.5</v>
      </c>
      <c r="S2336" s="2">
        <v>0.5</v>
      </c>
      <c r="T2336" s="3">
        <v>2.7326388888888888</v>
      </c>
      <c r="U2336" s="2">
        <v>0.21</v>
      </c>
      <c r="V2336" t="s">
        <v>4902</v>
      </c>
      <c r="W2336" t="s">
        <v>4903</v>
      </c>
      <c r="X2336" t="b">
        <v>0</v>
      </c>
      <c r="Y2336" t="b">
        <v>0</v>
      </c>
    </row>
    <row r="2337" spans="1:25">
      <c r="A2337">
        <v>1000430</v>
      </c>
      <c r="B2337" t="s">
        <v>4061</v>
      </c>
      <c r="C2337" t="s">
        <v>4904</v>
      </c>
      <c r="D2337" t="s">
        <v>1292</v>
      </c>
      <c r="E2337">
        <v>1000430</v>
      </c>
      <c r="F2337" t="s">
        <v>1292</v>
      </c>
      <c r="G2337">
        <v>0</v>
      </c>
      <c r="H2337" t="s">
        <v>1292</v>
      </c>
      <c r="I2337">
        <v>0</v>
      </c>
      <c r="J2337" t="s">
        <v>1292</v>
      </c>
      <c r="K2337">
        <v>0</v>
      </c>
      <c r="L2337" t="s">
        <v>1292</v>
      </c>
      <c r="M2337">
        <v>0</v>
      </c>
      <c r="N2337" t="s">
        <v>1292</v>
      </c>
      <c r="O2337">
        <v>0</v>
      </c>
      <c r="P2337" t="s">
        <v>1123</v>
      </c>
      <c r="Q2337" s="1">
        <v>2180</v>
      </c>
      <c r="R2337">
        <v>12.3</v>
      </c>
      <c r="S2337" s="2">
        <v>0</v>
      </c>
      <c r="U2337" s="2">
        <v>0.44</v>
      </c>
      <c r="V2337" t="s">
        <v>4904</v>
      </c>
      <c r="W2337" t="s">
        <v>4905</v>
      </c>
      <c r="X2337" t="b">
        <v>0</v>
      </c>
      <c r="Y2337" t="b">
        <v>0</v>
      </c>
    </row>
    <row r="2338" spans="1:25">
      <c r="A2338">
        <v>1000431</v>
      </c>
      <c r="B2338" t="s">
        <v>4061</v>
      </c>
      <c r="C2338" t="s">
        <v>4906</v>
      </c>
      <c r="D2338" t="s">
        <v>1292</v>
      </c>
      <c r="E2338">
        <v>1000431</v>
      </c>
      <c r="F2338" t="s">
        <v>1292</v>
      </c>
      <c r="G2338">
        <v>0</v>
      </c>
      <c r="H2338" t="s">
        <v>1292</v>
      </c>
      <c r="I2338">
        <v>0</v>
      </c>
      <c r="J2338" t="s">
        <v>1292</v>
      </c>
      <c r="K2338">
        <v>0</v>
      </c>
      <c r="L2338" t="s">
        <v>1292</v>
      </c>
      <c r="M2338">
        <v>0</v>
      </c>
      <c r="N2338" t="s">
        <v>1292</v>
      </c>
      <c r="O2338">
        <v>0</v>
      </c>
      <c r="P2338" t="s">
        <v>1093</v>
      </c>
      <c r="Q2338" s="1">
        <v>4235</v>
      </c>
      <c r="R2338">
        <v>15.6</v>
      </c>
      <c r="S2338" s="2">
        <v>0.01</v>
      </c>
      <c r="T2338" s="3">
        <v>2.6097222222222221</v>
      </c>
      <c r="U2338" s="2">
        <v>0.23</v>
      </c>
      <c r="V2338" t="s">
        <v>4906</v>
      </c>
      <c r="W2338" t="s">
        <v>4907</v>
      </c>
      <c r="X2338" t="b">
        <v>0</v>
      </c>
      <c r="Y2338" t="b">
        <v>0</v>
      </c>
    </row>
    <row r="2339" spans="1:25">
      <c r="A2339">
        <v>1000432</v>
      </c>
      <c r="B2339" t="s">
        <v>4061</v>
      </c>
      <c r="C2339" t="s">
        <v>4908</v>
      </c>
      <c r="D2339" t="s">
        <v>1292</v>
      </c>
      <c r="E2339">
        <v>1000432</v>
      </c>
      <c r="F2339" t="s">
        <v>1292</v>
      </c>
      <c r="G2339">
        <v>0</v>
      </c>
      <c r="H2339" t="s">
        <v>1292</v>
      </c>
      <c r="I2339">
        <v>0</v>
      </c>
      <c r="J2339" t="s">
        <v>1292</v>
      </c>
      <c r="K2339">
        <v>0</v>
      </c>
      <c r="L2339" t="s">
        <v>1292</v>
      </c>
      <c r="M2339">
        <v>0</v>
      </c>
      <c r="N2339" t="s">
        <v>1292</v>
      </c>
      <c r="O2339">
        <v>0</v>
      </c>
      <c r="P2339" t="s">
        <v>1820</v>
      </c>
      <c r="Q2339" s="1">
        <v>15306</v>
      </c>
      <c r="R2339">
        <v>31.8</v>
      </c>
      <c r="S2339" s="2">
        <v>0</v>
      </c>
      <c r="T2339" s="3">
        <v>2.0770833333333334</v>
      </c>
      <c r="U2339" s="2">
        <v>0.21</v>
      </c>
      <c r="V2339" t="s">
        <v>4908</v>
      </c>
      <c r="W2339" t="s">
        <v>4909</v>
      </c>
      <c r="X2339" t="b">
        <v>0</v>
      </c>
      <c r="Y2339" t="b">
        <v>0</v>
      </c>
    </row>
    <row r="2340" spans="1:25">
      <c r="A2340">
        <v>1000433</v>
      </c>
      <c r="B2340" t="s">
        <v>4061</v>
      </c>
      <c r="C2340" t="s">
        <v>4910</v>
      </c>
      <c r="D2340" t="s">
        <v>1292</v>
      </c>
      <c r="E2340">
        <v>1000433</v>
      </c>
      <c r="F2340" t="s">
        <v>1292</v>
      </c>
      <c r="G2340">
        <v>0</v>
      </c>
      <c r="H2340" t="s">
        <v>1292</v>
      </c>
      <c r="I2340">
        <v>0</v>
      </c>
      <c r="J2340" t="s">
        <v>1292</v>
      </c>
      <c r="K2340">
        <v>0</v>
      </c>
      <c r="L2340" t="s">
        <v>1292</v>
      </c>
      <c r="M2340">
        <v>0</v>
      </c>
      <c r="N2340" t="s">
        <v>1292</v>
      </c>
      <c r="O2340">
        <v>0</v>
      </c>
      <c r="P2340" t="s">
        <v>2290</v>
      </c>
      <c r="Q2340" s="1">
        <v>3566</v>
      </c>
      <c r="R2340">
        <v>19.5</v>
      </c>
      <c r="S2340" s="2">
        <v>0</v>
      </c>
      <c r="T2340" s="3">
        <v>1.9951388888888888</v>
      </c>
      <c r="U2340" t="s">
        <v>1292</v>
      </c>
      <c r="V2340" t="s">
        <v>4910</v>
      </c>
      <c r="W2340" t="s">
        <v>4911</v>
      </c>
      <c r="X2340" t="b">
        <v>0</v>
      </c>
      <c r="Y2340" t="b">
        <v>0</v>
      </c>
    </row>
    <row r="2341" spans="1:25">
      <c r="A2341">
        <v>1000434</v>
      </c>
      <c r="B2341" t="s">
        <v>4061</v>
      </c>
      <c r="C2341" t="s">
        <v>4912</v>
      </c>
      <c r="D2341" t="s">
        <v>1292</v>
      </c>
      <c r="E2341">
        <v>1000434</v>
      </c>
      <c r="F2341" t="s">
        <v>1292</v>
      </c>
      <c r="G2341">
        <v>0</v>
      </c>
      <c r="H2341" t="s">
        <v>1292</v>
      </c>
      <c r="I2341">
        <v>0</v>
      </c>
      <c r="J2341" t="s">
        <v>1292</v>
      </c>
      <c r="K2341">
        <v>0</v>
      </c>
      <c r="L2341" t="s">
        <v>1292</v>
      </c>
      <c r="M2341">
        <v>0</v>
      </c>
      <c r="N2341" t="s">
        <v>1292</v>
      </c>
      <c r="O2341">
        <v>0</v>
      </c>
      <c r="P2341" t="s">
        <v>528</v>
      </c>
      <c r="Q2341" s="1">
        <v>5511</v>
      </c>
      <c r="R2341">
        <v>38.799999999999997</v>
      </c>
      <c r="S2341" s="2">
        <v>0</v>
      </c>
      <c r="T2341">
        <v>0.80694444444444446</v>
      </c>
      <c r="U2341" s="2">
        <v>0.3</v>
      </c>
      <c r="V2341" t="s">
        <v>4912</v>
      </c>
      <c r="W2341" t="s">
        <v>4913</v>
      </c>
      <c r="X2341" t="b">
        <v>0</v>
      </c>
      <c r="Y2341" t="b">
        <v>0</v>
      </c>
    </row>
    <row r="2342" spans="1:25">
      <c r="A2342">
        <v>1000435</v>
      </c>
      <c r="B2342" t="s">
        <v>4061</v>
      </c>
      <c r="C2342" t="s">
        <v>4914</v>
      </c>
      <c r="D2342" t="s">
        <v>1292</v>
      </c>
      <c r="E2342">
        <v>1000435</v>
      </c>
      <c r="F2342" t="s">
        <v>1292</v>
      </c>
      <c r="G2342">
        <v>0</v>
      </c>
      <c r="H2342" t="s">
        <v>1292</v>
      </c>
      <c r="I2342">
        <v>0</v>
      </c>
      <c r="J2342" t="s">
        <v>1292</v>
      </c>
      <c r="K2342">
        <v>0</v>
      </c>
      <c r="L2342" t="s">
        <v>1292</v>
      </c>
      <c r="M2342">
        <v>0</v>
      </c>
      <c r="N2342" t="s">
        <v>1292</v>
      </c>
      <c r="O2342">
        <v>0</v>
      </c>
      <c r="P2342" t="s">
        <v>4915</v>
      </c>
      <c r="Q2342" s="1">
        <v>2724</v>
      </c>
      <c r="R2342">
        <v>12.4</v>
      </c>
      <c r="S2342" s="2">
        <v>0</v>
      </c>
      <c r="T2342">
        <v>0.68402777777777779</v>
      </c>
      <c r="U2342" s="2">
        <v>0.26</v>
      </c>
      <c r="V2342" t="s">
        <v>4914</v>
      </c>
      <c r="W2342" t="s">
        <v>4916</v>
      </c>
      <c r="X2342" t="b">
        <v>0</v>
      </c>
      <c r="Y2342" t="b">
        <v>0</v>
      </c>
    </row>
    <row r="2343" spans="1:25">
      <c r="A2343">
        <v>1000436</v>
      </c>
      <c r="B2343" t="s">
        <v>4061</v>
      </c>
      <c r="C2343" t="s">
        <v>4917</v>
      </c>
      <c r="D2343" t="s">
        <v>1292</v>
      </c>
      <c r="E2343">
        <v>1000436</v>
      </c>
      <c r="F2343" t="s">
        <v>1292</v>
      </c>
      <c r="G2343">
        <v>0</v>
      </c>
      <c r="H2343" t="s">
        <v>1292</v>
      </c>
      <c r="I2343">
        <v>0</v>
      </c>
      <c r="J2343" t="s">
        <v>1292</v>
      </c>
      <c r="K2343">
        <v>0</v>
      </c>
      <c r="L2343" t="s">
        <v>1292</v>
      </c>
      <c r="M2343">
        <v>0</v>
      </c>
      <c r="N2343" t="s">
        <v>1292</v>
      </c>
      <c r="O2343">
        <v>0</v>
      </c>
      <c r="P2343" t="s">
        <v>528</v>
      </c>
      <c r="Q2343">
        <v>966</v>
      </c>
      <c r="R2343">
        <v>12.5</v>
      </c>
      <c r="S2343" s="2">
        <v>0</v>
      </c>
      <c r="T2343" t="s">
        <v>1062</v>
      </c>
      <c r="U2343" s="2">
        <v>0.28999999999999998</v>
      </c>
      <c r="V2343" t="s">
        <v>4917</v>
      </c>
      <c r="W2343" t="s">
        <v>4645</v>
      </c>
      <c r="X2343" t="b">
        <v>0</v>
      </c>
      <c r="Y2343" t="b">
        <v>0</v>
      </c>
    </row>
    <row r="2344" spans="1:25">
      <c r="A2344">
        <v>1000437</v>
      </c>
      <c r="B2344" t="s">
        <v>4061</v>
      </c>
      <c r="C2344" t="s">
        <v>4918</v>
      </c>
      <c r="D2344" t="s">
        <v>1292</v>
      </c>
      <c r="E2344">
        <v>1000437</v>
      </c>
      <c r="F2344" t="s">
        <v>1292</v>
      </c>
      <c r="G2344">
        <v>0</v>
      </c>
      <c r="H2344" t="s">
        <v>1292</v>
      </c>
      <c r="I2344">
        <v>0</v>
      </c>
      <c r="J2344" t="s">
        <v>1292</v>
      </c>
      <c r="K2344">
        <v>0</v>
      </c>
      <c r="L2344" t="s">
        <v>1292</v>
      </c>
      <c r="M2344">
        <v>0</v>
      </c>
      <c r="N2344" t="s">
        <v>1292</v>
      </c>
      <c r="O2344">
        <v>0</v>
      </c>
      <c r="P2344" t="s">
        <v>664</v>
      </c>
      <c r="Q2344" s="1">
        <v>4374</v>
      </c>
      <c r="R2344">
        <v>9</v>
      </c>
      <c r="S2344" s="2">
        <v>0.3</v>
      </c>
      <c r="T2344" s="3">
        <v>2.5277777777777777</v>
      </c>
      <c r="U2344" s="2">
        <v>0.28000000000000003</v>
      </c>
      <c r="V2344" t="s">
        <v>4918</v>
      </c>
      <c r="W2344" t="s">
        <v>4919</v>
      </c>
      <c r="X2344" t="b">
        <v>0</v>
      </c>
      <c r="Y2344" t="b">
        <v>0</v>
      </c>
    </row>
    <row r="2345" spans="1:25">
      <c r="A2345">
        <v>1000438</v>
      </c>
      <c r="B2345" t="s">
        <v>4061</v>
      </c>
      <c r="C2345" t="s">
        <v>4920</v>
      </c>
      <c r="D2345" t="s">
        <v>1292</v>
      </c>
      <c r="E2345">
        <v>1000438</v>
      </c>
      <c r="F2345" t="s">
        <v>1292</v>
      </c>
      <c r="G2345">
        <v>0</v>
      </c>
      <c r="H2345" t="s">
        <v>1292</v>
      </c>
      <c r="I2345">
        <v>0</v>
      </c>
      <c r="J2345" t="s">
        <v>1292</v>
      </c>
      <c r="K2345">
        <v>0</v>
      </c>
      <c r="L2345" t="s">
        <v>1292</v>
      </c>
      <c r="M2345">
        <v>0</v>
      </c>
      <c r="N2345" t="s">
        <v>1292</v>
      </c>
      <c r="O2345">
        <v>0</v>
      </c>
      <c r="P2345" t="s">
        <v>1820</v>
      </c>
      <c r="Q2345" s="1">
        <v>14790</v>
      </c>
      <c r="R2345">
        <v>30.6</v>
      </c>
      <c r="S2345" s="2">
        <v>0</v>
      </c>
      <c r="T2345" s="3">
        <v>1.83125</v>
      </c>
      <c r="U2345" s="2">
        <v>0.4</v>
      </c>
      <c r="V2345" t="s">
        <v>4920</v>
      </c>
      <c r="W2345" t="s">
        <v>4921</v>
      </c>
      <c r="X2345" t="b">
        <v>0</v>
      </c>
      <c r="Y2345" t="b">
        <v>0</v>
      </c>
    </row>
    <row r="2346" spans="1:25">
      <c r="A2346">
        <v>1000439</v>
      </c>
      <c r="B2346" t="s">
        <v>4061</v>
      </c>
      <c r="C2346" t="s">
        <v>4922</v>
      </c>
      <c r="D2346" t="s">
        <v>1292</v>
      </c>
      <c r="E2346">
        <v>1000439</v>
      </c>
      <c r="F2346" t="s">
        <v>1292</v>
      </c>
      <c r="G2346">
        <v>0</v>
      </c>
      <c r="H2346" t="s">
        <v>1292</v>
      </c>
      <c r="I2346">
        <v>0</v>
      </c>
      <c r="J2346" t="s">
        <v>1292</v>
      </c>
      <c r="K2346">
        <v>0</v>
      </c>
      <c r="L2346" t="s">
        <v>1292</v>
      </c>
      <c r="M2346">
        <v>0</v>
      </c>
      <c r="N2346" t="s">
        <v>1292</v>
      </c>
      <c r="O2346">
        <v>0</v>
      </c>
      <c r="P2346" t="s">
        <v>2229</v>
      </c>
      <c r="Q2346" s="1">
        <v>9427</v>
      </c>
      <c r="R2346">
        <v>32.299999999999997</v>
      </c>
      <c r="S2346" s="2">
        <v>0.01</v>
      </c>
      <c r="T2346" t="s">
        <v>40</v>
      </c>
      <c r="U2346" s="2">
        <v>0.45</v>
      </c>
      <c r="V2346" t="s">
        <v>4922</v>
      </c>
      <c r="W2346" t="s">
        <v>4923</v>
      </c>
      <c r="X2346" t="b">
        <v>0</v>
      </c>
      <c r="Y2346" t="b">
        <v>0</v>
      </c>
    </row>
    <row r="2347" spans="1:25">
      <c r="A2347">
        <v>1000440</v>
      </c>
      <c r="B2347" t="s">
        <v>4061</v>
      </c>
      <c r="C2347" t="s">
        <v>4924</v>
      </c>
      <c r="D2347" t="s">
        <v>1292</v>
      </c>
      <c r="E2347">
        <v>1000440</v>
      </c>
      <c r="F2347" t="s">
        <v>1292</v>
      </c>
      <c r="G2347">
        <v>0</v>
      </c>
      <c r="H2347" t="s">
        <v>1292</v>
      </c>
      <c r="I2347">
        <v>0</v>
      </c>
      <c r="J2347" t="s">
        <v>1292</v>
      </c>
      <c r="K2347">
        <v>0</v>
      </c>
      <c r="L2347" t="s">
        <v>1292</v>
      </c>
      <c r="M2347">
        <v>0</v>
      </c>
      <c r="N2347" t="s">
        <v>1292</v>
      </c>
      <c r="O2347">
        <v>0</v>
      </c>
      <c r="P2347" t="s">
        <v>1306</v>
      </c>
      <c r="Q2347" s="1">
        <v>5733</v>
      </c>
      <c r="R2347">
        <v>22.8</v>
      </c>
      <c r="S2347" s="2">
        <v>0.02</v>
      </c>
      <c r="T2347" s="3">
        <v>3.1423611111111112</v>
      </c>
      <c r="U2347" t="s">
        <v>1292</v>
      </c>
      <c r="V2347" t="s">
        <v>4924</v>
      </c>
      <c r="W2347" t="s">
        <v>4925</v>
      </c>
      <c r="X2347" t="b">
        <v>0</v>
      </c>
      <c r="Y2347" t="b">
        <v>0</v>
      </c>
    </row>
    <row r="2348" spans="1:25">
      <c r="A2348">
        <v>1000441</v>
      </c>
      <c r="B2348" t="s">
        <v>4061</v>
      </c>
      <c r="C2348" t="s">
        <v>4926</v>
      </c>
      <c r="D2348" t="s">
        <v>1292</v>
      </c>
      <c r="E2348">
        <v>1000441</v>
      </c>
      <c r="F2348" t="s">
        <v>1292</v>
      </c>
      <c r="G2348">
        <v>0</v>
      </c>
      <c r="H2348" t="s">
        <v>1292</v>
      </c>
      <c r="I2348">
        <v>0</v>
      </c>
      <c r="J2348" t="s">
        <v>1292</v>
      </c>
      <c r="K2348">
        <v>0</v>
      </c>
      <c r="L2348" t="s">
        <v>1292</v>
      </c>
      <c r="M2348">
        <v>0</v>
      </c>
      <c r="N2348" t="s">
        <v>1292</v>
      </c>
      <c r="O2348">
        <v>0</v>
      </c>
      <c r="P2348" t="s">
        <v>2229</v>
      </c>
      <c r="Q2348" s="1">
        <v>13240</v>
      </c>
      <c r="R2348">
        <v>24.8</v>
      </c>
      <c r="S2348" s="2">
        <v>0</v>
      </c>
      <c r="T2348" s="3">
        <v>2.4458333333333333</v>
      </c>
      <c r="U2348" s="2">
        <v>0.26</v>
      </c>
      <c r="V2348" t="s">
        <v>4926</v>
      </c>
      <c r="W2348" t="s">
        <v>4927</v>
      </c>
      <c r="X2348" t="b">
        <v>0</v>
      </c>
      <c r="Y2348" t="b">
        <v>0</v>
      </c>
    </row>
    <row r="2349" spans="1:25">
      <c r="A2349">
        <v>1000442</v>
      </c>
      <c r="B2349" t="s">
        <v>4061</v>
      </c>
      <c r="C2349" t="s">
        <v>4928</v>
      </c>
      <c r="D2349" t="s">
        <v>1292</v>
      </c>
      <c r="E2349">
        <v>1000442</v>
      </c>
      <c r="F2349" t="s">
        <v>1292</v>
      </c>
      <c r="G2349">
        <v>0</v>
      </c>
      <c r="H2349" t="s">
        <v>1292</v>
      </c>
      <c r="I2349">
        <v>0</v>
      </c>
      <c r="J2349" t="s">
        <v>1292</v>
      </c>
      <c r="K2349">
        <v>0</v>
      </c>
      <c r="L2349" t="s">
        <v>1292</v>
      </c>
      <c r="M2349">
        <v>0</v>
      </c>
      <c r="N2349" t="s">
        <v>1292</v>
      </c>
      <c r="O2349">
        <v>0</v>
      </c>
      <c r="P2349" t="s">
        <v>1543</v>
      </c>
      <c r="Q2349" s="1">
        <v>2484</v>
      </c>
      <c r="R2349">
        <v>24.2</v>
      </c>
      <c r="S2349" s="2">
        <v>0.13</v>
      </c>
      <c r="T2349" t="s">
        <v>796</v>
      </c>
      <c r="U2349" s="2">
        <v>0.56999999999999995</v>
      </c>
      <c r="V2349" t="s">
        <v>4928</v>
      </c>
      <c r="W2349" t="s">
        <v>4929</v>
      </c>
      <c r="X2349" t="b">
        <v>0</v>
      </c>
      <c r="Y2349" t="b">
        <v>0</v>
      </c>
    </row>
    <row r="2350" spans="1:25">
      <c r="A2350">
        <v>1000443</v>
      </c>
      <c r="B2350" t="s">
        <v>4061</v>
      </c>
      <c r="C2350" t="s">
        <v>4930</v>
      </c>
      <c r="D2350" t="s">
        <v>1292</v>
      </c>
      <c r="E2350">
        <v>1000443</v>
      </c>
      <c r="F2350" t="s">
        <v>1292</v>
      </c>
      <c r="G2350">
        <v>0</v>
      </c>
      <c r="H2350" t="s">
        <v>1292</v>
      </c>
      <c r="I2350">
        <v>0</v>
      </c>
      <c r="J2350" t="s">
        <v>1292</v>
      </c>
      <c r="K2350">
        <v>0</v>
      </c>
      <c r="L2350" t="s">
        <v>1292</v>
      </c>
      <c r="M2350">
        <v>0</v>
      </c>
      <c r="N2350" t="s">
        <v>1292</v>
      </c>
      <c r="O2350">
        <v>0</v>
      </c>
      <c r="P2350" t="s">
        <v>1955</v>
      </c>
      <c r="Q2350" s="1">
        <v>31378</v>
      </c>
      <c r="R2350">
        <v>24</v>
      </c>
      <c r="S2350" s="2">
        <v>0</v>
      </c>
      <c r="T2350" s="3">
        <v>2.5687500000000001</v>
      </c>
      <c r="U2350" s="2">
        <v>0.18</v>
      </c>
      <c r="V2350" t="s">
        <v>4930</v>
      </c>
      <c r="W2350" t="s">
        <v>4931</v>
      </c>
      <c r="X2350" t="b">
        <v>0</v>
      </c>
      <c r="Y2350" t="b">
        <v>0</v>
      </c>
    </row>
    <row r="2351" spans="1:25">
      <c r="A2351">
        <v>1000444</v>
      </c>
      <c r="B2351" t="s">
        <v>4061</v>
      </c>
      <c r="C2351" t="s">
        <v>4932</v>
      </c>
      <c r="D2351" t="s">
        <v>1292</v>
      </c>
      <c r="E2351">
        <v>1000444</v>
      </c>
      <c r="F2351" t="s">
        <v>1292</v>
      </c>
      <c r="G2351">
        <v>0</v>
      </c>
      <c r="H2351" t="s">
        <v>1292</v>
      </c>
      <c r="I2351">
        <v>0</v>
      </c>
      <c r="J2351" t="s">
        <v>1292</v>
      </c>
      <c r="K2351">
        <v>0</v>
      </c>
      <c r="L2351" t="s">
        <v>1292</v>
      </c>
      <c r="M2351">
        <v>0</v>
      </c>
      <c r="N2351" t="s">
        <v>1292</v>
      </c>
      <c r="O2351">
        <v>0</v>
      </c>
      <c r="P2351" t="s">
        <v>1306</v>
      </c>
      <c r="Q2351" s="1">
        <v>18760</v>
      </c>
      <c r="R2351">
        <v>6.3</v>
      </c>
      <c r="S2351" s="2">
        <v>0.12</v>
      </c>
      <c r="T2351" s="3">
        <v>2.2000000000000002</v>
      </c>
      <c r="U2351" s="2">
        <v>0.4</v>
      </c>
      <c r="V2351" t="s">
        <v>4932</v>
      </c>
      <c r="W2351" t="s">
        <v>4933</v>
      </c>
      <c r="X2351" t="b">
        <v>0</v>
      </c>
      <c r="Y2351" t="b">
        <v>0</v>
      </c>
    </row>
    <row r="2352" spans="1:25">
      <c r="A2352">
        <v>1000445</v>
      </c>
      <c r="B2352" t="s">
        <v>4061</v>
      </c>
      <c r="C2352" t="s">
        <v>4934</v>
      </c>
      <c r="D2352" t="s">
        <v>1292</v>
      </c>
      <c r="E2352">
        <v>1000445</v>
      </c>
      <c r="F2352" t="s">
        <v>1292</v>
      </c>
      <c r="G2352">
        <v>0</v>
      </c>
      <c r="H2352" t="s">
        <v>1292</v>
      </c>
      <c r="I2352">
        <v>0</v>
      </c>
      <c r="J2352" t="s">
        <v>1292</v>
      </c>
      <c r="K2352">
        <v>0</v>
      </c>
      <c r="L2352" t="s">
        <v>1292</v>
      </c>
      <c r="M2352">
        <v>0</v>
      </c>
      <c r="N2352" t="s">
        <v>1292</v>
      </c>
      <c r="O2352">
        <v>0</v>
      </c>
      <c r="P2352" t="s">
        <v>4935</v>
      </c>
      <c r="Q2352" s="1">
        <v>83711</v>
      </c>
      <c r="R2352">
        <v>182</v>
      </c>
      <c r="S2352" s="2">
        <v>0</v>
      </c>
      <c r="T2352" s="3">
        <v>2.2409722222222221</v>
      </c>
      <c r="U2352" s="2">
        <v>0.14000000000000001</v>
      </c>
      <c r="V2352" t="s">
        <v>4934</v>
      </c>
      <c r="W2352" t="s">
        <v>4936</v>
      </c>
      <c r="X2352" t="b">
        <v>0</v>
      </c>
      <c r="Y2352" t="b">
        <v>0</v>
      </c>
    </row>
    <row r="2353" spans="1:25">
      <c r="A2353">
        <v>1000446</v>
      </c>
      <c r="B2353" t="s">
        <v>4061</v>
      </c>
      <c r="C2353" t="s">
        <v>4937</v>
      </c>
      <c r="D2353" t="s">
        <v>1292</v>
      </c>
      <c r="E2353">
        <v>1000446</v>
      </c>
      <c r="F2353" t="s">
        <v>1292</v>
      </c>
      <c r="G2353">
        <v>0</v>
      </c>
      <c r="H2353" t="s">
        <v>1292</v>
      </c>
      <c r="I2353">
        <v>0</v>
      </c>
      <c r="J2353" t="s">
        <v>1292</v>
      </c>
      <c r="K2353">
        <v>0</v>
      </c>
      <c r="L2353" t="s">
        <v>1292</v>
      </c>
      <c r="M2353">
        <v>0</v>
      </c>
      <c r="N2353" t="s">
        <v>1292</v>
      </c>
      <c r="O2353">
        <v>0</v>
      </c>
      <c r="P2353" t="s">
        <v>2290</v>
      </c>
      <c r="Q2353" s="1">
        <v>22350</v>
      </c>
      <c r="R2353">
        <v>25.9</v>
      </c>
      <c r="S2353" s="2">
        <v>0</v>
      </c>
      <c r="T2353" s="3">
        <v>2.6097222222222221</v>
      </c>
      <c r="U2353" s="2">
        <v>0.45</v>
      </c>
      <c r="V2353" t="s">
        <v>4937</v>
      </c>
      <c r="W2353" t="s">
        <v>4938</v>
      </c>
      <c r="X2353" t="b">
        <v>0</v>
      </c>
      <c r="Y2353" t="b">
        <v>0</v>
      </c>
    </row>
    <row r="2354" spans="1:25">
      <c r="A2354">
        <v>1000447</v>
      </c>
      <c r="B2354" t="s">
        <v>4061</v>
      </c>
      <c r="C2354" t="s">
        <v>4939</v>
      </c>
      <c r="D2354" t="s">
        <v>1292</v>
      </c>
      <c r="E2354">
        <v>1000447</v>
      </c>
      <c r="F2354" t="s">
        <v>1292</v>
      </c>
      <c r="G2354">
        <v>0</v>
      </c>
      <c r="H2354" t="s">
        <v>1292</v>
      </c>
      <c r="I2354">
        <v>0</v>
      </c>
      <c r="J2354" t="s">
        <v>1292</v>
      </c>
      <c r="K2354">
        <v>0</v>
      </c>
      <c r="L2354" t="s">
        <v>1292</v>
      </c>
      <c r="M2354">
        <v>0</v>
      </c>
      <c r="N2354" t="s">
        <v>1292</v>
      </c>
      <c r="O2354">
        <v>0</v>
      </c>
      <c r="P2354" t="s">
        <v>1820</v>
      </c>
      <c r="Q2354" s="1">
        <v>9268</v>
      </c>
      <c r="R2354">
        <v>16.899999999999999</v>
      </c>
      <c r="S2354" s="2">
        <v>0.02</v>
      </c>
      <c r="T2354" s="3">
        <v>2.3229166666666665</v>
      </c>
      <c r="U2354" s="2">
        <v>0.38</v>
      </c>
      <c r="V2354" t="s">
        <v>4940</v>
      </c>
      <c r="W2354" t="s">
        <v>4941</v>
      </c>
      <c r="X2354" t="b">
        <v>0</v>
      </c>
      <c r="Y2354" t="b">
        <v>0</v>
      </c>
    </row>
    <row r="2355" spans="1:25">
      <c r="A2355">
        <v>1000448</v>
      </c>
      <c r="B2355" t="s">
        <v>4061</v>
      </c>
      <c r="C2355" t="s">
        <v>4942</v>
      </c>
      <c r="D2355" t="s">
        <v>1292</v>
      </c>
      <c r="E2355">
        <v>1000448</v>
      </c>
      <c r="F2355" t="s">
        <v>1292</v>
      </c>
      <c r="G2355">
        <v>0</v>
      </c>
      <c r="H2355" t="s">
        <v>1292</v>
      </c>
      <c r="I2355">
        <v>0</v>
      </c>
      <c r="J2355" t="s">
        <v>1292</v>
      </c>
      <c r="K2355">
        <v>0</v>
      </c>
      <c r="L2355" t="s">
        <v>1292</v>
      </c>
      <c r="M2355">
        <v>0</v>
      </c>
      <c r="N2355" t="s">
        <v>1292</v>
      </c>
      <c r="O2355">
        <v>0</v>
      </c>
      <c r="P2355" t="s">
        <v>99</v>
      </c>
      <c r="Q2355" s="1">
        <v>3362</v>
      </c>
      <c r="R2355">
        <v>8.3000000000000007</v>
      </c>
      <c r="S2355" s="2">
        <v>0.14000000000000001</v>
      </c>
      <c r="T2355" s="3">
        <v>2.8145833333333332</v>
      </c>
      <c r="U2355" s="2">
        <v>0.04</v>
      </c>
      <c r="V2355" t="s">
        <v>4942</v>
      </c>
      <c r="W2355" t="s">
        <v>1408</v>
      </c>
      <c r="X2355" t="b">
        <v>0</v>
      </c>
      <c r="Y2355" t="b">
        <v>0</v>
      </c>
    </row>
    <row r="2356" spans="1:25">
      <c r="A2356">
        <v>1000449</v>
      </c>
      <c r="B2356" t="s">
        <v>4061</v>
      </c>
      <c r="C2356" t="s">
        <v>4943</v>
      </c>
      <c r="D2356" t="s">
        <v>1292</v>
      </c>
      <c r="E2356">
        <v>1000449</v>
      </c>
      <c r="F2356" t="s">
        <v>1292</v>
      </c>
      <c r="G2356">
        <v>0</v>
      </c>
      <c r="H2356" t="s">
        <v>1292</v>
      </c>
      <c r="I2356">
        <v>0</v>
      </c>
      <c r="J2356" t="s">
        <v>1292</v>
      </c>
      <c r="K2356">
        <v>0</v>
      </c>
      <c r="L2356" t="s">
        <v>1292</v>
      </c>
      <c r="M2356">
        <v>0</v>
      </c>
      <c r="N2356" t="s">
        <v>1292</v>
      </c>
      <c r="O2356">
        <v>0</v>
      </c>
      <c r="P2356" t="s">
        <v>94</v>
      </c>
      <c r="Q2356" s="1">
        <v>4605</v>
      </c>
      <c r="R2356">
        <v>17.8</v>
      </c>
      <c r="S2356" s="2">
        <v>0.16</v>
      </c>
      <c r="T2356" s="3">
        <v>1.83125</v>
      </c>
      <c r="U2356" s="2">
        <v>0.1</v>
      </c>
      <c r="V2356" t="s">
        <v>4943</v>
      </c>
      <c r="W2356" t="s">
        <v>4944</v>
      </c>
      <c r="X2356" t="b">
        <v>0</v>
      </c>
      <c r="Y2356" t="b">
        <v>0</v>
      </c>
    </row>
    <row r="2357" spans="1:25">
      <c r="A2357">
        <v>1000450</v>
      </c>
      <c r="B2357" t="s">
        <v>4061</v>
      </c>
      <c r="C2357" t="s">
        <v>4945</v>
      </c>
      <c r="D2357" t="s">
        <v>1292</v>
      </c>
      <c r="E2357">
        <v>1000450</v>
      </c>
      <c r="F2357" t="s">
        <v>1292</v>
      </c>
      <c r="G2357">
        <v>0</v>
      </c>
      <c r="H2357" t="s">
        <v>1292</v>
      </c>
      <c r="I2357">
        <v>0</v>
      </c>
      <c r="J2357" t="s">
        <v>1292</v>
      </c>
      <c r="K2357">
        <v>0</v>
      </c>
      <c r="L2357" t="s">
        <v>1292</v>
      </c>
      <c r="M2357">
        <v>0</v>
      </c>
      <c r="N2357" t="s">
        <v>1292</v>
      </c>
      <c r="O2357">
        <v>0</v>
      </c>
      <c r="P2357" t="s">
        <v>1955</v>
      </c>
      <c r="Q2357" s="1">
        <v>19945</v>
      </c>
      <c r="R2357">
        <v>23.9</v>
      </c>
      <c r="S2357" s="2">
        <v>0</v>
      </c>
      <c r="T2357" s="3">
        <v>1.9541666666666666</v>
      </c>
      <c r="U2357" s="2">
        <v>0.33</v>
      </c>
      <c r="V2357" t="s">
        <v>4945</v>
      </c>
      <c r="W2357" t="s">
        <v>4946</v>
      </c>
      <c r="X2357" t="b">
        <v>0</v>
      </c>
      <c r="Y2357" t="b">
        <v>0</v>
      </c>
    </row>
    <row r="2358" spans="1:25">
      <c r="A2358">
        <v>1000451</v>
      </c>
      <c r="B2358" t="s">
        <v>4061</v>
      </c>
      <c r="C2358" t="s">
        <v>4947</v>
      </c>
      <c r="D2358" t="s">
        <v>1292</v>
      </c>
      <c r="E2358">
        <v>1000451</v>
      </c>
      <c r="F2358" t="s">
        <v>1292</v>
      </c>
      <c r="G2358">
        <v>0</v>
      </c>
      <c r="H2358" t="s">
        <v>1292</v>
      </c>
      <c r="I2358">
        <v>0</v>
      </c>
      <c r="J2358" t="s">
        <v>1292</v>
      </c>
      <c r="K2358">
        <v>0</v>
      </c>
      <c r="L2358" t="s">
        <v>1292</v>
      </c>
      <c r="M2358">
        <v>0</v>
      </c>
      <c r="N2358" t="s">
        <v>1292</v>
      </c>
      <c r="O2358">
        <v>0</v>
      </c>
      <c r="P2358" t="s">
        <v>1554</v>
      </c>
      <c r="Q2358" s="1">
        <v>3648</v>
      </c>
      <c r="R2358">
        <v>20.2</v>
      </c>
      <c r="S2358" s="2">
        <v>0.27</v>
      </c>
      <c r="T2358" s="3">
        <v>1.7902777777777779</v>
      </c>
      <c r="U2358" s="2">
        <v>0.32</v>
      </c>
      <c r="V2358" t="s">
        <v>4947</v>
      </c>
      <c r="W2358" t="s">
        <v>4948</v>
      </c>
      <c r="X2358" t="b">
        <v>0</v>
      </c>
      <c r="Y2358" t="b">
        <v>0</v>
      </c>
    </row>
    <row r="2359" spans="1:25">
      <c r="A2359">
        <v>1000452</v>
      </c>
      <c r="B2359" t="s">
        <v>4061</v>
      </c>
      <c r="C2359" t="s">
        <v>4949</v>
      </c>
      <c r="D2359" t="s">
        <v>1292</v>
      </c>
      <c r="E2359">
        <v>1000452</v>
      </c>
      <c r="F2359" t="s">
        <v>1292</v>
      </c>
      <c r="G2359">
        <v>0</v>
      </c>
      <c r="H2359" t="s">
        <v>1292</v>
      </c>
      <c r="I2359">
        <v>0</v>
      </c>
      <c r="J2359" t="s">
        <v>1292</v>
      </c>
      <c r="K2359">
        <v>0</v>
      </c>
      <c r="L2359" t="s">
        <v>1292</v>
      </c>
      <c r="M2359">
        <v>0</v>
      </c>
      <c r="N2359" t="s">
        <v>1292</v>
      </c>
      <c r="O2359">
        <v>0</v>
      </c>
      <c r="P2359" t="s">
        <v>2229</v>
      </c>
      <c r="Q2359" s="1">
        <v>21015</v>
      </c>
      <c r="R2359">
        <v>40.700000000000003</v>
      </c>
      <c r="S2359" s="2">
        <v>0</v>
      </c>
      <c r="T2359" s="3">
        <v>2.1590277777777778</v>
      </c>
      <c r="U2359" s="2">
        <v>0.38</v>
      </c>
      <c r="V2359" t="s">
        <v>4949</v>
      </c>
      <c r="W2359" t="s">
        <v>4950</v>
      </c>
      <c r="X2359" t="b">
        <v>0</v>
      </c>
      <c r="Y2359" t="b">
        <v>0</v>
      </c>
    </row>
    <row r="2360" spans="1:25">
      <c r="A2360">
        <v>1000453</v>
      </c>
      <c r="B2360" t="s">
        <v>4061</v>
      </c>
      <c r="C2360" t="s">
        <v>4951</v>
      </c>
      <c r="D2360" t="s">
        <v>1292</v>
      </c>
      <c r="E2360">
        <v>1000453</v>
      </c>
      <c r="F2360" t="s">
        <v>1292</v>
      </c>
      <c r="G2360">
        <v>0</v>
      </c>
      <c r="H2360" t="s">
        <v>1292</v>
      </c>
      <c r="I2360">
        <v>0</v>
      </c>
      <c r="J2360" t="s">
        <v>1292</v>
      </c>
      <c r="K2360">
        <v>0</v>
      </c>
      <c r="L2360" t="s">
        <v>1292</v>
      </c>
      <c r="M2360">
        <v>0</v>
      </c>
      <c r="N2360" t="s">
        <v>1292</v>
      </c>
      <c r="O2360">
        <v>0</v>
      </c>
      <c r="P2360" t="s">
        <v>1102</v>
      </c>
      <c r="Q2360" s="1">
        <v>2971</v>
      </c>
      <c r="R2360">
        <v>10.6</v>
      </c>
      <c r="S2360" s="2">
        <v>0</v>
      </c>
      <c r="T2360" s="3">
        <v>1.9541666666666666</v>
      </c>
      <c r="U2360" t="s">
        <v>1292</v>
      </c>
      <c r="V2360" t="s">
        <v>4951</v>
      </c>
      <c r="W2360" t="s">
        <v>4952</v>
      </c>
      <c r="X2360" t="b">
        <v>0</v>
      </c>
      <c r="Y2360" t="b">
        <v>0</v>
      </c>
    </row>
    <row r="2361" spans="1:25">
      <c r="A2361">
        <v>1000454</v>
      </c>
      <c r="B2361" t="s">
        <v>4061</v>
      </c>
      <c r="C2361" t="s">
        <v>4953</v>
      </c>
      <c r="D2361" t="s">
        <v>1292</v>
      </c>
      <c r="E2361">
        <v>1000454</v>
      </c>
      <c r="F2361" t="s">
        <v>1292</v>
      </c>
      <c r="G2361">
        <v>0</v>
      </c>
      <c r="H2361" t="s">
        <v>1292</v>
      </c>
      <c r="I2361">
        <v>0</v>
      </c>
      <c r="J2361" t="s">
        <v>1292</v>
      </c>
      <c r="K2361">
        <v>0</v>
      </c>
      <c r="L2361" t="s">
        <v>1292</v>
      </c>
      <c r="M2361">
        <v>0</v>
      </c>
      <c r="N2361" t="s">
        <v>1292</v>
      </c>
      <c r="O2361">
        <v>0</v>
      </c>
      <c r="P2361" t="s">
        <v>2157</v>
      </c>
      <c r="Q2361" s="1">
        <v>16565</v>
      </c>
      <c r="R2361">
        <v>19.899999999999999</v>
      </c>
      <c r="S2361" s="2">
        <v>0</v>
      </c>
      <c r="T2361" s="3">
        <v>2.5687500000000001</v>
      </c>
      <c r="U2361" s="2">
        <v>0.34</v>
      </c>
      <c r="V2361" t="s">
        <v>4953</v>
      </c>
      <c r="W2361" t="s">
        <v>4954</v>
      </c>
      <c r="X2361" t="b">
        <v>0</v>
      </c>
      <c r="Y2361" t="b">
        <v>0</v>
      </c>
    </row>
    <row r="2362" spans="1:25">
      <c r="A2362">
        <v>1000455</v>
      </c>
      <c r="B2362" t="s">
        <v>4061</v>
      </c>
      <c r="C2362" t="s">
        <v>4955</v>
      </c>
      <c r="D2362" t="s">
        <v>1292</v>
      </c>
      <c r="E2362">
        <v>1000455</v>
      </c>
      <c r="F2362" t="s">
        <v>1292</v>
      </c>
      <c r="G2362">
        <v>0</v>
      </c>
      <c r="H2362" t="s">
        <v>1292</v>
      </c>
      <c r="I2362">
        <v>0</v>
      </c>
      <c r="J2362" t="s">
        <v>1292</v>
      </c>
      <c r="K2362">
        <v>0</v>
      </c>
      <c r="L2362" t="s">
        <v>1292</v>
      </c>
      <c r="M2362">
        <v>0</v>
      </c>
      <c r="N2362" t="s">
        <v>1292</v>
      </c>
      <c r="O2362">
        <v>0</v>
      </c>
      <c r="P2362" t="s">
        <v>1483</v>
      </c>
      <c r="Q2362" s="1">
        <v>25105</v>
      </c>
      <c r="R2362">
        <v>17.600000000000001</v>
      </c>
      <c r="S2362" s="2">
        <v>0.05</v>
      </c>
      <c r="T2362" s="3">
        <v>2.0770833333333334</v>
      </c>
      <c r="U2362" s="2">
        <v>0.17</v>
      </c>
      <c r="V2362" t="s">
        <v>4955</v>
      </c>
      <c r="W2362" t="s">
        <v>4956</v>
      </c>
      <c r="X2362" t="b">
        <v>0</v>
      </c>
      <c r="Y2362" t="b">
        <v>0</v>
      </c>
    </row>
    <row r="2363" spans="1:25">
      <c r="A2363">
        <v>1000456</v>
      </c>
      <c r="B2363" t="s">
        <v>4061</v>
      </c>
      <c r="C2363" t="s">
        <v>4957</v>
      </c>
      <c r="D2363" t="s">
        <v>1292</v>
      </c>
      <c r="E2363">
        <v>1000456</v>
      </c>
      <c r="F2363" t="s">
        <v>1292</v>
      </c>
      <c r="G2363">
        <v>0</v>
      </c>
      <c r="H2363" t="s">
        <v>1292</v>
      </c>
      <c r="I2363">
        <v>0</v>
      </c>
      <c r="J2363" t="s">
        <v>1292</v>
      </c>
      <c r="K2363">
        <v>0</v>
      </c>
      <c r="L2363" t="s">
        <v>1292</v>
      </c>
      <c r="M2363">
        <v>0</v>
      </c>
      <c r="N2363" t="s">
        <v>1292</v>
      </c>
      <c r="O2363">
        <v>0</v>
      </c>
      <c r="P2363" t="s">
        <v>528</v>
      </c>
      <c r="Q2363" s="1">
        <v>3123</v>
      </c>
      <c r="R2363">
        <v>8.9</v>
      </c>
      <c r="S2363" s="2">
        <v>0</v>
      </c>
      <c r="T2363" s="3">
        <v>2.036111111111111</v>
      </c>
      <c r="U2363" s="2">
        <v>0.31</v>
      </c>
      <c r="V2363" t="s">
        <v>4957</v>
      </c>
      <c r="W2363" t="s">
        <v>4958</v>
      </c>
      <c r="X2363" t="b">
        <v>0</v>
      </c>
      <c r="Y2363" t="b">
        <v>0</v>
      </c>
    </row>
    <row r="2364" spans="1:25">
      <c r="A2364">
        <v>1000457</v>
      </c>
      <c r="B2364" t="s">
        <v>4061</v>
      </c>
      <c r="C2364" t="s">
        <v>4959</v>
      </c>
      <c r="D2364" t="s">
        <v>1292</v>
      </c>
      <c r="E2364">
        <v>1000457</v>
      </c>
      <c r="F2364" t="s">
        <v>1292</v>
      </c>
      <c r="G2364">
        <v>0</v>
      </c>
      <c r="H2364" t="s">
        <v>1292</v>
      </c>
      <c r="I2364">
        <v>0</v>
      </c>
      <c r="J2364" t="s">
        <v>1292</v>
      </c>
      <c r="K2364">
        <v>0</v>
      </c>
      <c r="L2364" t="s">
        <v>1292</v>
      </c>
      <c r="M2364">
        <v>0</v>
      </c>
      <c r="N2364" t="s">
        <v>1292</v>
      </c>
      <c r="O2364">
        <v>0</v>
      </c>
      <c r="P2364" t="s">
        <v>528</v>
      </c>
      <c r="Q2364" s="1">
        <v>3868</v>
      </c>
      <c r="R2364">
        <v>11.5</v>
      </c>
      <c r="S2364" s="2">
        <v>0</v>
      </c>
      <c r="T2364" t="s">
        <v>350</v>
      </c>
      <c r="U2364" t="s">
        <v>1292</v>
      </c>
      <c r="V2364" t="s">
        <v>4959</v>
      </c>
      <c r="W2364" t="s">
        <v>4960</v>
      </c>
      <c r="X2364" t="b">
        <v>0</v>
      </c>
      <c r="Y2364" t="b">
        <v>0</v>
      </c>
    </row>
    <row r="2365" spans="1:25">
      <c r="A2365">
        <v>1000458</v>
      </c>
      <c r="B2365" t="s">
        <v>4061</v>
      </c>
      <c r="C2365" t="s">
        <v>4961</v>
      </c>
      <c r="D2365" t="s">
        <v>1292</v>
      </c>
      <c r="E2365">
        <v>1000458</v>
      </c>
      <c r="F2365" t="s">
        <v>1292</v>
      </c>
      <c r="G2365">
        <v>0</v>
      </c>
      <c r="H2365" t="s">
        <v>1292</v>
      </c>
      <c r="I2365">
        <v>0</v>
      </c>
      <c r="J2365" t="s">
        <v>1292</v>
      </c>
      <c r="K2365">
        <v>0</v>
      </c>
      <c r="L2365" t="s">
        <v>1292</v>
      </c>
      <c r="M2365">
        <v>0</v>
      </c>
      <c r="N2365" t="s">
        <v>1292</v>
      </c>
      <c r="O2365">
        <v>0</v>
      </c>
      <c r="P2365" t="s">
        <v>1102</v>
      </c>
      <c r="Q2365" s="1">
        <v>4390</v>
      </c>
      <c r="R2365">
        <v>31.1</v>
      </c>
      <c r="S2365" s="2">
        <v>0</v>
      </c>
      <c r="T2365" t="s">
        <v>162</v>
      </c>
      <c r="U2365" s="2">
        <v>0.28000000000000003</v>
      </c>
      <c r="V2365" t="s">
        <v>4961</v>
      </c>
      <c r="W2365" t="s">
        <v>4962</v>
      </c>
      <c r="X2365" t="b">
        <v>0</v>
      </c>
      <c r="Y2365" t="b">
        <v>0</v>
      </c>
    </row>
    <row r="2366" spans="1:25">
      <c r="A2366">
        <v>1000459</v>
      </c>
      <c r="B2366" t="s">
        <v>4061</v>
      </c>
      <c r="C2366" t="s">
        <v>4963</v>
      </c>
      <c r="D2366" t="s">
        <v>1292</v>
      </c>
      <c r="E2366">
        <v>1000459</v>
      </c>
      <c r="F2366" t="s">
        <v>1292</v>
      </c>
      <c r="G2366">
        <v>0</v>
      </c>
      <c r="H2366" t="s">
        <v>1292</v>
      </c>
      <c r="I2366">
        <v>0</v>
      </c>
      <c r="J2366" t="s">
        <v>1292</v>
      </c>
      <c r="K2366">
        <v>0</v>
      </c>
      <c r="L2366" t="s">
        <v>1292</v>
      </c>
      <c r="M2366">
        <v>0</v>
      </c>
      <c r="N2366" t="s">
        <v>1292</v>
      </c>
      <c r="O2366">
        <v>0</v>
      </c>
      <c r="P2366" t="s">
        <v>1178</v>
      </c>
      <c r="Q2366" s="1">
        <v>1834</v>
      </c>
      <c r="R2366">
        <v>20.5</v>
      </c>
      <c r="S2366" s="2">
        <v>0.2</v>
      </c>
      <c r="T2366" s="3">
        <v>2.2819444444444446</v>
      </c>
      <c r="U2366" s="2">
        <v>0.13</v>
      </c>
      <c r="V2366" t="s">
        <v>4963</v>
      </c>
      <c r="W2366" t="s">
        <v>4964</v>
      </c>
      <c r="X2366" t="b">
        <v>0</v>
      </c>
      <c r="Y2366" t="b">
        <v>0</v>
      </c>
    </row>
    <row r="2367" spans="1:25">
      <c r="A2367">
        <v>1000460</v>
      </c>
      <c r="B2367" t="s">
        <v>4061</v>
      </c>
      <c r="C2367" t="s">
        <v>4965</v>
      </c>
      <c r="D2367" t="s">
        <v>1292</v>
      </c>
      <c r="E2367">
        <v>1000460</v>
      </c>
      <c r="F2367" t="s">
        <v>1292</v>
      </c>
      <c r="G2367">
        <v>0</v>
      </c>
      <c r="H2367" t="s">
        <v>1292</v>
      </c>
      <c r="I2367">
        <v>0</v>
      </c>
      <c r="J2367" t="s">
        <v>1292</v>
      </c>
      <c r="K2367">
        <v>0</v>
      </c>
      <c r="L2367" t="s">
        <v>1292</v>
      </c>
      <c r="M2367">
        <v>0</v>
      </c>
      <c r="N2367" t="s">
        <v>1292</v>
      </c>
      <c r="O2367">
        <v>0</v>
      </c>
      <c r="P2367" t="s">
        <v>2290</v>
      </c>
      <c r="Q2367" s="1">
        <v>20247</v>
      </c>
      <c r="R2367">
        <v>33.9</v>
      </c>
      <c r="S2367" s="2">
        <v>0</v>
      </c>
      <c r="T2367" s="3">
        <v>4.166666666666667</v>
      </c>
      <c r="U2367" s="2">
        <v>0.38</v>
      </c>
      <c r="V2367" t="s">
        <v>4965</v>
      </c>
      <c r="W2367" t="s">
        <v>4966</v>
      </c>
      <c r="X2367" t="b">
        <v>0</v>
      </c>
      <c r="Y2367" t="b">
        <v>0</v>
      </c>
    </row>
    <row r="2368" spans="1:25">
      <c r="A2368">
        <v>1000461</v>
      </c>
      <c r="B2368" t="s">
        <v>4061</v>
      </c>
      <c r="C2368" t="s">
        <v>4967</v>
      </c>
      <c r="D2368" t="s">
        <v>1292</v>
      </c>
      <c r="E2368">
        <v>1000461</v>
      </c>
      <c r="F2368" t="s">
        <v>1292</v>
      </c>
      <c r="G2368">
        <v>0</v>
      </c>
      <c r="H2368" t="s">
        <v>1292</v>
      </c>
      <c r="I2368">
        <v>0</v>
      </c>
      <c r="J2368" t="s">
        <v>1292</v>
      </c>
      <c r="K2368">
        <v>0</v>
      </c>
      <c r="L2368" t="s">
        <v>1292</v>
      </c>
      <c r="M2368">
        <v>0</v>
      </c>
      <c r="N2368" t="s">
        <v>1292</v>
      </c>
      <c r="O2368">
        <v>0</v>
      </c>
      <c r="P2368" t="s">
        <v>2290</v>
      </c>
      <c r="Q2368" s="1">
        <v>27047</v>
      </c>
      <c r="R2368">
        <v>33.6</v>
      </c>
      <c r="S2368" s="2">
        <v>0</v>
      </c>
      <c r="T2368" s="3">
        <v>2.6097222222222221</v>
      </c>
      <c r="U2368" t="s">
        <v>1292</v>
      </c>
      <c r="V2368" t="s">
        <v>4967</v>
      </c>
      <c r="W2368" t="s">
        <v>4968</v>
      </c>
      <c r="X2368" t="b">
        <v>0</v>
      </c>
      <c r="Y2368" t="b">
        <v>0</v>
      </c>
    </row>
    <row r="2369" spans="1:25">
      <c r="A2369">
        <v>1000462</v>
      </c>
      <c r="B2369" t="s">
        <v>4061</v>
      </c>
      <c r="C2369" t="s">
        <v>4969</v>
      </c>
      <c r="D2369" t="s">
        <v>1292</v>
      </c>
      <c r="E2369">
        <v>1000462</v>
      </c>
      <c r="F2369" t="s">
        <v>1292</v>
      </c>
      <c r="G2369">
        <v>0</v>
      </c>
      <c r="H2369" t="s">
        <v>1292</v>
      </c>
      <c r="I2369">
        <v>0</v>
      </c>
      <c r="J2369" t="s">
        <v>1292</v>
      </c>
      <c r="K2369">
        <v>0</v>
      </c>
      <c r="L2369" t="s">
        <v>1292</v>
      </c>
      <c r="M2369">
        <v>0</v>
      </c>
      <c r="N2369" t="s">
        <v>1292</v>
      </c>
      <c r="O2369">
        <v>0</v>
      </c>
      <c r="P2369" t="s">
        <v>29</v>
      </c>
      <c r="Q2369" s="1">
        <v>5068</v>
      </c>
      <c r="R2369">
        <v>16.100000000000001</v>
      </c>
      <c r="S2369" s="2">
        <v>0.14000000000000001</v>
      </c>
      <c r="T2369" s="3">
        <v>2.2819444444444446</v>
      </c>
      <c r="U2369" s="2">
        <v>0.09</v>
      </c>
      <c r="V2369" t="s">
        <v>4969</v>
      </c>
      <c r="W2369" t="s">
        <v>4970</v>
      </c>
      <c r="X2369" t="b">
        <v>0</v>
      </c>
      <c r="Y2369" t="b">
        <v>0</v>
      </c>
    </row>
    <row r="2370" spans="1:25">
      <c r="A2370">
        <v>1000463</v>
      </c>
      <c r="B2370" t="s">
        <v>4061</v>
      </c>
      <c r="C2370" t="s">
        <v>4971</v>
      </c>
      <c r="D2370" t="s">
        <v>1292</v>
      </c>
      <c r="E2370">
        <v>1000463</v>
      </c>
      <c r="F2370" t="s">
        <v>1292</v>
      </c>
      <c r="G2370">
        <v>0</v>
      </c>
      <c r="H2370" t="s">
        <v>1292</v>
      </c>
      <c r="I2370">
        <v>0</v>
      </c>
      <c r="J2370" t="s">
        <v>1292</v>
      </c>
      <c r="K2370">
        <v>0</v>
      </c>
      <c r="L2370" t="s">
        <v>1292</v>
      </c>
      <c r="M2370">
        <v>0</v>
      </c>
      <c r="N2370" t="s">
        <v>1292</v>
      </c>
      <c r="O2370">
        <v>0</v>
      </c>
      <c r="P2370" t="s">
        <v>1613</v>
      </c>
      <c r="Q2370" s="1">
        <v>11670</v>
      </c>
      <c r="R2370">
        <v>17</v>
      </c>
      <c r="S2370" s="2">
        <v>0.01</v>
      </c>
      <c r="T2370" s="3">
        <v>2.5277777777777777</v>
      </c>
      <c r="U2370" s="2">
        <v>0.19</v>
      </c>
      <c r="V2370" t="s">
        <v>4971</v>
      </c>
      <c r="W2370" t="s">
        <v>4972</v>
      </c>
      <c r="X2370" t="b">
        <v>0</v>
      </c>
      <c r="Y2370" t="b">
        <v>0</v>
      </c>
    </row>
    <row r="2371" spans="1:25">
      <c r="A2371">
        <v>1000464</v>
      </c>
      <c r="B2371" t="s">
        <v>4061</v>
      </c>
      <c r="C2371" t="s">
        <v>4973</v>
      </c>
      <c r="D2371" t="s">
        <v>1292</v>
      </c>
      <c r="E2371">
        <v>1000464</v>
      </c>
      <c r="F2371" t="s">
        <v>1292</v>
      </c>
      <c r="G2371">
        <v>0</v>
      </c>
      <c r="H2371" t="s">
        <v>1292</v>
      </c>
      <c r="I2371">
        <v>0</v>
      </c>
      <c r="J2371" t="s">
        <v>1292</v>
      </c>
      <c r="K2371">
        <v>0</v>
      </c>
      <c r="L2371" t="s">
        <v>1292</v>
      </c>
      <c r="M2371">
        <v>0</v>
      </c>
      <c r="N2371" t="s">
        <v>1292</v>
      </c>
      <c r="O2371">
        <v>0</v>
      </c>
      <c r="P2371" t="s">
        <v>255</v>
      </c>
      <c r="Q2371" s="1">
        <v>5901</v>
      </c>
      <c r="R2371">
        <v>10.8</v>
      </c>
      <c r="S2371" s="2">
        <v>0.09</v>
      </c>
      <c r="T2371" s="3">
        <v>2.2819444444444446</v>
      </c>
      <c r="U2371" t="s">
        <v>1292</v>
      </c>
      <c r="V2371" t="s">
        <v>4973</v>
      </c>
      <c r="W2371" t="s">
        <v>4974</v>
      </c>
      <c r="X2371" t="b">
        <v>0</v>
      </c>
      <c r="Y2371" t="b">
        <v>0</v>
      </c>
    </row>
    <row r="2372" spans="1:25">
      <c r="A2372">
        <v>1000465</v>
      </c>
      <c r="B2372" t="s">
        <v>4061</v>
      </c>
      <c r="C2372" t="s">
        <v>4975</v>
      </c>
      <c r="D2372" t="s">
        <v>1292</v>
      </c>
      <c r="E2372">
        <v>1000465</v>
      </c>
      <c r="F2372" t="s">
        <v>1292</v>
      </c>
      <c r="G2372">
        <v>0</v>
      </c>
      <c r="H2372" t="s">
        <v>1292</v>
      </c>
      <c r="I2372">
        <v>0</v>
      </c>
      <c r="J2372" t="s">
        <v>1292</v>
      </c>
      <c r="K2372">
        <v>0</v>
      </c>
      <c r="L2372" t="s">
        <v>1292</v>
      </c>
      <c r="M2372">
        <v>0</v>
      </c>
      <c r="N2372" t="s">
        <v>1292</v>
      </c>
      <c r="O2372">
        <v>0</v>
      </c>
      <c r="P2372" t="s">
        <v>255</v>
      </c>
      <c r="Q2372" s="1">
        <v>5930</v>
      </c>
      <c r="R2372">
        <v>6.4</v>
      </c>
      <c r="S2372" s="2">
        <v>0.09</v>
      </c>
      <c r="T2372" s="3">
        <v>3.1013888888888888</v>
      </c>
      <c r="U2372" s="2">
        <v>0.09</v>
      </c>
      <c r="V2372" t="s">
        <v>4975</v>
      </c>
      <c r="W2372" t="s">
        <v>4976</v>
      </c>
      <c r="X2372" t="b">
        <v>0</v>
      </c>
      <c r="Y2372" t="b">
        <v>0</v>
      </c>
    </row>
    <row r="2373" spans="1:25">
      <c r="A2373">
        <v>1000466</v>
      </c>
      <c r="B2373" t="s">
        <v>4061</v>
      </c>
      <c r="C2373" t="s">
        <v>4977</v>
      </c>
      <c r="D2373" t="s">
        <v>1292</v>
      </c>
      <c r="E2373">
        <v>1000466</v>
      </c>
      <c r="F2373" t="s">
        <v>1292</v>
      </c>
      <c r="G2373">
        <v>0</v>
      </c>
      <c r="H2373" t="s">
        <v>1292</v>
      </c>
      <c r="I2373">
        <v>0</v>
      </c>
      <c r="J2373" t="s">
        <v>1292</v>
      </c>
      <c r="K2373">
        <v>0</v>
      </c>
      <c r="L2373" t="s">
        <v>1292</v>
      </c>
      <c r="M2373">
        <v>0</v>
      </c>
      <c r="N2373" t="s">
        <v>1292</v>
      </c>
      <c r="O2373">
        <v>0</v>
      </c>
      <c r="P2373" t="s">
        <v>255</v>
      </c>
      <c r="Q2373" s="1">
        <v>4398</v>
      </c>
      <c r="R2373">
        <v>20.3</v>
      </c>
      <c r="S2373" s="2">
        <v>0.06</v>
      </c>
      <c r="T2373">
        <v>0.88888888888888884</v>
      </c>
      <c r="U2373" s="2">
        <v>0.56000000000000005</v>
      </c>
      <c r="V2373" t="s">
        <v>4977</v>
      </c>
      <c r="W2373" t="s">
        <v>4978</v>
      </c>
      <c r="X2373" t="b">
        <v>0</v>
      </c>
      <c r="Y2373" t="b">
        <v>0</v>
      </c>
    </row>
    <row r="2374" spans="1:25">
      <c r="A2374">
        <v>1000467</v>
      </c>
      <c r="B2374" t="s">
        <v>4061</v>
      </c>
      <c r="C2374" t="s">
        <v>4979</v>
      </c>
      <c r="D2374" t="s">
        <v>1292</v>
      </c>
      <c r="E2374">
        <v>1000467</v>
      </c>
      <c r="F2374" t="s">
        <v>1292</v>
      </c>
      <c r="G2374">
        <v>0</v>
      </c>
      <c r="H2374" t="s">
        <v>1292</v>
      </c>
      <c r="I2374">
        <v>0</v>
      </c>
      <c r="J2374" t="s">
        <v>1292</v>
      </c>
      <c r="K2374">
        <v>0</v>
      </c>
      <c r="L2374" t="s">
        <v>1292</v>
      </c>
      <c r="M2374">
        <v>0</v>
      </c>
      <c r="N2374" t="s">
        <v>1292</v>
      </c>
      <c r="O2374">
        <v>0</v>
      </c>
      <c r="P2374" t="s">
        <v>3906</v>
      </c>
      <c r="Q2374" s="1">
        <v>9412</v>
      </c>
      <c r="R2374">
        <v>8.9</v>
      </c>
      <c r="S2374" s="2">
        <v>0.14000000000000001</v>
      </c>
      <c r="T2374" s="3">
        <v>2.6097222222222221</v>
      </c>
      <c r="U2374" s="2">
        <v>0.19</v>
      </c>
      <c r="V2374" t="s">
        <v>4979</v>
      </c>
      <c r="W2374" t="s">
        <v>4980</v>
      </c>
      <c r="X2374" t="b">
        <v>0</v>
      </c>
      <c r="Y2374" t="b">
        <v>0</v>
      </c>
    </row>
    <row r="2375" spans="1:25">
      <c r="A2375">
        <v>1000468</v>
      </c>
      <c r="B2375" t="s">
        <v>4061</v>
      </c>
      <c r="C2375" t="s">
        <v>4981</v>
      </c>
      <c r="D2375" t="s">
        <v>1292</v>
      </c>
      <c r="E2375">
        <v>1000468</v>
      </c>
      <c r="F2375" t="s">
        <v>1292</v>
      </c>
      <c r="G2375">
        <v>0</v>
      </c>
      <c r="H2375" t="s">
        <v>1292</v>
      </c>
      <c r="I2375">
        <v>0</v>
      </c>
      <c r="J2375" t="s">
        <v>1292</v>
      </c>
      <c r="K2375">
        <v>0</v>
      </c>
      <c r="L2375" t="s">
        <v>1292</v>
      </c>
      <c r="M2375">
        <v>0</v>
      </c>
      <c r="N2375" t="s">
        <v>1292</v>
      </c>
      <c r="O2375">
        <v>0</v>
      </c>
      <c r="P2375" t="s">
        <v>1448</v>
      </c>
      <c r="Q2375" s="1">
        <v>4450</v>
      </c>
      <c r="R2375">
        <v>15.2</v>
      </c>
      <c r="S2375" s="2">
        <v>0</v>
      </c>
      <c r="T2375" s="3">
        <v>2.6097222222222221</v>
      </c>
      <c r="U2375" s="2">
        <v>0.46</v>
      </c>
      <c r="V2375" t="s">
        <v>4981</v>
      </c>
      <c r="W2375" t="s">
        <v>4982</v>
      </c>
      <c r="X2375" t="b">
        <v>0</v>
      </c>
      <c r="Y2375" t="b">
        <v>0</v>
      </c>
    </row>
    <row r="2376" spans="1:25">
      <c r="A2376">
        <v>1000469</v>
      </c>
      <c r="B2376" t="s">
        <v>4061</v>
      </c>
      <c r="C2376" t="s">
        <v>4983</v>
      </c>
      <c r="D2376" t="s">
        <v>1292</v>
      </c>
      <c r="E2376">
        <v>1000469</v>
      </c>
      <c r="F2376" t="s">
        <v>1292</v>
      </c>
      <c r="G2376">
        <v>0</v>
      </c>
      <c r="H2376" t="s">
        <v>1292</v>
      </c>
      <c r="I2376">
        <v>0</v>
      </c>
      <c r="J2376" t="s">
        <v>1292</v>
      </c>
      <c r="K2376">
        <v>0</v>
      </c>
      <c r="L2376" t="s">
        <v>1292</v>
      </c>
      <c r="M2376">
        <v>0</v>
      </c>
      <c r="N2376" t="s">
        <v>1292</v>
      </c>
      <c r="O2376">
        <v>0</v>
      </c>
      <c r="P2376" t="s">
        <v>1955</v>
      </c>
      <c r="Q2376" s="1">
        <v>21043</v>
      </c>
      <c r="R2376">
        <v>29.4</v>
      </c>
      <c r="S2376" s="2">
        <v>0.01</v>
      </c>
      <c r="T2376" s="3">
        <v>2.0770833333333334</v>
      </c>
      <c r="U2376" s="2">
        <v>0.17</v>
      </c>
      <c r="V2376" t="s">
        <v>4983</v>
      </c>
      <c r="W2376" t="s">
        <v>4984</v>
      </c>
      <c r="X2376" t="b">
        <v>0</v>
      </c>
      <c r="Y2376" t="b">
        <v>0</v>
      </c>
    </row>
    <row r="2377" spans="1:25">
      <c r="A2377">
        <v>1000470</v>
      </c>
      <c r="B2377" t="s">
        <v>4061</v>
      </c>
      <c r="C2377" t="s">
        <v>4985</v>
      </c>
      <c r="D2377" t="s">
        <v>1292</v>
      </c>
      <c r="E2377">
        <v>1000470</v>
      </c>
      <c r="F2377" t="s">
        <v>1292</v>
      </c>
      <c r="G2377">
        <v>0</v>
      </c>
      <c r="H2377" t="s">
        <v>1292</v>
      </c>
      <c r="I2377">
        <v>0</v>
      </c>
      <c r="J2377" t="s">
        <v>1292</v>
      </c>
      <c r="K2377">
        <v>0</v>
      </c>
      <c r="L2377" t="s">
        <v>1292</v>
      </c>
      <c r="M2377">
        <v>0</v>
      </c>
      <c r="N2377" t="s">
        <v>1292</v>
      </c>
      <c r="O2377">
        <v>0</v>
      </c>
      <c r="P2377" t="s">
        <v>94</v>
      </c>
      <c r="Q2377" s="1">
        <v>8662</v>
      </c>
      <c r="R2377">
        <v>24.8</v>
      </c>
      <c r="S2377" s="2">
        <v>0</v>
      </c>
      <c r="T2377" s="3">
        <v>4.166666666666667</v>
      </c>
      <c r="U2377" s="2">
        <v>0.11</v>
      </c>
      <c r="V2377" t="s">
        <v>4985</v>
      </c>
      <c r="W2377" t="s">
        <v>4986</v>
      </c>
      <c r="X2377" t="b">
        <v>0</v>
      </c>
      <c r="Y2377" t="b">
        <v>0</v>
      </c>
    </row>
    <row r="2378" spans="1:25">
      <c r="A2378">
        <v>1000471</v>
      </c>
      <c r="B2378" t="s">
        <v>4061</v>
      </c>
      <c r="C2378" t="s">
        <v>4987</v>
      </c>
      <c r="D2378" t="s">
        <v>1292</v>
      </c>
      <c r="E2378">
        <v>1000471</v>
      </c>
      <c r="F2378" t="s">
        <v>1292</v>
      </c>
      <c r="G2378">
        <v>0</v>
      </c>
      <c r="H2378" t="s">
        <v>1292</v>
      </c>
      <c r="I2378">
        <v>0</v>
      </c>
      <c r="J2378" t="s">
        <v>1292</v>
      </c>
      <c r="K2378">
        <v>0</v>
      </c>
      <c r="L2378" t="s">
        <v>1292</v>
      </c>
      <c r="M2378">
        <v>0</v>
      </c>
      <c r="N2378" t="s">
        <v>1292</v>
      </c>
      <c r="O2378">
        <v>0</v>
      </c>
      <c r="P2378" t="s">
        <v>3240</v>
      </c>
      <c r="Q2378" s="1">
        <v>8057</v>
      </c>
      <c r="R2378">
        <v>44.5</v>
      </c>
      <c r="S2378" s="2">
        <v>0.01</v>
      </c>
      <c r="T2378" s="3">
        <v>1.9131944444444444</v>
      </c>
      <c r="U2378" s="2">
        <v>0.21</v>
      </c>
      <c r="V2378" t="s">
        <v>4987</v>
      </c>
      <c r="W2378" t="s">
        <v>4988</v>
      </c>
      <c r="X2378" t="b">
        <v>0</v>
      </c>
      <c r="Y2378" t="b">
        <v>0</v>
      </c>
    </row>
    <row r="2379" spans="1:25">
      <c r="A2379">
        <v>1000472</v>
      </c>
      <c r="B2379" t="s">
        <v>4061</v>
      </c>
      <c r="C2379" t="s">
        <v>4989</v>
      </c>
      <c r="D2379" t="s">
        <v>1292</v>
      </c>
      <c r="E2379">
        <v>1000472</v>
      </c>
      <c r="F2379" t="s">
        <v>1292</v>
      </c>
      <c r="G2379">
        <v>0</v>
      </c>
      <c r="H2379" t="s">
        <v>1292</v>
      </c>
      <c r="I2379">
        <v>0</v>
      </c>
      <c r="J2379" t="s">
        <v>1292</v>
      </c>
      <c r="K2379">
        <v>0</v>
      </c>
      <c r="L2379" t="s">
        <v>1292</v>
      </c>
      <c r="M2379">
        <v>0</v>
      </c>
      <c r="N2379" t="s">
        <v>1292</v>
      </c>
      <c r="O2379">
        <v>0</v>
      </c>
      <c r="P2379" t="s">
        <v>94</v>
      </c>
      <c r="Q2379" s="1">
        <v>9093</v>
      </c>
      <c r="R2379">
        <v>28.5</v>
      </c>
      <c r="S2379" s="2">
        <v>0.08</v>
      </c>
      <c r="T2379" s="3">
        <v>2.4458333333333333</v>
      </c>
      <c r="U2379" s="2">
        <v>0.26</v>
      </c>
      <c r="V2379" t="s">
        <v>4989</v>
      </c>
      <c r="W2379" t="s">
        <v>4990</v>
      </c>
      <c r="X2379" t="b">
        <v>0</v>
      </c>
      <c r="Y2379" t="b">
        <v>0</v>
      </c>
    </row>
    <row r="2380" spans="1:25">
      <c r="A2380">
        <v>1000473</v>
      </c>
      <c r="B2380" t="s">
        <v>4061</v>
      </c>
      <c r="C2380" t="s">
        <v>4991</v>
      </c>
      <c r="D2380" t="s">
        <v>1292</v>
      </c>
      <c r="E2380">
        <v>1000473</v>
      </c>
      <c r="F2380" t="s">
        <v>1292</v>
      </c>
      <c r="G2380">
        <v>0</v>
      </c>
      <c r="H2380" t="s">
        <v>1292</v>
      </c>
      <c r="I2380">
        <v>0</v>
      </c>
      <c r="J2380" t="s">
        <v>1292</v>
      </c>
      <c r="K2380">
        <v>0</v>
      </c>
      <c r="L2380" t="s">
        <v>1292</v>
      </c>
      <c r="M2380">
        <v>0</v>
      </c>
      <c r="N2380" t="s">
        <v>1292</v>
      </c>
      <c r="O2380">
        <v>0</v>
      </c>
      <c r="P2380" t="s">
        <v>1820</v>
      </c>
      <c r="Q2380" s="1">
        <v>226124</v>
      </c>
      <c r="R2380">
        <v>49.6</v>
      </c>
      <c r="S2380" s="2">
        <v>0</v>
      </c>
      <c r="U2380" s="2">
        <v>0.25</v>
      </c>
      <c r="V2380" t="s">
        <v>4991</v>
      </c>
      <c r="W2380" t="s">
        <v>4992</v>
      </c>
      <c r="X2380" t="b">
        <v>0</v>
      </c>
      <c r="Y2380" t="b">
        <v>0</v>
      </c>
    </row>
    <row r="2381" spans="1:25">
      <c r="A2381">
        <v>1000474</v>
      </c>
      <c r="B2381" t="s">
        <v>4061</v>
      </c>
      <c r="C2381" t="s">
        <v>4993</v>
      </c>
      <c r="D2381" t="s">
        <v>1292</v>
      </c>
      <c r="E2381">
        <v>1000474</v>
      </c>
      <c r="F2381" t="s">
        <v>1292</v>
      </c>
      <c r="G2381">
        <v>0</v>
      </c>
      <c r="H2381" t="s">
        <v>1292</v>
      </c>
      <c r="I2381">
        <v>0</v>
      </c>
      <c r="J2381" t="s">
        <v>1292</v>
      </c>
      <c r="K2381">
        <v>0</v>
      </c>
      <c r="L2381" t="s">
        <v>1292</v>
      </c>
      <c r="M2381">
        <v>0</v>
      </c>
      <c r="N2381" t="s">
        <v>1292</v>
      </c>
      <c r="O2381">
        <v>0</v>
      </c>
      <c r="P2381" t="s">
        <v>4994</v>
      </c>
      <c r="Q2381" s="1">
        <v>53043</v>
      </c>
      <c r="R2381">
        <v>9.8000000000000007</v>
      </c>
      <c r="S2381" s="2">
        <v>0.02</v>
      </c>
      <c r="T2381" t="s">
        <v>501</v>
      </c>
      <c r="U2381" s="2">
        <v>0.19</v>
      </c>
      <c r="V2381" t="s">
        <v>4993</v>
      </c>
      <c r="W2381" t="s">
        <v>4995</v>
      </c>
      <c r="X2381" t="b">
        <v>0</v>
      </c>
      <c r="Y2381" t="b">
        <v>0</v>
      </c>
    </row>
    <row r="2382" spans="1:25">
      <c r="A2382">
        <v>1000475</v>
      </c>
      <c r="B2382" t="s">
        <v>4061</v>
      </c>
      <c r="C2382" t="s">
        <v>4996</v>
      </c>
      <c r="D2382" t="s">
        <v>1292</v>
      </c>
      <c r="E2382">
        <v>1000475</v>
      </c>
      <c r="F2382" t="s">
        <v>1292</v>
      </c>
      <c r="G2382">
        <v>0</v>
      </c>
      <c r="H2382" t="s">
        <v>1292</v>
      </c>
      <c r="I2382">
        <v>0</v>
      </c>
      <c r="J2382" t="s">
        <v>1292</v>
      </c>
      <c r="K2382">
        <v>0</v>
      </c>
      <c r="L2382" t="s">
        <v>1292</v>
      </c>
      <c r="M2382">
        <v>0</v>
      </c>
      <c r="N2382" t="s">
        <v>1292</v>
      </c>
      <c r="O2382">
        <v>0</v>
      </c>
      <c r="P2382" t="s">
        <v>2513</v>
      </c>
      <c r="Q2382" s="1">
        <v>9455</v>
      </c>
      <c r="R2382">
        <v>16.8</v>
      </c>
      <c r="S2382" s="2">
        <v>0.01</v>
      </c>
      <c r="T2382" s="3">
        <v>2.4048611111111109</v>
      </c>
      <c r="U2382" s="2">
        <v>0.19</v>
      </c>
      <c r="V2382" t="s">
        <v>4996</v>
      </c>
      <c r="W2382" t="s">
        <v>4997</v>
      </c>
      <c r="X2382" t="b">
        <v>0</v>
      </c>
      <c r="Y2382" t="b">
        <v>0</v>
      </c>
    </row>
    <row r="2383" spans="1:25">
      <c r="A2383">
        <v>1000476</v>
      </c>
      <c r="B2383" t="s">
        <v>4061</v>
      </c>
      <c r="C2383" t="s">
        <v>4998</v>
      </c>
      <c r="D2383" t="s">
        <v>1292</v>
      </c>
      <c r="E2383">
        <v>1000476</v>
      </c>
      <c r="F2383" t="s">
        <v>1292</v>
      </c>
      <c r="G2383">
        <v>0</v>
      </c>
      <c r="H2383" t="s">
        <v>1292</v>
      </c>
      <c r="I2383">
        <v>0</v>
      </c>
      <c r="J2383" t="s">
        <v>1292</v>
      </c>
      <c r="K2383">
        <v>0</v>
      </c>
      <c r="L2383" t="s">
        <v>1292</v>
      </c>
      <c r="M2383">
        <v>0</v>
      </c>
      <c r="N2383" t="s">
        <v>1292</v>
      </c>
      <c r="O2383">
        <v>0</v>
      </c>
      <c r="P2383" t="s">
        <v>4994</v>
      </c>
      <c r="Q2383" s="1">
        <v>5104</v>
      </c>
      <c r="R2383">
        <v>5</v>
      </c>
      <c r="S2383" s="2">
        <v>0.01</v>
      </c>
      <c r="T2383" s="3">
        <v>2.3229166666666665</v>
      </c>
      <c r="U2383" s="2">
        <v>0.06</v>
      </c>
      <c r="V2383" t="s">
        <v>4998</v>
      </c>
      <c r="W2383" t="s">
        <v>4999</v>
      </c>
      <c r="X2383" t="b">
        <v>0</v>
      </c>
      <c r="Y2383" t="b">
        <v>0</v>
      </c>
    </row>
    <row r="2384" spans="1:25">
      <c r="A2384">
        <v>1000477</v>
      </c>
      <c r="B2384" t="s">
        <v>4061</v>
      </c>
      <c r="C2384" t="s">
        <v>5000</v>
      </c>
      <c r="D2384" t="s">
        <v>1292</v>
      </c>
      <c r="E2384">
        <v>1000477</v>
      </c>
      <c r="F2384" t="s">
        <v>1292</v>
      </c>
      <c r="G2384">
        <v>0</v>
      </c>
      <c r="H2384" t="s">
        <v>1292</v>
      </c>
      <c r="I2384">
        <v>0</v>
      </c>
      <c r="J2384" t="s">
        <v>1292</v>
      </c>
      <c r="K2384">
        <v>0</v>
      </c>
      <c r="L2384" t="s">
        <v>1292</v>
      </c>
      <c r="M2384">
        <v>0</v>
      </c>
      <c r="N2384" t="s">
        <v>1292</v>
      </c>
      <c r="O2384">
        <v>0</v>
      </c>
      <c r="P2384" t="s">
        <v>3726</v>
      </c>
      <c r="Q2384" s="1">
        <v>2183</v>
      </c>
      <c r="R2384">
        <v>6.3</v>
      </c>
      <c r="S2384" s="2">
        <v>0</v>
      </c>
      <c r="T2384" s="3">
        <v>2.3638888888888889</v>
      </c>
      <c r="U2384" t="s">
        <v>1292</v>
      </c>
      <c r="V2384" t="s">
        <v>5000</v>
      </c>
      <c r="W2384" t="s">
        <v>5001</v>
      </c>
      <c r="X2384" t="b">
        <v>0</v>
      </c>
      <c r="Y2384" t="b">
        <v>0</v>
      </c>
    </row>
    <row r="2385" spans="1:25">
      <c r="A2385">
        <v>1000478</v>
      </c>
      <c r="B2385" t="s">
        <v>4061</v>
      </c>
      <c r="C2385" t="s">
        <v>5002</v>
      </c>
      <c r="D2385" t="s">
        <v>1292</v>
      </c>
      <c r="E2385">
        <v>1000478</v>
      </c>
      <c r="F2385" t="s">
        <v>1292</v>
      </c>
      <c r="G2385">
        <v>0</v>
      </c>
      <c r="H2385" t="s">
        <v>1292</v>
      </c>
      <c r="I2385">
        <v>0</v>
      </c>
      <c r="J2385" t="s">
        <v>1292</v>
      </c>
      <c r="K2385">
        <v>0</v>
      </c>
      <c r="L2385" t="s">
        <v>1292</v>
      </c>
      <c r="M2385">
        <v>0</v>
      </c>
      <c r="N2385" t="s">
        <v>1292</v>
      </c>
      <c r="O2385">
        <v>0</v>
      </c>
      <c r="P2385" t="s">
        <v>94</v>
      </c>
      <c r="Q2385" s="1">
        <v>3815</v>
      </c>
      <c r="R2385">
        <v>32.1</v>
      </c>
      <c r="S2385" s="2">
        <v>0.1</v>
      </c>
      <c r="T2385">
        <v>1.0118055555555556</v>
      </c>
      <c r="U2385" s="2">
        <v>0.24</v>
      </c>
      <c r="V2385" t="s">
        <v>5002</v>
      </c>
      <c r="W2385" t="s">
        <v>5003</v>
      </c>
      <c r="X2385" t="b">
        <v>0</v>
      </c>
      <c r="Y2385" t="b">
        <v>0</v>
      </c>
    </row>
    <row r="2386" spans="1:25">
      <c r="A2386">
        <v>1000479</v>
      </c>
      <c r="B2386" t="s">
        <v>4061</v>
      </c>
      <c r="C2386" t="s">
        <v>5004</v>
      </c>
      <c r="D2386" t="s">
        <v>1292</v>
      </c>
      <c r="E2386">
        <v>1000479</v>
      </c>
      <c r="F2386" t="s">
        <v>1292</v>
      </c>
      <c r="G2386">
        <v>0</v>
      </c>
      <c r="H2386" t="s">
        <v>1292</v>
      </c>
      <c r="I2386">
        <v>0</v>
      </c>
      <c r="J2386" t="s">
        <v>1292</v>
      </c>
      <c r="K2386">
        <v>0</v>
      </c>
      <c r="L2386" t="s">
        <v>1292</v>
      </c>
      <c r="M2386">
        <v>0</v>
      </c>
      <c r="N2386" t="s">
        <v>1292</v>
      </c>
      <c r="O2386">
        <v>0</v>
      </c>
      <c r="P2386" t="s">
        <v>3326</v>
      </c>
      <c r="Q2386" s="1">
        <v>7652</v>
      </c>
      <c r="R2386">
        <v>7.9</v>
      </c>
      <c r="S2386" s="2">
        <v>0.2</v>
      </c>
      <c r="T2386" s="3">
        <v>2.036111111111111</v>
      </c>
      <c r="U2386" s="2">
        <v>0.17</v>
      </c>
      <c r="V2386" t="s">
        <v>5004</v>
      </c>
      <c r="W2386" t="s">
        <v>5005</v>
      </c>
      <c r="X2386" t="b">
        <v>0</v>
      </c>
      <c r="Y2386" t="b">
        <v>0</v>
      </c>
    </row>
    <row r="2387" spans="1:25">
      <c r="A2387">
        <v>1000480</v>
      </c>
      <c r="B2387" t="s">
        <v>4061</v>
      </c>
      <c r="C2387" t="s">
        <v>5006</v>
      </c>
      <c r="D2387" t="s">
        <v>1292</v>
      </c>
      <c r="E2387">
        <v>1000480</v>
      </c>
      <c r="F2387" t="s">
        <v>1292</v>
      </c>
      <c r="G2387">
        <v>0</v>
      </c>
      <c r="H2387" t="s">
        <v>1292</v>
      </c>
      <c r="I2387">
        <v>0</v>
      </c>
      <c r="J2387" t="s">
        <v>1292</v>
      </c>
      <c r="K2387">
        <v>0</v>
      </c>
      <c r="L2387" t="s">
        <v>1292</v>
      </c>
      <c r="M2387">
        <v>0</v>
      </c>
      <c r="N2387" t="s">
        <v>1292</v>
      </c>
      <c r="O2387">
        <v>0</v>
      </c>
      <c r="P2387" t="s">
        <v>1448</v>
      </c>
      <c r="Q2387" s="1">
        <v>15044</v>
      </c>
      <c r="R2387">
        <v>27.8</v>
      </c>
      <c r="S2387" s="2">
        <v>0</v>
      </c>
      <c r="T2387" s="3">
        <v>2.8555555555555556</v>
      </c>
      <c r="U2387" s="2">
        <v>0.21</v>
      </c>
      <c r="V2387" t="s">
        <v>5006</v>
      </c>
      <c r="W2387" t="s">
        <v>5007</v>
      </c>
      <c r="X2387" t="b">
        <v>0</v>
      </c>
      <c r="Y2387" t="b">
        <v>0</v>
      </c>
    </row>
    <row r="2388" spans="1:25">
      <c r="A2388">
        <v>1000481</v>
      </c>
      <c r="B2388" t="s">
        <v>4061</v>
      </c>
      <c r="C2388" t="s">
        <v>5008</v>
      </c>
      <c r="D2388" t="s">
        <v>1292</v>
      </c>
      <c r="E2388">
        <v>1000481</v>
      </c>
      <c r="F2388" t="s">
        <v>1292</v>
      </c>
      <c r="G2388">
        <v>0</v>
      </c>
      <c r="H2388" t="s">
        <v>1292</v>
      </c>
      <c r="I2388">
        <v>0</v>
      </c>
      <c r="J2388" t="s">
        <v>1292</v>
      </c>
      <c r="K2388">
        <v>0</v>
      </c>
      <c r="L2388" t="s">
        <v>1292</v>
      </c>
      <c r="M2388">
        <v>0</v>
      </c>
      <c r="N2388" t="s">
        <v>1292</v>
      </c>
      <c r="O2388">
        <v>0</v>
      </c>
      <c r="P2388" t="s">
        <v>1102</v>
      </c>
      <c r="Q2388">
        <v>557</v>
      </c>
      <c r="R2388">
        <v>15.9</v>
      </c>
      <c r="S2388" s="2">
        <v>0</v>
      </c>
      <c r="T2388" t="s">
        <v>40</v>
      </c>
      <c r="U2388" t="s">
        <v>1292</v>
      </c>
      <c r="V2388" t="s">
        <v>5008</v>
      </c>
      <c r="W2388" t="s">
        <v>5009</v>
      </c>
      <c r="X2388" t="b">
        <v>0</v>
      </c>
      <c r="Y2388" t="b">
        <v>0</v>
      </c>
    </row>
    <row r="2389" spans="1:25">
      <c r="A2389">
        <v>1000482</v>
      </c>
      <c r="B2389" t="s">
        <v>4061</v>
      </c>
      <c r="C2389" t="s">
        <v>5010</v>
      </c>
      <c r="D2389" t="s">
        <v>1292</v>
      </c>
      <c r="E2389">
        <v>1000482</v>
      </c>
      <c r="F2389" t="s">
        <v>1292</v>
      </c>
      <c r="G2389">
        <v>0</v>
      </c>
      <c r="H2389" t="s">
        <v>1292</v>
      </c>
      <c r="I2389">
        <v>0</v>
      </c>
      <c r="J2389" t="s">
        <v>1292</v>
      </c>
      <c r="K2389">
        <v>0</v>
      </c>
      <c r="L2389" t="s">
        <v>1292</v>
      </c>
      <c r="M2389">
        <v>0</v>
      </c>
      <c r="N2389" t="s">
        <v>1292</v>
      </c>
      <c r="O2389">
        <v>0</v>
      </c>
      <c r="P2389" t="s">
        <v>4144</v>
      </c>
      <c r="Q2389" s="1">
        <v>7886</v>
      </c>
      <c r="R2389">
        <v>20.9</v>
      </c>
      <c r="S2389" s="2">
        <v>0</v>
      </c>
      <c r="T2389">
        <v>0.52013888888888893</v>
      </c>
      <c r="U2389" t="s">
        <v>1292</v>
      </c>
      <c r="V2389" t="s">
        <v>5010</v>
      </c>
      <c r="W2389" t="s">
        <v>5011</v>
      </c>
      <c r="X2389" t="b">
        <v>0</v>
      </c>
      <c r="Y2389" t="b">
        <v>0</v>
      </c>
    </row>
    <row r="2390" spans="1:25">
      <c r="A2390">
        <v>1000483</v>
      </c>
      <c r="B2390" t="s">
        <v>4061</v>
      </c>
      <c r="C2390" t="s">
        <v>5012</v>
      </c>
      <c r="D2390" t="s">
        <v>1292</v>
      </c>
      <c r="E2390">
        <v>1000483</v>
      </c>
      <c r="F2390" t="s">
        <v>1292</v>
      </c>
      <c r="G2390">
        <v>0</v>
      </c>
      <c r="H2390" t="s">
        <v>1292</v>
      </c>
      <c r="I2390">
        <v>0</v>
      </c>
      <c r="J2390" t="s">
        <v>1292</v>
      </c>
      <c r="K2390">
        <v>0</v>
      </c>
      <c r="L2390" t="s">
        <v>1292</v>
      </c>
      <c r="M2390">
        <v>0</v>
      </c>
      <c r="N2390" t="s">
        <v>1292</v>
      </c>
      <c r="O2390">
        <v>0</v>
      </c>
      <c r="P2390" t="s">
        <v>4144</v>
      </c>
      <c r="Q2390" s="1">
        <v>5094</v>
      </c>
      <c r="R2390">
        <v>14.1</v>
      </c>
      <c r="S2390" s="2">
        <v>0</v>
      </c>
      <c r="T2390" t="s">
        <v>336</v>
      </c>
      <c r="U2390" t="s">
        <v>1292</v>
      </c>
      <c r="V2390" t="s">
        <v>5012</v>
      </c>
      <c r="W2390" t="s">
        <v>5013</v>
      </c>
      <c r="X2390" t="b">
        <v>0</v>
      </c>
      <c r="Y2390" t="b">
        <v>0</v>
      </c>
    </row>
    <row r="2391" spans="1:25">
      <c r="A2391">
        <v>1000484</v>
      </c>
      <c r="B2391" t="s">
        <v>4061</v>
      </c>
      <c r="C2391" t="s">
        <v>5014</v>
      </c>
      <c r="D2391" t="s">
        <v>1292</v>
      </c>
      <c r="E2391">
        <v>1000484</v>
      </c>
      <c r="F2391" t="s">
        <v>1292</v>
      </c>
      <c r="G2391">
        <v>0</v>
      </c>
      <c r="H2391" t="s">
        <v>1292</v>
      </c>
      <c r="I2391">
        <v>0</v>
      </c>
      <c r="J2391" t="s">
        <v>1292</v>
      </c>
      <c r="K2391">
        <v>0</v>
      </c>
      <c r="L2391" t="s">
        <v>1292</v>
      </c>
      <c r="M2391">
        <v>0</v>
      </c>
      <c r="N2391" t="s">
        <v>1292</v>
      </c>
      <c r="O2391">
        <v>0</v>
      </c>
      <c r="P2391" t="s">
        <v>4144</v>
      </c>
      <c r="Q2391" s="1">
        <v>24148</v>
      </c>
      <c r="R2391">
        <v>25.8</v>
      </c>
      <c r="S2391" s="2">
        <v>0</v>
      </c>
      <c r="T2391" s="3">
        <v>2.2819444444444446</v>
      </c>
      <c r="U2391" s="2">
        <v>0.18</v>
      </c>
      <c r="V2391" t="s">
        <v>5014</v>
      </c>
      <c r="W2391" t="s">
        <v>5015</v>
      </c>
      <c r="X2391" t="b">
        <v>0</v>
      </c>
      <c r="Y2391" t="b">
        <v>0</v>
      </c>
    </row>
    <row r="2392" spans="1:25">
      <c r="A2392">
        <v>1000485</v>
      </c>
      <c r="B2392" t="s">
        <v>4061</v>
      </c>
      <c r="C2392" t="s">
        <v>5016</v>
      </c>
      <c r="D2392" t="s">
        <v>1292</v>
      </c>
      <c r="E2392">
        <v>1000485</v>
      </c>
      <c r="F2392" t="s">
        <v>1292</v>
      </c>
      <c r="G2392">
        <v>0</v>
      </c>
      <c r="H2392" t="s">
        <v>1292</v>
      </c>
      <c r="I2392">
        <v>0</v>
      </c>
      <c r="J2392" t="s">
        <v>1292</v>
      </c>
      <c r="K2392">
        <v>0</v>
      </c>
      <c r="L2392" t="s">
        <v>1292</v>
      </c>
      <c r="M2392">
        <v>0</v>
      </c>
      <c r="N2392" t="s">
        <v>1292</v>
      </c>
      <c r="O2392">
        <v>0</v>
      </c>
      <c r="P2392" t="s">
        <v>1306</v>
      </c>
      <c r="Q2392" s="1">
        <v>3187</v>
      </c>
      <c r="R2392">
        <v>13</v>
      </c>
      <c r="S2392" s="2">
        <v>0.02</v>
      </c>
      <c r="T2392" s="3">
        <v>2.4868055555555557</v>
      </c>
      <c r="U2392" s="2">
        <v>0.17</v>
      </c>
      <c r="V2392" t="s">
        <v>5016</v>
      </c>
      <c r="W2392" t="s">
        <v>5017</v>
      </c>
      <c r="X2392" t="b">
        <v>0</v>
      </c>
      <c r="Y2392" t="b">
        <v>0</v>
      </c>
    </row>
    <row r="2393" spans="1:25">
      <c r="A2393">
        <v>1000486</v>
      </c>
      <c r="B2393" t="s">
        <v>4061</v>
      </c>
      <c r="C2393" t="s">
        <v>5018</v>
      </c>
      <c r="D2393" t="s">
        <v>1292</v>
      </c>
      <c r="E2393">
        <v>1000486</v>
      </c>
      <c r="F2393" t="s">
        <v>1292</v>
      </c>
      <c r="G2393">
        <v>0</v>
      </c>
      <c r="H2393" t="s">
        <v>1292</v>
      </c>
      <c r="I2393">
        <v>0</v>
      </c>
      <c r="J2393" t="s">
        <v>1292</v>
      </c>
      <c r="K2393">
        <v>0</v>
      </c>
      <c r="L2393" t="s">
        <v>1292</v>
      </c>
      <c r="M2393">
        <v>0</v>
      </c>
      <c r="N2393" t="s">
        <v>1292</v>
      </c>
      <c r="O2393">
        <v>0</v>
      </c>
      <c r="P2393" t="s">
        <v>1895</v>
      </c>
      <c r="Q2393" s="1">
        <v>12885</v>
      </c>
      <c r="R2393">
        <v>13.2</v>
      </c>
      <c r="S2393" s="2">
        <v>0.13</v>
      </c>
      <c r="T2393" s="3">
        <v>1.7902777777777779</v>
      </c>
      <c r="U2393" s="2">
        <v>0.23</v>
      </c>
      <c r="V2393" t="s">
        <v>5018</v>
      </c>
      <c r="W2393" t="s">
        <v>5019</v>
      </c>
      <c r="X2393" t="b">
        <v>0</v>
      </c>
      <c r="Y2393" t="b">
        <v>0</v>
      </c>
    </row>
    <row r="2394" spans="1:25">
      <c r="A2394">
        <v>1000487</v>
      </c>
      <c r="B2394" t="s">
        <v>4061</v>
      </c>
      <c r="C2394" t="s">
        <v>5020</v>
      </c>
      <c r="D2394" t="s">
        <v>1292</v>
      </c>
      <c r="E2394">
        <v>1000487</v>
      </c>
      <c r="F2394" t="s">
        <v>1292</v>
      </c>
      <c r="G2394">
        <v>0</v>
      </c>
      <c r="H2394" t="s">
        <v>1292</v>
      </c>
      <c r="I2394">
        <v>0</v>
      </c>
      <c r="J2394" t="s">
        <v>1292</v>
      </c>
      <c r="K2394">
        <v>0</v>
      </c>
      <c r="L2394" t="s">
        <v>1292</v>
      </c>
      <c r="M2394">
        <v>0</v>
      </c>
      <c r="N2394" t="s">
        <v>1292</v>
      </c>
      <c r="O2394">
        <v>0</v>
      </c>
      <c r="P2394" t="s">
        <v>2484</v>
      </c>
      <c r="Q2394" s="1">
        <v>8139</v>
      </c>
      <c r="R2394">
        <v>13.2</v>
      </c>
      <c r="S2394" s="2">
        <v>0.02</v>
      </c>
      <c r="T2394" s="3">
        <v>2.036111111111111</v>
      </c>
      <c r="U2394" s="2">
        <v>0.19</v>
      </c>
      <c r="V2394" t="s">
        <v>5020</v>
      </c>
      <c r="W2394" t="s">
        <v>5021</v>
      </c>
      <c r="X2394" t="b">
        <v>0</v>
      </c>
      <c r="Y2394" t="b">
        <v>0</v>
      </c>
    </row>
    <row r="2395" spans="1:25">
      <c r="A2395">
        <v>1000489</v>
      </c>
      <c r="B2395" t="s">
        <v>4061</v>
      </c>
      <c r="C2395" t="s">
        <v>5022</v>
      </c>
      <c r="D2395" t="s">
        <v>1292</v>
      </c>
      <c r="E2395">
        <v>1000489</v>
      </c>
      <c r="F2395" t="s">
        <v>1292</v>
      </c>
      <c r="G2395">
        <v>0</v>
      </c>
      <c r="H2395" t="s">
        <v>1292</v>
      </c>
      <c r="I2395">
        <v>0</v>
      </c>
      <c r="J2395" t="s">
        <v>1292</v>
      </c>
      <c r="K2395">
        <v>0</v>
      </c>
      <c r="L2395" t="s">
        <v>1292</v>
      </c>
      <c r="M2395">
        <v>0</v>
      </c>
      <c r="N2395" t="s">
        <v>1292</v>
      </c>
      <c r="O2395">
        <v>0</v>
      </c>
      <c r="P2395" t="s">
        <v>26</v>
      </c>
      <c r="Q2395">
        <v>400</v>
      </c>
      <c r="R2395">
        <v>7.3</v>
      </c>
      <c r="S2395" s="2">
        <v>0.41</v>
      </c>
      <c r="T2395" s="3">
        <v>2.1180555555555554</v>
      </c>
      <c r="U2395" t="s">
        <v>1292</v>
      </c>
      <c r="V2395" t="s">
        <v>5022</v>
      </c>
      <c r="W2395" t="s">
        <v>4874</v>
      </c>
      <c r="X2395" t="b">
        <v>0</v>
      </c>
      <c r="Y2395" t="b">
        <v>0</v>
      </c>
    </row>
    <row r="2396" spans="1:25">
      <c r="A2396">
        <v>1000490</v>
      </c>
      <c r="B2396" t="s">
        <v>4061</v>
      </c>
      <c r="C2396" t="s">
        <v>5023</v>
      </c>
      <c r="D2396" t="s">
        <v>1292</v>
      </c>
      <c r="E2396">
        <v>1000490</v>
      </c>
      <c r="F2396" t="s">
        <v>1292</v>
      </c>
      <c r="G2396">
        <v>0</v>
      </c>
      <c r="H2396" t="s">
        <v>1292</v>
      </c>
      <c r="I2396">
        <v>0</v>
      </c>
      <c r="J2396" t="s">
        <v>1292</v>
      </c>
      <c r="K2396">
        <v>0</v>
      </c>
      <c r="L2396" t="s">
        <v>1292</v>
      </c>
      <c r="M2396">
        <v>0</v>
      </c>
      <c r="N2396" t="s">
        <v>1292</v>
      </c>
      <c r="O2396">
        <v>0</v>
      </c>
      <c r="P2396" t="s">
        <v>1123</v>
      </c>
      <c r="Q2396" s="1">
        <v>5361</v>
      </c>
      <c r="R2396">
        <v>10.1</v>
      </c>
      <c r="S2396" s="2">
        <v>0</v>
      </c>
      <c r="U2396" s="2">
        <v>0.27</v>
      </c>
      <c r="V2396" t="s">
        <v>5023</v>
      </c>
      <c r="W2396" t="s">
        <v>5024</v>
      </c>
      <c r="X2396" t="b">
        <v>0</v>
      </c>
      <c r="Y2396" t="b">
        <v>0</v>
      </c>
    </row>
    <row r="2397" spans="1:25">
      <c r="A2397">
        <v>1000491</v>
      </c>
      <c r="B2397" t="s">
        <v>4061</v>
      </c>
      <c r="C2397" t="s">
        <v>5025</v>
      </c>
      <c r="D2397" t="s">
        <v>1292</v>
      </c>
      <c r="E2397">
        <v>1000491</v>
      </c>
      <c r="F2397" t="s">
        <v>1292</v>
      </c>
      <c r="G2397">
        <v>0</v>
      </c>
      <c r="H2397" t="s">
        <v>1292</v>
      </c>
      <c r="I2397">
        <v>0</v>
      </c>
      <c r="J2397" t="s">
        <v>1292</v>
      </c>
      <c r="K2397">
        <v>0</v>
      </c>
      <c r="L2397" t="s">
        <v>1292</v>
      </c>
      <c r="M2397">
        <v>0</v>
      </c>
      <c r="N2397" t="s">
        <v>1292</v>
      </c>
      <c r="O2397">
        <v>0</v>
      </c>
      <c r="P2397" t="s">
        <v>1123</v>
      </c>
      <c r="Q2397" s="1">
        <v>11600</v>
      </c>
      <c r="R2397">
        <v>18.600000000000001</v>
      </c>
      <c r="S2397" s="2">
        <v>0.01</v>
      </c>
      <c r="T2397" s="3">
        <v>2.7326388888888888</v>
      </c>
      <c r="U2397" s="2">
        <v>0.18</v>
      </c>
      <c r="V2397" t="s">
        <v>5025</v>
      </c>
      <c r="W2397" t="s">
        <v>5026</v>
      </c>
      <c r="X2397" t="b">
        <v>0</v>
      </c>
      <c r="Y2397" t="b">
        <v>0</v>
      </c>
    </row>
    <row r="2398" spans="1:25">
      <c r="A2398">
        <v>1000492</v>
      </c>
      <c r="B2398" t="s">
        <v>4061</v>
      </c>
      <c r="C2398" t="s">
        <v>5027</v>
      </c>
      <c r="D2398" t="s">
        <v>1292</v>
      </c>
      <c r="E2398">
        <v>1000492</v>
      </c>
      <c r="F2398" t="s">
        <v>1292</v>
      </c>
      <c r="G2398">
        <v>0</v>
      </c>
      <c r="H2398" t="s">
        <v>1292</v>
      </c>
      <c r="I2398">
        <v>0</v>
      </c>
      <c r="J2398" t="s">
        <v>1292</v>
      </c>
      <c r="K2398">
        <v>0</v>
      </c>
      <c r="L2398" t="s">
        <v>1292</v>
      </c>
      <c r="M2398">
        <v>0</v>
      </c>
      <c r="N2398" t="s">
        <v>1292</v>
      </c>
      <c r="O2398">
        <v>0</v>
      </c>
      <c r="P2398" t="s">
        <v>1123</v>
      </c>
      <c r="Q2398" s="1">
        <v>3923</v>
      </c>
      <c r="R2398">
        <v>9.8000000000000007</v>
      </c>
      <c r="S2398" s="2">
        <v>0</v>
      </c>
      <c r="T2398" s="3">
        <v>2.036111111111111</v>
      </c>
      <c r="U2398" s="2">
        <v>0.23</v>
      </c>
      <c r="V2398" t="s">
        <v>5027</v>
      </c>
      <c r="W2398" t="s">
        <v>5028</v>
      </c>
      <c r="X2398" t="b">
        <v>0</v>
      </c>
      <c r="Y2398" t="b">
        <v>0</v>
      </c>
    </row>
    <row r="2399" spans="1:25">
      <c r="A2399">
        <v>1000493</v>
      </c>
      <c r="B2399" t="s">
        <v>4061</v>
      </c>
      <c r="C2399" t="s">
        <v>5029</v>
      </c>
      <c r="D2399" t="s">
        <v>1292</v>
      </c>
      <c r="E2399">
        <v>1000493</v>
      </c>
      <c r="F2399" t="s">
        <v>1292</v>
      </c>
      <c r="G2399">
        <v>0</v>
      </c>
      <c r="H2399" t="s">
        <v>1292</v>
      </c>
      <c r="I2399">
        <v>0</v>
      </c>
      <c r="J2399" t="s">
        <v>1292</v>
      </c>
      <c r="K2399">
        <v>0</v>
      </c>
      <c r="L2399" t="s">
        <v>1292</v>
      </c>
      <c r="M2399">
        <v>0</v>
      </c>
      <c r="N2399" t="s">
        <v>1292</v>
      </c>
      <c r="O2399">
        <v>0</v>
      </c>
      <c r="P2399" t="s">
        <v>4055</v>
      </c>
      <c r="Q2399" s="1">
        <v>5583</v>
      </c>
      <c r="R2399">
        <v>7.3</v>
      </c>
      <c r="S2399" s="2">
        <v>0.02</v>
      </c>
      <c r="T2399" t="s">
        <v>529</v>
      </c>
      <c r="U2399" s="2">
        <v>0.42</v>
      </c>
      <c r="V2399" t="s">
        <v>5029</v>
      </c>
      <c r="W2399" t="s">
        <v>5030</v>
      </c>
      <c r="X2399" t="b">
        <v>0</v>
      </c>
      <c r="Y2399" t="b">
        <v>0</v>
      </c>
    </row>
    <row r="2400" spans="1:25">
      <c r="A2400">
        <v>1000494</v>
      </c>
      <c r="B2400" t="s">
        <v>4061</v>
      </c>
      <c r="C2400" t="s">
        <v>5031</v>
      </c>
      <c r="D2400" t="s">
        <v>1292</v>
      </c>
      <c r="E2400">
        <v>1000494</v>
      </c>
      <c r="F2400" t="s">
        <v>1292</v>
      </c>
      <c r="G2400">
        <v>0</v>
      </c>
      <c r="H2400" t="s">
        <v>1292</v>
      </c>
      <c r="I2400">
        <v>0</v>
      </c>
      <c r="J2400" t="s">
        <v>1292</v>
      </c>
      <c r="K2400">
        <v>0</v>
      </c>
      <c r="L2400" t="s">
        <v>1292</v>
      </c>
      <c r="M2400">
        <v>0</v>
      </c>
      <c r="N2400" t="s">
        <v>1292</v>
      </c>
      <c r="O2400">
        <v>0</v>
      </c>
      <c r="P2400" t="s">
        <v>3726</v>
      </c>
      <c r="Q2400" s="1">
        <v>42123</v>
      </c>
      <c r="R2400">
        <v>32.4</v>
      </c>
      <c r="S2400" s="2">
        <v>0.02</v>
      </c>
      <c r="T2400" s="3">
        <v>2.3638888888888889</v>
      </c>
      <c r="U2400" s="2">
        <v>0.25</v>
      </c>
      <c r="V2400" t="s">
        <v>5031</v>
      </c>
      <c r="W2400" t="s">
        <v>5032</v>
      </c>
      <c r="X2400" t="b">
        <v>0</v>
      </c>
      <c r="Y2400" t="b">
        <v>0</v>
      </c>
    </row>
    <row r="2401" spans="1:25">
      <c r="A2401">
        <v>1000495</v>
      </c>
      <c r="B2401" t="s">
        <v>4061</v>
      </c>
      <c r="C2401" t="s">
        <v>5033</v>
      </c>
      <c r="D2401" t="s">
        <v>1292</v>
      </c>
      <c r="E2401">
        <v>1000495</v>
      </c>
      <c r="F2401" t="s">
        <v>1292</v>
      </c>
      <c r="G2401">
        <v>0</v>
      </c>
      <c r="H2401" t="s">
        <v>1292</v>
      </c>
      <c r="I2401">
        <v>0</v>
      </c>
      <c r="J2401" t="s">
        <v>1292</v>
      </c>
      <c r="K2401">
        <v>0</v>
      </c>
      <c r="L2401" t="s">
        <v>1292</v>
      </c>
      <c r="M2401">
        <v>0</v>
      </c>
      <c r="N2401" t="s">
        <v>1292</v>
      </c>
      <c r="O2401">
        <v>0</v>
      </c>
      <c r="P2401" t="s">
        <v>2290</v>
      </c>
      <c r="Q2401">
        <v>200</v>
      </c>
      <c r="R2401">
        <v>12.5</v>
      </c>
      <c r="S2401" s="2">
        <v>0</v>
      </c>
      <c r="T2401" s="3">
        <v>2.7736111111111112</v>
      </c>
      <c r="U2401" t="s">
        <v>1292</v>
      </c>
      <c r="V2401" t="s">
        <v>5033</v>
      </c>
      <c r="W2401" t="s">
        <v>5034</v>
      </c>
      <c r="X2401" t="b">
        <v>0</v>
      </c>
      <c r="Y2401" t="b">
        <v>0</v>
      </c>
    </row>
    <row r="2402" spans="1:25">
      <c r="A2402">
        <v>1000496</v>
      </c>
      <c r="B2402" t="s">
        <v>4061</v>
      </c>
      <c r="C2402" t="s">
        <v>5035</v>
      </c>
      <c r="D2402" t="s">
        <v>1292</v>
      </c>
      <c r="E2402">
        <v>1000496</v>
      </c>
      <c r="F2402" t="s">
        <v>1292</v>
      </c>
      <c r="G2402">
        <v>0</v>
      </c>
      <c r="H2402" t="s">
        <v>1292</v>
      </c>
      <c r="I2402">
        <v>0</v>
      </c>
      <c r="J2402" t="s">
        <v>1292</v>
      </c>
      <c r="K2402">
        <v>0</v>
      </c>
      <c r="L2402" t="s">
        <v>1292</v>
      </c>
      <c r="M2402">
        <v>0</v>
      </c>
      <c r="N2402" t="s">
        <v>1292</v>
      </c>
      <c r="O2402">
        <v>0</v>
      </c>
      <c r="P2402" t="s">
        <v>1733</v>
      </c>
      <c r="Q2402" s="1">
        <v>5230</v>
      </c>
      <c r="R2402">
        <v>18.2</v>
      </c>
      <c r="S2402" s="2">
        <v>0.1</v>
      </c>
      <c r="T2402" s="3">
        <v>2.4458333333333333</v>
      </c>
      <c r="U2402" t="s">
        <v>1292</v>
      </c>
      <c r="V2402" t="s">
        <v>5035</v>
      </c>
      <c r="W2402" t="s">
        <v>5036</v>
      </c>
      <c r="X2402" t="b">
        <v>0</v>
      </c>
      <c r="Y2402" t="b">
        <v>0</v>
      </c>
    </row>
    <row r="2403" spans="1:25">
      <c r="A2403">
        <v>1000497</v>
      </c>
      <c r="B2403" t="s">
        <v>4061</v>
      </c>
      <c r="C2403" t="s">
        <v>5037</v>
      </c>
      <c r="D2403" t="s">
        <v>1292</v>
      </c>
      <c r="E2403">
        <v>1000497</v>
      </c>
      <c r="F2403" t="s">
        <v>1292</v>
      </c>
      <c r="G2403">
        <v>0</v>
      </c>
      <c r="H2403" t="s">
        <v>1292</v>
      </c>
      <c r="I2403">
        <v>0</v>
      </c>
      <c r="J2403" t="s">
        <v>1292</v>
      </c>
      <c r="K2403">
        <v>0</v>
      </c>
      <c r="L2403" t="s">
        <v>1292</v>
      </c>
      <c r="M2403">
        <v>0</v>
      </c>
      <c r="N2403" t="s">
        <v>1292</v>
      </c>
      <c r="O2403">
        <v>0</v>
      </c>
      <c r="P2403" t="s">
        <v>5038</v>
      </c>
      <c r="Q2403" s="1">
        <v>6323</v>
      </c>
      <c r="R2403">
        <v>15.1</v>
      </c>
      <c r="S2403" s="2">
        <v>0.05</v>
      </c>
      <c r="T2403" s="3">
        <v>2.1590277777777778</v>
      </c>
      <c r="U2403" s="2">
        <v>0.22</v>
      </c>
      <c r="V2403" t="s">
        <v>5037</v>
      </c>
      <c r="W2403" t="s">
        <v>5039</v>
      </c>
      <c r="X2403" t="b">
        <v>0</v>
      </c>
      <c r="Y2403" t="b">
        <v>0</v>
      </c>
    </row>
    <row r="2404" spans="1:25">
      <c r="A2404">
        <v>1000498</v>
      </c>
      <c r="B2404" t="s">
        <v>4061</v>
      </c>
      <c r="C2404" t="s">
        <v>5040</v>
      </c>
      <c r="D2404" t="s">
        <v>1292</v>
      </c>
      <c r="E2404">
        <v>1000498</v>
      </c>
      <c r="F2404" t="s">
        <v>1292</v>
      </c>
      <c r="G2404">
        <v>0</v>
      </c>
      <c r="H2404" t="s">
        <v>1292</v>
      </c>
      <c r="I2404">
        <v>0</v>
      </c>
      <c r="J2404" t="s">
        <v>1292</v>
      </c>
      <c r="K2404">
        <v>0</v>
      </c>
      <c r="L2404" t="s">
        <v>1292</v>
      </c>
      <c r="M2404">
        <v>0</v>
      </c>
      <c r="N2404" t="s">
        <v>1292</v>
      </c>
      <c r="O2404">
        <v>0</v>
      </c>
      <c r="P2404" t="s">
        <v>1102</v>
      </c>
      <c r="Q2404" s="1">
        <v>3766</v>
      </c>
      <c r="R2404">
        <v>18.8</v>
      </c>
      <c r="S2404" s="2">
        <v>0</v>
      </c>
      <c r="T2404" t="s">
        <v>357</v>
      </c>
      <c r="U2404" s="2">
        <v>0.37</v>
      </c>
      <c r="V2404" t="s">
        <v>5040</v>
      </c>
      <c r="W2404" t="s">
        <v>5041</v>
      </c>
      <c r="X2404" t="b">
        <v>0</v>
      </c>
      <c r="Y2404" t="b">
        <v>0</v>
      </c>
    </row>
    <row r="2405" spans="1:25">
      <c r="A2405">
        <v>1000499</v>
      </c>
      <c r="B2405" t="s">
        <v>4061</v>
      </c>
      <c r="C2405" t="s">
        <v>5042</v>
      </c>
      <c r="D2405" t="s">
        <v>1292</v>
      </c>
      <c r="E2405">
        <v>1000499</v>
      </c>
      <c r="F2405" t="s">
        <v>1292</v>
      </c>
      <c r="G2405">
        <v>0</v>
      </c>
      <c r="H2405" t="s">
        <v>1292</v>
      </c>
      <c r="I2405">
        <v>0</v>
      </c>
      <c r="J2405" t="s">
        <v>1292</v>
      </c>
      <c r="K2405">
        <v>0</v>
      </c>
      <c r="L2405" t="s">
        <v>1292</v>
      </c>
      <c r="M2405">
        <v>0</v>
      </c>
      <c r="N2405" t="s">
        <v>1292</v>
      </c>
      <c r="O2405">
        <v>0</v>
      </c>
      <c r="P2405" t="s">
        <v>1123</v>
      </c>
      <c r="Q2405" s="1">
        <v>6220</v>
      </c>
      <c r="R2405">
        <v>10.199999999999999</v>
      </c>
      <c r="S2405" s="2">
        <v>0.03</v>
      </c>
      <c r="T2405" t="s">
        <v>336</v>
      </c>
      <c r="U2405" s="2">
        <v>0.5</v>
      </c>
      <c r="V2405" t="s">
        <v>5042</v>
      </c>
      <c r="W2405" t="s">
        <v>5043</v>
      </c>
      <c r="X2405" t="b">
        <v>0</v>
      </c>
      <c r="Y2405" t="b">
        <v>0</v>
      </c>
    </row>
    <row r="2406" spans="1:25">
      <c r="A2406">
        <v>1000500</v>
      </c>
      <c r="B2406" t="s">
        <v>4061</v>
      </c>
      <c r="C2406" t="s">
        <v>5044</v>
      </c>
      <c r="D2406" t="s">
        <v>1292</v>
      </c>
      <c r="E2406">
        <v>1000500</v>
      </c>
      <c r="F2406" t="s">
        <v>1292</v>
      </c>
      <c r="G2406">
        <v>0</v>
      </c>
      <c r="H2406" t="s">
        <v>1292</v>
      </c>
      <c r="I2406">
        <v>0</v>
      </c>
      <c r="J2406" t="s">
        <v>1292</v>
      </c>
      <c r="K2406">
        <v>0</v>
      </c>
      <c r="L2406" t="s">
        <v>1292</v>
      </c>
      <c r="M2406">
        <v>0</v>
      </c>
      <c r="N2406" t="s">
        <v>1292</v>
      </c>
      <c r="O2406">
        <v>0</v>
      </c>
      <c r="P2406" t="s">
        <v>1123</v>
      </c>
      <c r="Q2406" s="1">
        <v>6356</v>
      </c>
      <c r="R2406">
        <v>16.100000000000001</v>
      </c>
      <c r="S2406" s="2">
        <v>0.02</v>
      </c>
      <c r="T2406" t="s">
        <v>51</v>
      </c>
      <c r="U2406" s="2">
        <v>0.5</v>
      </c>
      <c r="V2406" t="s">
        <v>5044</v>
      </c>
      <c r="W2406" t="s">
        <v>5045</v>
      </c>
      <c r="X2406" t="b">
        <v>0</v>
      </c>
      <c r="Y2406" t="b">
        <v>0</v>
      </c>
    </row>
    <row r="2407" spans="1:25">
      <c r="A2407">
        <v>1000501</v>
      </c>
      <c r="B2407" t="s">
        <v>4061</v>
      </c>
      <c r="C2407" t="s">
        <v>5046</v>
      </c>
      <c r="D2407" t="s">
        <v>1292</v>
      </c>
      <c r="E2407">
        <v>1000501</v>
      </c>
      <c r="F2407" t="s">
        <v>1292</v>
      </c>
      <c r="G2407">
        <v>0</v>
      </c>
      <c r="H2407" t="s">
        <v>1292</v>
      </c>
      <c r="I2407">
        <v>0</v>
      </c>
      <c r="J2407" t="s">
        <v>1292</v>
      </c>
      <c r="K2407">
        <v>0</v>
      </c>
      <c r="L2407" t="s">
        <v>1292</v>
      </c>
      <c r="M2407">
        <v>0</v>
      </c>
      <c r="N2407" t="s">
        <v>1292</v>
      </c>
      <c r="O2407">
        <v>0</v>
      </c>
      <c r="P2407" t="s">
        <v>1123</v>
      </c>
      <c r="Q2407" s="1">
        <v>5356</v>
      </c>
      <c r="R2407">
        <v>8.6999999999999993</v>
      </c>
      <c r="S2407" s="2">
        <v>0.09</v>
      </c>
      <c r="T2407" s="3">
        <v>2.2409722222222221</v>
      </c>
      <c r="U2407" s="2">
        <v>0.41</v>
      </c>
      <c r="V2407" t="s">
        <v>5046</v>
      </c>
      <c r="W2407" t="s">
        <v>5047</v>
      </c>
      <c r="X2407" t="b">
        <v>0</v>
      </c>
      <c r="Y2407" t="b">
        <v>0</v>
      </c>
    </row>
    <row r="2408" spans="1:25">
      <c r="A2408">
        <v>1000502</v>
      </c>
      <c r="B2408" t="s">
        <v>4061</v>
      </c>
      <c r="C2408" t="s">
        <v>5048</v>
      </c>
      <c r="D2408" t="s">
        <v>1292</v>
      </c>
      <c r="E2408">
        <v>1000502</v>
      </c>
      <c r="F2408" t="s">
        <v>1292</v>
      </c>
      <c r="G2408">
        <v>0</v>
      </c>
      <c r="H2408" t="s">
        <v>1292</v>
      </c>
      <c r="I2408">
        <v>0</v>
      </c>
      <c r="J2408" t="s">
        <v>1292</v>
      </c>
      <c r="K2408">
        <v>0</v>
      </c>
      <c r="L2408" t="s">
        <v>1292</v>
      </c>
      <c r="M2408">
        <v>0</v>
      </c>
      <c r="N2408" t="s">
        <v>1292</v>
      </c>
      <c r="O2408">
        <v>0</v>
      </c>
      <c r="P2408" t="s">
        <v>4144</v>
      </c>
      <c r="Q2408" s="1">
        <v>10178</v>
      </c>
      <c r="R2408">
        <v>26.4</v>
      </c>
      <c r="S2408" s="2">
        <v>0</v>
      </c>
      <c r="T2408" s="3">
        <v>2.5687500000000001</v>
      </c>
      <c r="U2408" s="2">
        <v>0.22</v>
      </c>
      <c r="V2408" t="s">
        <v>5048</v>
      </c>
      <c r="W2408" t="s">
        <v>5049</v>
      </c>
      <c r="X2408" t="b">
        <v>0</v>
      </c>
      <c r="Y2408" t="b">
        <v>0</v>
      </c>
    </row>
    <row r="2409" spans="1:25">
      <c r="A2409">
        <v>1000503</v>
      </c>
      <c r="B2409" t="s">
        <v>4061</v>
      </c>
      <c r="C2409" t="s">
        <v>5050</v>
      </c>
      <c r="D2409" t="s">
        <v>1292</v>
      </c>
      <c r="E2409">
        <v>1000503</v>
      </c>
      <c r="F2409" t="s">
        <v>1292</v>
      </c>
      <c r="G2409">
        <v>0</v>
      </c>
      <c r="H2409" t="s">
        <v>1292</v>
      </c>
      <c r="I2409">
        <v>0</v>
      </c>
      <c r="J2409" t="s">
        <v>1292</v>
      </c>
      <c r="K2409">
        <v>0</v>
      </c>
      <c r="L2409" t="s">
        <v>1292</v>
      </c>
      <c r="M2409">
        <v>0</v>
      </c>
      <c r="N2409" t="s">
        <v>1292</v>
      </c>
      <c r="O2409">
        <v>0</v>
      </c>
      <c r="P2409" t="s">
        <v>528</v>
      </c>
      <c r="Q2409" s="1">
        <v>6676</v>
      </c>
      <c r="R2409">
        <v>14.6</v>
      </c>
      <c r="S2409" s="2">
        <v>0.03</v>
      </c>
      <c r="T2409">
        <v>0.6430555555555556</v>
      </c>
      <c r="U2409" s="2">
        <v>0.43</v>
      </c>
      <c r="V2409" t="s">
        <v>5050</v>
      </c>
      <c r="W2409" t="s">
        <v>5051</v>
      </c>
      <c r="X2409" t="b">
        <v>0</v>
      </c>
      <c r="Y2409" t="b">
        <v>0</v>
      </c>
    </row>
    <row r="2410" spans="1:25">
      <c r="A2410">
        <v>1000504</v>
      </c>
      <c r="B2410" t="s">
        <v>4061</v>
      </c>
      <c r="C2410" t="s">
        <v>5052</v>
      </c>
      <c r="D2410" t="s">
        <v>1292</v>
      </c>
      <c r="E2410">
        <v>1000504</v>
      </c>
      <c r="F2410" t="s">
        <v>1292</v>
      </c>
      <c r="G2410">
        <v>0</v>
      </c>
      <c r="H2410" t="s">
        <v>1292</v>
      </c>
      <c r="I2410">
        <v>0</v>
      </c>
      <c r="J2410" t="s">
        <v>1292</v>
      </c>
      <c r="K2410">
        <v>0</v>
      </c>
      <c r="L2410" t="s">
        <v>1292</v>
      </c>
      <c r="M2410">
        <v>0</v>
      </c>
      <c r="N2410" t="s">
        <v>1292</v>
      </c>
      <c r="O2410">
        <v>0</v>
      </c>
      <c r="P2410" t="s">
        <v>1895</v>
      </c>
      <c r="Q2410" s="1">
        <v>19323</v>
      </c>
      <c r="R2410">
        <v>23.4</v>
      </c>
      <c r="S2410" s="2">
        <v>0</v>
      </c>
      <c r="T2410" s="3">
        <v>1.8722222222222222</v>
      </c>
      <c r="U2410" s="2">
        <v>0.25</v>
      </c>
      <c r="V2410" t="s">
        <v>5052</v>
      </c>
      <c r="W2410" t="s">
        <v>5053</v>
      </c>
      <c r="X2410" t="b">
        <v>0</v>
      </c>
      <c r="Y2410" t="b">
        <v>0</v>
      </c>
    </row>
    <row r="2411" spans="1:25">
      <c r="A2411">
        <v>1000505</v>
      </c>
      <c r="B2411" t="s">
        <v>4061</v>
      </c>
      <c r="C2411" t="s">
        <v>5054</v>
      </c>
      <c r="D2411" t="s">
        <v>1292</v>
      </c>
      <c r="E2411">
        <v>1000505</v>
      </c>
      <c r="F2411" t="s">
        <v>1292</v>
      </c>
      <c r="G2411">
        <v>0</v>
      </c>
      <c r="H2411" t="s">
        <v>1292</v>
      </c>
      <c r="I2411">
        <v>0</v>
      </c>
      <c r="J2411" t="s">
        <v>1292</v>
      </c>
      <c r="K2411">
        <v>0</v>
      </c>
      <c r="L2411" t="s">
        <v>1292</v>
      </c>
      <c r="M2411">
        <v>0</v>
      </c>
      <c r="N2411" t="s">
        <v>1292</v>
      </c>
      <c r="O2411">
        <v>0</v>
      </c>
      <c r="P2411" t="s">
        <v>94</v>
      </c>
      <c r="Q2411" s="1">
        <v>1556</v>
      </c>
      <c r="R2411">
        <v>17.7</v>
      </c>
      <c r="S2411" s="2">
        <v>0.04</v>
      </c>
      <c r="T2411" s="3">
        <v>2.1180555555555554</v>
      </c>
      <c r="U2411" s="2">
        <v>0.11</v>
      </c>
      <c r="V2411" t="s">
        <v>5054</v>
      </c>
      <c r="W2411" t="s">
        <v>4828</v>
      </c>
      <c r="X2411" t="b">
        <v>0</v>
      </c>
      <c r="Y2411" t="b">
        <v>0</v>
      </c>
    </row>
    <row r="2412" spans="1:25">
      <c r="A2412">
        <v>1000506</v>
      </c>
      <c r="B2412" t="s">
        <v>4061</v>
      </c>
      <c r="C2412" t="s">
        <v>5055</v>
      </c>
      <c r="D2412" t="s">
        <v>1292</v>
      </c>
      <c r="E2412">
        <v>1000506</v>
      </c>
      <c r="F2412" t="s">
        <v>1292</v>
      </c>
      <c r="G2412">
        <v>0</v>
      </c>
      <c r="H2412" t="s">
        <v>1292</v>
      </c>
      <c r="I2412">
        <v>0</v>
      </c>
      <c r="J2412" t="s">
        <v>1292</v>
      </c>
      <c r="K2412">
        <v>0</v>
      </c>
      <c r="L2412" t="s">
        <v>1292</v>
      </c>
      <c r="M2412">
        <v>0</v>
      </c>
      <c r="N2412" t="s">
        <v>1292</v>
      </c>
      <c r="O2412">
        <v>0</v>
      </c>
      <c r="P2412" t="s">
        <v>94</v>
      </c>
      <c r="Q2412" s="1">
        <v>4577</v>
      </c>
      <c r="R2412">
        <v>17.3</v>
      </c>
      <c r="S2412" s="2">
        <v>0.01</v>
      </c>
      <c r="T2412" s="3">
        <v>2.1590277777777778</v>
      </c>
      <c r="U2412" s="2">
        <v>0.08</v>
      </c>
      <c r="V2412" t="s">
        <v>5055</v>
      </c>
      <c r="W2412" t="s">
        <v>5056</v>
      </c>
      <c r="X2412" t="b">
        <v>0</v>
      </c>
      <c r="Y2412" t="b">
        <v>0</v>
      </c>
    </row>
    <row r="2413" spans="1:25">
      <c r="A2413">
        <v>1000507</v>
      </c>
      <c r="B2413" t="s">
        <v>4061</v>
      </c>
      <c r="C2413" t="s">
        <v>5057</v>
      </c>
      <c r="D2413" t="s">
        <v>1292</v>
      </c>
      <c r="E2413">
        <v>1000507</v>
      </c>
      <c r="F2413" t="s">
        <v>1292</v>
      </c>
      <c r="G2413">
        <v>0</v>
      </c>
      <c r="H2413" t="s">
        <v>1292</v>
      </c>
      <c r="I2413">
        <v>0</v>
      </c>
      <c r="J2413" t="s">
        <v>1292</v>
      </c>
      <c r="K2413">
        <v>0</v>
      </c>
      <c r="L2413" t="s">
        <v>1292</v>
      </c>
      <c r="M2413">
        <v>0</v>
      </c>
      <c r="N2413" t="s">
        <v>1292</v>
      </c>
      <c r="O2413">
        <v>0</v>
      </c>
      <c r="P2413" t="s">
        <v>94</v>
      </c>
      <c r="Q2413" s="1">
        <v>1309</v>
      </c>
      <c r="R2413">
        <v>16</v>
      </c>
      <c r="S2413" s="2">
        <v>0.01</v>
      </c>
      <c r="T2413" s="3">
        <v>3.0604166666666668</v>
      </c>
      <c r="U2413" s="2">
        <v>0.09</v>
      </c>
      <c r="V2413" t="s">
        <v>5057</v>
      </c>
      <c r="W2413" t="s">
        <v>5058</v>
      </c>
      <c r="X2413" t="b">
        <v>0</v>
      </c>
      <c r="Y2413" t="b">
        <v>0</v>
      </c>
    </row>
    <row r="2414" spans="1:25">
      <c r="A2414">
        <v>1000508</v>
      </c>
      <c r="B2414" t="s">
        <v>4061</v>
      </c>
      <c r="C2414" t="s">
        <v>5059</v>
      </c>
      <c r="D2414" t="s">
        <v>1292</v>
      </c>
      <c r="E2414">
        <v>1000508</v>
      </c>
      <c r="F2414" t="s">
        <v>1292</v>
      </c>
      <c r="G2414">
        <v>0</v>
      </c>
      <c r="H2414" t="s">
        <v>1292</v>
      </c>
      <c r="I2414">
        <v>0</v>
      </c>
      <c r="J2414" t="s">
        <v>1292</v>
      </c>
      <c r="K2414">
        <v>0</v>
      </c>
      <c r="L2414" t="s">
        <v>1292</v>
      </c>
      <c r="M2414">
        <v>0</v>
      </c>
      <c r="N2414" t="s">
        <v>1292</v>
      </c>
      <c r="O2414">
        <v>0</v>
      </c>
      <c r="P2414" t="s">
        <v>2157</v>
      </c>
      <c r="Q2414" s="1">
        <v>4517</v>
      </c>
      <c r="R2414">
        <v>14.6</v>
      </c>
      <c r="S2414" s="2">
        <v>0</v>
      </c>
      <c r="T2414" s="3">
        <v>1.7902777777777779</v>
      </c>
      <c r="U2414" t="s">
        <v>1292</v>
      </c>
      <c r="V2414" t="s">
        <v>5059</v>
      </c>
      <c r="W2414" t="s">
        <v>5060</v>
      </c>
      <c r="X2414" t="b">
        <v>0</v>
      </c>
      <c r="Y2414" t="b">
        <v>0</v>
      </c>
    </row>
    <row r="2415" spans="1:25">
      <c r="A2415">
        <v>1000509</v>
      </c>
      <c r="B2415" t="s">
        <v>4061</v>
      </c>
      <c r="C2415" t="s">
        <v>5061</v>
      </c>
      <c r="D2415" t="s">
        <v>1292</v>
      </c>
      <c r="E2415">
        <v>1000509</v>
      </c>
      <c r="F2415" t="s">
        <v>1292</v>
      </c>
      <c r="G2415">
        <v>0</v>
      </c>
      <c r="H2415" t="s">
        <v>1292</v>
      </c>
      <c r="I2415">
        <v>0</v>
      </c>
      <c r="J2415" t="s">
        <v>1292</v>
      </c>
      <c r="K2415">
        <v>0</v>
      </c>
      <c r="L2415" t="s">
        <v>1292</v>
      </c>
      <c r="M2415">
        <v>0</v>
      </c>
      <c r="N2415" t="s">
        <v>1292</v>
      </c>
      <c r="O2415">
        <v>0</v>
      </c>
      <c r="P2415" t="s">
        <v>528</v>
      </c>
      <c r="Q2415" s="1">
        <v>4551</v>
      </c>
      <c r="R2415">
        <v>8.1</v>
      </c>
      <c r="S2415" s="2">
        <v>0.01</v>
      </c>
      <c r="T2415" s="3">
        <v>2.7736111111111112</v>
      </c>
      <c r="U2415" t="s">
        <v>1292</v>
      </c>
      <c r="V2415" t="s">
        <v>5061</v>
      </c>
      <c r="W2415" t="s">
        <v>5062</v>
      </c>
      <c r="X2415" t="b">
        <v>0</v>
      </c>
      <c r="Y2415" t="b">
        <v>0</v>
      </c>
    </row>
    <row r="2416" spans="1:25">
      <c r="A2416">
        <v>1000510</v>
      </c>
      <c r="B2416" t="s">
        <v>4061</v>
      </c>
      <c r="C2416" t="s">
        <v>5063</v>
      </c>
      <c r="D2416" t="s">
        <v>1292</v>
      </c>
      <c r="E2416">
        <v>1000510</v>
      </c>
      <c r="F2416" t="s">
        <v>1292</v>
      </c>
      <c r="G2416">
        <v>0</v>
      </c>
      <c r="H2416" t="s">
        <v>1292</v>
      </c>
      <c r="I2416">
        <v>0</v>
      </c>
      <c r="J2416" t="s">
        <v>1292</v>
      </c>
      <c r="K2416">
        <v>0</v>
      </c>
      <c r="L2416" t="s">
        <v>1292</v>
      </c>
      <c r="M2416">
        <v>0</v>
      </c>
      <c r="N2416" t="s">
        <v>1292</v>
      </c>
      <c r="O2416">
        <v>0</v>
      </c>
      <c r="P2416" t="s">
        <v>26</v>
      </c>
      <c r="Q2416" s="1">
        <v>10145</v>
      </c>
      <c r="R2416">
        <v>17.600000000000001</v>
      </c>
      <c r="S2416" s="2">
        <v>0.32</v>
      </c>
      <c r="T2416" s="3">
        <v>2.6916666666666669</v>
      </c>
      <c r="U2416" s="2">
        <v>0.25</v>
      </c>
      <c r="V2416" t="s">
        <v>5063</v>
      </c>
      <c r="W2416" t="s">
        <v>5064</v>
      </c>
      <c r="X2416" t="b">
        <v>0</v>
      </c>
      <c r="Y2416" t="b">
        <v>0</v>
      </c>
    </row>
    <row r="2417" spans="1:25">
      <c r="A2417">
        <v>1000511</v>
      </c>
      <c r="B2417" t="s">
        <v>4061</v>
      </c>
      <c r="C2417" t="s">
        <v>5065</v>
      </c>
      <c r="D2417" t="s">
        <v>1292</v>
      </c>
      <c r="E2417">
        <v>1000511</v>
      </c>
      <c r="F2417" t="s">
        <v>1292</v>
      </c>
      <c r="G2417">
        <v>0</v>
      </c>
      <c r="H2417" t="s">
        <v>1292</v>
      </c>
      <c r="I2417">
        <v>0</v>
      </c>
      <c r="J2417" t="s">
        <v>1292</v>
      </c>
      <c r="K2417">
        <v>0</v>
      </c>
      <c r="L2417" t="s">
        <v>1292</v>
      </c>
      <c r="M2417">
        <v>0</v>
      </c>
      <c r="N2417" t="s">
        <v>1292</v>
      </c>
      <c r="O2417">
        <v>0</v>
      </c>
      <c r="P2417" t="s">
        <v>29</v>
      </c>
      <c r="Q2417">
        <v>989</v>
      </c>
      <c r="R2417">
        <v>10.4</v>
      </c>
      <c r="S2417" s="2">
        <v>0</v>
      </c>
      <c r="T2417" s="3">
        <v>2.3229166666666665</v>
      </c>
      <c r="U2417" s="2">
        <v>0.05</v>
      </c>
      <c r="V2417" t="s">
        <v>5065</v>
      </c>
      <c r="W2417" t="s">
        <v>1823</v>
      </c>
      <c r="X2417" t="b">
        <v>0</v>
      </c>
      <c r="Y2417" t="b">
        <v>0</v>
      </c>
    </row>
    <row r="2418" spans="1:25">
      <c r="A2418">
        <v>1000512</v>
      </c>
      <c r="B2418" t="s">
        <v>4061</v>
      </c>
      <c r="C2418" t="s">
        <v>5066</v>
      </c>
      <c r="D2418" t="s">
        <v>1292</v>
      </c>
      <c r="E2418">
        <v>1000512</v>
      </c>
      <c r="F2418" t="s">
        <v>1292</v>
      </c>
      <c r="G2418">
        <v>0</v>
      </c>
      <c r="H2418" t="s">
        <v>1292</v>
      </c>
      <c r="I2418">
        <v>0</v>
      </c>
      <c r="J2418" t="s">
        <v>1292</v>
      </c>
      <c r="K2418">
        <v>0</v>
      </c>
      <c r="L2418" t="s">
        <v>1292</v>
      </c>
      <c r="M2418">
        <v>0</v>
      </c>
      <c r="N2418" t="s">
        <v>1292</v>
      </c>
      <c r="O2418">
        <v>0</v>
      </c>
      <c r="P2418" t="s">
        <v>534</v>
      </c>
      <c r="Q2418" s="1">
        <v>14875</v>
      </c>
      <c r="R2418">
        <v>11.5</v>
      </c>
      <c r="S2418" s="2">
        <v>0.02</v>
      </c>
      <c r="T2418" s="3">
        <v>2.7326388888888888</v>
      </c>
      <c r="U2418" s="2">
        <v>0.3</v>
      </c>
      <c r="V2418" t="s">
        <v>5066</v>
      </c>
      <c r="W2418" t="s">
        <v>5067</v>
      </c>
      <c r="X2418" t="b">
        <v>0</v>
      </c>
      <c r="Y2418" t="b">
        <v>0</v>
      </c>
    </row>
    <row r="2419" spans="1:25">
      <c r="A2419">
        <v>1000513</v>
      </c>
      <c r="B2419" t="s">
        <v>4061</v>
      </c>
      <c r="C2419" t="s">
        <v>5068</v>
      </c>
      <c r="D2419" t="s">
        <v>1292</v>
      </c>
      <c r="E2419">
        <v>1000513</v>
      </c>
      <c r="F2419" t="s">
        <v>1292</v>
      </c>
      <c r="G2419">
        <v>0</v>
      </c>
      <c r="H2419" t="s">
        <v>1292</v>
      </c>
      <c r="I2419">
        <v>0</v>
      </c>
      <c r="J2419" t="s">
        <v>1292</v>
      </c>
      <c r="K2419">
        <v>0</v>
      </c>
      <c r="L2419" t="s">
        <v>1292</v>
      </c>
      <c r="M2419">
        <v>0</v>
      </c>
      <c r="N2419" t="s">
        <v>1292</v>
      </c>
      <c r="O2419">
        <v>0</v>
      </c>
      <c r="P2419" t="s">
        <v>2157</v>
      </c>
      <c r="Q2419" s="1">
        <v>24000</v>
      </c>
      <c r="R2419">
        <v>30.9</v>
      </c>
      <c r="S2419" s="2">
        <v>0</v>
      </c>
      <c r="T2419" s="3">
        <v>1.9951388888888888</v>
      </c>
      <c r="U2419" s="2">
        <v>0.39</v>
      </c>
      <c r="V2419" t="s">
        <v>5068</v>
      </c>
      <c r="W2419" t="s">
        <v>5069</v>
      </c>
      <c r="X2419" t="b">
        <v>0</v>
      </c>
      <c r="Y2419" t="b">
        <v>0</v>
      </c>
    </row>
    <row r="2420" spans="1:25">
      <c r="A2420">
        <v>1000514</v>
      </c>
      <c r="B2420" t="s">
        <v>4061</v>
      </c>
      <c r="C2420" t="s">
        <v>5070</v>
      </c>
      <c r="D2420" t="s">
        <v>1292</v>
      </c>
      <c r="E2420">
        <v>1000514</v>
      </c>
      <c r="F2420" t="s">
        <v>1292</v>
      </c>
      <c r="G2420">
        <v>0</v>
      </c>
      <c r="H2420" t="s">
        <v>1292</v>
      </c>
      <c r="I2420">
        <v>0</v>
      </c>
      <c r="J2420" t="s">
        <v>1292</v>
      </c>
      <c r="K2420">
        <v>0</v>
      </c>
      <c r="L2420" t="s">
        <v>1292</v>
      </c>
      <c r="M2420">
        <v>0</v>
      </c>
      <c r="N2420" t="s">
        <v>1292</v>
      </c>
      <c r="O2420">
        <v>0</v>
      </c>
      <c r="P2420" t="s">
        <v>26</v>
      </c>
      <c r="Q2420" s="1">
        <v>2490</v>
      </c>
      <c r="R2420">
        <v>15.6</v>
      </c>
      <c r="S2420" s="2">
        <v>0.12</v>
      </c>
      <c r="T2420" s="3">
        <v>2.5687500000000001</v>
      </c>
      <c r="U2420" s="2">
        <v>0.14000000000000001</v>
      </c>
      <c r="V2420" t="s">
        <v>5070</v>
      </c>
      <c r="W2420" t="s">
        <v>5071</v>
      </c>
      <c r="X2420" t="b">
        <v>0</v>
      </c>
      <c r="Y2420" t="b">
        <v>0</v>
      </c>
    </row>
    <row r="2421" spans="1:25">
      <c r="A2421">
        <v>1000515</v>
      </c>
      <c r="B2421" t="s">
        <v>4061</v>
      </c>
      <c r="C2421" t="s">
        <v>5072</v>
      </c>
      <c r="D2421" t="s">
        <v>1292</v>
      </c>
      <c r="E2421">
        <v>1000515</v>
      </c>
      <c r="F2421" t="s">
        <v>1292</v>
      </c>
      <c r="G2421">
        <v>0</v>
      </c>
      <c r="H2421" t="s">
        <v>1292</v>
      </c>
      <c r="I2421">
        <v>0</v>
      </c>
      <c r="J2421" t="s">
        <v>1292</v>
      </c>
      <c r="K2421">
        <v>0</v>
      </c>
      <c r="L2421" t="s">
        <v>1292</v>
      </c>
      <c r="M2421">
        <v>0</v>
      </c>
      <c r="N2421" t="s">
        <v>1292</v>
      </c>
      <c r="O2421">
        <v>0</v>
      </c>
      <c r="P2421" t="s">
        <v>2290</v>
      </c>
      <c r="Q2421" s="1">
        <v>8000</v>
      </c>
      <c r="R2421">
        <v>33.200000000000003</v>
      </c>
      <c r="S2421" s="2">
        <v>0</v>
      </c>
      <c r="T2421">
        <v>6.9444444444444448E-2</v>
      </c>
      <c r="U2421" s="2">
        <v>0.35</v>
      </c>
      <c r="V2421" t="s">
        <v>5072</v>
      </c>
      <c r="W2421" t="s">
        <v>5073</v>
      </c>
      <c r="X2421" t="b">
        <v>0</v>
      </c>
      <c r="Y2421" t="b">
        <v>0</v>
      </c>
    </row>
    <row r="2422" spans="1:25">
      <c r="A2422">
        <v>1000516</v>
      </c>
      <c r="B2422" t="s">
        <v>4061</v>
      </c>
      <c r="C2422" t="s">
        <v>5074</v>
      </c>
      <c r="D2422" t="s">
        <v>1292</v>
      </c>
      <c r="E2422">
        <v>1000516</v>
      </c>
      <c r="F2422" t="s">
        <v>1292</v>
      </c>
      <c r="G2422">
        <v>0</v>
      </c>
      <c r="H2422" t="s">
        <v>1292</v>
      </c>
      <c r="I2422">
        <v>0</v>
      </c>
      <c r="J2422" t="s">
        <v>1292</v>
      </c>
      <c r="K2422">
        <v>0</v>
      </c>
      <c r="L2422" t="s">
        <v>1292</v>
      </c>
      <c r="M2422">
        <v>0</v>
      </c>
      <c r="N2422" t="s">
        <v>1292</v>
      </c>
      <c r="O2422">
        <v>0</v>
      </c>
      <c r="P2422" t="s">
        <v>2029</v>
      </c>
      <c r="Q2422">
        <v>405</v>
      </c>
      <c r="R2422">
        <v>3.2</v>
      </c>
      <c r="S2422" s="2">
        <v>0.55000000000000004</v>
      </c>
      <c r="T2422" s="3">
        <v>1.9951388888888888</v>
      </c>
      <c r="U2422" s="2">
        <v>0.41</v>
      </c>
      <c r="V2422" t="s">
        <v>5074</v>
      </c>
      <c r="W2422" t="s">
        <v>5075</v>
      </c>
      <c r="X2422" t="b">
        <v>0</v>
      </c>
      <c r="Y2422" t="b">
        <v>0</v>
      </c>
    </row>
    <row r="2423" spans="1:25">
      <c r="A2423">
        <v>1000517</v>
      </c>
      <c r="B2423" t="s">
        <v>4061</v>
      </c>
      <c r="C2423" t="s">
        <v>5076</v>
      </c>
      <c r="D2423" t="s">
        <v>1292</v>
      </c>
      <c r="E2423">
        <v>1000517</v>
      </c>
      <c r="F2423" t="s">
        <v>1292</v>
      </c>
      <c r="G2423">
        <v>0</v>
      </c>
      <c r="H2423" t="s">
        <v>1292</v>
      </c>
      <c r="I2423">
        <v>0</v>
      </c>
      <c r="J2423" t="s">
        <v>1292</v>
      </c>
      <c r="K2423">
        <v>0</v>
      </c>
      <c r="L2423" t="s">
        <v>1292</v>
      </c>
      <c r="M2423">
        <v>0</v>
      </c>
      <c r="N2423" t="s">
        <v>1292</v>
      </c>
      <c r="O2423">
        <v>0</v>
      </c>
      <c r="P2423" t="s">
        <v>255</v>
      </c>
      <c r="Q2423" s="1">
        <v>4093</v>
      </c>
      <c r="R2423">
        <v>8.3000000000000007</v>
      </c>
      <c r="S2423" s="2">
        <v>0.18</v>
      </c>
      <c r="T2423" s="3">
        <v>2.8555555555555556</v>
      </c>
      <c r="U2423" s="2">
        <v>0.26</v>
      </c>
      <c r="V2423" t="s">
        <v>5076</v>
      </c>
      <c r="W2423" t="s">
        <v>5077</v>
      </c>
      <c r="X2423" t="b">
        <v>0</v>
      </c>
      <c r="Y2423" t="b">
        <v>0</v>
      </c>
    </row>
    <row r="2424" spans="1:25">
      <c r="A2424">
        <v>1000518</v>
      </c>
      <c r="B2424" t="s">
        <v>4061</v>
      </c>
      <c r="C2424" t="s">
        <v>5078</v>
      </c>
      <c r="D2424" t="s">
        <v>1292</v>
      </c>
      <c r="E2424">
        <v>1000518</v>
      </c>
      <c r="F2424" t="s">
        <v>1292</v>
      </c>
      <c r="G2424">
        <v>0</v>
      </c>
      <c r="H2424" t="s">
        <v>1292</v>
      </c>
      <c r="I2424">
        <v>0</v>
      </c>
      <c r="J2424" t="s">
        <v>1292</v>
      </c>
      <c r="K2424">
        <v>0</v>
      </c>
      <c r="L2424" t="s">
        <v>1292</v>
      </c>
      <c r="M2424">
        <v>0</v>
      </c>
      <c r="N2424" t="s">
        <v>1292</v>
      </c>
      <c r="O2424">
        <v>0</v>
      </c>
      <c r="P2424" t="s">
        <v>2229</v>
      </c>
      <c r="Q2424" s="1">
        <v>29516</v>
      </c>
      <c r="R2424">
        <v>60</v>
      </c>
      <c r="S2424" s="2">
        <v>0.01</v>
      </c>
      <c r="T2424" s="3">
        <v>2.3638888888888889</v>
      </c>
      <c r="U2424" s="2">
        <v>0.23</v>
      </c>
      <c r="V2424" t="s">
        <v>5078</v>
      </c>
      <c r="W2424" t="s">
        <v>5079</v>
      </c>
      <c r="X2424" t="b">
        <v>0</v>
      </c>
      <c r="Y2424" t="b">
        <v>0</v>
      </c>
    </row>
    <row r="2425" spans="1:25">
      <c r="A2425">
        <v>1000519</v>
      </c>
      <c r="B2425" t="s">
        <v>4061</v>
      </c>
      <c r="C2425" t="s">
        <v>5080</v>
      </c>
      <c r="D2425" t="s">
        <v>1292</v>
      </c>
      <c r="E2425">
        <v>1000519</v>
      </c>
      <c r="F2425" t="s">
        <v>1292</v>
      </c>
      <c r="G2425">
        <v>0</v>
      </c>
      <c r="H2425" t="s">
        <v>1292</v>
      </c>
      <c r="I2425">
        <v>0</v>
      </c>
      <c r="J2425" t="s">
        <v>1292</v>
      </c>
      <c r="K2425">
        <v>0</v>
      </c>
      <c r="L2425" t="s">
        <v>1292</v>
      </c>
      <c r="M2425">
        <v>0</v>
      </c>
      <c r="N2425" t="s">
        <v>1292</v>
      </c>
      <c r="O2425">
        <v>0</v>
      </c>
      <c r="P2425" t="s">
        <v>4935</v>
      </c>
      <c r="Q2425" s="1">
        <v>3894</v>
      </c>
      <c r="R2425">
        <v>9.5</v>
      </c>
      <c r="S2425" s="2">
        <v>0</v>
      </c>
      <c r="T2425" s="3">
        <v>2.4048611111111109</v>
      </c>
      <c r="U2425" s="2">
        <v>0.28000000000000003</v>
      </c>
      <c r="V2425" t="s">
        <v>5080</v>
      </c>
      <c r="W2425" t="s">
        <v>5081</v>
      </c>
      <c r="X2425" t="b">
        <v>0</v>
      </c>
      <c r="Y2425" t="b">
        <v>0</v>
      </c>
    </row>
    <row r="2426" spans="1:25">
      <c r="A2426">
        <v>1000520</v>
      </c>
      <c r="B2426" t="s">
        <v>4061</v>
      </c>
      <c r="C2426" t="s">
        <v>5082</v>
      </c>
      <c r="D2426" t="s">
        <v>1292</v>
      </c>
      <c r="E2426">
        <v>1000520</v>
      </c>
      <c r="F2426" t="s">
        <v>1292</v>
      </c>
      <c r="G2426">
        <v>0</v>
      </c>
      <c r="H2426" t="s">
        <v>1292</v>
      </c>
      <c r="I2426">
        <v>0</v>
      </c>
      <c r="J2426" t="s">
        <v>1292</v>
      </c>
      <c r="K2426">
        <v>0</v>
      </c>
      <c r="L2426" t="s">
        <v>1292</v>
      </c>
      <c r="M2426">
        <v>0</v>
      </c>
      <c r="N2426" t="s">
        <v>1292</v>
      </c>
      <c r="O2426">
        <v>0</v>
      </c>
      <c r="P2426" t="s">
        <v>1483</v>
      </c>
      <c r="Q2426" s="1">
        <v>23151</v>
      </c>
      <c r="R2426">
        <v>11.9</v>
      </c>
      <c r="S2426" s="2">
        <v>0.04</v>
      </c>
      <c r="T2426" s="3">
        <v>2.036111111111111</v>
      </c>
      <c r="U2426" s="2">
        <v>0.17</v>
      </c>
      <c r="V2426" t="s">
        <v>5082</v>
      </c>
      <c r="W2426" t="s">
        <v>5083</v>
      </c>
      <c r="X2426" t="b">
        <v>0</v>
      </c>
      <c r="Y2426" t="b">
        <v>0</v>
      </c>
    </row>
    <row r="2427" spans="1:25">
      <c r="A2427">
        <v>1000521</v>
      </c>
      <c r="B2427" t="s">
        <v>4061</v>
      </c>
      <c r="C2427" t="s">
        <v>5084</v>
      </c>
      <c r="D2427" t="s">
        <v>1292</v>
      </c>
      <c r="E2427">
        <v>1000521</v>
      </c>
      <c r="F2427" t="s">
        <v>1292</v>
      </c>
      <c r="G2427">
        <v>0</v>
      </c>
      <c r="H2427" t="s">
        <v>1292</v>
      </c>
      <c r="I2427">
        <v>0</v>
      </c>
      <c r="J2427" t="s">
        <v>1292</v>
      </c>
      <c r="K2427">
        <v>0</v>
      </c>
      <c r="L2427" t="s">
        <v>1292</v>
      </c>
      <c r="M2427">
        <v>0</v>
      </c>
      <c r="N2427" t="s">
        <v>1292</v>
      </c>
      <c r="O2427">
        <v>0</v>
      </c>
      <c r="P2427" t="s">
        <v>1483</v>
      </c>
      <c r="Q2427" s="1">
        <v>11705</v>
      </c>
      <c r="R2427">
        <v>9.8000000000000007</v>
      </c>
      <c r="S2427" s="2">
        <v>0.01</v>
      </c>
      <c r="T2427" s="3">
        <v>2.1180555555555554</v>
      </c>
      <c r="U2427" t="s">
        <v>1292</v>
      </c>
      <c r="V2427" t="s">
        <v>5084</v>
      </c>
      <c r="W2427" t="s">
        <v>5085</v>
      </c>
      <c r="X2427" t="b">
        <v>0</v>
      </c>
      <c r="Y2427" t="b">
        <v>0</v>
      </c>
    </row>
    <row r="2428" spans="1:25">
      <c r="A2428">
        <v>1000522</v>
      </c>
      <c r="B2428" t="s">
        <v>4061</v>
      </c>
      <c r="C2428" t="s">
        <v>5086</v>
      </c>
      <c r="D2428" t="s">
        <v>1292</v>
      </c>
      <c r="E2428">
        <v>1000522</v>
      </c>
      <c r="F2428" t="s">
        <v>1292</v>
      </c>
      <c r="G2428">
        <v>0</v>
      </c>
      <c r="H2428" t="s">
        <v>1292</v>
      </c>
      <c r="I2428">
        <v>0</v>
      </c>
      <c r="J2428" t="s">
        <v>1292</v>
      </c>
      <c r="K2428">
        <v>0</v>
      </c>
      <c r="L2428" t="s">
        <v>1292</v>
      </c>
      <c r="M2428">
        <v>0</v>
      </c>
      <c r="N2428" t="s">
        <v>1292</v>
      </c>
      <c r="O2428">
        <v>0</v>
      </c>
      <c r="P2428" t="s">
        <v>1123</v>
      </c>
      <c r="Q2428" s="1">
        <v>5198</v>
      </c>
      <c r="R2428">
        <v>7.2</v>
      </c>
      <c r="S2428" s="2">
        <v>0.03</v>
      </c>
      <c r="T2428" s="3">
        <v>2.9784722222222224</v>
      </c>
      <c r="U2428" s="2">
        <v>0.36</v>
      </c>
      <c r="V2428" t="s">
        <v>5086</v>
      </c>
      <c r="W2428" t="s">
        <v>5087</v>
      </c>
      <c r="X2428" t="b">
        <v>0</v>
      </c>
      <c r="Y2428" t="b">
        <v>0</v>
      </c>
    </row>
    <row r="2429" spans="1:25">
      <c r="A2429">
        <v>1000523</v>
      </c>
      <c r="B2429" t="s">
        <v>4061</v>
      </c>
      <c r="C2429" t="s">
        <v>5088</v>
      </c>
      <c r="D2429" t="s">
        <v>1292</v>
      </c>
      <c r="E2429">
        <v>1000523</v>
      </c>
      <c r="F2429" t="s">
        <v>1292</v>
      </c>
      <c r="G2429">
        <v>0</v>
      </c>
      <c r="H2429" t="s">
        <v>1292</v>
      </c>
      <c r="I2429">
        <v>0</v>
      </c>
      <c r="J2429" t="s">
        <v>1292</v>
      </c>
      <c r="K2429">
        <v>0</v>
      </c>
      <c r="L2429" t="s">
        <v>1292</v>
      </c>
      <c r="M2429">
        <v>0</v>
      </c>
      <c r="N2429" t="s">
        <v>1292</v>
      </c>
      <c r="O2429">
        <v>0</v>
      </c>
      <c r="P2429" t="s">
        <v>4456</v>
      </c>
      <c r="Q2429" s="1">
        <v>3057</v>
      </c>
      <c r="R2429">
        <v>14.1</v>
      </c>
      <c r="S2429" s="2">
        <v>0</v>
      </c>
      <c r="T2429" s="3">
        <v>2.2819444444444446</v>
      </c>
      <c r="U2429" t="s">
        <v>1292</v>
      </c>
      <c r="V2429" t="s">
        <v>5088</v>
      </c>
      <c r="W2429" t="s">
        <v>5089</v>
      </c>
      <c r="X2429" t="b">
        <v>0</v>
      </c>
      <c r="Y2429" t="b">
        <v>0</v>
      </c>
    </row>
    <row r="2430" spans="1:25">
      <c r="A2430">
        <v>1000524</v>
      </c>
      <c r="B2430" t="s">
        <v>4061</v>
      </c>
      <c r="C2430" t="s">
        <v>5090</v>
      </c>
      <c r="D2430" t="s">
        <v>1292</v>
      </c>
      <c r="E2430">
        <v>1000524</v>
      </c>
      <c r="F2430" t="s">
        <v>1292</v>
      </c>
      <c r="G2430">
        <v>0</v>
      </c>
      <c r="H2430" t="s">
        <v>1292</v>
      </c>
      <c r="I2430">
        <v>0</v>
      </c>
      <c r="J2430" t="s">
        <v>1292</v>
      </c>
      <c r="K2430">
        <v>0</v>
      </c>
      <c r="L2430" t="s">
        <v>1292</v>
      </c>
      <c r="M2430">
        <v>0</v>
      </c>
      <c r="N2430" t="s">
        <v>1292</v>
      </c>
      <c r="O2430">
        <v>0</v>
      </c>
      <c r="P2430" t="s">
        <v>1102</v>
      </c>
      <c r="Q2430" s="1">
        <v>6970</v>
      </c>
      <c r="R2430">
        <v>60.6</v>
      </c>
      <c r="S2430" s="2">
        <v>0</v>
      </c>
      <c r="U2430" s="2">
        <v>0.35</v>
      </c>
      <c r="V2430" t="s">
        <v>5090</v>
      </c>
      <c r="W2430" t="s">
        <v>5091</v>
      </c>
      <c r="X2430" t="b">
        <v>0</v>
      </c>
      <c r="Y2430" t="b">
        <v>0</v>
      </c>
    </row>
    <row r="2431" spans="1:25">
      <c r="A2431">
        <v>1000525</v>
      </c>
      <c r="B2431" t="s">
        <v>4061</v>
      </c>
      <c r="C2431" t="s">
        <v>5092</v>
      </c>
      <c r="D2431" t="s">
        <v>1292</v>
      </c>
      <c r="E2431">
        <v>1000525</v>
      </c>
      <c r="F2431" t="s">
        <v>1292</v>
      </c>
      <c r="G2431">
        <v>0</v>
      </c>
      <c r="H2431" t="s">
        <v>1292</v>
      </c>
      <c r="I2431">
        <v>0</v>
      </c>
      <c r="J2431" t="s">
        <v>1292</v>
      </c>
      <c r="K2431">
        <v>0</v>
      </c>
      <c r="L2431" t="s">
        <v>1292</v>
      </c>
      <c r="M2431">
        <v>0</v>
      </c>
      <c r="N2431" t="s">
        <v>1292</v>
      </c>
      <c r="O2431">
        <v>0</v>
      </c>
      <c r="P2431" t="s">
        <v>255</v>
      </c>
      <c r="Q2431" s="1">
        <v>6548</v>
      </c>
      <c r="R2431">
        <v>20.3</v>
      </c>
      <c r="S2431" s="2">
        <v>0.11</v>
      </c>
      <c r="T2431" s="3">
        <v>2.3229166666666665</v>
      </c>
      <c r="U2431" s="2">
        <v>0.27</v>
      </c>
      <c r="V2431" t="s">
        <v>5092</v>
      </c>
      <c r="W2431" t="s">
        <v>5093</v>
      </c>
      <c r="X2431" t="b">
        <v>0</v>
      </c>
      <c r="Y2431" t="b">
        <v>0</v>
      </c>
    </row>
    <row r="2432" spans="1:25">
      <c r="A2432">
        <v>1000526</v>
      </c>
      <c r="B2432" t="s">
        <v>4061</v>
      </c>
      <c r="C2432" t="s">
        <v>5094</v>
      </c>
      <c r="D2432" t="s">
        <v>1292</v>
      </c>
      <c r="E2432">
        <v>1000526</v>
      </c>
      <c r="F2432" t="s">
        <v>1292</v>
      </c>
      <c r="G2432">
        <v>0</v>
      </c>
      <c r="H2432" t="s">
        <v>1292</v>
      </c>
      <c r="I2432">
        <v>0</v>
      </c>
      <c r="J2432" t="s">
        <v>1292</v>
      </c>
      <c r="K2432">
        <v>0</v>
      </c>
      <c r="L2432" t="s">
        <v>1292</v>
      </c>
      <c r="M2432">
        <v>0</v>
      </c>
      <c r="N2432" t="s">
        <v>1292</v>
      </c>
      <c r="O2432">
        <v>0</v>
      </c>
      <c r="P2432" t="s">
        <v>421</v>
      </c>
      <c r="Q2432">
        <v>123</v>
      </c>
      <c r="R2432">
        <v>1.6</v>
      </c>
      <c r="S2432" s="2">
        <v>0.88</v>
      </c>
      <c r="T2432">
        <v>0.72499999999999998</v>
      </c>
      <c r="U2432" t="s">
        <v>1292</v>
      </c>
      <c r="V2432" t="s">
        <v>5094</v>
      </c>
      <c r="W2432" t="s">
        <v>5095</v>
      </c>
      <c r="X2432" t="b">
        <v>0</v>
      </c>
      <c r="Y2432" t="b">
        <v>0</v>
      </c>
    </row>
    <row r="2433" spans="1:25">
      <c r="A2433">
        <v>1000527</v>
      </c>
      <c r="B2433" t="s">
        <v>4061</v>
      </c>
      <c r="C2433" t="s">
        <v>5096</v>
      </c>
      <c r="D2433" t="s">
        <v>1292</v>
      </c>
      <c r="E2433">
        <v>1000527</v>
      </c>
      <c r="F2433" t="s">
        <v>1292</v>
      </c>
      <c r="G2433">
        <v>0</v>
      </c>
      <c r="H2433" t="s">
        <v>1292</v>
      </c>
      <c r="I2433">
        <v>0</v>
      </c>
      <c r="J2433" t="s">
        <v>1292</v>
      </c>
      <c r="K2433">
        <v>0</v>
      </c>
      <c r="L2433" t="s">
        <v>1292</v>
      </c>
      <c r="M2433">
        <v>0</v>
      </c>
      <c r="N2433" t="s">
        <v>1292</v>
      </c>
      <c r="O2433">
        <v>0</v>
      </c>
      <c r="P2433" t="s">
        <v>528</v>
      </c>
      <c r="Q2433" s="1">
        <v>7583</v>
      </c>
      <c r="R2433">
        <v>9.1</v>
      </c>
      <c r="S2433" s="2">
        <v>0</v>
      </c>
      <c r="T2433" s="3">
        <v>2.036111111111111</v>
      </c>
      <c r="U2433" t="s">
        <v>1292</v>
      </c>
      <c r="V2433" t="s">
        <v>5096</v>
      </c>
      <c r="W2433" t="s">
        <v>5097</v>
      </c>
      <c r="X2433" t="b">
        <v>0</v>
      </c>
      <c r="Y2433" t="b">
        <v>0</v>
      </c>
    </row>
    <row r="2434" spans="1:25">
      <c r="A2434">
        <v>1000528</v>
      </c>
      <c r="B2434" t="s">
        <v>4061</v>
      </c>
      <c r="C2434" t="s">
        <v>5098</v>
      </c>
      <c r="D2434" t="s">
        <v>1292</v>
      </c>
      <c r="E2434">
        <v>1000528</v>
      </c>
      <c r="F2434" t="s">
        <v>1292</v>
      </c>
      <c r="G2434">
        <v>0</v>
      </c>
      <c r="H2434" t="s">
        <v>1292</v>
      </c>
      <c r="I2434">
        <v>0</v>
      </c>
      <c r="J2434" t="s">
        <v>1292</v>
      </c>
      <c r="K2434">
        <v>0</v>
      </c>
      <c r="L2434" t="s">
        <v>1292</v>
      </c>
      <c r="M2434">
        <v>0</v>
      </c>
      <c r="N2434" t="s">
        <v>1292</v>
      </c>
      <c r="O2434">
        <v>0</v>
      </c>
      <c r="P2434" t="s">
        <v>2290</v>
      </c>
      <c r="Q2434" s="1">
        <v>28522</v>
      </c>
      <c r="R2434">
        <v>29.2</v>
      </c>
      <c r="S2434" s="2">
        <v>0.01</v>
      </c>
      <c r="T2434" s="3">
        <v>2.4458333333333333</v>
      </c>
      <c r="U2434" s="2">
        <v>0.22</v>
      </c>
      <c r="V2434" t="s">
        <v>5098</v>
      </c>
      <c r="W2434" t="s">
        <v>5099</v>
      </c>
      <c r="X2434" t="b">
        <v>0</v>
      </c>
      <c r="Y2434" t="b">
        <v>0</v>
      </c>
    </row>
    <row r="2435" spans="1:25">
      <c r="A2435">
        <v>1000529</v>
      </c>
      <c r="B2435" t="s">
        <v>4061</v>
      </c>
      <c r="C2435" t="s">
        <v>5100</v>
      </c>
      <c r="D2435" t="s">
        <v>1292</v>
      </c>
      <c r="E2435">
        <v>1000529</v>
      </c>
      <c r="F2435" t="s">
        <v>1292</v>
      </c>
      <c r="G2435">
        <v>0</v>
      </c>
      <c r="H2435" t="s">
        <v>1292</v>
      </c>
      <c r="I2435">
        <v>0</v>
      </c>
      <c r="J2435" t="s">
        <v>1292</v>
      </c>
      <c r="K2435">
        <v>0</v>
      </c>
      <c r="L2435" t="s">
        <v>1292</v>
      </c>
      <c r="M2435">
        <v>0</v>
      </c>
      <c r="N2435" t="s">
        <v>1292</v>
      </c>
      <c r="O2435">
        <v>0</v>
      </c>
      <c r="P2435" t="s">
        <v>2290</v>
      </c>
      <c r="Q2435">
        <v>967</v>
      </c>
      <c r="R2435">
        <v>13.2</v>
      </c>
      <c r="S2435" s="2">
        <v>0</v>
      </c>
      <c r="T2435" s="3">
        <v>2.4048611111111109</v>
      </c>
      <c r="U2435" t="s">
        <v>1292</v>
      </c>
      <c r="V2435" t="s">
        <v>5100</v>
      </c>
      <c r="W2435" t="s">
        <v>4485</v>
      </c>
      <c r="X2435" t="b">
        <v>0</v>
      </c>
      <c r="Y2435" t="b">
        <v>0</v>
      </c>
    </row>
    <row r="2436" spans="1:25">
      <c r="A2436">
        <v>1000530</v>
      </c>
      <c r="B2436" t="s">
        <v>4061</v>
      </c>
      <c r="C2436" t="s">
        <v>5101</v>
      </c>
      <c r="D2436" t="s">
        <v>1292</v>
      </c>
      <c r="E2436">
        <v>1000530</v>
      </c>
      <c r="F2436" t="s">
        <v>1292</v>
      </c>
      <c r="G2436">
        <v>0</v>
      </c>
      <c r="H2436" t="s">
        <v>1292</v>
      </c>
      <c r="I2436">
        <v>0</v>
      </c>
      <c r="J2436" t="s">
        <v>1292</v>
      </c>
      <c r="K2436">
        <v>0</v>
      </c>
      <c r="L2436" t="s">
        <v>1292</v>
      </c>
      <c r="M2436">
        <v>0</v>
      </c>
      <c r="N2436" t="s">
        <v>1292</v>
      </c>
      <c r="O2436">
        <v>0</v>
      </c>
      <c r="P2436" t="s">
        <v>255</v>
      </c>
      <c r="Q2436" s="1">
        <v>1773</v>
      </c>
      <c r="R2436">
        <v>10.4</v>
      </c>
      <c r="S2436" s="2">
        <v>0.2</v>
      </c>
      <c r="T2436" s="3">
        <v>1.7902777777777779</v>
      </c>
      <c r="U2436" s="2">
        <v>0.28000000000000003</v>
      </c>
      <c r="V2436" t="s">
        <v>5101</v>
      </c>
      <c r="W2436" t="s">
        <v>5102</v>
      </c>
      <c r="X2436" t="b">
        <v>0</v>
      </c>
      <c r="Y2436" t="b">
        <v>0</v>
      </c>
    </row>
    <row r="2437" spans="1:25">
      <c r="A2437">
        <v>1000531</v>
      </c>
      <c r="B2437" t="s">
        <v>4061</v>
      </c>
      <c r="C2437" t="s">
        <v>5103</v>
      </c>
      <c r="D2437" t="s">
        <v>1292</v>
      </c>
      <c r="E2437">
        <v>1000531</v>
      </c>
      <c r="F2437" t="s">
        <v>1292</v>
      </c>
      <c r="G2437">
        <v>0</v>
      </c>
      <c r="H2437" t="s">
        <v>1292</v>
      </c>
      <c r="I2437">
        <v>0</v>
      </c>
      <c r="J2437" t="s">
        <v>1292</v>
      </c>
      <c r="K2437">
        <v>0</v>
      </c>
      <c r="L2437" t="s">
        <v>1292</v>
      </c>
      <c r="M2437">
        <v>0</v>
      </c>
      <c r="N2437" t="s">
        <v>1292</v>
      </c>
      <c r="O2437">
        <v>0</v>
      </c>
      <c r="P2437" t="s">
        <v>255</v>
      </c>
      <c r="Q2437" s="1">
        <v>11703</v>
      </c>
      <c r="R2437">
        <v>14.9</v>
      </c>
      <c r="S2437" s="2">
        <v>0.13</v>
      </c>
      <c r="T2437" s="3">
        <v>2.2819444444444446</v>
      </c>
      <c r="U2437" s="2">
        <v>0.27</v>
      </c>
      <c r="V2437" t="s">
        <v>5103</v>
      </c>
      <c r="W2437" t="s">
        <v>5104</v>
      </c>
      <c r="X2437" t="b">
        <v>0</v>
      </c>
      <c r="Y2437" t="b">
        <v>0</v>
      </c>
    </row>
    <row r="2438" spans="1:25">
      <c r="A2438">
        <v>1000532</v>
      </c>
      <c r="B2438" t="s">
        <v>4061</v>
      </c>
      <c r="C2438" t="s">
        <v>5105</v>
      </c>
      <c r="D2438" t="s">
        <v>1292</v>
      </c>
      <c r="E2438">
        <v>1000532</v>
      </c>
      <c r="F2438" t="s">
        <v>1292</v>
      </c>
      <c r="G2438">
        <v>0</v>
      </c>
      <c r="H2438" t="s">
        <v>1292</v>
      </c>
      <c r="I2438">
        <v>0</v>
      </c>
      <c r="J2438" t="s">
        <v>1292</v>
      </c>
      <c r="K2438">
        <v>0</v>
      </c>
      <c r="L2438" t="s">
        <v>1292</v>
      </c>
      <c r="M2438">
        <v>0</v>
      </c>
      <c r="N2438" t="s">
        <v>1292</v>
      </c>
      <c r="O2438">
        <v>0</v>
      </c>
      <c r="P2438" t="s">
        <v>5106</v>
      </c>
      <c r="Q2438" s="1">
        <v>4560</v>
      </c>
      <c r="R2438">
        <v>6.7</v>
      </c>
      <c r="S2438" s="2">
        <v>0.03</v>
      </c>
      <c r="T2438" s="3">
        <v>1.9541666666666666</v>
      </c>
      <c r="U2438" s="2">
        <v>0.38</v>
      </c>
      <c r="V2438" t="s">
        <v>5105</v>
      </c>
      <c r="W2438" t="s">
        <v>5107</v>
      </c>
      <c r="X2438" t="b">
        <v>0</v>
      </c>
      <c r="Y2438" t="b">
        <v>0</v>
      </c>
    </row>
    <row r="2439" spans="1:25">
      <c r="A2439">
        <v>1000533</v>
      </c>
      <c r="B2439" t="s">
        <v>4061</v>
      </c>
      <c r="C2439" t="s">
        <v>5108</v>
      </c>
      <c r="D2439" t="s">
        <v>1292</v>
      </c>
      <c r="E2439">
        <v>1000533</v>
      </c>
      <c r="F2439" t="s">
        <v>1292</v>
      </c>
      <c r="G2439">
        <v>0</v>
      </c>
      <c r="H2439" t="s">
        <v>1292</v>
      </c>
      <c r="I2439">
        <v>0</v>
      </c>
      <c r="J2439" t="s">
        <v>1292</v>
      </c>
      <c r="K2439">
        <v>0</v>
      </c>
      <c r="L2439" t="s">
        <v>1292</v>
      </c>
      <c r="M2439">
        <v>0</v>
      </c>
      <c r="N2439" t="s">
        <v>1292</v>
      </c>
      <c r="O2439">
        <v>0</v>
      </c>
      <c r="P2439" t="s">
        <v>2157</v>
      </c>
      <c r="Q2439" s="1">
        <v>3397</v>
      </c>
      <c r="R2439">
        <v>28.8</v>
      </c>
      <c r="S2439" s="2">
        <v>0</v>
      </c>
      <c r="T2439" s="3">
        <v>2.2819444444444446</v>
      </c>
      <c r="U2439" t="s">
        <v>1292</v>
      </c>
      <c r="V2439" t="s">
        <v>5108</v>
      </c>
      <c r="W2439" t="s">
        <v>5109</v>
      </c>
      <c r="X2439" t="b">
        <v>0</v>
      </c>
      <c r="Y2439" t="b">
        <v>0</v>
      </c>
    </row>
    <row r="2440" spans="1:25">
      <c r="A2440">
        <v>1000534</v>
      </c>
      <c r="B2440" t="s">
        <v>4061</v>
      </c>
      <c r="C2440" t="s">
        <v>5110</v>
      </c>
      <c r="D2440" t="s">
        <v>1292</v>
      </c>
      <c r="E2440">
        <v>1000534</v>
      </c>
      <c r="F2440" t="s">
        <v>1292</v>
      </c>
      <c r="G2440">
        <v>0</v>
      </c>
      <c r="H2440" t="s">
        <v>1292</v>
      </c>
      <c r="I2440">
        <v>0</v>
      </c>
      <c r="J2440" t="s">
        <v>1292</v>
      </c>
      <c r="K2440">
        <v>0</v>
      </c>
      <c r="L2440" t="s">
        <v>1292</v>
      </c>
      <c r="M2440">
        <v>0</v>
      </c>
      <c r="N2440" t="s">
        <v>1292</v>
      </c>
      <c r="O2440">
        <v>0</v>
      </c>
      <c r="P2440" t="s">
        <v>26</v>
      </c>
      <c r="Q2440">
        <v>370</v>
      </c>
      <c r="R2440">
        <v>10.6</v>
      </c>
      <c r="S2440" s="2">
        <v>0.31</v>
      </c>
      <c r="T2440" s="3">
        <v>2.4048611111111109</v>
      </c>
      <c r="U2440" s="2">
        <v>0.03</v>
      </c>
      <c r="V2440" t="s">
        <v>5110</v>
      </c>
      <c r="W2440" t="s">
        <v>4828</v>
      </c>
      <c r="X2440" t="b">
        <v>0</v>
      </c>
      <c r="Y2440" t="b">
        <v>0</v>
      </c>
    </row>
    <row r="2441" spans="1:25">
      <c r="A2441">
        <v>1000535</v>
      </c>
      <c r="B2441" t="s">
        <v>4061</v>
      </c>
      <c r="C2441" t="s">
        <v>5111</v>
      </c>
      <c r="D2441" t="s">
        <v>1292</v>
      </c>
      <c r="E2441">
        <v>1000535</v>
      </c>
      <c r="F2441" t="s">
        <v>1292</v>
      </c>
      <c r="G2441">
        <v>0</v>
      </c>
      <c r="H2441" t="s">
        <v>1292</v>
      </c>
      <c r="I2441">
        <v>0</v>
      </c>
      <c r="J2441" t="s">
        <v>1292</v>
      </c>
      <c r="K2441">
        <v>0</v>
      </c>
      <c r="L2441" t="s">
        <v>1292</v>
      </c>
      <c r="M2441">
        <v>0</v>
      </c>
      <c r="N2441" t="s">
        <v>1292</v>
      </c>
      <c r="O2441">
        <v>0</v>
      </c>
      <c r="P2441" t="s">
        <v>1123</v>
      </c>
      <c r="Q2441" s="1">
        <v>3479</v>
      </c>
      <c r="R2441">
        <v>12.5</v>
      </c>
      <c r="S2441" s="2">
        <v>0.01</v>
      </c>
      <c r="T2441" s="3">
        <v>1.9951388888888888</v>
      </c>
      <c r="U2441" s="2">
        <v>0.4</v>
      </c>
      <c r="V2441" t="s">
        <v>5111</v>
      </c>
      <c r="W2441" t="s">
        <v>5112</v>
      </c>
      <c r="X2441" t="b">
        <v>0</v>
      </c>
      <c r="Y2441" t="b">
        <v>0</v>
      </c>
    </row>
    <row r="2442" spans="1:25">
      <c r="A2442">
        <v>1000536</v>
      </c>
      <c r="B2442" t="s">
        <v>4061</v>
      </c>
      <c r="C2442" t="s">
        <v>5113</v>
      </c>
      <c r="D2442" t="s">
        <v>1292</v>
      </c>
      <c r="E2442">
        <v>1000536</v>
      </c>
      <c r="F2442" t="s">
        <v>1292</v>
      </c>
      <c r="G2442">
        <v>0</v>
      </c>
      <c r="H2442" t="s">
        <v>1292</v>
      </c>
      <c r="I2442">
        <v>0</v>
      </c>
      <c r="J2442" t="s">
        <v>1292</v>
      </c>
      <c r="K2442">
        <v>0</v>
      </c>
      <c r="L2442" t="s">
        <v>1292</v>
      </c>
      <c r="M2442">
        <v>0</v>
      </c>
      <c r="N2442" t="s">
        <v>1292</v>
      </c>
      <c r="O2442">
        <v>0</v>
      </c>
      <c r="P2442" t="s">
        <v>2290</v>
      </c>
      <c r="Q2442" s="1">
        <v>12759</v>
      </c>
      <c r="R2442">
        <v>12.8</v>
      </c>
      <c r="S2442" s="2">
        <v>0</v>
      </c>
      <c r="T2442" s="3">
        <v>3.0194444444444444</v>
      </c>
      <c r="U2442" s="2">
        <v>0.4</v>
      </c>
      <c r="V2442" t="s">
        <v>5113</v>
      </c>
      <c r="W2442" t="s">
        <v>5114</v>
      </c>
      <c r="X2442" t="b">
        <v>0</v>
      </c>
      <c r="Y2442" t="b">
        <v>0</v>
      </c>
    </row>
    <row r="2443" spans="1:25">
      <c r="A2443">
        <v>1000537</v>
      </c>
      <c r="B2443" t="s">
        <v>4061</v>
      </c>
      <c r="C2443" t="s">
        <v>5115</v>
      </c>
      <c r="D2443" t="s">
        <v>1292</v>
      </c>
      <c r="E2443">
        <v>1000537</v>
      </c>
      <c r="F2443" t="s">
        <v>1292</v>
      </c>
      <c r="G2443">
        <v>0</v>
      </c>
      <c r="H2443" t="s">
        <v>1292</v>
      </c>
      <c r="I2443">
        <v>0</v>
      </c>
      <c r="J2443" t="s">
        <v>1292</v>
      </c>
      <c r="K2443">
        <v>0</v>
      </c>
      <c r="L2443" t="s">
        <v>1292</v>
      </c>
      <c r="M2443">
        <v>0</v>
      </c>
      <c r="N2443" t="s">
        <v>1292</v>
      </c>
      <c r="O2443">
        <v>0</v>
      </c>
      <c r="P2443" t="s">
        <v>2484</v>
      </c>
      <c r="Q2443" s="1">
        <v>4712</v>
      </c>
      <c r="R2443">
        <v>9.1</v>
      </c>
      <c r="S2443" s="2">
        <v>0.02</v>
      </c>
      <c r="T2443" s="3">
        <v>2.3229166666666665</v>
      </c>
      <c r="U2443" t="s">
        <v>1292</v>
      </c>
      <c r="V2443" t="s">
        <v>5115</v>
      </c>
      <c r="W2443" t="s">
        <v>5116</v>
      </c>
      <c r="X2443" t="b">
        <v>0</v>
      </c>
      <c r="Y2443" t="b">
        <v>0</v>
      </c>
    </row>
    <row r="2444" spans="1:25">
      <c r="A2444">
        <v>1000538</v>
      </c>
      <c r="B2444" t="s">
        <v>4061</v>
      </c>
      <c r="C2444" t="s">
        <v>5117</v>
      </c>
      <c r="D2444" t="s">
        <v>1292</v>
      </c>
      <c r="E2444">
        <v>1000538</v>
      </c>
      <c r="F2444" t="s">
        <v>1292</v>
      </c>
      <c r="G2444">
        <v>0</v>
      </c>
      <c r="H2444" t="s">
        <v>1292</v>
      </c>
      <c r="I2444">
        <v>0</v>
      </c>
      <c r="J2444" t="s">
        <v>1292</v>
      </c>
      <c r="K2444">
        <v>0</v>
      </c>
      <c r="L2444" t="s">
        <v>1292</v>
      </c>
      <c r="M2444">
        <v>0</v>
      </c>
      <c r="N2444" t="s">
        <v>1292</v>
      </c>
      <c r="O2444">
        <v>0</v>
      </c>
      <c r="P2444" t="s">
        <v>2513</v>
      </c>
      <c r="Q2444">
        <v>689</v>
      </c>
      <c r="R2444">
        <v>13.9</v>
      </c>
      <c r="S2444" s="2">
        <v>0.01</v>
      </c>
      <c r="T2444" s="3">
        <v>1.83125</v>
      </c>
      <c r="U2444" s="2">
        <v>0.28000000000000003</v>
      </c>
      <c r="V2444" t="s">
        <v>5117</v>
      </c>
      <c r="W2444" t="s">
        <v>5118</v>
      </c>
      <c r="X2444" t="b">
        <v>0</v>
      </c>
      <c r="Y2444" t="b">
        <v>0</v>
      </c>
    </row>
    <row r="2445" spans="1:25">
      <c r="A2445">
        <v>1000539</v>
      </c>
      <c r="B2445" t="s">
        <v>4061</v>
      </c>
      <c r="C2445" t="s">
        <v>5119</v>
      </c>
      <c r="D2445" t="s">
        <v>1292</v>
      </c>
      <c r="E2445">
        <v>1000539</v>
      </c>
      <c r="F2445" t="s">
        <v>1292</v>
      </c>
      <c r="G2445">
        <v>0</v>
      </c>
      <c r="H2445" t="s">
        <v>1292</v>
      </c>
      <c r="I2445">
        <v>0</v>
      </c>
      <c r="J2445" t="s">
        <v>1292</v>
      </c>
      <c r="K2445">
        <v>0</v>
      </c>
      <c r="L2445" t="s">
        <v>1292</v>
      </c>
      <c r="M2445">
        <v>0</v>
      </c>
      <c r="N2445" t="s">
        <v>1292</v>
      </c>
      <c r="O2445">
        <v>0</v>
      </c>
      <c r="P2445" t="s">
        <v>2224</v>
      </c>
      <c r="Q2445" s="1">
        <v>4900</v>
      </c>
      <c r="R2445">
        <v>16.600000000000001</v>
      </c>
      <c r="S2445" s="2">
        <v>0.02</v>
      </c>
      <c r="T2445" s="3">
        <v>2.4458333333333333</v>
      </c>
      <c r="U2445" s="2">
        <v>0.3</v>
      </c>
      <c r="V2445" t="s">
        <v>5119</v>
      </c>
      <c r="W2445" t="s">
        <v>5120</v>
      </c>
      <c r="X2445" t="b">
        <v>0</v>
      </c>
      <c r="Y2445" t="b">
        <v>0</v>
      </c>
    </row>
    <row r="2446" spans="1:25">
      <c r="A2446">
        <v>1000540</v>
      </c>
      <c r="B2446" t="s">
        <v>4061</v>
      </c>
      <c r="C2446" t="s">
        <v>5121</v>
      </c>
      <c r="D2446" t="s">
        <v>1292</v>
      </c>
      <c r="E2446">
        <v>1000540</v>
      </c>
      <c r="F2446" t="s">
        <v>1292</v>
      </c>
      <c r="G2446">
        <v>0</v>
      </c>
      <c r="H2446" t="s">
        <v>1292</v>
      </c>
      <c r="I2446">
        <v>0</v>
      </c>
      <c r="J2446" t="s">
        <v>1292</v>
      </c>
      <c r="K2446">
        <v>0</v>
      </c>
      <c r="L2446" t="s">
        <v>1292</v>
      </c>
      <c r="M2446">
        <v>0</v>
      </c>
      <c r="N2446" t="s">
        <v>1292</v>
      </c>
      <c r="O2446">
        <v>0</v>
      </c>
      <c r="P2446" t="s">
        <v>2224</v>
      </c>
      <c r="Q2446" s="1">
        <v>6987</v>
      </c>
      <c r="R2446">
        <v>18.8</v>
      </c>
      <c r="S2446" s="2">
        <v>0.04</v>
      </c>
      <c r="T2446" s="3">
        <v>2.4868055555555557</v>
      </c>
      <c r="U2446" s="2">
        <v>0.46</v>
      </c>
      <c r="V2446" t="s">
        <v>5121</v>
      </c>
      <c r="W2446" t="s">
        <v>5122</v>
      </c>
      <c r="X2446" t="b">
        <v>0</v>
      </c>
      <c r="Y2446" t="b">
        <v>0</v>
      </c>
    </row>
    <row r="2447" spans="1:25">
      <c r="A2447">
        <v>1000541</v>
      </c>
      <c r="B2447" t="s">
        <v>4061</v>
      </c>
      <c r="C2447" t="s">
        <v>5123</v>
      </c>
      <c r="D2447" t="s">
        <v>1292</v>
      </c>
      <c r="E2447">
        <v>1000541</v>
      </c>
      <c r="F2447" t="s">
        <v>1292</v>
      </c>
      <c r="G2447">
        <v>0</v>
      </c>
      <c r="H2447" t="s">
        <v>1292</v>
      </c>
      <c r="I2447">
        <v>0</v>
      </c>
      <c r="J2447" t="s">
        <v>1292</v>
      </c>
      <c r="K2447">
        <v>0</v>
      </c>
      <c r="L2447" t="s">
        <v>1292</v>
      </c>
      <c r="M2447">
        <v>0</v>
      </c>
      <c r="N2447" t="s">
        <v>1292</v>
      </c>
      <c r="O2447">
        <v>0</v>
      </c>
      <c r="P2447" t="s">
        <v>1820</v>
      </c>
      <c r="Q2447" s="1">
        <v>24304</v>
      </c>
      <c r="R2447">
        <v>14.9</v>
      </c>
      <c r="S2447" s="2">
        <v>0.01</v>
      </c>
      <c r="T2447" s="3">
        <v>2.1590277777777778</v>
      </c>
      <c r="U2447" s="2">
        <v>0.28000000000000003</v>
      </c>
      <c r="V2447" t="s">
        <v>5123</v>
      </c>
      <c r="W2447" t="s">
        <v>5124</v>
      </c>
      <c r="X2447" t="b">
        <v>0</v>
      </c>
      <c r="Y2447" t="b">
        <v>0</v>
      </c>
    </row>
    <row r="2448" spans="1:25">
      <c r="A2448">
        <v>1000542</v>
      </c>
      <c r="B2448" t="s">
        <v>4061</v>
      </c>
      <c r="C2448" t="s">
        <v>5125</v>
      </c>
      <c r="D2448" t="s">
        <v>1292</v>
      </c>
      <c r="E2448">
        <v>1000542</v>
      </c>
      <c r="F2448" t="s">
        <v>1292</v>
      </c>
      <c r="G2448">
        <v>0</v>
      </c>
      <c r="H2448" t="s">
        <v>1292</v>
      </c>
      <c r="I2448">
        <v>0</v>
      </c>
      <c r="J2448" t="s">
        <v>1292</v>
      </c>
      <c r="K2448">
        <v>0</v>
      </c>
      <c r="L2448" t="s">
        <v>1292</v>
      </c>
      <c r="M2448">
        <v>0</v>
      </c>
      <c r="N2448" t="s">
        <v>1292</v>
      </c>
      <c r="O2448">
        <v>0</v>
      </c>
      <c r="P2448" t="s">
        <v>1220</v>
      </c>
      <c r="Q2448" s="1">
        <v>13434</v>
      </c>
      <c r="R2448">
        <v>67.8</v>
      </c>
      <c r="S2448" s="2">
        <v>0.02</v>
      </c>
      <c r="T2448" s="3">
        <v>2.1180555555555554</v>
      </c>
      <c r="U2448" s="2">
        <v>0.14000000000000001</v>
      </c>
      <c r="V2448" t="s">
        <v>5125</v>
      </c>
      <c r="W2448" t="s">
        <v>5126</v>
      </c>
      <c r="X2448" t="b">
        <v>0</v>
      </c>
      <c r="Y2448" t="b">
        <v>0</v>
      </c>
    </row>
    <row r="2449" spans="1:25">
      <c r="A2449">
        <v>1000543</v>
      </c>
      <c r="B2449" t="s">
        <v>4061</v>
      </c>
      <c r="C2449" t="s">
        <v>5127</v>
      </c>
      <c r="D2449" t="s">
        <v>1292</v>
      </c>
      <c r="E2449">
        <v>1000543</v>
      </c>
      <c r="F2449" t="s">
        <v>1292</v>
      </c>
      <c r="G2449">
        <v>0</v>
      </c>
      <c r="H2449" t="s">
        <v>1292</v>
      </c>
      <c r="I2449">
        <v>0</v>
      </c>
      <c r="J2449" t="s">
        <v>1292</v>
      </c>
      <c r="K2449">
        <v>0</v>
      </c>
      <c r="L2449" t="s">
        <v>1292</v>
      </c>
      <c r="M2449">
        <v>0</v>
      </c>
      <c r="N2449" t="s">
        <v>1292</v>
      </c>
      <c r="O2449">
        <v>0</v>
      </c>
      <c r="P2449" t="s">
        <v>125</v>
      </c>
      <c r="Q2449" s="1">
        <v>21264</v>
      </c>
      <c r="R2449">
        <v>77.900000000000006</v>
      </c>
      <c r="S2449" s="2">
        <v>0.12</v>
      </c>
      <c r="T2449" s="3">
        <v>2.6916666666666669</v>
      </c>
      <c r="U2449" s="2">
        <v>0.2</v>
      </c>
      <c r="V2449" t="s">
        <v>5127</v>
      </c>
      <c r="W2449" t="s">
        <v>5128</v>
      </c>
      <c r="X2449" t="b">
        <v>0</v>
      </c>
      <c r="Y2449" t="b">
        <v>0</v>
      </c>
    </row>
    <row r="2450" spans="1:25">
      <c r="A2450">
        <v>1000544</v>
      </c>
      <c r="B2450" t="s">
        <v>4061</v>
      </c>
      <c r="C2450" t="s">
        <v>5129</v>
      </c>
      <c r="D2450" t="s">
        <v>1292</v>
      </c>
      <c r="E2450">
        <v>1000544</v>
      </c>
      <c r="F2450" t="s">
        <v>1292</v>
      </c>
      <c r="G2450">
        <v>0</v>
      </c>
      <c r="H2450" t="s">
        <v>1292</v>
      </c>
      <c r="I2450">
        <v>0</v>
      </c>
      <c r="J2450" t="s">
        <v>1292</v>
      </c>
      <c r="K2450">
        <v>0</v>
      </c>
      <c r="L2450" t="s">
        <v>1292</v>
      </c>
      <c r="M2450">
        <v>0</v>
      </c>
      <c r="N2450" t="s">
        <v>1292</v>
      </c>
      <c r="O2450">
        <v>0</v>
      </c>
      <c r="P2450" t="s">
        <v>1123</v>
      </c>
      <c r="Q2450" s="1">
        <v>7804</v>
      </c>
      <c r="R2450">
        <v>14.5</v>
      </c>
      <c r="S2450" s="2">
        <v>0.03</v>
      </c>
      <c r="T2450" t="s">
        <v>324</v>
      </c>
      <c r="U2450" s="2">
        <v>0.17</v>
      </c>
      <c r="V2450" t="s">
        <v>5129</v>
      </c>
      <c r="W2450" t="s">
        <v>5130</v>
      </c>
      <c r="X2450" t="b">
        <v>0</v>
      </c>
      <c r="Y2450" t="b">
        <v>0</v>
      </c>
    </row>
    <row r="2451" spans="1:25">
      <c r="A2451">
        <v>1000545</v>
      </c>
      <c r="B2451" t="s">
        <v>4061</v>
      </c>
      <c r="C2451" t="s">
        <v>5131</v>
      </c>
      <c r="D2451" t="s">
        <v>1292</v>
      </c>
      <c r="E2451">
        <v>1000545</v>
      </c>
      <c r="F2451" t="s">
        <v>1292</v>
      </c>
      <c r="G2451">
        <v>0</v>
      </c>
      <c r="H2451" t="s">
        <v>1292</v>
      </c>
      <c r="I2451">
        <v>0</v>
      </c>
      <c r="J2451" t="s">
        <v>1292</v>
      </c>
      <c r="K2451">
        <v>0</v>
      </c>
      <c r="L2451" t="s">
        <v>1292</v>
      </c>
      <c r="M2451">
        <v>0</v>
      </c>
      <c r="N2451" t="s">
        <v>1292</v>
      </c>
      <c r="O2451">
        <v>0</v>
      </c>
      <c r="P2451" t="s">
        <v>1554</v>
      </c>
      <c r="Q2451" s="1">
        <v>6633</v>
      </c>
      <c r="R2451">
        <v>20.5</v>
      </c>
      <c r="S2451" s="2">
        <v>0.22</v>
      </c>
      <c r="T2451" s="3">
        <v>2.4458333333333333</v>
      </c>
      <c r="U2451" s="2">
        <v>0.23</v>
      </c>
      <c r="V2451" t="s">
        <v>5131</v>
      </c>
      <c r="W2451" t="s">
        <v>5132</v>
      </c>
      <c r="X2451" t="b">
        <v>0</v>
      </c>
      <c r="Y2451" t="b">
        <v>0</v>
      </c>
    </row>
    <row r="2452" spans="1:25">
      <c r="A2452">
        <v>1000546</v>
      </c>
      <c r="B2452" t="s">
        <v>4061</v>
      </c>
      <c r="C2452" t="s">
        <v>5133</v>
      </c>
      <c r="D2452" t="s">
        <v>1292</v>
      </c>
      <c r="E2452">
        <v>1000546</v>
      </c>
      <c r="F2452" t="s">
        <v>1292</v>
      </c>
      <c r="G2452">
        <v>0</v>
      </c>
      <c r="H2452" t="s">
        <v>1292</v>
      </c>
      <c r="I2452">
        <v>0</v>
      </c>
      <c r="J2452" t="s">
        <v>1292</v>
      </c>
      <c r="K2452">
        <v>0</v>
      </c>
      <c r="L2452" t="s">
        <v>1292</v>
      </c>
      <c r="M2452">
        <v>0</v>
      </c>
      <c r="N2452" t="s">
        <v>1292</v>
      </c>
      <c r="O2452">
        <v>0</v>
      </c>
      <c r="P2452" t="s">
        <v>2836</v>
      </c>
      <c r="Q2452">
        <v>916</v>
      </c>
      <c r="R2452">
        <v>16.399999999999999</v>
      </c>
      <c r="S2452" s="2">
        <v>0.64</v>
      </c>
      <c r="T2452" t="s">
        <v>145</v>
      </c>
      <c r="U2452" s="2">
        <v>0.06</v>
      </c>
      <c r="V2452" t="s">
        <v>5133</v>
      </c>
      <c r="W2452" t="s">
        <v>1199</v>
      </c>
      <c r="X2452" t="b">
        <v>0</v>
      </c>
      <c r="Y2452" t="b">
        <v>0</v>
      </c>
    </row>
    <row r="2453" spans="1:25">
      <c r="A2453">
        <v>1000547</v>
      </c>
      <c r="B2453" t="s">
        <v>4061</v>
      </c>
      <c r="C2453" t="s">
        <v>5134</v>
      </c>
      <c r="D2453" t="s">
        <v>1292</v>
      </c>
      <c r="E2453">
        <v>1000547</v>
      </c>
      <c r="F2453" t="s">
        <v>1292</v>
      </c>
      <c r="G2453">
        <v>0</v>
      </c>
      <c r="H2453" t="s">
        <v>1292</v>
      </c>
      <c r="I2453">
        <v>0</v>
      </c>
      <c r="J2453" t="s">
        <v>1292</v>
      </c>
      <c r="K2453">
        <v>0</v>
      </c>
      <c r="L2453" t="s">
        <v>1292</v>
      </c>
      <c r="M2453">
        <v>0</v>
      </c>
      <c r="N2453" t="s">
        <v>1292</v>
      </c>
      <c r="O2453">
        <v>0</v>
      </c>
      <c r="P2453" t="s">
        <v>795</v>
      </c>
      <c r="Q2453" s="1">
        <v>1820</v>
      </c>
      <c r="R2453">
        <v>35</v>
      </c>
      <c r="S2453" s="2">
        <v>0</v>
      </c>
      <c r="T2453">
        <v>0.84791666666666665</v>
      </c>
      <c r="U2453" s="2">
        <v>0.59</v>
      </c>
      <c r="V2453" t="s">
        <v>5134</v>
      </c>
      <c r="W2453" t="s">
        <v>5135</v>
      </c>
      <c r="X2453" t="b">
        <v>0</v>
      </c>
      <c r="Y2453" t="b">
        <v>0</v>
      </c>
    </row>
    <row r="2454" spans="1:25">
      <c r="A2454">
        <v>1000548</v>
      </c>
      <c r="B2454" t="s">
        <v>4061</v>
      </c>
      <c r="C2454" t="s">
        <v>5136</v>
      </c>
      <c r="D2454" t="s">
        <v>1292</v>
      </c>
      <c r="E2454">
        <v>1000548</v>
      </c>
      <c r="F2454" t="s">
        <v>1292</v>
      </c>
      <c r="G2454">
        <v>0</v>
      </c>
      <c r="H2454" t="s">
        <v>1292</v>
      </c>
      <c r="I2454">
        <v>0</v>
      </c>
      <c r="J2454" t="s">
        <v>1292</v>
      </c>
      <c r="K2454">
        <v>0</v>
      </c>
      <c r="L2454" t="s">
        <v>1292</v>
      </c>
      <c r="M2454">
        <v>0</v>
      </c>
      <c r="N2454" t="s">
        <v>1292</v>
      </c>
      <c r="O2454">
        <v>0</v>
      </c>
      <c r="P2454" t="s">
        <v>1123</v>
      </c>
      <c r="Q2454" s="1">
        <v>3200</v>
      </c>
      <c r="R2454">
        <v>10.199999999999999</v>
      </c>
      <c r="S2454" s="2">
        <v>0.1</v>
      </c>
      <c r="T2454" s="3">
        <v>2.4458333333333333</v>
      </c>
      <c r="U2454" s="2">
        <v>0.33</v>
      </c>
      <c r="V2454" t="s">
        <v>5136</v>
      </c>
      <c r="W2454" t="s">
        <v>5137</v>
      </c>
      <c r="X2454" t="b">
        <v>0</v>
      </c>
      <c r="Y2454" t="b">
        <v>0</v>
      </c>
    </row>
    <row r="2455" spans="1:25">
      <c r="A2455">
        <v>1000549</v>
      </c>
      <c r="B2455" t="s">
        <v>4061</v>
      </c>
      <c r="C2455" t="s">
        <v>5138</v>
      </c>
      <c r="D2455" t="s">
        <v>1292</v>
      </c>
      <c r="E2455">
        <v>1000549</v>
      </c>
      <c r="F2455" t="s">
        <v>1292</v>
      </c>
      <c r="G2455">
        <v>0</v>
      </c>
      <c r="H2455" t="s">
        <v>1292</v>
      </c>
      <c r="I2455">
        <v>0</v>
      </c>
      <c r="J2455" t="s">
        <v>1292</v>
      </c>
      <c r="K2455">
        <v>0</v>
      </c>
      <c r="L2455" t="s">
        <v>1292</v>
      </c>
      <c r="M2455">
        <v>0</v>
      </c>
      <c r="N2455" t="s">
        <v>1292</v>
      </c>
      <c r="O2455">
        <v>0</v>
      </c>
      <c r="P2455" t="s">
        <v>1483</v>
      </c>
      <c r="Q2455" s="1">
        <v>11859</v>
      </c>
      <c r="R2455">
        <v>29.1</v>
      </c>
      <c r="S2455" s="2">
        <v>0.01</v>
      </c>
      <c r="T2455" s="3">
        <v>2.2409722222222221</v>
      </c>
      <c r="U2455" s="2">
        <v>0.24</v>
      </c>
      <c r="V2455" t="s">
        <v>5138</v>
      </c>
      <c r="W2455" t="s">
        <v>5139</v>
      </c>
      <c r="X2455" t="b">
        <v>0</v>
      </c>
      <c r="Y2455" t="b">
        <v>0</v>
      </c>
    </row>
    <row r="2456" spans="1:25">
      <c r="A2456">
        <v>1000550</v>
      </c>
      <c r="B2456" t="s">
        <v>4061</v>
      </c>
      <c r="C2456" t="s">
        <v>5140</v>
      </c>
      <c r="D2456" t="s">
        <v>1292</v>
      </c>
      <c r="E2456">
        <v>1000550</v>
      </c>
      <c r="F2456" t="s">
        <v>1292</v>
      </c>
      <c r="G2456">
        <v>0</v>
      </c>
      <c r="H2456" t="s">
        <v>1292</v>
      </c>
      <c r="I2456">
        <v>0</v>
      </c>
      <c r="J2456" t="s">
        <v>1292</v>
      </c>
      <c r="K2456">
        <v>0</v>
      </c>
      <c r="L2456" t="s">
        <v>1292</v>
      </c>
      <c r="M2456">
        <v>0</v>
      </c>
      <c r="N2456" t="s">
        <v>1292</v>
      </c>
      <c r="O2456">
        <v>0</v>
      </c>
      <c r="P2456" t="s">
        <v>1554</v>
      </c>
      <c r="Q2456" s="1">
        <v>3252</v>
      </c>
      <c r="R2456">
        <v>16.399999999999999</v>
      </c>
      <c r="S2456" s="2">
        <v>0.33</v>
      </c>
      <c r="T2456" s="3">
        <v>1.8722222222222222</v>
      </c>
      <c r="U2456" s="2">
        <v>0.3</v>
      </c>
      <c r="V2456" t="s">
        <v>5140</v>
      </c>
      <c r="W2456" t="s">
        <v>5141</v>
      </c>
      <c r="X2456" t="b">
        <v>0</v>
      </c>
      <c r="Y2456" t="b">
        <v>0</v>
      </c>
    </row>
    <row r="2457" spans="1:25">
      <c r="A2457">
        <v>1000551</v>
      </c>
      <c r="B2457" t="s">
        <v>4061</v>
      </c>
      <c r="C2457" t="s">
        <v>5142</v>
      </c>
      <c r="D2457" t="s">
        <v>1292</v>
      </c>
      <c r="E2457">
        <v>1000551</v>
      </c>
      <c r="F2457" t="s">
        <v>1292</v>
      </c>
      <c r="G2457">
        <v>0</v>
      </c>
      <c r="H2457" t="s">
        <v>1292</v>
      </c>
      <c r="I2457">
        <v>0</v>
      </c>
      <c r="J2457" t="s">
        <v>1292</v>
      </c>
      <c r="K2457">
        <v>0</v>
      </c>
      <c r="L2457" t="s">
        <v>1292</v>
      </c>
      <c r="M2457">
        <v>0</v>
      </c>
      <c r="N2457" t="s">
        <v>1292</v>
      </c>
      <c r="O2457">
        <v>0</v>
      </c>
      <c r="P2457" t="s">
        <v>1895</v>
      </c>
      <c r="Q2457" s="1">
        <v>2484</v>
      </c>
      <c r="R2457">
        <v>11.4</v>
      </c>
      <c r="S2457" s="2">
        <v>0</v>
      </c>
      <c r="T2457" t="s">
        <v>801</v>
      </c>
      <c r="U2457" s="2">
        <v>0.15</v>
      </c>
      <c r="V2457" t="s">
        <v>5142</v>
      </c>
      <c r="W2457" t="s">
        <v>5143</v>
      </c>
      <c r="X2457" t="b">
        <v>0</v>
      </c>
      <c r="Y2457" t="b">
        <v>0</v>
      </c>
    </row>
    <row r="2458" spans="1:25">
      <c r="A2458">
        <v>1000552</v>
      </c>
      <c r="B2458" t="s">
        <v>4061</v>
      </c>
      <c r="C2458" t="s">
        <v>5144</v>
      </c>
      <c r="D2458" t="s">
        <v>1292</v>
      </c>
      <c r="E2458">
        <v>1000552</v>
      </c>
      <c r="F2458" t="s">
        <v>1292</v>
      </c>
      <c r="G2458">
        <v>0</v>
      </c>
      <c r="H2458" t="s">
        <v>1292</v>
      </c>
      <c r="I2458">
        <v>0</v>
      </c>
      <c r="J2458" t="s">
        <v>1292</v>
      </c>
      <c r="K2458">
        <v>0</v>
      </c>
      <c r="L2458" t="s">
        <v>1292</v>
      </c>
      <c r="M2458">
        <v>0</v>
      </c>
      <c r="N2458" t="s">
        <v>1292</v>
      </c>
      <c r="O2458">
        <v>0</v>
      </c>
      <c r="P2458" t="s">
        <v>255</v>
      </c>
      <c r="Q2458" s="1">
        <v>6861</v>
      </c>
      <c r="R2458">
        <v>10.1</v>
      </c>
      <c r="S2458" s="2">
        <v>0.09</v>
      </c>
      <c r="T2458">
        <v>0.88888888888888884</v>
      </c>
      <c r="U2458" s="2">
        <v>0.47</v>
      </c>
      <c r="V2458" t="s">
        <v>5144</v>
      </c>
      <c r="W2458" t="s">
        <v>5145</v>
      </c>
      <c r="X2458" t="b">
        <v>0</v>
      </c>
      <c r="Y2458" t="b">
        <v>0</v>
      </c>
    </row>
    <row r="2459" spans="1:25">
      <c r="A2459">
        <v>1000553</v>
      </c>
      <c r="B2459" t="s">
        <v>4061</v>
      </c>
      <c r="C2459" t="s">
        <v>5146</v>
      </c>
      <c r="D2459" t="s">
        <v>1292</v>
      </c>
      <c r="E2459">
        <v>1000553</v>
      </c>
      <c r="F2459" t="s">
        <v>1292</v>
      </c>
      <c r="G2459">
        <v>0</v>
      </c>
      <c r="H2459" t="s">
        <v>1292</v>
      </c>
      <c r="I2459">
        <v>0</v>
      </c>
      <c r="J2459" t="s">
        <v>1292</v>
      </c>
      <c r="K2459">
        <v>0</v>
      </c>
      <c r="L2459" t="s">
        <v>1292</v>
      </c>
      <c r="M2459">
        <v>0</v>
      </c>
      <c r="N2459" t="s">
        <v>1292</v>
      </c>
      <c r="O2459">
        <v>0</v>
      </c>
      <c r="P2459" t="s">
        <v>26</v>
      </c>
      <c r="Q2459" s="1">
        <v>2015</v>
      </c>
      <c r="R2459">
        <v>22.4</v>
      </c>
      <c r="S2459" s="2">
        <v>0.02</v>
      </c>
      <c r="T2459" s="3">
        <v>2.7326388888888888</v>
      </c>
      <c r="U2459" s="2">
        <v>0.14000000000000001</v>
      </c>
      <c r="V2459" t="s">
        <v>5146</v>
      </c>
      <c r="W2459" t="s">
        <v>5147</v>
      </c>
      <c r="X2459" t="b">
        <v>0</v>
      </c>
      <c r="Y2459" t="b">
        <v>0</v>
      </c>
    </row>
    <row r="2460" spans="1:25">
      <c r="A2460">
        <v>1000554</v>
      </c>
      <c r="B2460" t="s">
        <v>4061</v>
      </c>
      <c r="C2460" t="s">
        <v>5148</v>
      </c>
      <c r="D2460" t="s">
        <v>1292</v>
      </c>
      <c r="E2460">
        <v>1000554</v>
      </c>
      <c r="F2460" t="s">
        <v>1292</v>
      </c>
      <c r="G2460">
        <v>0</v>
      </c>
      <c r="H2460" t="s">
        <v>1292</v>
      </c>
      <c r="I2460">
        <v>0</v>
      </c>
      <c r="J2460" t="s">
        <v>1292</v>
      </c>
      <c r="K2460">
        <v>0</v>
      </c>
      <c r="L2460" t="s">
        <v>1292</v>
      </c>
      <c r="M2460">
        <v>0</v>
      </c>
      <c r="N2460" t="s">
        <v>1292</v>
      </c>
      <c r="O2460">
        <v>0</v>
      </c>
      <c r="P2460" t="s">
        <v>992</v>
      </c>
      <c r="Q2460" s="1">
        <v>8258</v>
      </c>
      <c r="R2460">
        <v>17.8</v>
      </c>
      <c r="S2460" s="2">
        <v>7.0000000000000007E-2</v>
      </c>
      <c r="T2460" s="3">
        <v>1.9541666666666666</v>
      </c>
      <c r="U2460" s="2">
        <v>0.38</v>
      </c>
      <c r="V2460" t="s">
        <v>5148</v>
      </c>
      <c r="W2460" t="s">
        <v>5149</v>
      </c>
      <c r="X2460" t="b">
        <v>0</v>
      </c>
      <c r="Y2460" t="b">
        <v>0</v>
      </c>
    </row>
    <row r="2461" spans="1:25">
      <c r="A2461">
        <v>1000555</v>
      </c>
      <c r="B2461" t="s">
        <v>4061</v>
      </c>
      <c r="C2461" t="s">
        <v>5150</v>
      </c>
      <c r="D2461" t="s">
        <v>1292</v>
      </c>
      <c r="E2461">
        <v>1000555</v>
      </c>
      <c r="F2461" t="s">
        <v>1292</v>
      </c>
      <c r="G2461">
        <v>0</v>
      </c>
      <c r="H2461" t="s">
        <v>1292</v>
      </c>
      <c r="I2461">
        <v>0</v>
      </c>
      <c r="J2461" t="s">
        <v>1292</v>
      </c>
      <c r="K2461">
        <v>0</v>
      </c>
      <c r="L2461" t="s">
        <v>1292</v>
      </c>
      <c r="M2461">
        <v>0</v>
      </c>
      <c r="N2461" t="s">
        <v>1292</v>
      </c>
      <c r="O2461">
        <v>0</v>
      </c>
      <c r="P2461" t="s">
        <v>3726</v>
      </c>
      <c r="Q2461" s="1">
        <v>18297</v>
      </c>
      <c r="R2461">
        <v>4.4000000000000004</v>
      </c>
      <c r="S2461" s="2">
        <v>7.0000000000000007E-2</v>
      </c>
      <c r="T2461" s="3">
        <v>2.3638888888888889</v>
      </c>
      <c r="U2461" s="2">
        <v>0.13</v>
      </c>
      <c r="V2461" t="s">
        <v>5150</v>
      </c>
      <c r="W2461" t="s">
        <v>5151</v>
      </c>
      <c r="X2461" t="b">
        <v>0</v>
      </c>
      <c r="Y2461" t="b">
        <v>0</v>
      </c>
    </row>
    <row r="2462" spans="1:25">
      <c r="A2462">
        <v>1000556</v>
      </c>
      <c r="B2462" t="s">
        <v>4061</v>
      </c>
      <c r="C2462" t="s">
        <v>5152</v>
      </c>
      <c r="D2462" t="s">
        <v>1292</v>
      </c>
      <c r="E2462">
        <v>1000556</v>
      </c>
      <c r="F2462" t="s">
        <v>1292</v>
      </c>
      <c r="G2462">
        <v>0</v>
      </c>
      <c r="H2462" t="s">
        <v>1292</v>
      </c>
      <c r="I2462">
        <v>0</v>
      </c>
      <c r="J2462" t="s">
        <v>1292</v>
      </c>
      <c r="K2462">
        <v>0</v>
      </c>
      <c r="L2462" t="s">
        <v>1292</v>
      </c>
      <c r="M2462">
        <v>0</v>
      </c>
      <c r="N2462" t="s">
        <v>1292</v>
      </c>
      <c r="O2462">
        <v>0</v>
      </c>
      <c r="P2462" t="s">
        <v>1102</v>
      </c>
      <c r="Q2462" s="1">
        <v>5149</v>
      </c>
      <c r="R2462">
        <v>28.1</v>
      </c>
      <c r="S2462" s="2">
        <v>0</v>
      </c>
      <c r="T2462" s="3">
        <v>2.3638888888888889</v>
      </c>
      <c r="U2462" t="s">
        <v>1292</v>
      </c>
      <c r="V2462" t="s">
        <v>5152</v>
      </c>
      <c r="W2462" t="s">
        <v>5153</v>
      </c>
      <c r="X2462" t="b">
        <v>0</v>
      </c>
      <c r="Y2462" t="b">
        <v>0</v>
      </c>
    </row>
    <row r="2463" spans="1:25">
      <c r="A2463">
        <v>1000557</v>
      </c>
      <c r="B2463" t="s">
        <v>4061</v>
      </c>
      <c r="C2463" t="s">
        <v>5154</v>
      </c>
      <c r="D2463" t="s">
        <v>1292</v>
      </c>
      <c r="E2463">
        <v>1000557</v>
      </c>
      <c r="F2463" t="s">
        <v>1292</v>
      </c>
      <c r="G2463">
        <v>0</v>
      </c>
      <c r="H2463" t="s">
        <v>1292</v>
      </c>
      <c r="I2463">
        <v>0</v>
      </c>
      <c r="J2463" t="s">
        <v>1292</v>
      </c>
      <c r="K2463">
        <v>0</v>
      </c>
      <c r="L2463" t="s">
        <v>1292</v>
      </c>
      <c r="M2463">
        <v>0</v>
      </c>
      <c r="N2463" t="s">
        <v>1292</v>
      </c>
      <c r="O2463">
        <v>0</v>
      </c>
      <c r="P2463" t="s">
        <v>1613</v>
      </c>
      <c r="Q2463" s="1">
        <v>11795</v>
      </c>
      <c r="R2463">
        <v>19.3</v>
      </c>
      <c r="S2463" s="2">
        <v>0.02</v>
      </c>
      <c r="T2463" s="3">
        <v>2.5687500000000001</v>
      </c>
      <c r="U2463" s="2">
        <v>0.26</v>
      </c>
      <c r="V2463" t="s">
        <v>5154</v>
      </c>
      <c r="W2463" t="s">
        <v>5155</v>
      </c>
      <c r="X2463" t="b">
        <v>0</v>
      </c>
      <c r="Y2463" t="b">
        <v>0</v>
      </c>
    </row>
    <row r="2464" spans="1:25">
      <c r="A2464">
        <v>1000558</v>
      </c>
      <c r="B2464" t="s">
        <v>4061</v>
      </c>
      <c r="C2464" t="s">
        <v>5156</v>
      </c>
      <c r="D2464" t="s">
        <v>1292</v>
      </c>
      <c r="E2464">
        <v>1000558</v>
      </c>
      <c r="F2464" t="s">
        <v>1292</v>
      </c>
      <c r="G2464">
        <v>0</v>
      </c>
      <c r="H2464" t="s">
        <v>1292</v>
      </c>
      <c r="I2464">
        <v>0</v>
      </c>
      <c r="J2464" t="s">
        <v>1292</v>
      </c>
      <c r="K2464">
        <v>0</v>
      </c>
      <c r="L2464" t="s">
        <v>1292</v>
      </c>
      <c r="M2464">
        <v>0</v>
      </c>
      <c r="N2464" t="s">
        <v>1292</v>
      </c>
      <c r="O2464">
        <v>0</v>
      </c>
      <c r="P2464" t="s">
        <v>94</v>
      </c>
      <c r="Q2464" s="1">
        <v>2479</v>
      </c>
      <c r="R2464">
        <v>11.9</v>
      </c>
      <c r="S2464" s="2">
        <v>0.02</v>
      </c>
      <c r="T2464" s="3">
        <v>2.8145833333333332</v>
      </c>
      <c r="U2464" s="2">
        <v>0.21</v>
      </c>
      <c r="V2464" t="s">
        <v>5156</v>
      </c>
      <c r="W2464" t="s">
        <v>5157</v>
      </c>
      <c r="X2464" t="b">
        <v>0</v>
      </c>
      <c r="Y2464" t="b">
        <v>0</v>
      </c>
    </row>
    <row r="2465" spans="1:25">
      <c r="A2465">
        <v>1000559</v>
      </c>
      <c r="B2465" t="s">
        <v>4061</v>
      </c>
      <c r="C2465" t="s">
        <v>5158</v>
      </c>
      <c r="D2465" t="s">
        <v>1292</v>
      </c>
      <c r="E2465">
        <v>1000559</v>
      </c>
      <c r="F2465" t="s">
        <v>1292</v>
      </c>
      <c r="G2465">
        <v>0</v>
      </c>
      <c r="H2465" t="s">
        <v>1292</v>
      </c>
      <c r="I2465">
        <v>0</v>
      </c>
      <c r="J2465" t="s">
        <v>1292</v>
      </c>
      <c r="K2465">
        <v>0</v>
      </c>
      <c r="L2465" t="s">
        <v>1292</v>
      </c>
      <c r="M2465">
        <v>0</v>
      </c>
      <c r="N2465" t="s">
        <v>1292</v>
      </c>
      <c r="O2465">
        <v>0</v>
      </c>
      <c r="P2465" t="s">
        <v>1433</v>
      </c>
      <c r="Q2465" s="1">
        <v>2971</v>
      </c>
      <c r="R2465">
        <v>41.3</v>
      </c>
      <c r="S2465" s="2">
        <v>0.01</v>
      </c>
      <c r="T2465" s="3">
        <v>1.9541666666666666</v>
      </c>
      <c r="U2465" s="2">
        <v>0.12</v>
      </c>
      <c r="V2465" t="s">
        <v>5158</v>
      </c>
      <c r="W2465" t="s">
        <v>5159</v>
      </c>
      <c r="X2465" t="b">
        <v>0</v>
      </c>
      <c r="Y2465" t="b">
        <v>0</v>
      </c>
    </row>
    <row r="2466" spans="1:25">
      <c r="A2466">
        <v>1000560</v>
      </c>
      <c r="B2466" t="s">
        <v>4061</v>
      </c>
      <c r="C2466" t="s">
        <v>5160</v>
      </c>
      <c r="D2466" t="s">
        <v>1292</v>
      </c>
      <c r="E2466">
        <v>1000560</v>
      </c>
      <c r="F2466" t="s">
        <v>1292</v>
      </c>
      <c r="G2466">
        <v>0</v>
      </c>
      <c r="H2466" t="s">
        <v>1292</v>
      </c>
      <c r="I2466">
        <v>0</v>
      </c>
      <c r="J2466" t="s">
        <v>1292</v>
      </c>
      <c r="K2466">
        <v>0</v>
      </c>
      <c r="L2466" t="s">
        <v>1292</v>
      </c>
      <c r="M2466">
        <v>0</v>
      </c>
      <c r="N2466" t="s">
        <v>1292</v>
      </c>
      <c r="O2466">
        <v>0</v>
      </c>
      <c r="P2466" t="s">
        <v>528</v>
      </c>
      <c r="Q2466" s="1">
        <v>13475</v>
      </c>
      <c r="R2466">
        <v>20.3</v>
      </c>
      <c r="S2466" s="2">
        <v>0</v>
      </c>
      <c r="T2466" t="s">
        <v>357</v>
      </c>
      <c r="U2466" s="2">
        <v>0.39</v>
      </c>
      <c r="V2466" t="s">
        <v>5160</v>
      </c>
      <c r="W2466" t="s">
        <v>5161</v>
      </c>
      <c r="X2466" t="b">
        <v>0</v>
      </c>
      <c r="Y2466" t="b">
        <v>0</v>
      </c>
    </row>
    <row r="2467" spans="1:25">
      <c r="A2467">
        <v>1000561</v>
      </c>
      <c r="B2467" t="s">
        <v>4061</v>
      </c>
      <c r="C2467" t="s">
        <v>5162</v>
      </c>
      <c r="D2467" t="s">
        <v>1292</v>
      </c>
      <c r="E2467">
        <v>1000561</v>
      </c>
      <c r="F2467" t="s">
        <v>1292</v>
      </c>
      <c r="G2467">
        <v>0</v>
      </c>
      <c r="H2467" t="s">
        <v>1292</v>
      </c>
      <c r="I2467">
        <v>0</v>
      </c>
      <c r="J2467" t="s">
        <v>1292</v>
      </c>
      <c r="K2467">
        <v>0</v>
      </c>
      <c r="L2467" t="s">
        <v>1292</v>
      </c>
      <c r="M2467">
        <v>0</v>
      </c>
      <c r="N2467" t="s">
        <v>1292</v>
      </c>
      <c r="O2467">
        <v>0</v>
      </c>
      <c r="P2467" t="s">
        <v>534</v>
      </c>
      <c r="Q2467" s="1">
        <v>2899</v>
      </c>
      <c r="R2467">
        <v>11.7</v>
      </c>
      <c r="S2467" s="2">
        <v>0.17</v>
      </c>
      <c r="T2467" s="3">
        <v>2.3229166666666665</v>
      </c>
      <c r="U2467" s="2">
        <v>0.41</v>
      </c>
      <c r="V2467" t="s">
        <v>5162</v>
      </c>
      <c r="W2467" t="s">
        <v>5163</v>
      </c>
      <c r="X2467" t="b">
        <v>0</v>
      </c>
      <c r="Y2467" t="b">
        <v>0</v>
      </c>
    </row>
    <row r="2468" spans="1:25">
      <c r="A2468">
        <v>1000562</v>
      </c>
      <c r="B2468" t="s">
        <v>4061</v>
      </c>
      <c r="C2468" t="s">
        <v>5164</v>
      </c>
      <c r="D2468" t="s">
        <v>1292</v>
      </c>
      <c r="E2468">
        <v>1000562</v>
      </c>
      <c r="F2468" t="s">
        <v>1292</v>
      </c>
      <c r="G2468">
        <v>0</v>
      </c>
      <c r="H2468" t="s">
        <v>1292</v>
      </c>
      <c r="I2468">
        <v>0</v>
      </c>
      <c r="J2468" t="s">
        <v>1292</v>
      </c>
      <c r="K2468">
        <v>0</v>
      </c>
      <c r="L2468" t="s">
        <v>1292</v>
      </c>
      <c r="M2468">
        <v>0</v>
      </c>
      <c r="N2468" t="s">
        <v>1292</v>
      </c>
      <c r="O2468">
        <v>0</v>
      </c>
      <c r="P2468" t="s">
        <v>1433</v>
      </c>
      <c r="Q2468" s="1">
        <v>19634</v>
      </c>
      <c r="R2468">
        <v>50.9</v>
      </c>
      <c r="S2468" s="2">
        <v>0</v>
      </c>
      <c r="T2468" s="3">
        <v>1.9541666666666666</v>
      </c>
      <c r="U2468" s="2">
        <v>0.16</v>
      </c>
      <c r="V2468" t="s">
        <v>5164</v>
      </c>
      <c r="W2468" t="s">
        <v>5165</v>
      </c>
      <c r="X2468" t="b">
        <v>0</v>
      </c>
      <c r="Y2468" t="b">
        <v>0</v>
      </c>
    </row>
    <row r="2469" spans="1:25">
      <c r="A2469">
        <v>1000563</v>
      </c>
      <c r="B2469" t="s">
        <v>4061</v>
      </c>
      <c r="C2469" t="s">
        <v>5166</v>
      </c>
      <c r="D2469" t="s">
        <v>1292</v>
      </c>
      <c r="E2469">
        <v>1000563</v>
      </c>
      <c r="F2469" t="s">
        <v>1292</v>
      </c>
      <c r="G2469">
        <v>0</v>
      </c>
      <c r="H2469" t="s">
        <v>1292</v>
      </c>
      <c r="I2469">
        <v>0</v>
      </c>
      <c r="J2469" t="s">
        <v>1292</v>
      </c>
      <c r="K2469">
        <v>0</v>
      </c>
      <c r="L2469" t="s">
        <v>1292</v>
      </c>
      <c r="M2469">
        <v>0</v>
      </c>
      <c r="N2469" t="s">
        <v>1292</v>
      </c>
      <c r="O2469">
        <v>0</v>
      </c>
      <c r="P2469" t="s">
        <v>1123</v>
      </c>
      <c r="Q2469" s="1">
        <v>2764</v>
      </c>
      <c r="R2469">
        <v>7.2</v>
      </c>
      <c r="S2469" s="2">
        <v>0.05</v>
      </c>
      <c r="T2469" t="s">
        <v>501</v>
      </c>
      <c r="U2469" s="2">
        <v>0.5</v>
      </c>
      <c r="V2469" t="s">
        <v>5166</v>
      </c>
      <c r="W2469" t="s">
        <v>5167</v>
      </c>
      <c r="X2469" t="b">
        <v>0</v>
      </c>
      <c r="Y2469" t="b">
        <v>0</v>
      </c>
    </row>
    <row r="2470" spans="1:25">
      <c r="A2470">
        <v>1000564</v>
      </c>
      <c r="B2470" t="s">
        <v>4061</v>
      </c>
      <c r="C2470" t="s">
        <v>5168</v>
      </c>
      <c r="D2470" t="s">
        <v>1292</v>
      </c>
      <c r="E2470">
        <v>1000564</v>
      </c>
      <c r="F2470" t="s">
        <v>1292</v>
      </c>
      <c r="G2470">
        <v>0</v>
      </c>
      <c r="H2470" t="s">
        <v>1292</v>
      </c>
      <c r="I2470">
        <v>0</v>
      </c>
      <c r="J2470" t="s">
        <v>1292</v>
      </c>
      <c r="K2470">
        <v>0</v>
      </c>
      <c r="L2470" t="s">
        <v>1292</v>
      </c>
      <c r="M2470">
        <v>0</v>
      </c>
      <c r="N2470" t="s">
        <v>1292</v>
      </c>
      <c r="O2470">
        <v>0</v>
      </c>
      <c r="P2470" t="s">
        <v>255</v>
      </c>
      <c r="Q2470" s="1">
        <v>4734</v>
      </c>
      <c r="R2470">
        <v>18.7</v>
      </c>
      <c r="S2470" s="2">
        <v>0.13</v>
      </c>
      <c r="T2470" s="3">
        <v>2.3229166666666665</v>
      </c>
      <c r="U2470" s="2">
        <v>0.18</v>
      </c>
      <c r="V2470" t="s">
        <v>5168</v>
      </c>
      <c r="W2470" t="s">
        <v>5169</v>
      </c>
      <c r="X2470" t="b">
        <v>0</v>
      </c>
      <c r="Y2470" t="b">
        <v>0</v>
      </c>
    </row>
    <row r="2471" spans="1:25">
      <c r="A2471">
        <v>1000565</v>
      </c>
      <c r="B2471" t="s">
        <v>4061</v>
      </c>
      <c r="C2471" t="s">
        <v>5170</v>
      </c>
      <c r="D2471" t="s">
        <v>1292</v>
      </c>
      <c r="E2471">
        <v>1000565</v>
      </c>
      <c r="F2471" t="s">
        <v>1292</v>
      </c>
      <c r="G2471">
        <v>0</v>
      </c>
      <c r="H2471" t="s">
        <v>1292</v>
      </c>
      <c r="I2471">
        <v>0</v>
      </c>
      <c r="J2471" t="s">
        <v>1292</v>
      </c>
      <c r="K2471">
        <v>0</v>
      </c>
      <c r="L2471" t="s">
        <v>1292</v>
      </c>
      <c r="M2471">
        <v>0</v>
      </c>
      <c r="N2471" t="s">
        <v>1292</v>
      </c>
      <c r="O2471">
        <v>0</v>
      </c>
      <c r="P2471" t="s">
        <v>577</v>
      </c>
      <c r="Q2471" s="1">
        <v>13565</v>
      </c>
      <c r="R2471">
        <v>32.799999999999997</v>
      </c>
      <c r="S2471" s="2">
        <v>0</v>
      </c>
      <c r="T2471" s="3">
        <v>2.4458333333333333</v>
      </c>
      <c r="U2471" s="2">
        <v>0.13</v>
      </c>
      <c r="V2471" t="s">
        <v>5170</v>
      </c>
      <c r="W2471" t="s">
        <v>5171</v>
      </c>
      <c r="X2471" t="b">
        <v>0</v>
      </c>
      <c r="Y2471" t="b">
        <v>0</v>
      </c>
    </row>
    <row r="2472" spans="1:25">
      <c r="A2472">
        <v>1000566</v>
      </c>
      <c r="B2472" t="s">
        <v>4061</v>
      </c>
      <c r="C2472" t="s">
        <v>5172</v>
      </c>
      <c r="D2472" t="s">
        <v>1292</v>
      </c>
      <c r="E2472">
        <v>1000566</v>
      </c>
      <c r="F2472" t="s">
        <v>1292</v>
      </c>
      <c r="G2472">
        <v>0</v>
      </c>
      <c r="H2472" t="s">
        <v>1292</v>
      </c>
      <c r="I2472">
        <v>0</v>
      </c>
      <c r="J2472" t="s">
        <v>1292</v>
      </c>
      <c r="K2472">
        <v>0</v>
      </c>
      <c r="L2472" t="s">
        <v>1292</v>
      </c>
      <c r="M2472">
        <v>0</v>
      </c>
      <c r="N2472" t="s">
        <v>1292</v>
      </c>
      <c r="O2472">
        <v>0</v>
      </c>
      <c r="P2472" t="s">
        <v>5173</v>
      </c>
      <c r="Q2472" s="1">
        <v>2197</v>
      </c>
      <c r="R2472">
        <v>8.1</v>
      </c>
      <c r="S2472" s="2">
        <v>0</v>
      </c>
      <c r="T2472" s="3">
        <v>2.4868055555555557</v>
      </c>
      <c r="U2472" s="2">
        <v>0.05</v>
      </c>
      <c r="V2472" t="s">
        <v>5172</v>
      </c>
      <c r="W2472" t="s">
        <v>5174</v>
      </c>
      <c r="X2472" t="b">
        <v>0</v>
      </c>
      <c r="Y2472" t="b">
        <v>0</v>
      </c>
    </row>
    <row r="2473" spans="1:25">
      <c r="A2473">
        <v>1000567</v>
      </c>
      <c r="B2473" t="s">
        <v>4061</v>
      </c>
      <c r="C2473" t="s">
        <v>5175</v>
      </c>
      <c r="D2473" t="s">
        <v>1292</v>
      </c>
      <c r="E2473">
        <v>1000567</v>
      </c>
      <c r="F2473" t="s">
        <v>1292</v>
      </c>
      <c r="G2473">
        <v>0</v>
      </c>
      <c r="H2473" t="s">
        <v>1292</v>
      </c>
      <c r="I2473">
        <v>0</v>
      </c>
      <c r="J2473" t="s">
        <v>1292</v>
      </c>
      <c r="K2473">
        <v>0</v>
      </c>
      <c r="L2473" t="s">
        <v>1292</v>
      </c>
      <c r="M2473">
        <v>0</v>
      </c>
      <c r="N2473" t="s">
        <v>1292</v>
      </c>
      <c r="O2473">
        <v>0</v>
      </c>
      <c r="P2473" t="s">
        <v>1102</v>
      </c>
      <c r="Q2473" s="1">
        <v>4955</v>
      </c>
      <c r="R2473">
        <v>10.6</v>
      </c>
      <c r="S2473" s="2">
        <v>0</v>
      </c>
      <c r="T2473">
        <v>0.72499999999999998</v>
      </c>
      <c r="U2473" t="s">
        <v>1292</v>
      </c>
      <c r="V2473" t="s">
        <v>5175</v>
      </c>
      <c r="W2473" t="s">
        <v>5176</v>
      </c>
      <c r="X2473" t="b">
        <v>0</v>
      </c>
      <c r="Y2473" t="b">
        <v>0</v>
      </c>
    </row>
    <row r="2474" spans="1:25">
      <c r="A2474">
        <v>1000568</v>
      </c>
      <c r="B2474" t="s">
        <v>4061</v>
      </c>
      <c r="C2474" t="s">
        <v>5177</v>
      </c>
      <c r="D2474" t="s">
        <v>1292</v>
      </c>
      <c r="E2474">
        <v>1000568</v>
      </c>
      <c r="F2474" t="s">
        <v>1292</v>
      </c>
      <c r="G2474">
        <v>0</v>
      </c>
      <c r="H2474" t="s">
        <v>1292</v>
      </c>
      <c r="I2474">
        <v>0</v>
      </c>
      <c r="J2474" t="s">
        <v>1292</v>
      </c>
      <c r="K2474">
        <v>0</v>
      </c>
      <c r="L2474" t="s">
        <v>1292</v>
      </c>
      <c r="M2474">
        <v>0</v>
      </c>
      <c r="N2474" t="s">
        <v>1292</v>
      </c>
      <c r="O2474">
        <v>0</v>
      </c>
      <c r="P2474" t="s">
        <v>4123</v>
      </c>
      <c r="Q2474" s="1">
        <v>4057</v>
      </c>
      <c r="R2474">
        <v>9.1999999999999993</v>
      </c>
      <c r="S2474" s="2">
        <v>0.01</v>
      </c>
      <c r="T2474" t="s">
        <v>51</v>
      </c>
      <c r="U2474" s="2">
        <v>0</v>
      </c>
      <c r="V2474" t="s">
        <v>5177</v>
      </c>
      <c r="W2474" t="s">
        <v>5178</v>
      </c>
      <c r="X2474" t="b">
        <v>0</v>
      </c>
      <c r="Y2474" t="b">
        <v>0</v>
      </c>
    </row>
    <row r="2475" spans="1:25">
      <c r="A2475">
        <v>1000569</v>
      </c>
      <c r="B2475" t="s">
        <v>4061</v>
      </c>
      <c r="C2475" t="s">
        <v>5179</v>
      </c>
      <c r="D2475" t="s">
        <v>1292</v>
      </c>
      <c r="E2475">
        <v>1000569</v>
      </c>
      <c r="F2475" t="s">
        <v>1292</v>
      </c>
      <c r="G2475">
        <v>0</v>
      </c>
      <c r="H2475" t="s">
        <v>1292</v>
      </c>
      <c r="I2475">
        <v>0</v>
      </c>
      <c r="J2475" t="s">
        <v>1292</v>
      </c>
      <c r="K2475">
        <v>0</v>
      </c>
      <c r="L2475" t="s">
        <v>1292</v>
      </c>
      <c r="M2475">
        <v>0</v>
      </c>
      <c r="N2475" t="s">
        <v>1292</v>
      </c>
      <c r="O2475">
        <v>0</v>
      </c>
      <c r="P2475" t="s">
        <v>26</v>
      </c>
      <c r="Q2475" s="1">
        <v>4350</v>
      </c>
      <c r="R2475">
        <v>21.8</v>
      </c>
      <c r="S2475" s="2">
        <v>0.3</v>
      </c>
      <c r="T2475" s="3">
        <v>3.2243055555555555</v>
      </c>
      <c r="U2475" s="2">
        <v>0.09</v>
      </c>
      <c r="V2475" t="s">
        <v>5179</v>
      </c>
      <c r="W2475" t="s">
        <v>5180</v>
      </c>
      <c r="X2475" t="b">
        <v>0</v>
      </c>
      <c r="Y2475" t="b">
        <v>0</v>
      </c>
    </row>
    <row r="2476" spans="1:25">
      <c r="A2476">
        <v>1000570</v>
      </c>
      <c r="B2476" t="s">
        <v>4061</v>
      </c>
      <c r="C2476" t="s">
        <v>5181</v>
      </c>
      <c r="D2476" t="s">
        <v>1292</v>
      </c>
      <c r="E2476">
        <v>1000570</v>
      </c>
      <c r="F2476" t="s">
        <v>1292</v>
      </c>
      <c r="G2476">
        <v>0</v>
      </c>
      <c r="H2476" t="s">
        <v>1292</v>
      </c>
      <c r="I2476">
        <v>0</v>
      </c>
      <c r="J2476" t="s">
        <v>1292</v>
      </c>
      <c r="K2476">
        <v>0</v>
      </c>
      <c r="L2476" t="s">
        <v>1292</v>
      </c>
      <c r="M2476">
        <v>0</v>
      </c>
      <c r="N2476" t="s">
        <v>1292</v>
      </c>
      <c r="O2476">
        <v>0</v>
      </c>
      <c r="P2476" t="s">
        <v>5182</v>
      </c>
      <c r="Q2476" s="1">
        <v>2429</v>
      </c>
      <c r="R2476">
        <v>12.2</v>
      </c>
      <c r="S2476" s="2">
        <v>0</v>
      </c>
      <c r="T2476" s="3">
        <v>1.8722222222222222</v>
      </c>
      <c r="U2476" t="s">
        <v>1292</v>
      </c>
      <c r="V2476" t="s">
        <v>5181</v>
      </c>
      <c r="W2476" t="s">
        <v>5183</v>
      </c>
      <c r="X2476" t="b">
        <v>0</v>
      </c>
      <c r="Y2476" t="b">
        <v>0</v>
      </c>
    </row>
    <row r="2477" spans="1:25">
      <c r="A2477">
        <v>1000571</v>
      </c>
      <c r="B2477" t="s">
        <v>4061</v>
      </c>
      <c r="C2477" t="s">
        <v>5184</v>
      </c>
      <c r="D2477" t="s">
        <v>1292</v>
      </c>
      <c r="E2477">
        <v>1000571</v>
      </c>
      <c r="F2477" t="s">
        <v>1292</v>
      </c>
      <c r="G2477">
        <v>0</v>
      </c>
      <c r="H2477" t="s">
        <v>1292</v>
      </c>
      <c r="I2477">
        <v>0</v>
      </c>
      <c r="J2477" t="s">
        <v>1292</v>
      </c>
      <c r="K2477">
        <v>0</v>
      </c>
      <c r="L2477" t="s">
        <v>1292</v>
      </c>
      <c r="M2477">
        <v>0</v>
      </c>
      <c r="N2477" t="s">
        <v>1292</v>
      </c>
      <c r="O2477">
        <v>0</v>
      </c>
      <c r="P2477" t="s">
        <v>1448</v>
      </c>
      <c r="Q2477" s="1">
        <v>24739</v>
      </c>
      <c r="R2477">
        <v>18.2</v>
      </c>
      <c r="S2477" s="2">
        <v>0</v>
      </c>
      <c r="T2477" s="3">
        <v>1.9541666666666666</v>
      </c>
      <c r="U2477" s="2">
        <v>0.38</v>
      </c>
      <c r="V2477" t="s">
        <v>5184</v>
      </c>
      <c r="W2477" t="s">
        <v>5185</v>
      </c>
      <c r="X2477" t="b">
        <v>0</v>
      </c>
      <c r="Y2477" t="b">
        <v>0</v>
      </c>
    </row>
    <row r="2478" spans="1:25">
      <c r="A2478">
        <v>1000572</v>
      </c>
      <c r="B2478" t="s">
        <v>4061</v>
      </c>
      <c r="C2478" t="s">
        <v>5186</v>
      </c>
      <c r="D2478" t="s">
        <v>1292</v>
      </c>
      <c r="E2478">
        <v>1000572</v>
      </c>
      <c r="F2478" t="s">
        <v>1292</v>
      </c>
      <c r="G2478">
        <v>0</v>
      </c>
      <c r="H2478" t="s">
        <v>1292</v>
      </c>
      <c r="I2478">
        <v>0</v>
      </c>
      <c r="J2478" t="s">
        <v>1292</v>
      </c>
      <c r="K2478">
        <v>0</v>
      </c>
      <c r="L2478" t="s">
        <v>1292</v>
      </c>
      <c r="M2478">
        <v>0</v>
      </c>
      <c r="N2478" t="s">
        <v>1292</v>
      </c>
      <c r="O2478">
        <v>0</v>
      </c>
      <c r="P2478" t="s">
        <v>1448</v>
      </c>
      <c r="Q2478" s="1">
        <v>22663</v>
      </c>
      <c r="R2478">
        <v>22.7</v>
      </c>
      <c r="S2478" s="2">
        <v>0.01</v>
      </c>
      <c r="T2478" s="3">
        <v>2.4048611111111109</v>
      </c>
      <c r="U2478" s="2">
        <v>0.39</v>
      </c>
      <c r="V2478" t="s">
        <v>5186</v>
      </c>
      <c r="W2478" t="s">
        <v>5187</v>
      </c>
      <c r="X2478" t="b">
        <v>0</v>
      </c>
      <c r="Y2478" t="b">
        <v>0</v>
      </c>
    </row>
    <row r="2479" spans="1:25">
      <c r="A2479">
        <v>1000573</v>
      </c>
      <c r="B2479" t="s">
        <v>4061</v>
      </c>
      <c r="C2479" t="s">
        <v>5188</v>
      </c>
      <c r="D2479" t="s">
        <v>1292</v>
      </c>
      <c r="E2479">
        <v>1000573</v>
      </c>
      <c r="F2479" t="s">
        <v>1292</v>
      </c>
      <c r="G2479">
        <v>0</v>
      </c>
      <c r="H2479" t="s">
        <v>1292</v>
      </c>
      <c r="I2479">
        <v>0</v>
      </c>
      <c r="J2479" t="s">
        <v>1292</v>
      </c>
      <c r="K2479">
        <v>0</v>
      </c>
      <c r="L2479" t="s">
        <v>1292</v>
      </c>
      <c r="M2479">
        <v>0</v>
      </c>
      <c r="N2479" t="s">
        <v>1292</v>
      </c>
      <c r="O2479">
        <v>0</v>
      </c>
      <c r="P2479" t="s">
        <v>1102</v>
      </c>
      <c r="Q2479" s="1">
        <v>3619</v>
      </c>
      <c r="R2479">
        <v>9.1</v>
      </c>
      <c r="S2479" s="2">
        <v>0.01</v>
      </c>
      <c r="T2479" s="3">
        <v>2.9375</v>
      </c>
      <c r="U2479" s="2">
        <v>0.06</v>
      </c>
      <c r="V2479" t="s">
        <v>5188</v>
      </c>
      <c r="W2479" t="s">
        <v>1769</v>
      </c>
      <c r="X2479" t="b">
        <v>0</v>
      </c>
      <c r="Y2479" t="b">
        <v>0</v>
      </c>
    </row>
    <row r="2480" spans="1:25">
      <c r="A2480">
        <v>1000574</v>
      </c>
      <c r="B2480" t="s">
        <v>4061</v>
      </c>
      <c r="C2480" t="s">
        <v>5189</v>
      </c>
      <c r="D2480" t="s">
        <v>1292</v>
      </c>
      <c r="E2480">
        <v>1000574</v>
      </c>
      <c r="F2480" t="s">
        <v>1292</v>
      </c>
      <c r="G2480">
        <v>0</v>
      </c>
      <c r="H2480" t="s">
        <v>1292</v>
      </c>
      <c r="I2480">
        <v>0</v>
      </c>
      <c r="J2480" t="s">
        <v>1292</v>
      </c>
      <c r="K2480">
        <v>0</v>
      </c>
      <c r="L2480" t="s">
        <v>1292</v>
      </c>
      <c r="M2480">
        <v>0</v>
      </c>
      <c r="N2480" t="s">
        <v>1292</v>
      </c>
      <c r="O2480">
        <v>0</v>
      </c>
      <c r="P2480" t="s">
        <v>125</v>
      </c>
      <c r="Q2480" s="1">
        <v>3286</v>
      </c>
      <c r="R2480">
        <v>34.6</v>
      </c>
      <c r="S2480" s="2">
        <v>0.34</v>
      </c>
      <c r="T2480" s="3">
        <v>2.1590277777777778</v>
      </c>
      <c r="U2480" s="2">
        <v>0.28999999999999998</v>
      </c>
      <c r="V2480" t="s">
        <v>5189</v>
      </c>
      <c r="W2480" t="s">
        <v>5190</v>
      </c>
      <c r="X2480" t="b">
        <v>0</v>
      </c>
      <c r="Y2480" t="b">
        <v>0</v>
      </c>
    </row>
    <row r="2481" spans="1:25">
      <c r="A2481">
        <v>1000575</v>
      </c>
      <c r="B2481" t="s">
        <v>4061</v>
      </c>
      <c r="C2481" t="s">
        <v>5191</v>
      </c>
      <c r="D2481" t="s">
        <v>1292</v>
      </c>
      <c r="E2481">
        <v>1000575</v>
      </c>
      <c r="F2481" t="s">
        <v>1292</v>
      </c>
      <c r="G2481">
        <v>0</v>
      </c>
      <c r="H2481" t="s">
        <v>1292</v>
      </c>
      <c r="I2481">
        <v>0</v>
      </c>
      <c r="J2481" t="s">
        <v>1292</v>
      </c>
      <c r="K2481">
        <v>0</v>
      </c>
      <c r="L2481" t="s">
        <v>1292</v>
      </c>
      <c r="M2481">
        <v>0</v>
      </c>
      <c r="N2481" t="s">
        <v>1292</v>
      </c>
      <c r="O2481">
        <v>0</v>
      </c>
      <c r="P2481" t="s">
        <v>94</v>
      </c>
      <c r="Q2481" s="1">
        <v>5672</v>
      </c>
      <c r="R2481">
        <v>25.8</v>
      </c>
      <c r="S2481" s="2">
        <v>0.47</v>
      </c>
      <c r="T2481" s="3">
        <v>2.2000000000000002</v>
      </c>
      <c r="U2481" s="2">
        <v>0.18</v>
      </c>
      <c r="V2481" t="s">
        <v>5192</v>
      </c>
      <c r="W2481" t="s">
        <v>5193</v>
      </c>
      <c r="X2481" t="b">
        <v>0</v>
      </c>
      <c r="Y2481" t="b">
        <v>0</v>
      </c>
    </row>
    <row r="2482" spans="1:25">
      <c r="A2482">
        <v>1000576</v>
      </c>
      <c r="B2482" t="s">
        <v>4061</v>
      </c>
      <c r="C2482" t="s">
        <v>5194</v>
      </c>
      <c r="D2482" t="s">
        <v>1292</v>
      </c>
      <c r="E2482">
        <v>1000576</v>
      </c>
      <c r="F2482" t="s">
        <v>1292</v>
      </c>
      <c r="G2482">
        <v>0</v>
      </c>
      <c r="H2482" t="s">
        <v>1292</v>
      </c>
      <c r="I2482">
        <v>0</v>
      </c>
      <c r="J2482" t="s">
        <v>1292</v>
      </c>
      <c r="K2482">
        <v>0</v>
      </c>
      <c r="L2482" t="s">
        <v>1292</v>
      </c>
      <c r="M2482">
        <v>0</v>
      </c>
      <c r="N2482" t="s">
        <v>1292</v>
      </c>
      <c r="O2482">
        <v>0</v>
      </c>
      <c r="P2482" t="s">
        <v>26</v>
      </c>
      <c r="Q2482">
        <v>710</v>
      </c>
      <c r="R2482">
        <v>15.8</v>
      </c>
      <c r="S2482" s="2">
        <v>0.2</v>
      </c>
      <c r="T2482" s="3">
        <v>2.4868055555555557</v>
      </c>
      <c r="U2482" s="2">
        <v>0.33</v>
      </c>
      <c r="V2482" t="s">
        <v>5194</v>
      </c>
      <c r="W2482" t="s">
        <v>4415</v>
      </c>
      <c r="X2482" t="b">
        <v>0</v>
      </c>
      <c r="Y2482" t="b">
        <v>0</v>
      </c>
    </row>
    <row r="2483" spans="1:25">
      <c r="A2483">
        <v>1000577</v>
      </c>
      <c r="B2483" t="s">
        <v>4061</v>
      </c>
      <c r="C2483" t="s">
        <v>5195</v>
      </c>
      <c r="D2483" t="s">
        <v>1292</v>
      </c>
      <c r="E2483">
        <v>1000577</v>
      </c>
      <c r="F2483" t="s">
        <v>1292</v>
      </c>
      <c r="G2483">
        <v>0</v>
      </c>
      <c r="H2483" t="s">
        <v>1292</v>
      </c>
      <c r="I2483">
        <v>0</v>
      </c>
      <c r="J2483" t="s">
        <v>1292</v>
      </c>
      <c r="K2483">
        <v>0</v>
      </c>
      <c r="L2483" t="s">
        <v>1292</v>
      </c>
      <c r="M2483">
        <v>0</v>
      </c>
      <c r="N2483" t="s">
        <v>1292</v>
      </c>
      <c r="O2483">
        <v>0</v>
      </c>
      <c r="P2483" t="s">
        <v>255</v>
      </c>
      <c r="Q2483" s="1">
        <v>20149</v>
      </c>
      <c r="R2483">
        <v>24.8</v>
      </c>
      <c r="S2483" s="2">
        <v>0.03</v>
      </c>
      <c r="T2483" s="3">
        <v>2.7736111111111112</v>
      </c>
      <c r="U2483" s="2">
        <v>0.22</v>
      </c>
      <c r="V2483" t="s">
        <v>5195</v>
      </c>
      <c r="W2483" t="s">
        <v>5196</v>
      </c>
      <c r="X2483" t="b">
        <v>0</v>
      </c>
      <c r="Y2483" t="b">
        <v>0</v>
      </c>
    </row>
    <row r="2484" spans="1:25">
      <c r="A2484">
        <v>1000578</v>
      </c>
      <c r="B2484" t="s">
        <v>4061</v>
      </c>
      <c r="C2484" t="s">
        <v>5197</v>
      </c>
      <c r="D2484" t="s">
        <v>1292</v>
      </c>
      <c r="E2484">
        <v>1000578</v>
      </c>
      <c r="F2484" t="s">
        <v>1292</v>
      </c>
      <c r="G2484">
        <v>0</v>
      </c>
      <c r="H2484" t="s">
        <v>1292</v>
      </c>
      <c r="I2484">
        <v>0</v>
      </c>
      <c r="J2484" t="s">
        <v>1292</v>
      </c>
      <c r="K2484">
        <v>0</v>
      </c>
      <c r="L2484" t="s">
        <v>1292</v>
      </c>
      <c r="M2484">
        <v>0</v>
      </c>
      <c r="N2484" t="s">
        <v>1292</v>
      </c>
      <c r="O2484">
        <v>0</v>
      </c>
      <c r="P2484" t="s">
        <v>26</v>
      </c>
      <c r="Q2484" s="1">
        <v>1035</v>
      </c>
      <c r="R2484">
        <v>20.7</v>
      </c>
      <c r="S2484" s="2">
        <v>0.13</v>
      </c>
      <c r="T2484" s="3">
        <v>2.2819444444444446</v>
      </c>
      <c r="U2484" s="2">
        <v>0.27</v>
      </c>
      <c r="V2484" t="s">
        <v>5197</v>
      </c>
      <c r="W2484" t="s">
        <v>5198</v>
      </c>
      <c r="X2484" t="b">
        <v>0</v>
      </c>
      <c r="Y2484" t="b">
        <v>0</v>
      </c>
    </row>
    <row r="2485" spans="1:25">
      <c r="A2485">
        <v>1000579</v>
      </c>
      <c r="B2485" t="s">
        <v>4061</v>
      </c>
      <c r="C2485" t="s">
        <v>5199</v>
      </c>
      <c r="D2485" t="s">
        <v>1292</v>
      </c>
      <c r="E2485">
        <v>1000579</v>
      </c>
      <c r="F2485" t="s">
        <v>1292</v>
      </c>
      <c r="G2485">
        <v>0</v>
      </c>
      <c r="H2485" t="s">
        <v>1292</v>
      </c>
      <c r="I2485">
        <v>0</v>
      </c>
      <c r="J2485" t="s">
        <v>1292</v>
      </c>
      <c r="K2485">
        <v>0</v>
      </c>
      <c r="L2485" t="s">
        <v>1292</v>
      </c>
      <c r="M2485">
        <v>0</v>
      </c>
      <c r="N2485" t="s">
        <v>1292</v>
      </c>
      <c r="O2485">
        <v>0</v>
      </c>
      <c r="P2485" t="s">
        <v>26</v>
      </c>
      <c r="Q2485" s="1">
        <v>1000</v>
      </c>
      <c r="R2485">
        <v>16.7</v>
      </c>
      <c r="S2485" s="2">
        <v>0.33</v>
      </c>
      <c r="T2485" s="3">
        <v>2.8555555555555556</v>
      </c>
      <c r="U2485" s="2">
        <v>0</v>
      </c>
      <c r="V2485" t="s">
        <v>5199</v>
      </c>
      <c r="W2485" t="s">
        <v>4415</v>
      </c>
      <c r="X2485" t="b">
        <v>0</v>
      </c>
      <c r="Y2485" t="b">
        <v>0</v>
      </c>
    </row>
    <row r="2486" spans="1:25">
      <c r="A2486">
        <v>1000580</v>
      </c>
      <c r="B2486" t="s">
        <v>4061</v>
      </c>
      <c r="C2486" t="s">
        <v>5200</v>
      </c>
      <c r="D2486" t="s">
        <v>1292</v>
      </c>
      <c r="E2486">
        <v>1000580</v>
      </c>
      <c r="F2486" t="s">
        <v>1292</v>
      </c>
      <c r="G2486">
        <v>0</v>
      </c>
      <c r="H2486" t="s">
        <v>1292</v>
      </c>
      <c r="I2486">
        <v>0</v>
      </c>
      <c r="J2486" t="s">
        <v>1292</v>
      </c>
      <c r="K2486">
        <v>0</v>
      </c>
      <c r="L2486" t="s">
        <v>1292</v>
      </c>
      <c r="M2486">
        <v>0</v>
      </c>
      <c r="N2486" t="s">
        <v>1292</v>
      </c>
      <c r="O2486">
        <v>0</v>
      </c>
      <c r="P2486" t="s">
        <v>544</v>
      </c>
      <c r="Q2486" s="1">
        <v>10000</v>
      </c>
      <c r="R2486">
        <v>333.3</v>
      </c>
      <c r="S2486" s="2">
        <v>1</v>
      </c>
      <c r="U2486" t="s">
        <v>1292</v>
      </c>
      <c r="V2486" t="s">
        <v>5200</v>
      </c>
      <c r="X2486" t="b">
        <v>0</v>
      </c>
      <c r="Y2486" t="b">
        <v>0</v>
      </c>
    </row>
    <row r="2487" spans="1:25">
      <c r="A2487">
        <v>1000581</v>
      </c>
      <c r="B2487" t="s">
        <v>4061</v>
      </c>
      <c r="C2487" t="s">
        <v>5201</v>
      </c>
      <c r="D2487" t="s">
        <v>1292</v>
      </c>
      <c r="E2487">
        <v>1000581</v>
      </c>
      <c r="F2487" t="s">
        <v>1292</v>
      </c>
      <c r="G2487">
        <v>0</v>
      </c>
      <c r="H2487" t="s">
        <v>1292</v>
      </c>
      <c r="I2487">
        <v>0</v>
      </c>
      <c r="J2487" t="s">
        <v>1292</v>
      </c>
      <c r="K2487">
        <v>0</v>
      </c>
      <c r="L2487" t="s">
        <v>1292</v>
      </c>
      <c r="M2487">
        <v>0</v>
      </c>
      <c r="N2487" t="s">
        <v>1292</v>
      </c>
      <c r="O2487">
        <v>0</v>
      </c>
      <c r="P2487" t="s">
        <v>26</v>
      </c>
      <c r="Q2487" s="1">
        <v>2350</v>
      </c>
      <c r="R2487">
        <v>20.399999999999999</v>
      </c>
      <c r="S2487" s="2">
        <v>0.8</v>
      </c>
      <c r="T2487" s="3">
        <v>3.0194444444444444</v>
      </c>
      <c r="U2487" s="2">
        <v>0.38</v>
      </c>
      <c r="V2487" t="s">
        <v>5201</v>
      </c>
      <c r="W2487" t="s">
        <v>5202</v>
      </c>
      <c r="X2487" t="b">
        <v>0</v>
      </c>
      <c r="Y2487" t="b">
        <v>0</v>
      </c>
    </row>
    <row r="2488" spans="1:25">
      <c r="A2488">
        <v>1000582</v>
      </c>
      <c r="B2488" t="s">
        <v>4061</v>
      </c>
      <c r="C2488" t="s">
        <v>5203</v>
      </c>
      <c r="D2488" t="s">
        <v>1292</v>
      </c>
      <c r="E2488">
        <v>1000582</v>
      </c>
      <c r="F2488" t="s">
        <v>1292</v>
      </c>
      <c r="G2488">
        <v>0</v>
      </c>
      <c r="H2488" t="s">
        <v>1292</v>
      </c>
      <c r="I2488">
        <v>0</v>
      </c>
      <c r="J2488" t="s">
        <v>1292</v>
      </c>
      <c r="K2488">
        <v>0</v>
      </c>
      <c r="L2488" t="s">
        <v>1292</v>
      </c>
      <c r="M2488">
        <v>0</v>
      </c>
      <c r="N2488" t="s">
        <v>1292</v>
      </c>
      <c r="O2488">
        <v>0</v>
      </c>
      <c r="P2488" t="s">
        <v>26</v>
      </c>
      <c r="Q2488" s="1">
        <v>1195</v>
      </c>
      <c r="R2488">
        <v>10.9</v>
      </c>
      <c r="S2488" s="2">
        <v>0.38</v>
      </c>
      <c r="T2488" s="3">
        <v>2.4048611111111109</v>
      </c>
      <c r="U2488" s="2">
        <v>0.16</v>
      </c>
      <c r="V2488" t="s">
        <v>5203</v>
      </c>
      <c r="W2488" t="s">
        <v>5204</v>
      </c>
      <c r="X2488" t="b">
        <v>0</v>
      </c>
      <c r="Y2488" t="b">
        <v>0</v>
      </c>
    </row>
    <row r="2489" spans="1:25">
      <c r="A2489">
        <v>1000583</v>
      </c>
      <c r="B2489" t="s">
        <v>4061</v>
      </c>
      <c r="C2489" t="s">
        <v>5205</v>
      </c>
      <c r="D2489" t="s">
        <v>1292</v>
      </c>
      <c r="E2489">
        <v>1000583</v>
      </c>
      <c r="F2489" t="s">
        <v>1292</v>
      </c>
      <c r="G2489">
        <v>0</v>
      </c>
      <c r="H2489" t="s">
        <v>1292</v>
      </c>
      <c r="I2489">
        <v>0</v>
      </c>
      <c r="J2489" t="s">
        <v>1292</v>
      </c>
      <c r="K2489">
        <v>0</v>
      </c>
      <c r="L2489" t="s">
        <v>1292</v>
      </c>
      <c r="M2489">
        <v>0</v>
      </c>
      <c r="N2489" t="s">
        <v>1292</v>
      </c>
      <c r="O2489">
        <v>0</v>
      </c>
      <c r="P2489" t="s">
        <v>26</v>
      </c>
      <c r="Q2489">
        <v>155</v>
      </c>
      <c r="R2489">
        <v>4.4000000000000004</v>
      </c>
      <c r="S2489" s="2">
        <v>0.2</v>
      </c>
      <c r="T2489" s="3">
        <v>2.4048611111111109</v>
      </c>
      <c r="U2489" t="s">
        <v>1292</v>
      </c>
      <c r="V2489" t="s">
        <v>5205</v>
      </c>
      <c r="W2489" t="s">
        <v>4415</v>
      </c>
      <c r="X2489" t="b">
        <v>0</v>
      </c>
      <c r="Y2489" t="b">
        <v>0</v>
      </c>
    </row>
    <row r="2490" spans="1:25">
      <c r="A2490">
        <v>1000584</v>
      </c>
      <c r="B2490" t="s">
        <v>4061</v>
      </c>
      <c r="C2490" t="s">
        <v>5206</v>
      </c>
      <c r="D2490" t="s">
        <v>1292</v>
      </c>
      <c r="E2490">
        <v>1000584</v>
      </c>
      <c r="F2490" t="s">
        <v>1292</v>
      </c>
      <c r="G2490">
        <v>0</v>
      </c>
      <c r="H2490" t="s">
        <v>1292</v>
      </c>
      <c r="I2490">
        <v>0</v>
      </c>
      <c r="J2490" t="s">
        <v>1292</v>
      </c>
      <c r="K2490">
        <v>0</v>
      </c>
      <c r="L2490" t="s">
        <v>1292</v>
      </c>
      <c r="M2490">
        <v>0</v>
      </c>
      <c r="N2490" t="s">
        <v>1292</v>
      </c>
      <c r="O2490">
        <v>0</v>
      </c>
      <c r="P2490" t="s">
        <v>26</v>
      </c>
      <c r="Q2490">
        <v>785</v>
      </c>
      <c r="R2490">
        <v>9.8000000000000007</v>
      </c>
      <c r="S2490" s="2">
        <v>0.49</v>
      </c>
      <c r="T2490" s="3">
        <v>2.1180555555555554</v>
      </c>
      <c r="U2490" s="2">
        <v>0.18</v>
      </c>
      <c r="V2490" t="s">
        <v>5206</v>
      </c>
      <c r="W2490" t="s">
        <v>4415</v>
      </c>
      <c r="X2490" t="b">
        <v>0</v>
      </c>
      <c r="Y2490" t="b">
        <v>0</v>
      </c>
    </row>
    <row r="2491" spans="1:25">
      <c r="A2491">
        <v>1000585</v>
      </c>
      <c r="B2491" t="s">
        <v>4061</v>
      </c>
      <c r="C2491" t="s">
        <v>5207</v>
      </c>
      <c r="D2491" t="s">
        <v>1292</v>
      </c>
      <c r="E2491">
        <v>1000585</v>
      </c>
      <c r="F2491" t="s">
        <v>1292</v>
      </c>
      <c r="G2491">
        <v>0</v>
      </c>
      <c r="H2491" t="s">
        <v>1292</v>
      </c>
      <c r="I2491">
        <v>0</v>
      </c>
      <c r="J2491" t="s">
        <v>1292</v>
      </c>
      <c r="K2491">
        <v>0</v>
      </c>
      <c r="L2491" t="s">
        <v>1292</v>
      </c>
      <c r="M2491">
        <v>0</v>
      </c>
      <c r="N2491" t="s">
        <v>1292</v>
      </c>
      <c r="O2491">
        <v>0</v>
      </c>
      <c r="P2491" t="s">
        <v>26</v>
      </c>
      <c r="Q2491">
        <v>875</v>
      </c>
      <c r="R2491">
        <v>10.3</v>
      </c>
      <c r="S2491" s="2">
        <v>0.57999999999999996</v>
      </c>
      <c r="T2491" s="3">
        <v>2.3229166666666665</v>
      </c>
      <c r="U2491" s="2">
        <v>0.09</v>
      </c>
      <c r="V2491" t="s">
        <v>5207</v>
      </c>
      <c r="W2491" t="s">
        <v>4415</v>
      </c>
      <c r="X2491" t="b">
        <v>0</v>
      </c>
      <c r="Y2491" t="b">
        <v>0</v>
      </c>
    </row>
    <row r="2492" spans="1:25">
      <c r="A2492">
        <v>1000586</v>
      </c>
      <c r="B2492" t="s">
        <v>4061</v>
      </c>
      <c r="C2492" t="s">
        <v>5208</v>
      </c>
      <c r="D2492" t="s">
        <v>1292</v>
      </c>
      <c r="E2492">
        <v>1000586</v>
      </c>
      <c r="F2492" t="s">
        <v>1292</v>
      </c>
      <c r="G2492">
        <v>0</v>
      </c>
      <c r="H2492" t="s">
        <v>1292</v>
      </c>
      <c r="I2492">
        <v>0</v>
      </c>
      <c r="J2492" t="s">
        <v>1292</v>
      </c>
      <c r="K2492">
        <v>0</v>
      </c>
      <c r="L2492" t="s">
        <v>1292</v>
      </c>
      <c r="M2492">
        <v>0</v>
      </c>
      <c r="N2492" t="s">
        <v>1292</v>
      </c>
      <c r="O2492">
        <v>0</v>
      </c>
      <c r="P2492" t="s">
        <v>26</v>
      </c>
      <c r="Q2492">
        <v>880</v>
      </c>
      <c r="R2492">
        <v>11</v>
      </c>
      <c r="S2492" s="2">
        <v>0.33</v>
      </c>
      <c r="T2492" s="3">
        <v>2.0770833333333334</v>
      </c>
      <c r="U2492" s="2">
        <v>0.06</v>
      </c>
      <c r="V2492" t="s">
        <v>5208</v>
      </c>
      <c r="W2492" t="s">
        <v>4415</v>
      </c>
      <c r="X2492" t="b">
        <v>0</v>
      </c>
      <c r="Y2492" t="b">
        <v>0</v>
      </c>
    </row>
    <row r="2493" spans="1:25">
      <c r="A2493">
        <v>1000587</v>
      </c>
      <c r="B2493" t="s">
        <v>4061</v>
      </c>
      <c r="C2493" t="s">
        <v>5209</v>
      </c>
      <c r="D2493" t="s">
        <v>1292</v>
      </c>
      <c r="E2493">
        <v>1000587</v>
      </c>
      <c r="F2493" t="s">
        <v>1292</v>
      </c>
      <c r="G2493">
        <v>0</v>
      </c>
      <c r="H2493" t="s">
        <v>1292</v>
      </c>
      <c r="I2493">
        <v>0</v>
      </c>
      <c r="J2493" t="s">
        <v>1292</v>
      </c>
      <c r="K2493">
        <v>0</v>
      </c>
      <c r="L2493" t="s">
        <v>1292</v>
      </c>
      <c r="M2493">
        <v>0</v>
      </c>
      <c r="N2493" t="s">
        <v>1292</v>
      </c>
      <c r="O2493">
        <v>0</v>
      </c>
      <c r="P2493" t="s">
        <v>255</v>
      </c>
      <c r="Q2493" s="1">
        <v>11059</v>
      </c>
      <c r="R2493">
        <v>13.3</v>
      </c>
      <c r="S2493" s="2">
        <v>0.05</v>
      </c>
      <c r="T2493" s="3">
        <v>2.036111111111111</v>
      </c>
      <c r="U2493" s="2">
        <v>0.32</v>
      </c>
      <c r="V2493" t="s">
        <v>5209</v>
      </c>
      <c r="W2493" t="s">
        <v>5210</v>
      </c>
      <c r="X2493" t="b">
        <v>0</v>
      </c>
      <c r="Y2493" t="b">
        <v>0</v>
      </c>
    </row>
    <row r="2494" spans="1:25">
      <c r="A2494">
        <v>1000588</v>
      </c>
      <c r="B2494" t="s">
        <v>4061</v>
      </c>
      <c r="C2494" t="s">
        <v>5211</v>
      </c>
      <c r="D2494" t="s">
        <v>1292</v>
      </c>
      <c r="E2494">
        <v>1000588</v>
      </c>
      <c r="F2494" t="s">
        <v>1292</v>
      </c>
      <c r="G2494">
        <v>0</v>
      </c>
      <c r="H2494" t="s">
        <v>1292</v>
      </c>
      <c r="I2494">
        <v>0</v>
      </c>
      <c r="J2494" t="s">
        <v>1292</v>
      </c>
      <c r="K2494">
        <v>0</v>
      </c>
      <c r="L2494" t="s">
        <v>1292</v>
      </c>
      <c r="M2494">
        <v>0</v>
      </c>
      <c r="N2494" t="s">
        <v>1292</v>
      </c>
      <c r="O2494">
        <v>0</v>
      </c>
      <c r="P2494" t="s">
        <v>255</v>
      </c>
      <c r="Q2494" s="1">
        <v>12067</v>
      </c>
      <c r="R2494">
        <v>34.5</v>
      </c>
      <c r="S2494" s="2">
        <v>0.05</v>
      </c>
      <c r="T2494" s="3">
        <v>2.8145833333333332</v>
      </c>
      <c r="U2494" s="2">
        <v>0.21</v>
      </c>
      <c r="V2494" t="s">
        <v>5211</v>
      </c>
      <c r="W2494" t="s">
        <v>5212</v>
      </c>
      <c r="X2494" t="b">
        <v>0</v>
      </c>
      <c r="Y2494" t="b">
        <v>0</v>
      </c>
    </row>
    <row r="2495" spans="1:25">
      <c r="A2495">
        <v>1000589</v>
      </c>
      <c r="B2495" t="s">
        <v>4061</v>
      </c>
      <c r="C2495" t="s">
        <v>5213</v>
      </c>
      <c r="D2495" t="s">
        <v>1292</v>
      </c>
      <c r="E2495">
        <v>1000589</v>
      </c>
      <c r="F2495" t="s">
        <v>1292</v>
      </c>
      <c r="G2495">
        <v>0</v>
      </c>
      <c r="H2495" t="s">
        <v>1292</v>
      </c>
      <c r="I2495">
        <v>0</v>
      </c>
      <c r="J2495" t="s">
        <v>1292</v>
      </c>
      <c r="K2495">
        <v>0</v>
      </c>
      <c r="L2495" t="s">
        <v>1292</v>
      </c>
      <c r="M2495">
        <v>0</v>
      </c>
      <c r="N2495" t="s">
        <v>1292</v>
      </c>
      <c r="O2495">
        <v>0</v>
      </c>
      <c r="P2495" t="s">
        <v>255</v>
      </c>
      <c r="Q2495" s="1">
        <v>5758</v>
      </c>
      <c r="R2495">
        <v>9.4</v>
      </c>
      <c r="S2495" s="2">
        <v>0.15</v>
      </c>
      <c r="T2495" s="3">
        <v>2.8145833333333332</v>
      </c>
      <c r="U2495" s="2">
        <v>7.0000000000000007E-2</v>
      </c>
      <c r="V2495" t="s">
        <v>5213</v>
      </c>
      <c r="W2495" t="s">
        <v>5214</v>
      </c>
      <c r="X2495" t="b">
        <v>0</v>
      </c>
      <c r="Y2495" t="b">
        <v>0</v>
      </c>
    </row>
    <row r="2496" spans="1:25">
      <c r="A2496">
        <v>1000590</v>
      </c>
      <c r="B2496" t="s">
        <v>4061</v>
      </c>
      <c r="C2496" t="s">
        <v>5215</v>
      </c>
      <c r="D2496" t="s">
        <v>1292</v>
      </c>
      <c r="E2496">
        <v>1000590</v>
      </c>
      <c r="F2496" t="s">
        <v>1292</v>
      </c>
      <c r="G2496">
        <v>0</v>
      </c>
      <c r="H2496" t="s">
        <v>1292</v>
      </c>
      <c r="I2496">
        <v>0</v>
      </c>
      <c r="J2496" t="s">
        <v>1292</v>
      </c>
      <c r="K2496">
        <v>0</v>
      </c>
      <c r="L2496" t="s">
        <v>1292</v>
      </c>
      <c r="M2496">
        <v>0</v>
      </c>
      <c r="N2496" t="s">
        <v>1292</v>
      </c>
      <c r="O2496">
        <v>0</v>
      </c>
      <c r="P2496" t="s">
        <v>1483</v>
      </c>
      <c r="Q2496" s="1">
        <v>33417</v>
      </c>
      <c r="R2496">
        <v>49.5</v>
      </c>
      <c r="S2496" s="2">
        <v>0.01</v>
      </c>
      <c r="T2496" s="3">
        <v>1.9951388888888888</v>
      </c>
      <c r="U2496" s="2">
        <v>0.15</v>
      </c>
      <c r="V2496" t="s">
        <v>5215</v>
      </c>
      <c r="W2496" t="s">
        <v>5216</v>
      </c>
      <c r="X2496" t="b">
        <v>0</v>
      </c>
      <c r="Y2496" t="b">
        <v>0</v>
      </c>
    </row>
    <row r="2497" spans="1:25">
      <c r="A2497">
        <v>1000591</v>
      </c>
      <c r="B2497" t="s">
        <v>4061</v>
      </c>
      <c r="C2497" t="s">
        <v>5217</v>
      </c>
      <c r="D2497" t="s">
        <v>1292</v>
      </c>
      <c r="E2497">
        <v>1000591</v>
      </c>
      <c r="F2497" t="s">
        <v>1292</v>
      </c>
      <c r="G2497">
        <v>0</v>
      </c>
      <c r="H2497" t="s">
        <v>1292</v>
      </c>
      <c r="I2497">
        <v>0</v>
      </c>
      <c r="J2497" t="s">
        <v>1292</v>
      </c>
      <c r="K2497">
        <v>0</v>
      </c>
      <c r="L2497" t="s">
        <v>1292</v>
      </c>
      <c r="M2497">
        <v>0</v>
      </c>
      <c r="N2497" t="s">
        <v>1292</v>
      </c>
      <c r="O2497">
        <v>0</v>
      </c>
      <c r="P2497" t="s">
        <v>2290</v>
      </c>
      <c r="Q2497" s="1">
        <v>13124</v>
      </c>
      <c r="R2497">
        <v>19.5</v>
      </c>
      <c r="S2497" s="2">
        <v>0</v>
      </c>
      <c r="T2497" s="3">
        <v>2.4048611111111109</v>
      </c>
      <c r="U2497" s="2">
        <v>0.41</v>
      </c>
      <c r="V2497" t="s">
        <v>5217</v>
      </c>
      <c r="W2497" t="s">
        <v>5218</v>
      </c>
      <c r="X2497" t="b">
        <v>0</v>
      </c>
      <c r="Y2497" t="b">
        <v>0</v>
      </c>
    </row>
    <row r="2498" spans="1:25">
      <c r="A2498">
        <v>1000592</v>
      </c>
      <c r="B2498" t="s">
        <v>4061</v>
      </c>
      <c r="C2498" t="s">
        <v>5219</v>
      </c>
      <c r="D2498" t="s">
        <v>1292</v>
      </c>
      <c r="E2498">
        <v>1000592</v>
      </c>
      <c r="F2498" t="s">
        <v>1292</v>
      </c>
      <c r="G2498">
        <v>0</v>
      </c>
      <c r="H2498" t="s">
        <v>1292</v>
      </c>
      <c r="I2498">
        <v>0</v>
      </c>
      <c r="J2498" t="s">
        <v>1292</v>
      </c>
      <c r="K2498">
        <v>0</v>
      </c>
      <c r="L2498" t="s">
        <v>1292</v>
      </c>
      <c r="M2498">
        <v>0</v>
      </c>
      <c r="N2498" t="s">
        <v>1292</v>
      </c>
      <c r="O2498">
        <v>0</v>
      </c>
      <c r="P2498" t="s">
        <v>479</v>
      </c>
      <c r="Q2498" s="1">
        <v>1271</v>
      </c>
      <c r="R2498">
        <v>12.8</v>
      </c>
      <c r="S2498" s="2">
        <v>0.1</v>
      </c>
      <c r="T2498" s="3">
        <v>2.5687500000000001</v>
      </c>
      <c r="U2498" t="s">
        <v>1292</v>
      </c>
      <c r="V2498" t="s">
        <v>5219</v>
      </c>
      <c r="W2498" t="s">
        <v>5220</v>
      </c>
      <c r="X2498" t="b">
        <v>0</v>
      </c>
      <c r="Y2498" t="b">
        <v>0</v>
      </c>
    </row>
    <row r="2499" spans="1:25">
      <c r="A2499">
        <v>1000593</v>
      </c>
      <c r="B2499" t="s">
        <v>4061</v>
      </c>
      <c r="C2499" t="s">
        <v>5221</v>
      </c>
      <c r="D2499" t="s">
        <v>1292</v>
      </c>
      <c r="E2499">
        <v>1000593</v>
      </c>
      <c r="F2499" t="s">
        <v>1292</v>
      </c>
      <c r="G2499">
        <v>0</v>
      </c>
      <c r="H2499" t="s">
        <v>1292</v>
      </c>
      <c r="I2499">
        <v>0</v>
      </c>
      <c r="J2499" t="s">
        <v>1292</v>
      </c>
      <c r="K2499">
        <v>0</v>
      </c>
      <c r="L2499" t="s">
        <v>1292</v>
      </c>
      <c r="M2499">
        <v>0</v>
      </c>
      <c r="N2499" t="s">
        <v>1292</v>
      </c>
      <c r="O2499">
        <v>0</v>
      </c>
      <c r="P2499" t="s">
        <v>255</v>
      </c>
      <c r="Q2499" s="1">
        <v>6353</v>
      </c>
      <c r="R2499">
        <v>11.9</v>
      </c>
      <c r="S2499" s="2">
        <v>0.14000000000000001</v>
      </c>
      <c r="T2499" s="3">
        <v>2.4048611111111109</v>
      </c>
      <c r="U2499" s="2">
        <v>0.03</v>
      </c>
      <c r="V2499" t="s">
        <v>5221</v>
      </c>
      <c r="W2499" t="s">
        <v>5222</v>
      </c>
      <c r="X2499" t="b">
        <v>0</v>
      </c>
      <c r="Y2499" t="b">
        <v>0</v>
      </c>
    </row>
    <row r="2500" spans="1:25">
      <c r="A2500">
        <v>1000594</v>
      </c>
      <c r="B2500" t="s">
        <v>4061</v>
      </c>
      <c r="C2500" t="s">
        <v>5223</v>
      </c>
      <c r="D2500" t="s">
        <v>1292</v>
      </c>
      <c r="E2500">
        <v>1000594</v>
      </c>
      <c r="F2500" t="s">
        <v>1292</v>
      </c>
      <c r="G2500">
        <v>0</v>
      </c>
      <c r="H2500" t="s">
        <v>1292</v>
      </c>
      <c r="I2500">
        <v>0</v>
      </c>
      <c r="J2500" t="s">
        <v>1292</v>
      </c>
      <c r="K2500">
        <v>0</v>
      </c>
      <c r="L2500" t="s">
        <v>1292</v>
      </c>
      <c r="M2500">
        <v>0</v>
      </c>
      <c r="N2500" t="s">
        <v>1292</v>
      </c>
      <c r="O2500">
        <v>0</v>
      </c>
      <c r="P2500" t="s">
        <v>1820</v>
      </c>
      <c r="Q2500" s="1">
        <v>28768</v>
      </c>
      <c r="R2500">
        <v>21.1</v>
      </c>
      <c r="S2500" s="2">
        <v>0</v>
      </c>
      <c r="T2500" s="3">
        <v>2.1180555555555554</v>
      </c>
      <c r="U2500" s="2">
        <v>0.26</v>
      </c>
      <c r="V2500" t="s">
        <v>5223</v>
      </c>
      <c r="W2500" t="s">
        <v>5224</v>
      </c>
      <c r="X2500" t="b">
        <v>0</v>
      </c>
      <c r="Y2500" t="b">
        <v>0</v>
      </c>
    </row>
    <row r="2501" spans="1:25">
      <c r="A2501">
        <v>1000595</v>
      </c>
      <c r="B2501" t="s">
        <v>4061</v>
      </c>
      <c r="C2501" t="s">
        <v>5225</v>
      </c>
      <c r="D2501" t="s">
        <v>1292</v>
      </c>
      <c r="E2501">
        <v>1000595</v>
      </c>
      <c r="F2501" t="s">
        <v>1292</v>
      </c>
      <c r="G2501">
        <v>0</v>
      </c>
      <c r="H2501" t="s">
        <v>1292</v>
      </c>
      <c r="I2501">
        <v>0</v>
      </c>
      <c r="J2501" t="s">
        <v>1292</v>
      </c>
      <c r="K2501">
        <v>0</v>
      </c>
      <c r="L2501" t="s">
        <v>1292</v>
      </c>
      <c r="M2501">
        <v>0</v>
      </c>
      <c r="N2501" t="s">
        <v>1292</v>
      </c>
      <c r="O2501">
        <v>0</v>
      </c>
      <c r="P2501" t="s">
        <v>1448</v>
      </c>
      <c r="Q2501" s="1">
        <v>8269</v>
      </c>
      <c r="R2501">
        <v>20.6</v>
      </c>
      <c r="S2501" s="2">
        <v>0.01</v>
      </c>
      <c r="T2501" s="3">
        <v>2.7736111111111112</v>
      </c>
      <c r="U2501" s="2">
        <v>0.26</v>
      </c>
      <c r="V2501" t="s">
        <v>5225</v>
      </c>
      <c r="W2501" t="s">
        <v>5226</v>
      </c>
      <c r="X2501" t="b">
        <v>0</v>
      </c>
      <c r="Y2501" t="b">
        <v>0</v>
      </c>
    </row>
    <row r="2502" spans="1:25">
      <c r="A2502">
        <v>1000596</v>
      </c>
      <c r="B2502" t="s">
        <v>4061</v>
      </c>
      <c r="C2502" t="s">
        <v>5227</v>
      </c>
      <c r="D2502" t="s">
        <v>1292</v>
      </c>
      <c r="E2502">
        <v>1000596</v>
      </c>
      <c r="F2502" t="s">
        <v>1292</v>
      </c>
      <c r="G2502">
        <v>0</v>
      </c>
      <c r="H2502" t="s">
        <v>1292</v>
      </c>
      <c r="I2502">
        <v>0</v>
      </c>
      <c r="J2502" t="s">
        <v>1292</v>
      </c>
      <c r="K2502">
        <v>0</v>
      </c>
      <c r="L2502" t="s">
        <v>1292</v>
      </c>
      <c r="M2502">
        <v>0</v>
      </c>
      <c r="N2502" t="s">
        <v>1292</v>
      </c>
      <c r="O2502">
        <v>0</v>
      </c>
      <c r="P2502" t="s">
        <v>2157</v>
      </c>
      <c r="Q2502" s="1">
        <v>28576</v>
      </c>
      <c r="R2502">
        <v>11.7</v>
      </c>
      <c r="S2502" s="2">
        <v>0.01</v>
      </c>
      <c r="T2502" s="3">
        <v>2.4048611111111109</v>
      </c>
      <c r="U2502" s="2">
        <v>0.34</v>
      </c>
      <c r="V2502" t="s">
        <v>5227</v>
      </c>
      <c r="W2502" t="s">
        <v>5228</v>
      </c>
      <c r="X2502" t="b">
        <v>0</v>
      </c>
      <c r="Y2502" t="b">
        <v>0</v>
      </c>
    </row>
    <row r="2503" spans="1:25">
      <c r="A2503">
        <v>1000597</v>
      </c>
      <c r="B2503" t="s">
        <v>4061</v>
      </c>
      <c r="C2503" t="s">
        <v>5229</v>
      </c>
      <c r="D2503" t="s">
        <v>1292</v>
      </c>
      <c r="E2503">
        <v>1000597</v>
      </c>
      <c r="F2503" t="s">
        <v>1292</v>
      </c>
      <c r="G2503">
        <v>0</v>
      </c>
      <c r="H2503" t="s">
        <v>1292</v>
      </c>
      <c r="I2503">
        <v>0</v>
      </c>
      <c r="J2503" t="s">
        <v>1292</v>
      </c>
      <c r="K2503">
        <v>0</v>
      </c>
      <c r="L2503" t="s">
        <v>1292</v>
      </c>
      <c r="M2503">
        <v>0</v>
      </c>
      <c r="N2503" t="s">
        <v>1292</v>
      </c>
      <c r="O2503">
        <v>0</v>
      </c>
      <c r="P2503" t="s">
        <v>255</v>
      </c>
      <c r="Q2503" s="1">
        <v>7123</v>
      </c>
      <c r="R2503">
        <v>9.4</v>
      </c>
      <c r="S2503" s="2">
        <v>0.11</v>
      </c>
      <c r="T2503" s="3">
        <v>2.9784722222222224</v>
      </c>
      <c r="U2503" s="2">
        <v>0.06</v>
      </c>
      <c r="V2503" t="s">
        <v>5229</v>
      </c>
      <c r="W2503" t="s">
        <v>5230</v>
      </c>
      <c r="X2503" t="b">
        <v>0</v>
      </c>
      <c r="Y2503" t="b">
        <v>0</v>
      </c>
    </row>
    <row r="2504" spans="1:25">
      <c r="A2504">
        <v>1000598</v>
      </c>
      <c r="B2504" t="s">
        <v>4061</v>
      </c>
      <c r="C2504" t="s">
        <v>5231</v>
      </c>
      <c r="D2504" t="s">
        <v>1292</v>
      </c>
      <c r="E2504">
        <v>1000598</v>
      </c>
      <c r="F2504" t="s">
        <v>1292</v>
      </c>
      <c r="G2504">
        <v>0</v>
      </c>
      <c r="H2504" t="s">
        <v>1292</v>
      </c>
      <c r="I2504">
        <v>0</v>
      </c>
      <c r="J2504" t="s">
        <v>1292</v>
      </c>
      <c r="K2504">
        <v>0</v>
      </c>
      <c r="L2504" t="s">
        <v>1292</v>
      </c>
      <c r="M2504">
        <v>0</v>
      </c>
      <c r="N2504" t="s">
        <v>1292</v>
      </c>
      <c r="O2504">
        <v>0</v>
      </c>
      <c r="P2504" t="s">
        <v>4144</v>
      </c>
      <c r="Q2504" s="1">
        <v>16887</v>
      </c>
      <c r="R2504">
        <v>16.7</v>
      </c>
      <c r="S2504" s="2">
        <v>0</v>
      </c>
      <c r="T2504" s="3">
        <v>2.036111111111111</v>
      </c>
      <c r="U2504" s="2">
        <v>0.3</v>
      </c>
      <c r="V2504" t="s">
        <v>5231</v>
      </c>
      <c r="W2504" t="s">
        <v>5232</v>
      </c>
      <c r="X2504" t="b">
        <v>0</v>
      </c>
      <c r="Y2504" t="b">
        <v>0</v>
      </c>
    </row>
    <row r="2505" spans="1:25">
      <c r="A2505">
        <v>1000599</v>
      </c>
      <c r="B2505" t="s">
        <v>4061</v>
      </c>
      <c r="C2505" t="s">
        <v>5233</v>
      </c>
      <c r="D2505" t="s">
        <v>1292</v>
      </c>
      <c r="E2505">
        <v>1000599</v>
      </c>
      <c r="F2505" t="s">
        <v>1292</v>
      </c>
      <c r="G2505">
        <v>0</v>
      </c>
      <c r="H2505" t="s">
        <v>1292</v>
      </c>
      <c r="I2505">
        <v>0</v>
      </c>
      <c r="J2505" t="s">
        <v>1292</v>
      </c>
      <c r="K2505">
        <v>0</v>
      </c>
      <c r="L2505" t="s">
        <v>1292</v>
      </c>
      <c r="M2505">
        <v>0</v>
      </c>
      <c r="N2505" t="s">
        <v>1292</v>
      </c>
      <c r="O2505">
        <v>0</v>
      </c>
      <c r="P2505" t="s">
        <v>4144</v>
      </c>
      <c r="Q2505" s="1">
        <v>7619</v>
      </c>
      <c r="R2505">
        <v>14.7</v>
      </c>
      <c r="S2505" s="2">
        <v>0</v>
      </c>
      <c r="T2505" s="3">
        <v>2.8555555555555556</v>
      </c>
      <c r="U2505" s="2">
        <v>0.05</v>
      </c>
      <c r="V2505" t="s">
        <v>5233</v>
      </c>
      <c r="W2505" t="s">
        <v>5234</v>
      </c>
      <c r="X2505" t="b">
        <v>0</v>
      </c>
      <c r="Y2505" t="b">
        <v>0</v>
      </c>
    </row>
    <row r="2506" spans="1:25">
      <c r="A2506">
        <v>1000600</v>
      </c>
      <c r="B2506" t="s">
        <v>4061</v>
      </c>
      <c r="C2506" t="s">
        <v>5235</v>
      </c>
      <c r="D2506" t="s">
        <v>1292</v>
      </c>
      <c r="E2506">
        <v>1000600</v>
      </c>
      <c r="F2506" t="s">
        <v>1292</v>
      </c>
      <c r="G2506">
        <v>0</v>
      </c>
      <c r="H2506" t="s">
        <v>1292</v>
      </c>
      <c r="I2506">
        <v>0</v>
      </c>
      <c r="J2506" t="s">
        <v>1292</v>
      </c>
      <c r="K2506">
        <v>0</v>
      </c>
      <c r="L2506" t="s">
        <v>1292</v>
      </c>
      <c r="M2506">
        <v>0</v>
      </c>
      <c r="N2506" t="s">
        <v>1292</v>
      </c>
      <c r="O2506">
        <v>0</v>
      </c>
      <c r="P2506" t="s">
        <v>4144</v>
      </c>
      <c r="Q2506" s="1">
        <v>7416</v>
      </c>
      <c r="R2506">
        <v>9.9</v>
      </c>
      <c r="S2506" s="2">
        <v>0.02</v>
      </c>
      <c r="T2506" s="3">
        <v>1.7493055555555554</v>
      </c>
      <c r="U2506" s="2">
        <v>7.0000000000000007E-2</v>
      </c>
      <c r="V2506" t="s">
        <v>5235</v>
      </c>
      <c r="W2506" t="s">
        <v>5236</v>
      </c>
      <c r="X2506" t="b">
        <v>0</v>
      </c>
      <c r="Y2506" t="b">
        <v>0</v>
      </c>
    </row>
    <row r="2507" spans="1:25">
      <c r="A2507">
        <v>1000601</v>
      </c>
      <c r="B2507" t="s">
        <v>4061</v>
      </c>
      <c r="C2507" t="s">
        <v>5237</v>
      </c>
      <c r="D2507" t="s">
        <v>1292</v>
      </c>
      <c r="E2507">
        <v>1000601</v>
      </c>
      <c r="F2507" t="s">
        <v>1292</v>
      </c>
      <c r="G2507">
        <v>0</v>
      </c>
      <c r="H2507" t="s">
        <v>1292</v>
      </c>
      <c r="I2507">
        <v>0</v>
      </c>
      <c r="J2507" t="s">
        <v>1292</v>
      </c>
      <c r="K2507">
        <v>0</v>
      </c>
      <c r="L2507" t="s">
        <v>1292</v>
      </c>
      <c r="M2507">
        <v>0</v>
      </c>
      <c r="N2507" t="s">
        <v>1292</v>
      </c>
      <c r="O2507">
        <v>0</v>
      </c>
      <c r="P2507" t="s">
        <v>895</v>
      </c>
      <c r="Q2507" s="1">
        <v>3588</v>
      </c>
      <c r="R2507">
        <v>21.2</v>
      </c>
      <c r="S2507" s="2">
        <v>0.04</v>
      </c>
      <c r="T2507" s="3">
        <v>1.8722222222222222</v>
      </c>
      <c r="U2507" s="2">
        <v>0.19</v>
      </c>
      <c r="V2507" t="s">
        <v>5237</v>
      </c>
      <c r="W2507" t="s">
        <v>5238</v>
      </c>
      <c r="X2507" t="b">
        <v>0</v>
      </c>
      <c r="Y2507" t="b">
        <v>0</v>
      </c>
    </row>
    <row r="2508" spans="1:25">
      <c r="A2508">
        <v>1000602</v>
      </c>
      <c r="B2508" t="s">
        <v>4061</v>
      </c>
      <c r="C2508" t="s">
        <v>5239</v>
      </c>
      <c r="D2508" t="s">
        <v>1292</v>
      </c>
      <c r="E2508">
        <v>1000602</v>
      </c>
      <c r="F2508" t="s">
        <v>1292</v>
      </c>
      <c r="G2508">
        <v>0</v>
      </c>
      <c r="H2508" t="s">
        <v>1292</v>
      </c>
      <c r="I2508">
        <v>0</v>
      </c>
      <c r="J2508" t="s">
        <v>1292</v>
      </c>
      <c r="K2508">
        <v>0</v>
      </c>
      <c r="L2508" t="s">
        <v>1292</v>
      </c>
      <c r="M2508">
        <v>0</v>
      </c>
      <c r="N2508" t="s">
        <v>1292</v>
      </c>
      <c r="O2508">
        <v>0</v>
      </c>
      <c r="P2508" t="s">
        <v>2484</v>
      </c>
      <c r="Q2508" s="1">
        <v>22694</v>
      </c>
      <c r="R2508">
        <v>35.4</v>
      </c>
      <c r="S2508" s="2">
        <v>0.01</v>
      </c>
      <c r="T2508" s="3">
        <v>2.1590277777777778</v>
      </c>
      <c r="U2508" s="2">
        <v>0.1</v>
      </c>
      <c r="V2508" t="s">
        <v>5239</v>
      </c>
      <c r="W2508" t="s">
        <v>5240</v>
      </c>
      <c r="X2508" t="b">
        <v>0</v>
      </c>
      <c r="Y2508" t="b">
        <v>0</v>
      </c>
    </row>
    <row r="2509" spans="1:25">
      <c r="A2509">
        <v>1000603</v>
      </c>
      <c r="B2509" t="s">
        <v>4061</v>
      </c>
      <c r="C2509" t="s">
        <v>5241</v>
      </c>
      <c r="D2509" t="s">
        <v>1292</v>
      </c>
      <c r="E2509">
        <v>1000603</v>
      </c>
      <c r="F2509" t="s">
        <v>1292</v>
      </c>
      <c r="G2509">
        <v>0</v>
      </c>
      <c r="H2509" t="s">
        <v>1292</v>
      </c>
      <c r="I2509">
        <v>0</v>
      </c>
      <c r="J2509" t="s">
        <v>1292</v>
      </c>
      <c r="K2509">
        <v>0</v>
      </c>
      <c r="L2509" t="s">
        <v>1292</v>
      </c>
      <c r="M2509">
        <v>0</v>
      </c>
      <c r="N2509" t="s">
        <v>1292</v>
      </c>
      <c r="O2509">
        <v>0</v>
      </c>
      <c r="P2509" t="s">
        <v>2484</v>
      </c>
      <c r="Q2509" s="1">
        <v>38988</v>
      </c>
      <c r="R2509">
        <v>18.2</v>
      </c>
      <c r="S2509" s="2">
        <v>0.01</v>
      </c>
      <c r="T2509" s="3">
        <v>2.6916666666666669</v>
      </c>
      <c r="U2509" s="2">
        <v>0.05</v>
      </c>
      <c r="V2509" t="s">
        <v>5241</v>
      </c>
      <c r="W2509" t="s">
        <v>5242</v>
      </c>
      <c r="X2509" t="b">
        <v>0</v>
      </c>
      <c r="Y2509" t="b">
        <v>0</v>
      </c>
    </row>
    <row r="2510" spans="1:25">
      <c r="A2510">
        <v>1000604</v>
      </c>
      <c r="B2510" t="s">
        <v>4061</v>
      </c>
      <c r="C2510" t="s">
        <v>5243</v>
      </c>
      <c r="D2510" t="s">
        <v>1292</v>
      </c>
      <c r="E2510">
        <v>1000604</v>
      </c>
      <c r="F2510" t="s">
        <v>1292</v>
      </c>
      <c r="G2510">
        <v>0</v>
      </c>
      <c r="H2510" t="s">
        <v>1292</v>
      </c>
      <c r="I2510">
        <v>0</v>
      </c>
      <c r="J2510" t="s">
        <v>1292</v>
      </c>
      <c r="K2510">
        <v>0</v>
      </c>
      <c r="L2510" t="s">
        <v>1292</v>
      </c>
      <c r="M2510">
        <v>0</v>
      </c>
      <c r="N2510" t="s">
        <v>1292</v>
      </c>
      <c r="O2510">
        <v>0</v>
      </c>
      <c r="P2510" t="s">
        <v>1820</v>
      </c>
      <c r="Q2510" s="1">
        <v>18521</v>
      </c>
      <c r="R2510">
        <v>19.3</v>
      </c>
      <c r="S2510" s="2">
        <v>0.01</v>
      </c>
      <c r="T2510" s="3">
        <v>2.6097222222222221</v>
      </c>
      <c r="U2510" s="2">
        <v>0.11</v>
      </c>
      <c r="V2510" t="s">
        <v>5243</v>
      </c>
      <c r="W2510" t="s">
        <v>5244</v>
      </c>
      <c r="X2510" t="b">
        <v>0</v>
      </c>
      <c r="Y2510" t="b">
        <v>0</v>
      </c>
    </row>
    <row r="2511" spans="1:25">
      <c r="A2511">
        <v>1000605</v>
      </c>
      <c r="B2511" t="s">
        <v>4061</v>
      </c>
      <c r="C2511" t="s">
        <v>5245</v>
      </c>
      <c r="D2511" t="s">
        <v>1292</v>
      </c>
      <c r="E2511">
        <v>1000605</v>
      </c>
      <c r="F2511" t="s">
        <v>1292</v>
      </c>
      <c r="G2511">
        <v>0</v>
      </c>
      <c r="H2511" t="s">
        <v>1292</v>
      </c>
      <c r="I2511">
        <v>0</v>
      </c>
      <c r="J2511" t="s">
        <v>1292</v>
      </c>
      <c r="K2511">
        <v>0</v>
      </c>
      <c r="L2511" t="s">
        <v>1292</v>
      </c>
      <c r="M2511">
        <v>0</v>
      </c>
      <c r="N2511" t="s">
        <v>1292</v>
      </c>
      <c r="O2511">
        <v>0</v>
      </c>
      <c r="P2511" t="s">
        <v>1093</v>
      </c>
      <c r="Q2511" s="1">
        <v>27382</v>
      </c>
      <c r="R2511">
        <v>22.4</v>
      </c>
      <c r="S2511" s="2">
        <v>0.01</v>
      </c>
      <c r="T2511" s="3">
        <v>2.8555555555555556</v>
      </c>
      <c r="U2511" s="2">
        <v>0.13</v>
      </c>
      <c r="V2511" t="s">
        <v>5245</v>
      </c>
      <c r="W2511" t="s">
        <v>5246</v>
      </c>
      <c r="X2511" t="b">
        <v>0</v>
      </c>
      <c r="Y2511" t="b">
        <v>0</v>
      </c>
    </row>
    <row r="2512" spans="1:25">
      <c r="A2512">
        <v>1000606</v>
      </c>
      <c r="B2512" t="s">
        <v>4061</v>
      </c>
      <c r="C2512" t="s">
        <v>5247</v>
      </c>
      <c r="D2512" t="s">
        <v>1292</v>
      </c>
      <c r="E2512">
        <v>1000606</v>
      </c>
      <c r="F2512" t="s">
        <v>1292</v>
      </c>
      <c r="G2512">
        <v>0</v>
      </c>
      <c r="H2512" t="s">
        <v>1292</v>
      </c>
      <c r="I2512">
        <v>0</v>
      </c>
      <c r="J2512" t="s">
        <v>1292</v>
      </c>
      <c r="K2512">
        <v>0</v>
      </c>
      <c r="L2512" t="s">
        <v>1292</v>
      </c>
      <c r="M2512">
        <v>0</v>
      </c>
      <c r="N2512" t="s">
        <v>1292</v>
      </c>
      <c r="O2512">
        <v>0</v>
      </c>
      <c r="P2512" t="s">
        <v>1306</v>
      </c>
      <c r="Q2512" s="1">
        <v>7339</v>
      </c>
      <c r="R2512">
        <v>25</v>
      </c>
      <c r="S2512" s="2">
        <v>0.02</v>
      </c>
      <c r="T2512" s="3">
        <v>2.4868055555555557</v>
      </c>
      <c r="U2512" t="s">
        <v>1292</v>
      </c>
      <c r="V2512" t="s">
        <v>5247</v>
      </c>
      <c r="W2512" t="s">
        <v>5248</v>
      </c>
      <c r="X2512" t="b">
        <v>0</v>
      </c>
      <c r="Y2512" t="b">
        <v>0</v>
      </c>
    </row>
    <row r="2513" spans="1:25">
      <c r="A2513">
        <v>1000607</v>
      </c>
      <c r="B2513" t="s">
        <v>4061</v>
      </c>
      <c r="C2513" t="s">
        <v>5249</v>
      </c>
      <c r="D2513" t="s">
        <v>1292</v>
      </c>
      <c r="E2513">
        <v>1000607</v>
      </c>
      <c r="F2513" t="s">
        <v>1292</v>
      </c>
      <c r="G2513">
        <v>0</v>
      </c>
      <c r="H2513" t="s">
        <v>1292</v>
      </c>
      <c r="I2513">
        <v>0</v>
      </c>
      <c r="J2513" t="s">
        <v>1292</v>
      </c>
      <c r="K2513">
        <v>0</v>
      </c>
      <c r="L2513" t="s">
        <v>1292</v>
      </c>
      <c r="M2513">
        <v>0</v>
      </c>
      <c r="N2513" t="s">
        <v>1292</v>
      </c>
      <c r="O2513">
        <v>0</v>
      </c>
      <c r="P2513" t="s">
        <v>1955</v>
      </c>
      <c r="Q2513" s="1">
        <v>18984</v>
      </c>
      <c r="R2513">
        <v>41.2</v>
      </c>
      <c r="S2513" s="2">
        <v>0</v>
      </c>
      <c r="T2513" s="3">
        <v>2.2409722222222221</v>
      </c>
      <c r="U2513" s="2">
        <v>0.18</v>
      </c>
      <c r="V2513" t="s">
        <v>5249</v>
      </c>
      <c r="W2513" t="s">
        <v>5250</v>
      </c>
      <c r="X2513" t="b">
        <v>0</v>
      </c>
      <c r="Y2513" t="b">
        <v>0</v>
      </c>
    </row>
    <row r="2514" spans="1:25">
      <c r="A2514">
        <v>1000608</v>
      </c>
      <c r="B2514" t="s">
        <v>4061</v>
      </c>
      <c r="C2514" t="s">
        <v>5251</v>
      </c>
      <c r="D2514" t="s">
        <v>1292</v>
      </c>
      <c r="E2514">
        <v>1000608</v>
      </c>
      <c r="F2514" t="s">
        <v>1292</v>
      </c>
      <c r="G2514">
        <v>0</v>
      </c>
      <c r="H2514" t="s">
        <v>1292</v>
      </c>
      <c r="I2514">
        <v>0</v>
      </c>
      <c r="J2514" t="s">
        <v>1292</v>
      </c>
      <c r="K2514">
        <v>0</v>
      </c>
      <c r="L2514" t="s">
        <v>1292</v>
      </c>
      <c r="M2514">
        <v>0</v>
      </c>
      <c r="N2514" t="s">
        <v>1292</v>
      </c>
      <c r="O2514">
        <v>0</v>
      </c>
      <c r="P2514" t="s">
        <v>534</v>
      </c>
      <c r="Q2514" s="1">
        <v>20908</v>
      </c>
      <c r="R2514">
        <v>21.7</v>
      </c>
      <c r="S2514" s="2">
        <v>7.0000000000000007E-2</v>
      </c>
      <c r="T2514" s="3">
        <v>1.8722222222222222</v>
      </c>
      <c r="U2514" s="2">
        <v>0.33</v>
      </c>
      <c r="V2514" t="s">
        <v>5251</v>
      </c>
      <c r="W2514" t="s">
        <v>5252</v>
      </c>
      <c r="X2514" t="b">
        <v>0</v>
      </c>
      <c r="Y2514" t="b">
        <v>0</v>
      </c>
    </row>
    <row r="2515" spans="1:25">
      <c r="A2515">
        <v>1000609</v>
      </c>
      <c r="B2515" t="s">
        <v>4061</v>
      </c>
      <c r="C2515" t="s">
        <v>5253</v>
      </c>
      <c r="D2515" t="s">
        <v>1292</v>
      </c>
      <c r="E2515">
        <v>1000609</v>
      </c>
      <c r="F2515" t="s">
        <v>1292</v>
      </c>
      <c r="G2515">
        <v>0</v>
      </c>
      <c r="H2515" t="s">
        <v>1292</v>
      </c>
      <c r="I2515">
        <v>0</v>
      </c>
      <c r="J2515" t="s">
        <v>1292</v>
      </c>
      <c r="K2515">
        <v>0</v>
      </c>
      <c r="L2515" t="s">
        <v>1292</v>
      </c>
      <c r="M2515">
        <v>0</v>
      </c>
      <c r="N2515" t="s">
        <v>1292</v>
      </c>
      <c r="O2515">
        <v>0</v>
      </c>
      <c r="P2515" t="s">
        <v>50</v>
      </c>
      <c r="Q2515" s="1">
        <v>2200</v>
      </c>
      <c r="R2515">
        <v>13.6</v>
      </c>
      <c r="S2515" s="2">
        <v>0.61</v>
      </c>
      <c r="T2515" t="s">
        <v>350</v>
      </c>
      <c r="U2515" t="s">
        <v>1292</v>
      </c>
      <c r="V2515" t="s">
        <v>5253</v>
      </c>
      <c r="W2515" t="s">
        <v>4642</v>
      </c>
      <c r="X2515" t="b">
        <v>0</v>
      </c>
      <c r="Y2515" t="b">
        <v>0</v>
      </c>
    </row>
    <row r="2516" spans="1:25">
      <c r="A2516">
        <v>1000610</v>
      </c>
      <c r="B2516" t="s">
        <v>4061</v>
      </c>
      <c r="C2516" t="s">
        <v>5254</v>
      </c>
      <c r="D2516" t="s">
        <v>1292</v>
      </c>
      <c r="E2516">
        <v>1000610</v>
      </c>
      <c r="F2516" t="s">
        <v>1292</v>
      </c>
      <c r="G2516">
        <v>0</v>
      </c>
      <c r="H2516" t="s">
        <v>1292</v>
      </c>
      <c r="I2516">
        <v>0</v>
      </c>
      <c r="J2516" t="s">
        <v>1292</v>
      </c>
      <c r="K2516">
        <v>0</v>
      </c>
      <c r="L2516" t="s">
        <v>1292</v>
      </c>
      <c r="M2516">
        <v>0</v>
      </c>
      <c r="N2516" t="s">
        <v>1292</v>
      </c>
      <c r="O2516">
        <v>0</v>
      </c>
      <c r="P2516" t="s">
        <v>2229</v>
      </c>
      <c r="Q2516" s="1">
        <v>22237</v>
      </c>
      <c r="R2516">
        <v>28.3</v>
      </c>
      <c r="S2516" s="2">
        <v>0</v>
      </c>
      <c r="T2516" s="3">
        <v>2.2000000000000002</v>
      </c>
      <c r="U2516" s="2">
        <v>0.47</v>
      </c>
      <c r="V2516" t="s">
        <v>5254</v>
      </c>
      <c r="W2516" t="s">
        <v>5255</v>
      </c>
      <c r="X2516" t="b">
        <v>0</v>
      </c>
      <c r="Y2516" t="b">
        <v>0</v>
      </c>
    </row>
    <row r="2517" spans="1:25">
      <c r="A2517">
        <v>1000611</v>
      </c>
      <c r="B2517" t="s">
        <v>4061</v>
      </c>
      <c r="C2517" t="s">
        <v>5256</v>
      </c>
      <c r="D2517" t="s">
        <v>1292</v>
      </c>
      <c r="E2517">
        <v>1000611</v>
      </c>
      <c r="F2517" t="s">
        <v>1292</v>
      </c>
      <c r="G2517">
        <v>0</v>
      </c>
      <c r="H2517" t="s">
        <v>1292</v>
      </c>
      <c r="I2517">
        <v>0</v>
      </c>
      <c r="J2517" t="s">
        <v>1292</v>
      </c>
      <c r="K2517">
        <v>0</v>
      </c>
      <c r="L2517" t="s">
        <v>1292</v>
      </c>
      <c r="M2517">
        <v>0</v>
      </c>
      <c r="N2517" t="s">
        <v>1292</v>
      </c>
      <c r="O2517">
        <v>0</v>
      </c>
      <c r="P2517" t="s">
        <v>1306</v>
      </c>
      <c r="Q2517" s="1">
        <v>7319</v>
      </c>
      <c r="R2517">
        <v>22.7</v>
      </c>
      <c r="S2517" s="2">
        <v>0</v>
      </c>
      <c r="T2517" s="3">
        <v>2.2409722222222221</v>
      </c>
      <c r="U2517" s="2">
        <v>0.24</v>
      </c>
      <c r="V2517" t="s">
        <v>5256</v>
      </c>
      <c r="W2517" t="s">
        <v>5257</v>
      </c>
      <c r="X2517" t="b">
        <v>0</v>
      </c>
      <c r="Y2517" t="b">
        <v>0</v>
      </c>
    </row>
    <row r="2518" spans="1:25">
      <c r="A2518">
        <v>1000612</v>
      </c>
      <c r="B2518" t="s">
        <v>4061</v>
      </c>
      <c r="C2518" t="s">
        <v>5258</v>
      </c>
      <c r="D2518" t="s">
        <v>1292</v>
      </c>
      <c r="E2518">
        <v>1000612</v>
      </c>
      <c r="F2518" t="s">
        <v>1292</v>
      </c>
      <c r="G2518">
        <v>0</v>
      </c>
      <c r="H2518" t="s">
        <v>1292</v>
      </c>
      <c r="I2518">
        <v>0</v>
      </c>
      <c r="J2518" t="s">
        <v>1292</v>
      </c>
      <c r="K2518">
        <v>0</v>
      </c>
      <c r="L2518" t="s">
        <v>1292</v>
      </c>
      <c r="M2518">
        <v>0</v>
      </c>
      <c r="N2518" t="s">
        <v>1292</v>
      </c>
      <c r="O2518">
        <v>0</v>
      </c>
      <c r="P2518" t="s">
        <v>4300</v>
      </c>
      <c r="Q2518" s="1">
        <v>10380</v>
      </c>
      <c r="R2518">
        <v>10</v>
      </c>
      <c r="S2518" s="2">
        <v>0.05</v>
      </c>
      <c r="T2518" s="3">
        <v>2.8965277777777776</v>
      </c>
      <c r="U2518" s="2">
        <v>0.3</v>
      </c>
      <c r="V2518" t="s">
        <v>5258</v>
      </c>
      <c r="W2518" t="s">
        <v>5259</v>
      </c>
      <c r="X2518" t="b">
        <v>0</v>
      </c>
      <c r="Y2518" t="b">
        <v>0</v>
      </c>
    </row>
    <row r="2519" spans="1:25">
      <c r="A2519">
        <v>1000613</v>
      </c>
      <c r="B2519" t="s">
        <v>4061</v>
      </c>
      <c r="C2519" t="s">
        <v>5260</v>
      </c>
      <c r="D2519" t="s">
        <v>1292</v>
      </c>
      <c r="E2519">
        <v>1000613</v>
      </c>
      <c r="F2519" t="s">
        <v>1292</v>
      </c>
      <c r="G2519">
        <v>0</v>
      </c>
      <c r="H2519" t="s">
        <v>1292</v>
      </c>
      <c r="I2519">
        <v>0</v>
      </c>
      <c r="J2519" t="s">
        <v>1292</v>
      </c>
      <c r="K2519">
        <v>0</v>
      </c>
      <c r="L2519" t="s">
        <v>1292</v>
      </c>
      <c r="M2519">
        <v>0</v>
      </c>
      <c r="N2519" t="s">
        <v>1292</v>
      </c>
      <c r="O2519">
        <v>0</v>
      </c>
      <c r="P2519" t="s">
        <v>421</v>
      </c>
      <c r="Q2519" s="1">
        <v>5124</v>
      </c>
      <c r="R2519">
        <v>6.8</v>
      </c>
      <c r="S2519" s="2">
        <v>0.02</v>
      </c>
      <c r="T2519" s="3">
        <v>2.8145833333333332</v>
      </c>
      <c r="U2519" s="2">
        <v>0.22</v>
      </c>
      <c r="V2519" t="s">
        <v>5260</v>
      </c>
      <c r="W2519" t="s">
        <v>5261</v>
      </c>
      <c r="X2519" t="b">
        <v>0</v>
      </c>
      <c r="Y2519" t="b">
        <v>0</v>
      </c>
    </row>
    <row r="2520" spans="1:25">
      <c r="A2520">
        <v>1000614</v>
      </c>
      <c r="B2520" t="s">
        <v>4061</v>
      </c>
      <c r="C2520" t="s">
        <v>5262</v>
      </c>
      <c r="D2520" t="s">
        <v>1292</v>
      </c>
      <c r="E2520">
        <v>1000614</v>
      </c>
      <c r="F2520" t="s">
        <v>1292</v>
      </c>
      <c r="G2520">
        <v>0</v>
      </c>
      <c r="H2520" t="s">
        <v>1292</v>
      </c>
      <c r="I2520">
        <v>0</v>
      </c>
      <c r="J2520" t="s">
        <v>1292</v>
      </c>
      <c r="K2520">
        <v>0</v>
      </c>
      <c r="L2520" t="s">
        <v>1292</v>
      </c>
      <c r="M2520">
        <v>0</v>
      </c>
      <c r="N2520" t="s">
        <v>1292</v>
      </c>
      <c r="O2520">
        <v>0</v>
      </c>
      <c r="P2520" t="s">
        <v>94</v>
      </c>
      <c r="Q2520">
        <v>963</v>
      </c>
      <c r="R2520">
        <v>14.4</v>
      </c>
      <c r="S2520" s="2">
        <v>0.08</v>
      </c>
      <c r="T2520" t="s">
        <v>145</v>
      </c>
      <c r="U2520" s="2">
        <v>0.22</v>
      </c>
      <c r="V2520" t="s">
        <v>5262</v>
      </c>
      <c r="W2520" t="s">
        <v>5263</v>
      </c>
      <c r="X2520" t="b">
        <v>0</v>
      </c>
      <c r="Y2520" t="b">
        <v>0</v>
      </c>
    </row>
    <row r="2521" spans="1:25">
      <c r="A2521">
        <v>1000615</v>
      </c>
      <c r="B2521" t="s">
        <v>4061</v>
      </c>
      <c r="C2521" t="s">
        <v>5264</v>
      </c>
      <c r="D2521" t="s">
        <v>1292</v>
      </c>
      <c r="E2521">
        <v>1000615</v>
      </c>
      <c r="F2521" t="s">
        <v>1292</v>
      </c>
      <c r="G2521">
        <v>0</v>
      </c>
      <c r="H2521" t="s">
        <v>1292</v>
      </c>
      <c r="I2521">
        <v>0</v>
      </c>
      <c r="J2521" t="s">
        <v>1292</v>
      </c>
      <c r="K2521">
        <v>0</v>
      </c>
      <c r="L2521" t="s">
        <v>1292</v>
      </c>
      <c r="M2521">
        <v>0</v>
      </c>
      <c r="N2521" t="s">
        <v>1292</v>
      </c>
      <c r="O2521">
        <v>0</v>
      </c>
      <c r="P2521" t="s">
        <v>94</v>
      </c>
      <c r="Q2521" s="1">
        <v>17557</v>
      </c>
      <c r="R2521">
        <v>21.9</v>
      </c>
      <c r="S2521" s="2">
        <v>0.03</v>
      </c>
      <c r="T2521" t="s">
        <v>801</v>
      </c>
      <c r="U2521" s="2">
        <v>0.25</v>
      </c>
      <c r="V2521" t="s">
        <v>5264</v>
      </c>
      <c r="W2521" t="s">
        <v>5265</v>
      </c>
      <c r="X2521" t="b">
        <v>0</v>
      </c>
      <c r="Y2521" t="b">
        <v>0</v>
      </c>
    </row>
    <row r="2522" spans="1:25">
      <c r="A2522">
        <v>1000616</v>
      </c>
      <c r="B2522" t="s">
        <v>4061</v>
      </c>
      <c r="C2522" t="s">
        <v>5266</v>
      </c>
      <c r="D2522" t="s">
        <v>1292</v>
      </c>
      <c r="E2522">
        <v>1000616</v>
      </c>
      <c r="F2522" t="s">
        <v>1292</v>
      </c>
      <c r="G2522">
        <v>0</v>
      </c>
      <c r="H2522" t="s">
        <v>1292</v>
      </c>
      <c r="I2522">
        <v>0</v>
      </c>
      <c r="J2522" t="s">
        <v>1292</v>
      </c>
      <c r="K2522">
        <v>0</v>
      </c>
      <c r="L2522" t="s">
        <v>1292</v>
      </c>
      <c r="M2522">
        <v>0</v>
      </c>
      <c r="N2522" t="s">
        <v>1292</v>
      </c>
      <c r="O2522">
        <v>0</v>
      </c>
      <c r="P2522" t="s">
        <v>4456</v>
      </c>
      <c r="Q2522" s="1">
        <v>3947</v>
      </c>
      <c r="R2522">
        <v>21.9</v>
      </c>
      <c r="S2522" s="2">
        <v>0</v>
      </c>
      <c r="T2522" s="3">
        <v>2.6916666666666669</v>
      </c>
      <c r="U2522" t="s">
        <v>1292</v>
      </c>
      <c r="V2522" t="s">
        <v>5266</v>
      </c>
      <c r="W2522" t="s">
        <v>5267</v>
      </c>
      <c r="X2522" t="b">
        <v>0</v>
      </c>
      <c r="Y2522" t="b">
        <v>0</v>
      </c>
    </row>
    <row r="2523" spans="1:25">
      <c r="A2523">
        <v>1000617</v>
      </c>
      <c r="B2523" t="s">
        <v>4061</v>
      </c>
      <c r="C2523" t="s">
        <v>5268</v>
      </c>
      <c r="D2523" t="s">
        <v>1292</v>
      </c>
      <c r="E2523">
        <v>1000617</v>
      </c>
      <c r="F2523" t="s">
        <v>1292</v>
      </c>
      <c r="G2523">
        <v>0</v>
      </c>
      <c r="H2523" t="s">
        <v>1292</v>
      </c>
      <c r="I2523">
        <v>0</v>
      </c>
      <c r="J2523" t="s">
        <v>1292</v>
      </c>
      <c r="K2523">
        <v>0</v>
      </c>
      <c r="L2523" t="s">
        <v>1292</v>
      </c>
      <c r="M2523">
        <v>0</v>
      </c>
      <c r="N2523" t="s">
        <v>1292</v>
      </c>
      <c r="O2523">
        <v>0</v>
      </c>
      <c r="P2523" t="s">
        <v>1102</v>
      </c>
      <c r="Q2523" s="1">
        <v>6994</v>
      </c>
      <c r="R2523">
        <v>37</v>
      </c>
      <c r="S2523" s="2">
        <v>0</v>
      </c>
      <c r="T2523" t="s">
        <v>162</v>
      </c>
      <c r="U2523" t="s">
        <v>1292</v>
      </c>
      <c r="V2523" t="s">
        <v>5268</v>
      </c>
      <c r="W2523" t="s">
        <v>5269</v>
      </c>
      <c r="X2523" t="b">
        <v>0</v>
      </c>
      <c r="Y2523" t="b">
        <v>0</v>
      </c>
    </row>
    <row r="2524" spans="1:25">
      <c r="A2524">
        <v>1000618</v>
      </c>
      <c r="B2524" t="s">
        <v>4061</v>
      </c>
      <c r="C2524" t="s">
        <v>5270</v>
      </c>
      <c r="D2524" t="s">
        <v>1292</v>
      </c>
      <c r="E2524">
        <v>1000618</v>
      </c>
      <c r="F2524" t="s">
        <v>1292</v>
      </c>
      <c r="G2524">
        <v>0</v>
      </c>
      <c r="H2524" t="s">
        <v>1292</v>
      </c>
      <c r="I2524">
        <v>0</v>
      </c>
      <c r="J2524" t="s">
        <v>1292</v>
      </c>
      <c r="K2524">
        <v>0</v>
      </c>
      <c r="L2524" t="s">
        <v>1292</v>
      </c>
      <c r="M2524">
        <v>0</v>
      </c>
      <c r="N2524" t="s">
        <v>1292</v>
      </c>
      <c r="O2524">
        <v>0</v>
      </c>
      <c r="P2524" t="s">
        <v>1102</v>
      </c>
      <c r="Q2524" s="1">
        <v>5082</v>
      </c>
      <c r="R2524">
        <v>26.9</v>
      </c>
      <c r="S2524" s="2">
        <v>0</v>
      </c>
      <c r="T2524" s="3">
        <v>4.166666666666667</v>
      </c>
      <c r="U2524" s="2">
        <v>0.3</v>
      </c>
      <c r="V2524" t="s">
        <v>5270</v>
      </c>
      <c r="W2524" t="s">
        <v>5271</v>
      </c>
      <c r="X2524" t="b">
        <v>0</v>
      </c>
      <c r="Y2524" t="b">
        <v>0</v>
      </c>
    </row>
    <row r="2525" spans="1:25">
      <c r="A2525">
        <v>1000619</v>
      </c>
      <c r="B2525" t="s">
        <v>4061</v>
      </c>
      <c r="C2525" t="s">
        <v>5272</v>
      </c>
      <c r="D2525" t="s">
        <v>1292</v>
      </c>
      <c r="E2525">
        <v>1000619</v>
      </c>
      <c r="F2525" t="s">
        <v>1292</v>
      </c>
      <c r="G2525">
        <v>0</v>
      </c>
      <c r="H2525" t="s">
        <v>1292</v>
      </c>
      <c r="I2525">
        <v>0</v>
      </c>
      <c r="J2525" t="s">
        <v>1292</v>
      </c>
      <c r="K2525">
        <v>0</v>
      </c>
      <c r="L2525" t="s">
        <v>1292</v>
      </c>
      <c r="M2525">
        <v>0</v>
      </c>
      <c r="N2525" t="s">
        <v>1292</v>
      </c>
      <c r="O2525">
        <v>0</v>
      </c>
      <c r="P2525" t="s">
        <v>1102</v>
      </c>
      <c r="Q2525" s="1">
        <v>2994</v>
      </c>
      <c r="R2525">
        <v>3.4</v>
      </c>
      <c r="S2525" s="2">
        <v>0</v>
      </c>
      <c r="T2525" s="3">
        <v>2.2000000000000002</v>
      </c>
      <c r="U2525" s="2">
        <v>0.04</v>
      </c>
      <c r="V2525" t="s">
        <v>5272</v>
      </c>
      <c r="W2525" t="s">
        <v>5273</v>
      </c>
      <c r="X2525" t="b">
        <v>0</v>
      </c>
      <c r="Y2525" t="b">
        <v>0</v>
      </c>
    </row>
    <row r="2526" spans="1:25">
      <c r="A2526">
        <v>1000620</v>
      </c>
      <c r="B2526" t="s">
        <v>4061</v>
      </c>
      <c r="C2526" t="s">
        <v>5274</v>
      </c>
      <c r="D2526" t="s">
        <v>1292</v>
      </c>
      <c r="E2526">
        <v>1000620</v>
      </c>
      <c r="F2526" t="s">
        <v>1292</v>
      </c>
      <c r="G2526">
        <v>0</v>
      </c>
      <c r="H2526" t="s">
        <v>1292</v>
      </c>
      <c r="I2526">
        <v>0</v>
      </c>
      <c r="J2526" t="s">
        <v>1292</v>
      </c>
      <c r="K2526">
        <v>0</v>
      </c>
      <c r="L2526" t="s">
        <v>1292</v>
      </c>
      <c r="M2526">
        <v>0</v>
      </c>
      <c r="N2526" t="s">
        <v>1292</v>
      </c>
      <c r="O2526">
        <v>0</v>
      </c>
      <c r="P2526" t="s">
        <v>1102</v>
      </c>
      <c r="Q2526" s="1">
        <v>8900</v>
      </c>
      <c r="R2526">
        <v>12.7</v>
      </c>
      <c r="S2526" s="2">
        <v>0.02</v>
      </c>
      <c r="T2526" s="3">
        <v>2.3638888888888889</v>
      </c>
      <c r="U2526" t="s">
        <v>1292</v>
      </c>
      <c r="V2526" t="s">
        <v>5274</v>
      </c>
      <c r="W2526" t="s">
        <v>1607</v>
      </c>
      <c r="X2526" t="b">
        <v>0</v>
      </c>
      <c r="Y2526" t="b">
        <v>0</v>
      </c>
    </row>
    <row r="2527" spans="1:25">
      <c r="A2527">
        <v>1000621</v>
      </c>
      <c r="B2527" t="s">
        <v>4061</v>
      </c>
      <c r="C2527" t="s">
        <v>5275</v>
      </c>
      <c r="D2527" t="s">
        <v>1292</v>
      </c>
      <c r="E2527">
        <v>1000621</v>
      </c>
      <c r="F2527" t="s">
        <v>1292</v>
      </c>
      <c r="G2527">
        <v>0</v>
      </c>
      <c r="H2527" t="s">
        <v>1292</v>
      </c>
      <c r="I2527">
        <v>0</v>
      </c>
      <c r="J2527" t="s">
        <v>1292</v>
      </c>
      <c r="K2527">
        <v>0</v>
      </c>
      <c r="L2527" t="s">
        <v>1292</v>
      </c>
      <c r="M2527">
        <v>0</v>
      </c>
      <c r="N2527" t="s">
        <v>1292</v>
      </c>
      <c r="O2527">
        <v>0</v>
      </c>
      <c r="P2527" t="s">
        <v>94</v>
      </c>
      <c r="Q2527" s="1">
        <v>2881</v>
      </c>
      <c r="R2527">
        <v>14</v>
      </c>
      <c r="S2527" s="2">
        <v>0.02</v>
      </c>
      <c r="T2527" s="3">
        <v>2.0770833333333334</v>
      </c>
      <c r="U2527" s="2">
        <v>0.36</v>
      </c>
      <c r="V2527" t="s">
        <v>5275</v>
      </c>
      <c r="W2527" t="s">
        <v>5276</v>
      </c>
      <c r="X2527" t="b">
        <v>0</v>
      </c>
      <c r="Y2527" t="b">
        <v>0</v>
      </c>
    </row>
    <row r="2528" spans="1:25">
      <c r="A2528">
        <v>1000622</v>
      </c>
      <c r="B2528" t="s">
        <v>4061</v>
      </c>
      <c r="C2528" t="s">
        <v>5277</v>
      </c>
      <c r="D2528" t="s">
        <v>1292</v>
      </c>
      <c r="E2528">
        <v>1000622</v>
      </c>
      <c r="F2528" t="s">
        <v>1292</v>
      </c>
      <c r="G2528">
        <v>0</v>
      </c>
      <c r="H2528" t="s">
        <v>1292</v>
      </c>
      <c r="I2528">
        <v>0</v>
      </c>
      <c r="J2528" t="s">
        <v>1292</v>
      </c>
      <c r="K2528">
        <v>0</v>
      </c>
      <c r="L2528" t="s">
        <v>1292</v>
      </c>
      <c r="M2528">
        <v>0</v>
      </c>
      <c r="N2528" t="s">
        <v>1292</v>
      </c>
      <c r="O2528">
        <v>0</v>
      </c>
      <c r="P2528" t="s">
        <v>94</v>
      </c>
      <c r="Q2528" s="1">
        <v>2262</v>
      </c>
      <c r="R2528">
        <v>30.2</v>
      </c>
      <c r="S2528" s="2">
        <v>0.08</v>
      </c>
      <c r="T2528">
        <v>0.3972222222222222</v>
      </c>
      <c r="U2528" s="2">
        <v>0.39</v>
      </c>
      <c r="V2528" t="s">
        <v>5277</v>
      </c>
      <c r="W2528" t="s">
        <v>5278</v>
      </c>
      <c r="X2528" t="b">
        <v>0</v>
      </c>
      <c r="Y2528" t="b">
        <v>0</v>
      </c>
    </row>
    <row r="2529" spans="1:25">
      <c r="A2529">
        <v>1000623</v>
      </c>
      <c r="B2529" t="s">
        <v>4061</v>
      </c>
      <c r="C2529" t="s">
        <v>5279</v>
      </c>
      <c r="D2529" t="s">
        <v>1292</v>
      </c>
      <c r="E2529">
        <v>1000623</v>
      </c>
      <c r="F2529" t="s">
        <v>1292</v>
      </c>
      <c r="G2529">
        <v>0</v>
      </c>
      <c r="H2529" t="s">
        <v>1292</v>
      </c>
      <c r="I2529">
        <v>0</v>
      </c>
      <c r="J2529" t="s">
        <v>1292</v>
      </c>
      <c r="K2529">
        <v>0</v>
      </c>
      <c r="L2529" t="s">
        <v>1292</v>
      </c>
      <c r="M2529">
        <v>0</v>
      </c>
      <c r="N2529" t="s">
        <v>1292</v>
      </c>
      <c r="O2529">
        <v>0</v>
      </c>
      <c r="P2529" t="s">
        <v>984</v>
      </c>
      <c r="Q2529" s="1">
        <v>6198</v>
      </c>
      <c r="R2529">
        <v>20</v>
      </c>
      <c r="S2529" s="2">
        <v>0.05</v>
      </c>
      <c r="T2529" s="3">
        <v>2.8145833333333332</v>
      </c>
      <c r="U2529" s="2">
        <v>0.54</v>
      </c>
      <c r="V2529" t="s">
        <v>5279</v>
      </c>
      <c r="W2529" t="s">
        <v>5280</v>
      </c>
      <c r="X2529" t="b">
        <v>0</v>
      </c>
      <c r="Y2529" t="b">
        <v>0</v>
      </c>
    </row>
    <row r="2530" spans="1:25">
      <c r="A2530">
        <v>1000624</v>
      </c>
      <c r="B2530" t="s">
        <v>4061</v>
      </c>
      <c r="C2530" t="s">
        <v>5281</v>
      </c>
      <c r="D2530" t="s">
        <v>1292</v>
      </c>
      <c r="E2530">
        <v>1000624</v>
      </c>
      <c r="F2530" t="s">
        <v>1292</v>
      </c>
      <c r="G2530">
        <v>0</v>
      </c>
      <c r="H2530" t="s">
        <v>1292</v>
      </c>
      <c r="I2530">
        <v>0</v>
      </c>
      <c r="J2530" t="s">
        <v>1292</v>
      </c>
      <c r="K2530">
        <v>0</v>
      </c>
      <c r="L2530" t="s">
        <v>1292</v>
      </c>
      <c r="M2530">
        <v>0</v>
      </c>
      <c r="N2530" t="s">
        <v>1292</v>
      </c>
      <c r="O2530">
        <v>0</v>
      </c>
      <c r="P2530" t="s">
        <v>4075</v>
      </c>
      <c r="Q2530" s="1">
        <v>3358</v>
      </c>
      <c r="R2530">
        <v>18.100000000000001</v>
      </c>
      <c r="S2530" s="2">
        <v>0</v>
      </c>
      <c r="T2530" t="s">
        <v>696</v>
      </c>
      <c r="U2530" s="2">
        <v>0.27</v>
      </c>
      <c r="V2530" t="s">
        <v>5281</v>
      </c>
      <c r="W2530" t="s">
        <v>5282</v>
      </c>
      <c r="X2530" t="b">
        <v>0</v>
      </c>
      <c r="Y2530" t="b">
        <v>0</v>
      </c>
    </row>
    <row r="2531" spans="1:25">
      <c r="A2531">
        <v>1000625</v>
      </c>
      <c r="B2531" t="s">
        <v>4061</v>
      </c>
      <c r="C2531" t="s">
        <v>5283</v>
      </c>
      <c r="D2531" t="s">
        <v>1292</v>
      </c>
      <c r="E2531">
        <v>1000625</v>
      </c>
      <c r="F2531" t="s">
        <v>1292</v>
      </c>
      <c r="G2531">
        <v>0</v>
      </c>
      <c r="H2531" t="s">
        <v>1292</v>
      </c>
      <c r="I2531">
        <v>0</v>
      </c>
      <c r="J2531" t="s">
        <v>1292</v>
      </c>
      <c r="K2531">
        <v>0</v>
      </c>
      <c r="L2531" t="s">
        <v>1292</v>
      </c>
      <c r="M2531">
        <v>0</v>
      </c>
      <c r="N2531" t="s">
        <v>1292</v>
      </c>
      <c r="O2531">
        <v>0</v>
      </c>
      <c r="P2531" t="s">
        <v>1820</v>
      </c>
      <c r="Q2531" s="1">
        <v>19223</v>
      </c>
      <c r="R2531">
        <v>21</v>
      </c>
      <c r="S2531" s="2">
        <v>0.01</v>
      </c>
      <c r="T2531" s="3">
        <v>2.5277777777777777</v>
      </c>
      <c r="U2531" s="2">
        <v>0.2</v>
      </c>
      <c r="V2531" t="s">
        <v>5283</v>
      </c>
      <c r="W2531" t="s">
        <v>5284</v>
      </c>
      <c r="X2531" t="b">
        <v>0</v>
      </c>
      <c r="Y2531" t="b">
        <v>0</v>
      </c>
    </row>
    <row r="2532" spans="1:25">
      <c r="A2532">
        <v>1000626</v>
      </c>
      <c r="B2532" t="s">
        <v>4061</v>
      </c>
      <c r="C2532" t="s">
        <v>5285</v>
      </c>
      <c r="D2532" t="s">
        <v>1292</v>
      </c>
      <c r="E2532">
        <v>1000626</v>
      </c>
      <c r="F2532" t="s">
        <v>1292</v>
      </c>
      <c r="G2532">
        <v>0</v>
      </c>
      <c r="H2532" t="s">
        <v>1292</v>
      </c>
      <c r="I2532">
        <v>0</v>
      </c>
      <c r="J2532" t="s">
        <v>1292</v>
      </c>
      <c r="K2532">
        <v>0</v>
      </c>
      <c r="L2532" t="s">
        <v>1292</v>
      </c>
      <c r="M2532">
        <v>0</v>
      </c>
      <c r="N2532" t="s">
        <v>1292</v>
      </c>
      <c r="O2532">
        <v>0</v>
      </c>
      <c r="P2532" t="s">
        <v>1820</v>
      </c>
      <c r="Q2532" s="1">
        <v>31467</v>
      </c>
      <c r="R2532">
        <v>26.8</v>
      </c>
      <c r="S2532" s="2">
        <v>0</v>
      </c>
      <c r="T2532" s="3">
        <v>2.3229166666666665</v>
      </c>
      <c r="U2532" s="2">
        <v>0.19</v>
      </c>
      <c r="V2532" t="s">
        <v>5285</v>
      </c>
      <c r="W2532" t="s">
        <v>5286</v>
      </c>
      <c r="X2532" t="b">
        <v>0</v>
      </c>
      <c r="Y2532" t="b">
        <v>0</v>
      </c>
    </row>
    <row r="2533" spans="1:25">
      <c r="A2533">
        <v>1000627</v>
      </c>
      <c r="B2533" t="s">
        <v>4061</v>
      </c>
      <c r="C2533" t="s">
        <v>5287</v>
      </c>
      <c r="D2533" t="s">
        <v>1292</v>
      </c>
      <c r="E2533">
        <v>1000627</v>
      </c>
      <c r="F2533" t="s">
        <v>1292</v>
      </c>
      <c r="G2533">
        <v>0</v>
      </c>
      <c r="H2533" t="s">
        <v>1292</v>
      </c>
      <c r="I2533">
        <v>0</v>
      </c>
      <c r="J2533" t="s">
        <v>1292</v>
      </c>
      <c r="K2533">
        <v>0</v>
      </c>
      <c r="L2533" t="s">
        <v>1292</v>
      </c>
      <c r="M2533">
        <v>0</v>
      </c>
      <c r="N2533" t="s">
        <v>1292</v>
      </c>
      <c r="O2533">
        <v>0</v>
      </c>
      <c r="P2533" t="s">
        <v>1102</v>
      </c>
      <c r="Q2533" s="1">
        <v>6771</v>
      </c>
      <c r="R2533">
        <v>17.5</v>
      </c>
      <c r="S2533" s="2">
        <v>0</v>
      </c>
      <c r="T2533">
        <v>0.68402777777777779</v>
      </c>
      <c r="U2533" s="2">
        <v>0.42</v>
      </c>
      <c r="V2533" t="s">
        <v>5287</v>
      </c>
      <c r="W2533" t="s">
        <v>5288</v>
      </c>
      <c r="X2533" t="b">
        <v>0</v>
      </c>
      <c r="Y2533" t="b">
        <v>0</v>
      </c>
    </row>
    <row r="2534" spans="1:25">
      <c r="A2534">
        <v>1000628</v>
      </c>
      <c r="B2534" t="s">
        <v>4061</v>
      </c>
      <c r="C2534" t="s">
        <v>5289</v>
      </c>
      <c r="D2534" t="s">
        <v>1292</v>
      </c>
      <c r="E2534">
        <v>1000628</v>
      </c>
      <c r="F2534" t="s">
        <v>1292</v>
      </c>
      <c r="G2534">
        <v>0</v>
      </c>
      <c r="H2534" t="s">
        <v>1292</v>
      </c>
      <c r="I2534">
        <v>0</v>
      </c>
      <c r="J2534" t="s">
        <v>1292</v>
      </c>
      <c r="K2534">
        <v>0</v>
      </c>
      <c r="L2534" t="s">
        <v>1292</v>
      </c>
      <c r="M2534">
        <v>0</v>
      </c>
      <c r="N2534" t="s">
        <v>1292</v>
      </c>
      <c r="O2534">
        <v>0</v>
      </c>
      <c r="P2534" t="s">
        <v>255</v>
      </c>
      <c r="Q2534" s="1">
        <v>1063</v>
      </c>
      <c r="R2534">
        <v>8.8000000000000007</v>
      </c>
      <c r="S2534" s="2">
        <v>0.21</v>
      </c>
      <c r="T2534" t="s">
        <v>51</v>
      </c>
      <c r="U2534" s="2">
        <v>0.45</v>
      </c>
      <c r="V2534" t="s">
        <v>5289</v>
      </c>
      <c r="W2534" t="s">
        <v>5290</v>
      </c>
      <c r="X2534" t="b">
        <v>0</v>
      </c>
      <c r="Y2534" t="b">
        <v>0</v>
      </c>
    </row>
    <row r="2535" spans="1:25">
      <c r="A2535">
        <v>1000629</v>
      </c>
      <c r="B2535" t="s">
        <v>4061</v>
      </c>
      <c r="C2535" t="s">
        <v>5291</v>
      </c>
      <c r="D2535" t="s">
        <v>1292</v>
      </c>
      <c r="E2535">
        <v>1000629</v>
      </c>
      <c r="F2535" t="s">
        <v>1292</v>
      </c>
      <c r="G2535">
        <v>0</v>
      </c>
      <c r="H2535" t="s">
        <v>1292</v>
      </c>
      <c r="I2535">
        <v>0</v>
      </c>
      <c r="J2535" t="s">
        <v>1292</v>
      </c>
      <c r="K2535">
        <v>0</v>
      </c>
      <c r="L2535" t="s">
        <v>1292</v>
      </c>
      <c r="M2535">
        <v>0</v>
      </c>
      <c r="N2535" t="s">
        <v>1292</v>
      </c>
      <c r="O2535">
        <v>0</v>
      </c>
      <c r="P2535" t="s">
        <v>1733</v>
      </c>
      <c r="Q2535" s="1">
        <v>3842</v>
      </c>
      <c r="R2535">
        <v>28.5</v>
      </c>
      <c r="S2535" s="2">
        <v>0.02</v>
      </c>
      <c r="T2535" s="3">
        <v>3.3472222222222223</v>
      </c>
      <c r="U2535" s="2">
        <v>0.39</v>
      </c>
      <c r="V2535" t="s">
        <v>5291</v>
      </c>
      <c r="W2535" t="s">
        <v>5292</v>
      </c>
      <c r="X2535" t="b">
        <v>0</v>
      </c>
      <c r="Y2535" t="b">
        <v>0</v>
      </c>
    </row>
    <row r="2536" spans="1:25">
      <c r="A2536">
        <v>1000630</v>
      </c>
      <c r="B2536" t="s">
        <v>4061</v>
      </c>
      <c r="C2536" t="s">
        <v>5293</v>
      </c>
      <c r="D2536" t="s">
        <v>1292</v>
      </c>
      <c r="E2536">
        <v>1000630</v>
      </c>
      <c r="F2536" t="s">
        <v>1292</v>
      </c>
      <c r="G2536">
        <v>0</v>
      </c>
      <c r="H2536" t="s">
        <v>1292</v>
      </c>
      <c r="I2536">
        <v>0</v>
      </c>
      <c r="J2536" t="s">
        <v>1292</v>
      </c>
      <c r="K2536">
        <v>0</v>
      </c>
      <c r="L2536" t="s">
        <v>1292</v>
      </c>
      <c r="M2536">
        <v>0</v>
      </c>
      <c r="N2536" t="s">
        <v>1292</v>
      </c>
      <c r="O2536">
        <v>0</v>
      </c>
      <c r="P2536" t="s">
        <v>26</v>
      </c>
      <c r="Q2536" s="1">
        <v>8810</v>
      </c>
      <c r="R2536">
        <v>17.399999999999999</v>
      </c>
      <c r="S2536" s="2">
        <v>0.34</v>
      </c>
      <c r="T2536" s="3">
        <v>1.9951388888888888</v>
      </c>
      <c r="U2536" s="2">
        <v>0.2</v>
      </c>
      <c r="V2536" t="s">
        <v>5293</v>
      </c>
      <c r="W2536" t="s">
        <v>5294</v>
      </c>
      <c r="X2536" t="b">
        <v>0</v>
      </c>
      <c r="Y2536" t="b">
        <v>0</v>
      </c>
    </row>
    <row r="2537" spans="1:25">
      <c r="A2537">
        <v>1000631</v>
      </c>
      <c r="B2537" t="s">
        <v>4061</v>
      </c>
      <c r="C2537" t="s">
        <v>5295</v>
      </c>
      <c r="D2537" t="s">
        <v>1292</v>
      </c>
      <c r="E2537">
        <v>1000631</v>
      </c>
      <c r="F2537" t="s">
        <v>1292</v>
      </c>
      <c r="G2537">
        <v>0</v>
      </c>
      <c r="H2537" t="s">
        <v>1292</v>
      </c>
      <c r="I2537">
        <v>0</v>
      </c>
      <c r="J2537" t="s">
        <v>1292</v>
      </c>
      <c r="K2537">
        <v>0</v>
      </c>
      <c r="L2537" t="s">
        <v>1292</v>
      </c>
      <c r="M2537">
        <v>0</v>
      </c>
      <c r="N2537" t="s">
        <v>1292</v>
      </c>
      <c r="O2537">
        <v>0</v>
      </c>
      <c r="P2537" t="s">
        <v>389</v>
      </c>
      <c r="Q2537" s="1">
        <v>14828</v>
      </c>
      <c r="R2537">
        <v>34.6</v>
      </c>
      <c r="S2537" s="2">
        <v>0.04</v>
      </c>
      <c r="T2537" s="3">
        <v>2.5277777777777777</v>
      </c>
      <c r="U2537" t="s">
        <v>1292</v>
      </c>
      <c r="V2537" t="s">
        <v>5295</v>
      </c>
      <c r="W2537" t="s">
        <v>5296</v>
      </c>
      <c r="X2537" t="b">
        <v>0</v>
      </c>
      <c r="Y2537" t="b">
        <v>0</v>
      </c>
    </row>
    <row r="2538" spans="1:25">
      <c r="A2538">
        <v>1000632</v>
      </c>
      <c r="B2538" t="s">
        <v>4061</v>
      </c>
      <c r="C2538" t="s">
        <v>5297</v>
      </c>
      <c r="D2538" t="s">
        <v>1292</v>
      </c>
      <c r="E2538">
        <v>1000632</v>
      </c>
      <c r="F2538" t="s">
        <v>1292</v>
      </c>
      <c r="G2538">
        <v>0</v>
      </c>
      <c r="H2538" t="s">
        <v>1292</v>
      </c>
      <c r="I2538">
        <v>0</v>
      </c>
      <c r="J2538" t="s">
        <v>1292</v>
      </c>
      <c r="K2538">
        <v>0</v>
      </c>
      <c r="L2538" t="s">
        <v>1292</v>
      </c>
      <c r="M2538">
        <v>0</v>
      </c>
      <c r="N2538" t="s">
        <v>1292</v>
      </c>
      <c r="O2538">
        <v>0</v>
      </c>
      <c r="P2538" t="s">
        <v>691</v>
      </c>
      <c r="Q2538" s="1">
        <v>2652</v>
      </c>
      <c r="R2538">
        <v>13.6</v>
      </c>
      <c r="S2538" s="2">
        <v>0.04</v>
      </c>
      <c r="T2538" s="3">
        <v>2.6506944444444445</v>
      </c>
      <c r="U2538" s="2">
        <v>0.28000000000000003</v>
      </c>
      <c r="V2538" t="s">
        <v>5297</v>
      </c>
      <c r="W2538" t="s">
        <v>5298</v>
      </c>
      <c r="X2538" t="b">
        <v>0</v>
      </c>
      <c r="Y2538" t="b">
        <v>0</v>
      </c>
    </row>
    <row r="2539" spans="1:25">
      <c r="A2539">
        <v>1000633</v>
      </c>
      <c r="B2539" t="s">
        <v>4061</v>
      </c>
      <c r="C2539" t="s">
        <v>5299</v>
      </c>
      <c r="D2539" t="s">
        <v>1292</v>
      </c>
      <c r="E2539">
        <v>1000633</v>
      </c>
      <c r="F2539" t="s">
        <v>1292</v>
      </c>
      <c r="G2539">
        <v>0</v>
      </c>
      <c r="H2539" t="s">
        <v>1292</v>
      </c>
      <c r="I2539">
        <v>0</v>
      </c>
      <c r="J2539" t="s">
        <v>1292</v>
      </c>
      <c r="K2539">
        <v>0</v>
      </c>
      <c r="L2539" t="s">
        <v>1292</v>
      </c>
      <c r="M2539">
        <v>0</v>
      </c>
      <c r="N2539" t="s">
        <v>1292</v>
      </c>
      <c r="O2539">
        <v>0</v>
      </c>
      <c r="P2539" t="s">
        <v>2290</v>
      </c>
      <c r="Q2539" s="1">
        <v>11957</v>
      </c>
      <c r="R2539">
        <v>19.399999999999999</v>
      </c>
      <c r="S2539" s="2">
        <v>0</v>
      </c>
      <c r="T2539" s="3">
        <v>2.8145833333333332</v>
      </c>
      <c r="U2539" s="2">
        <v>0.38</v>
      </c>
      <c r="V2539" t="s">
        <v>5299</v>
      </c>
      <c r="W2539" t="s">
        <v>5300</v>
      </c>
      <c r="X2539" t="b">
        <v>0</v>
      </c>
      <c r="Y2539" t="b">
        <v>0</v>
      </c>
    </row>
    <row r="2540" spans="1:25">
      <c r="A2540">
        <v>1000634</v>
      </c>
      <c r="B2540" t="s">
        <v>4061</v>
      </c>
      <c r="C2540" t="s">
        <v>5301</v>
      </c>
      <c r="D2540" t="s">
        <v>1292</v>
      </c>
      <c r="E2540">
        <v>1000634</v>
      </c>
      <c r="F2540" t="s">
        <v>1292</v>
      </c>
      <c r="G2540">
        <v>0</v>
      </c>
      <c r="H2540" t="s">
        <v>1292</v>
      </c>
      <c r="I2540">
        <v>0</v>
      </c>
      <c r="J2540" t="s">
        <v>1292</v>
      </c>
      <c r="K2540">
        <v>0</v>
      </c>
      <c r="L2540" t="s">
        <v>1292</v>
      </c>
      <c r="M2540">
        <v>0</v>
      </c>
      <c r="N2540" t="s">
        <v>1292</v>
      </c>
      <c r="O2540">
        <v>0</v>
      </c>
      <c r="P2540" t="s">
        <v>1102</v>
      </c>
      <c r="Q2540" s="1">
        <v>5193</v>
      </c>
      <c r="R2540">
        <v>19.399999999999999</v>
      </c>
      <c r="S2540" s="2">
        <v>0</v>
      </c>
      <c r="T2540" s="3">
        <v>1.8722222222222222</v>
      </c>
      <c r="U2540" t="s">
        <v>1292</v>
      </c>
      <c r="V2540" t="s">
        <v>5301</v>
      </c>
      <c r="W2540" t="s">
        <v>5302</v>
      </c>
      <c r="X2540" t="b">
        <v>0</v>
      </c>
      <c r="Y2540" t="b">
        <v>0</v>
      </c>
    </row>
    <row r="2541" spans="1:25">
      <c r="A2541">
        <v>1000635</v>
      </c>
      <c r="B2541" t="s">
        <v>4061</v>
      </c>
      <c r="C2541" t="s">
        <v>5303</v>
      </c>
      <c r="D2541" t="s">
        <v>1292</v>
      </c>
      <c r="E2541">
        <v>1000635</v>
      </c>
      <c r="F2541" t="s">
        <v>1292</v>
      </c>
      <c r="G2541">
        <v>0</v>
      </c>
      <c r="H2541" t="s">
        <v>1292</v>
      </c>
      <c r="I2541">
        <v>0</v>
      </c>
      <c r="J2541" t="s">
        <v>1292</v>
      </c>
      <c r="K2541">
        <v>0</v>
      </c>
      <c r="L2541" t="s">
        <v>1292</v>
      </c>
      <c r="M2541">
        <v>0</v>
      </c>
      <c r="N2541" t="s">
        <v>1292</v>
      </c>
      <c r="O2541">
        <v>0</v>
      </c>
      <c r="P2541" t="s">
        <v>2157</v>
      </c>
      <c r="Q2541" s="1">
        <v>17370</v>
      </c>
      <c r="R2541">
        <v>34.5</v>
      </c>
      <c r="S2541" s="2">
        <v>0</v>
      </c>
      <c r="T2541" s="3">
        <v>1.7493055555555554</v>
      </c>
      <c r="U2541" s="2">
        <v>0.41</v>
      </c>
      <c r="V2541" t="s">
        <v>5303</v>
      </c>
      <c r="W2541" t="s">
        <v>5304</v>
      </c>
      <c r="X2541" t="b">
        <v>0</v>
      </c>
      <c r="Y2541" t="b">
        <v>0</v>
      </c>
    </row>
    <row r="2542" spans="1:25">
      <c r="A2542">
        <v>1000636</v>
      </c>
      <c r="B2542" t="s">
        <v>4061</v>
      </c>
      <c r="C2542" t="s">
        <v>5305</v>
      </c>
      <c r="D2542" t="s">
        <v>1292</v>
      </c>
      <c r="E2542">
        <v>1000636</v>
      </c>
      <c r="F2542" t="s">
        <v>1292</v>
      </c>
      <c r="G2542">
        <v>0</v>
      </c>
      <c r="H2542" t="s">
        <v>1292</v>
      </c>
      <c r="I2542">
        <v>0</v>
      </c>
      <c r="J2542" t="s">
        <v>1292</v>
      </c>
      <c r="K2542">
        <v>0</v>
      </c>
      <c r="L2542" t="s">
        <v>1292</v>
      </c>
      <c r="M2542">
        <v>0</v>
      </c>
      <c r="N2542" t="s">
        <v>1292</v>
      </c>
      <c r="O2542">
        <v>0</v>
      </c>
      <c r="P2542" t="s">
        <v>528</v>
      </c>
      <c r="Q2542" s="1">
        <v>4625</v>
      </c>
      <c r="R2542">
        <v>8.6999999999999993</v>
      </c>
      <c r="S2542" s="2">
        <v>0.01</v>
      </c>
      <c r="T2542" s="3">
        <v>2.4048611111111109</v>
      </c>
      <c r="U2542" s="2">
        <v>0.1</v>
      </c>
      <c r="V2542" t="s">
        <v>5305</v>
      </c>
      <c r="W2542" t="s">
        <v>5306</v>
      </c>
      <c r="X2542" t="b">
        <v>0</v>
      </c>
      <c r="Y2542" t="b">
        <v>0</v>
      </c>
    </row>
    <row r="2543" spans="1:25">
      <c r="A2543">
        <v>1000637</v>
      </c>
      <c r="B2543" t="s">
        <v>4061</v>
      </c>
      <c r="C2543" t="s">
        <v>5307</v>
      </c>
      <c r="D2543" t="s">
        <v>1292</v>
      </c>
      <c r="E2543">
        <v>1000637</v>
      </c>
      <c r="F2543" t="s">
        <v>1292</v>
      </c>
      <c r="G2543">
        <v>0</v>
      </c>
      <c r="H2543" t="s">
        <v>1292</v>
      </c>
      <c r="I2543">
        <v>0</v>
      </c>
      <c r="J2543" t="s">
        <v>1292</v>
      </c>
      <c r="K2543">
        <v>0</v>
      </c>
      <c r="L2543" t="s">
        <v>1292</v>
      </c>
      <c r="M2543">
        <v>0</v>
      </c>
      <c r="N2543" t="s">
        <v>1292</v>
      </c>
      <c r="O2543">
        <v>0</v>
      </c>
      <c r="P2543" t="s">
        <v>2275</v>
      </c>
      <c r="Q2543" s="1">
        <v>13581</v>
      </c>
      <c r="R2543">
        <v>56.8</v>
      </c>
      <c r="S2543" s="2">
        <v>0</v>
      </c>
      <c r="T2543" t="s">
        <v>696</v>
      </c>
      <c r="U2543" s="2">
        <v>0.46</v>
      </c>
      <c r="V2543" t="s">
        <v>5307</v>
      </c>
      <c r="W2543" t="s">
        <v>5308</v>
      </c>
      <c r="X2543" t="b">
        <v>0</v>
      </c>
      <c r="Y2543" t="b">
        <v>0</v>
      </c>
    </row>
    <row r="2544" spans="1:25">
      <c r="A2544">
        <v>1000638</v>
      </c>
      <c r="B2544" t="s">
        <v>4061</v>
      </c>
      <c r="C2544" t="s">
        <v>5309</v>
      </c>
      <c r="D2544" t="s">
        <v>1292</v>
      </c>
      <c r="E2544">
        <v>1000638</v>
      </c>
      <c r="F2544" t="s">
        <v>1292</v>
      </c>
      <c r="G2544">
        <v>0</v>
      </c>
      <c r="H2544" t="s">
        <v>1292</v>
      </c>
      <c r="I2544">
        <v>0</v>
      </c>
      <c r="J2544" t="s">
        <v>1292</v>
      </c>
      <c r="K2544">
        <v>0</v>
      </c>
      <c r="L2544" t="s">
        <v>1292</v>
      </c>
      <c r="M2544">
        <v>0</v>
      </c>
      <c r="N2544" t="s">
        <v>1292</v>
      </c>
      <c r="O2544">
        <v>0</v>
      </c>
      <c r="P2544" t="s">
        <v>4456</v>
      </c>
      <c r="Q2544" s="1">
        <v>2402</v>
      </c>
      <c r="R2544">
        <v>13</v>
      </c>
      <c r="S2544" s="2">
        <v>0.01</v>
      </c>
      <c r="T2544" t="s">
        <v>357</v>
      </c>
      <c r="U2544" t="s">
        <v>1292</v>
      </c>
      <c r="V2544" t="s">
        <v>5309</v>
      </c>
      <c r="W2544" t="s">
        <v>5310</v>
      </c>
      <c r="X2544" t="b">
        <v>0</v>
      </c>
      <c r="Y2544" t="b">
        <v>0</v>
      </c>
    </row>
    <row r="2545" spans="1:25">
      <c r="A2545">
        <v>1000639</v>
      </c>
      <c r="B2545" t="s">
        <v>4061</v>
      </c>
      <c r="C2545" t="s">
        <v>5311</v>
      </c>
      <c r="D2545" t="s">
        <v>1292</v>
      </c>
      <c r="E2545">
        <v>1000639</v>
      </c>
      <c r="F2545" t="s">
        <v>1292</v>
      </c>
      <c r="G2545">
        <v>0</v>
      </c>
      <c r="H2545" t="s">
        <v>1292</v>
      </c>
      <c r="I2545">
        <v>0</v>
      </c>
      <c r="J2545" t="s">
        <v>1292</v>
      </c>
      <c r="K2545">
        <v>0</v>
      </c>
      <c r="L2545" t="s">
        <v>1292</v>
      </c>
      <c r="M2545">
        <v>0</v>
      </c>
      <c r="N2545" t="s">
        <v>1292</v>
      </c>
      <c r="O2545">
        <v>0</v>
      </c>
      <c r="P2545" t="s">
        <v>255</v>
      </c>
      <c r="Q2545" s="1">
        <v>4007</v>
      </c>
      <c r="R2545">
        <v>6.8</v>
      </c>
      <c r="S2545" s="2">
        <v>7.0000000000000007E-2</v>
      </c>
      <c r="T2545" s="3">
        <v>2.2000000000000002</v>
      </c>
      <c r="U2545" s="2">
        <v>0.28999999999999998</v>
      </c>
      <c r="V2545" t="s">
        <v>5311</v>
      </c>
      <c r="W2545" t="s">
        <v>5312</v>
      </c>
      <c r="X2545" t="b">
        <v>0</v>
      </c>
      <c r="Y2545" t="b">
        <v>0</v>
      </c>
    </row>
    <row r="2546" spans="1:25">
      <c r="A2546">
        <v>1000640</v>
      </c>
      <c r="B2546" t="s">
        <v>4061</v>
      </c>
      <c r="C2546" t="s">
        <v>5313</v>
      </c>
      <c r="D2546" t="s">
        <v>1292</v>
      </c>
      <c r="E2546">
        <v>1000640</v>
      </c>
      <c r="F2546" t="s">
        <v>1292</v>
      </c>
      <c r="G2546">
        <v>0</v>
      </c>
      <c r="H2546" t="s">
        <v>1292</v>
      </c>
      <c r="I2546">
        <v>0</v>
      </c>
      <c r="J2546" t="s">
        <v>1292</v>
      </c>
      <c r="K2546">
        <v>0</v>
      </c>
      <c r="L2546" t="s">
        <v>1292</v>
      </c>
      <c r="M2546">
        <v>0</v>
      </c>
      <c r="N2546" t="s">
        <v>1292</v>
      </c>
      <c r="O2546">
        <v>0</v>
      </c>
      <c r="P2546" t="s">
        <v>94</v>
      </c>
      <c r="Q2546">
        <v>727</v>
      </c>
      <c r="R2546">
        <v>8.6999999999999993</v>
      </c>
      <c r="S2546" s="2">
        <v>0.02</v>
      </c>
      <c r="T2546" s="3">
        <v>3.879861111111111</v>
      </c>
      <c r="U2546" t="s">
        <v>1292</v>
      </c>
      <c r="V2546" t="s">
        <v>5313</v>
      </c>
      <c r="W2546" t="s">
        <v>4828</v>
      </c>
      <c r="X2546" t="b">
        <v>0</v>
      </c>
      <c r="Y2546" t="b">
        <v>0</v>
      </c>
    </row>
    <row r="2547" spans="1:25">
      <c r="A2547">
        <v>1000641</v>
      </c>
      <c r="B2547" t="s">
        <v>4061</v>
      </c>
      <c r="C2547" t="s">
        <v>5314</v>
      </c>
      <c r="D2547" t="s">
        <v>1292</v>
      </c>
      <c r="E2547">
        <v>1000641</v>
      </c>
      <c r="F2547" t="s">
        <v>1292</v>
      </c>
      <c r="G2547">
        <v>0</v>
      </c>
      <c r="H2547" t="s">
        <v>1292</v>
      </c>
      <c r="I2547">
        <v>0</v>
      </c>
      <c r="J2547" t="s">
        <v>1292</v>
      </c>
      <c r="K2547">
        <v>0</v>
      </c>
      <c r="L2547" t="s">
        <v>1292</v>
      </c>
      <c r="M2547">
        <v>0</v>
      </c>
      <c r="N2547" t="s">
        <v>1292</v>
      </c>
      <c r="O2547">
        <v>0</v>
      </c>
      <c r="P2547" t="s">
        <v>26</v>
      </c>
      <c r="Q2547">
        <v>940</v>
      </c>
      <c r="R2547">
        <v>23.5</v>
      </c>
      <c r="S2547" s="2">
        <v>0.48</v>
      </c>
      <c r="T2547" s="3">
        <v>3.0194444444444444</v>
      </c>
      <c r="U2547" t="s">
        <v>1292</v>
      </c>
      <c r="V2547" t="s">
        <v>5314</v>
      </c>
      <c r="W2547" t="s">
        <v>5315</v>
      </c>
      <c r="X2547" t="b">
        <v>0</v>
      </c>
      <c r="Y2547" t="b">
        <v>0</v>
      </c>
    </row>
    <row r="2548" spans="1:25">
      <c r="A2548">
        <v>1000642</v>
      </c>
      <c r="B2548" t="s">
        <v>4061</v>
      </c>
      <c r="C2548" t="s">
        <v>5316</v>
      </c>
      <c r="D2548" t="s">
        <v>1292</v>
      </c>
      <c r="E2548">
        <v>1000642</v>
      </c>
      <c r="F2548" t="s">
        <v>1292</v>
      </c>
      <c r="G2548">
        <v>0</v>
      </c>
      <c r="H2548" t="s">
        <v>1292</v>
      </c>
      <c r="I2548">
        <v>0</v>
      </c>
      <c r="J2548" t="s">
        <v>1292</v>
      </c>
      <c r="K2548">
        <v>0</v>
      </c>
      <c r="L2548" t="s">
        <v>1292</v>
      </c>
      <c r="M2548">
        <v>0</v>
      </c>
      <c r="N2548" t="s">
        <v>1292</v>
      </c>
      <c r="O2548">
        <v>0</v>
      </c>
      <c r="P2548" t="s">
        <v>26</v>
      </c>
      <c r="Q2548" s="1">
        <v>4505</v>
      </c>
      <c r="R2548">
        <v>15.8</v>
      </c>
      <c r="S2548" s="2">
        <v>0.23</v>
      </c>
      <c r="T2548" s="3">
        <v>2.3229166666666665</v>
      </c>
      <c r="U2548" t="s">
        <v>1292</v>
      </c>
      <c r="V2548" t="s">
        <v>5316</v>
      </c>
      <c r="W2548" t="s">
        <v>5317</v>
      </c>
      <c r="X2548" t="b">
        <v>0</v>
      </c>
      <c r="Y2548" t="b">
        <v>0</v>
      </c>
    </row>
    <row r="2549" spans="1:25">
      <c r="A2549">
        <v>1000643</v>
      </c>
      <c r="B2549" t="s">
        <v>4061</v>
      </c>
      <c r="C2549" t="s">
        <v>5318</v>
      </c>
      <c r="D2549" t="s">
        <v>1292</v>
      </c>
      <c r="E2549">
        <v>1000643</v>
      </c>
      <c r="F2549" t="s">
        <v>1292</v>
      </c>
      <c r="G2549">
        <v>0</v>
      </c>
      <c r="H2549" t="s">
        <v>1292</v>
      </c>
      <c r="I2549">
        <v>0</v>
      </c>
      <c r="J2549" t="s">
        <v>1292</v>
      </c>
      <c r="K2549">
        <v>0</v>
      </c>
      <c r="L2549" t="s">
        <v>1292</v>
      </c>
      <c r="M2549">
        <v>0</v>
      </c>
      <c r="N2549" t="s">
        <v>1292</v>
      </c>
      <c r="O2549">
        <v>0</v>
      </c>
      <c r="P2549" t="s">
        <v>26</v>
      </c>
      <c r="Q2549" s="1">
        <v>1115</v>
      </c>
      <c r="R2549">
        <v>24.8</v>
      </c>
      <c r="S2549" s="2">
        <v>0.18</v>
      </c>
      <c r="T2549" s="3">
        <v>3.3062499999999999</v>
      </c>
      <c r="U2549" s="2">
        <v>0</v>
      </c>
      <c r="V2549" t="s">
        <v>5318</v>
      </c>
      <c r="W2549" t="s">
        <v>5319</v>
      </c>
      <c r="X2549" t="b">
        <v>0</v>
      </c>
      <c r="Y2549" t="b">
        <v>0</v>
      </c>
    </row>
    <row r="2550" spans="1:25">
      <c r="A2550">
        <v>1000644</v>
      </c>
      <c r="B2550" t="s">
        <v>4061</v>
      </c>
      <c r="C2550" t="s">
        <v>5320</v>
      </c>
      <c r="D2550" t="s">
        <v>1292</v>
      </c>
      <c r="E2550">
        <v>1000644</v>
      </c>
      <c r="F2550" t="s">
        <v>1292</v>
      </c>
      <c r="G2550">
        <v>0</v>
      </c>
      <c r="H2550" t="s">
        <v>1292</v>
      </c>
      <c r="I2550">
        <v>0</v>
      </c>
      <c r="J2550" t="s">
        <v>1292</v>
      </c>
      <c r="K2550">
        <v>0</v>
      </c>
      <c r="L2550" t="s">
        <v>1292</v>
      </c>
      <c r="M2550">
        <v>0</v>
      </c>
      <c r="N2550" t="s">
        <v>1292</v>
      </c>
      <c r="O2550">
        <v>0</v>
      </c>
      <c r="P2550" t="s">
        <v>26</v>
      </c>
      <c r="Q2550" s="1">
        <v>3175</v>
      </c>
      <c r="R2550">
        <v>15.1</v>
      </c>
      <c r="S2550" s="2">
        <v>0.14000000000000001</v>
      </c>
      <c r="T2550" s="3">
        <v>3.0194444444444444</v>
      </c>
      <c r="U2550" s="2">
        <v>0.2</v>
      </c>
      <c r="V2550" t="s">
        <v>5320</v>
      </c>
      <c r="W2550" t="s">
        <v>5321</v>
      </c>
      <c r="X2550" t="b">
        <v>0</v>
      </c>
      <c r="Y2550" t="b">
        <v>0</v>
      </c>
    </row>
    <row r="2551" spans="1:25">
      <c r="A2551">
        <v>1000645</v>
      </c>
      <c r="B2551" t="s">
        <v>4061</v>
      </c>
      <c r="C2551" t="s">
        <v>5322</v>
      </c>
      <c r="D2551" t="s">
        <v>1292</v>
      </c>
      <c r="E2551">
        <v>1000645</v>
      </c>
      <c r="F2551" t="s">
        <v>1292</v>
      </c>
      <c r="G2551">
        <v>0</v>
      </c>
      <c r="H2551" t="s">
        <v>1292</v>
      </c>
      <c r="I2551">
        <v>0</v>
      </c>
      <c r="J2551" t="s">
        <v>1292</v>
      </c>
      <c r="K2551">
        <v>0</v>
      </c>
      <c r="L2551" t="s">
        <v>1292</v>
      </c>
      <c r="M2551">
        <v>0</v>
      </c>
      <c r="N2551" t="s">
        <v>1292</v>
      </c>
      <c r="O2551">
        <v>0</v>
      </c>
      <c r="P2551" t="s">
        <v>1102</v>
      </c>
      <c r="Q2551">
        <v>646</v>
      </c>
      <c r="R2551">
        <v>28.1</v>
      </c>
      <c r="S2551" t="s">
        <v>4501</v>
      </c>
      <c r="T2551" t="s">
        <v>357</v>
      </c>
      <c r="U2551" t="s">
        <v>1292</v>
      </c>
      <c r="V2551" t="s">
        <v>5322</v>
      </c>
      <c r="W2551" t="s">
        <v>5323</v>
      </c>
      <c r="X2551" t="b">
        <v>0</v>
      </c>
      <c r="Y2551" t="b">
        <v>0</v>
      </c>
    </row>
    <row r="2552" spans="1:25">
      <c r="A2552">
        <v>1000646</v>
      </c>
      <c r="B2552" t="s">
        <v>4061</v>
      </c>
      <c r="C2552" t="s">
        <v>5324</v>
      </c>
      <c r="D2552" t="s">
        <v>1292</v>
      </c>
      <c r="E2552">
        <v>1000646</v>
      </c>
      <c r="F2552" t="s">
        <v>1292</v>
      </c>
      <c r="G2552">
        <v>0</v>
      </c>
      <c r="H2552" t="s">
        <v>1292</v>
      </c>
      <c r="I2552">
        <v>0</v>
      </c>
      <c r="J2552" t="s">
        <v>1292</v>
      </c>
      <c r="K2552">
        <v>0</v>
      </c>
      <c r="L2552" t="s">
        <v>1292</v>
      </c>
      <c r="M2552">
        <v>0</v>
      </c>
      <c r="N2552" t="s">
        <v>1292</v>
      </c>
      <c r="O2552">
        <v>0</v>
      </c>
      <c r="P2552" t="s">
        <v>94</v>
      </c>
      <c r="Q2552" s="1">
        <v>5808</v>
      </c>
      <c r="R2552">
        <v>28.3</v>
      </c>
      <c r="S2552" s="2">
        <v>0.01</v>
      </c>
      <c r="T2552" s="3">
        <v>4.166666666666667</v>
      </c>
      <c r="U2552" s="2">
        <v>0.22</v>
      </c>
      <c r="V2552" t="s">
        <v>5324</v>
      </c>
      <c r="W2552" t="s">
        <v>5325</v>
      </c>
      <c r="X2552" t="b">
        <v>0</v>
      </c>
      <c r="Y2552" t="b">
        <v>0</v>
      </c>
    </row>
    <row r="2553" spans="1:25">
      <c r="A2553">
        <v>1000647</v>
      </c>
      <c r="B2553" t="s">
        <v>4061</v>
      </c>
      <c r="C2553" t="s">
        <v>5326</v>
      </c>
      <c r="D2553" t="s">
        <v>1292</v>
      </c>
      <c r="E2553">
        <v>1000647</v>
      </c>
      <c r="F2553" t="s">
        <v>1292</v>
      </c>
      <c r="G2553">
        <v>0</v>
      </c>
      <c r="H2553" t="s">
        <v>1292</v>
      </c>
      <c r="I2553">
        <v>0</v>
      </c>
      <c r="J2553" t="s">
        <v>1292</v>
      </c>
      <c r="K2553">
        <v>0</v>
      </c>
      <c r="L2553" t="s">
        <v>1292</v>
      </c>
      <c r="M2553">
        <v>0</v>
      </c>
      <c r="N2553" t="s">
        <v>1292</v>
      </c>
      <c r="O2553">
        <v>0</v>
      </c>
      <c r="P2553" t="s">
        <v>1102</v>
      </c>
      <c r="Q2553" s="1">
        <v>4345</v>
      </c>
      <c r="R2553">
        <v>15.4</v>
      </c>
      <c r="S2553" s="2">
        <v>0</v>
      </c>
      <c r="T2553" t="s">
        <v>796</v>
      </c>
      <c r="U2553" s="2">
        <v>0.33</v>
      </c>
      <c r="V2553" t="s">
        <v>5326</v>
      </c>
      <c r="W2553" t="s">
        <v>5327</v>
      </c>
      <c r="X2553" t="b">
        <v>0</v>
      </c>
      <c r="Y2553" t="b">
        <v>0</v>
      </c>
    </row>
    <row r="2554" spans="1:25">
      <c r="A2554">
        <v>1000648</v>
      </c>
      <c r="B2554" t="s">
        <v>4061</v>
      </c>
      <c r="C2554" t="s">
        <v>5328</v>
      </c>
      <c r="D2554" t="s">
        <v>1292</v>
      </c>
      <c r="E2554">
        <v>1000648</v>
      </c>
      <c r="F2554" t="s">
        <v>1292</v>
      </c>
      <c r="G2554">
        <v>0</v>
      </c>
      <c r="H2554" t="s">
        <v>1292</v>
      </c>
      <c r="I2554">
        <v>0</v>
      </c>
      <c r="J2554" t="s">
        <v>1292</v>
      </c>
      <c r="K2554">
        <v>0</v>
      </c>
      <c r="L2554" t="s">
        <v>1292</v>
      </c>
      <c r="M2554">
        <v>0</v>
      </c>
      <c r="N2554" t="s">
        <v>1292</v>
      </c>
      <c r="O2554">
        <v>0</v>
      </c>
      <c r="P2554" t="s">
        <v>1102</v>
      </c>
      <c r="Q2554" s="1">
        <v>1090</v>
      </c>
      <c r="R2554">
        <v>11.6</v>
      </c>
      <c r="S2554" s="2">
        <v>0</v>
      </c>
      <c r="T2554">
        <v>0.72499999999999998</v>
      </c>
      <c r="U2554" s="2">
        <v>0.28000000000000003</v>
      </c>
      <c r="V2554" t="s">
        <v>5328</v>
      </c>
      <c r="W2554" t="s">
        <v>5329</v>
      </c>
      <c r="X2554" t="b">
        <v>0</v>
      </c>
      <c r="Y2554" t="b">
        <v>0</v>
      </c>
    </row>
    <row r="2555" spans="1:25">
      <c r="A2555">
        <v>1000649</v>
      </c>
      <c r="B2555" t="s">
        <v>4061</v>
      </c>
      <c r="C2555" t="s">
        <v>5330</v>
      </c>
      <c r="D2555" t="s">
        <v>1292</v>
      </c>
      <c r="E2555">
        <v>1000649</v>
      </c>
      <c r="F2555" t="s">
        <v>1292</v>
      </c>
      <c r="G2555">
        <v>0</v>
      </c>
      <c r="H2555" t="s">
        <v>1292</v>
      </c>
      <c r="I2555">
        <v>0</v>
      </c>
      <c r="J2555" t="s">
        <v>1292</v>
      </c>
      <c r="K2555">
        <v>0</v>
      </c>
      <c r="L2555" t="s">
        <v>1292</v>
      </c>
      <c r="M2555">
        <v>0</v>
      </c>
      <c r="N2555" t="s">
        <v>1292</v>
      </c>
      <c r="O2555">
        <v>0</v>
      </c>
      <c r="P2555" t="s">
        <v>1554</v>
      </c>
      <c r="Q2555" s="1">
        <v>5320</v>
      </c>
      <c r="R2555">
        <v>22.9</v>
      </c>
      <c r="S2555" s="2">
        <v>0.01</v>
      </c>
      <c r="T2555" t="s">
        <v>658</v>
      </c>
      <c r="U2555" s="2">
        <v>0.43</v>
      </c>
      <c r="V2555" t="s">
        <v>5330</v>
      </c>
      <c r="W2555" t="s">
        <v>5331</v>
      </c>
      <c r="X2555" t="b">
        <v>0</v>
      </c>
      <c r="Y2555" t="b">
        <v>0</v>
      </c>
    </row>
    <row r="2556" spans="1:25">
      <c r="A2556">
        <v>1000650</v>
      </c>
      <c r="B2556" t="s">
        <v>4061</v>
      </c>
      <c r="C2556" t="s">
        <v>5332</v>
      </c>
      <c r="D2556" t="s">
        <v>1292</v>
      </c>
      <c r="E2556">
        <v>1000650</v>
      </c>
      <c r="F2556" t="s">
        <v>1292</v>
      </c>
      <c r="G2556">
        <v>0</v>
      </c>
      <c r="H2556" t="s">
        <v>1292</v>
      </c>
      <c r="I2556">
        <v>0</v>
      </c>
      <c r="J2556" t="s">
        <v>1292</v>
      </c>
      <c r="K2556">
        <v>0</v>
      </c>
      <c r="L2556" t="s">
        <v>1292</v>
      </c>
      <c r="M2556">
        <v>0</v>
      </c>
      <c r="N2556" t="s">
        <v>1292</v>
      </c>
      <c r="O2556">
        <v>0</v>
      </c>
      <c r="P2556" t="s">
        <v>389</v>
      </c>
      <c r="Q2556" s="1">
        <v>8117</v>
      </c>
      <c r="R2556">
        <v>19.899999999999999</v>
      </c>
      <c r="S2556" s="2">
        <v>0.03</v>
      </c>
      <c r="T2556" s="3">
        <v>2.5277777777777777</v>
      </c>
      <c r="U2556" s="2">
        <v>0.16</v>
      </c>
      <c r="V2556" t="s">
        <v>5333</v>
      </c>
      <c r="W2556" t="s">
        <v>5334</v>
      </c>
      <c r="X2556" t="b">
        <v>0</v>
      </c>
      <c r="Y2556" t="b">
        <v>0</v>
      </c>
    </row>
    <row r="2557" spans="1:25">
      <c r="A2557">
        <v>1000651</v>
      </c>
      <c r="B2557" t="s">
        <v>4061</v>
      </c>
      <c r="C2557" t="s">
        <v>5335</v>
      </c>
      <c r="D2557" t="s">
        <v>1292</v>
      </c>
      <c r="E2557">
        <v>1000651</v>
      </c>
      <c r="F2557" t="s">
        <v>1292</v>
      </c>
      <c r="G2557">
        <v>0</v>
      </c>
      <c r="H2557" t="s">
        <v>1292</v>
      </c>
      <c r="I2557">
        <v>0</v>
      </c>
      <c r="J2557" t="s">
        <v>1292</v>
      </c>
      <c r="K2557">
        <v>0</v>
      </c>
      <c r="L2557" t="s">
        <v>1292</v>
      </c>
      <c r="M2557">
        <v>0</v>
      </c>
      <c r="N2557" t="s">
        <v>1292</v>
      </c>
      <c r="O2557">
        <v>0</v>
      </c>
      <c r="P2557" t="s">
        <v>94</v>
      </c>
      <c r="Q2557" s="1">
        <v>9033</v>
      </c>
      <c r="R2557">
        <v>12.7</v>
      </c>
      <c r="S2557" s="2">
        <v>0.13</v>
      </c>
      <c r="T2557" t="s">
        <v>145</v>
      </c>
      <c r="U2557" s="2">
        <v>0.33</v>
      </c>
      <c r="V2557" t="s">
        <v>5335</v>
      </c>
      <c r="W2557" t="s">
        <v>5336</v>
      </c>
      <c r="X2557" t="b">
        <v>0</v>
      </c>
      <c r="Y2557" t="b">
        <v>0</v>
      </c>
    </row>
    <row r="2558" spans="1:25">
      <c r="A2558">
        <v>1000652</v>
      </c>
      <c r="B2558" t="s">
        <v>4061</v>
      </c>
      <c r="C2558" t="s">
        <v>5337</v>
      </c>
      <c r="D2558" t="s">
        <v>1292</v>
      </c>
      <c r="E2558">
        <v>1000652</v>
      </c>
      <c r="F2558" t="s">
        <v>1292</v>
      </c>
      <c r="G2558">
        <v>0</v>
      </c>
      <c r="H2558" t="s">
        <v>1292</v>
      </c>
      <c r="I2558">
        <v>0</v>
      </c>
      <c r="J2558" t="s">
        <v>1292</v>
      </c>
      <c r="K2558">
        <v>0</v>
      </c>
      <c r="L2558" t="s">
        <v>1292</v>
      </c>
      <c r="M2558">
        <v>0</v>
      </c>
      <c r="N2558" t="s">
        <v>1292</v>
      </c>
      <c r="O2558">
        <v>0</v>
      </c>
      <c r="P2558" t="s">
        <v>94</v>
      </c>
      <c r="Q2558" s="1">
        <v>4745</v>
      </c>
      <c r="R2558">
        <v>33.4</v>
      </c>
      <c r="S2558" s="2">
        <v>0.11</v>
      </c>
      <c r="T2558" s="3">
        <v>3.0194444444444444</v>
      </c>
      <c r="U2558" s="2">
        <v>0.55000000000000004</v>
      </c>
      <c r="V2558" t="s">
        <v>5337</v>
      </c>
      <c r="W2558" t="s">
        <v>4415</v>
      </c>
      <c r="X2558" t="b">
        <v>0</v>
      </c>
      <c r="Y2558" t="b">
        <v>0</v>
      </c>
    </row>
    <row r="2559" spans="1:25">
      <c r="A2559">
        <v>1000653</v>
      </c>
      <c r="B2559" t="s">
        <v>4061</v>
      </c>
      <c r="C2559" t="s">
        <v>5338</v>
      </c>
      <c r="D2559" t="s">
        <v>1292</v>
      </c>
      <c r="E2559">
        <v>1000653</v>
      </c>
      <c r="F2559" t="s">
        <v>1292</v>
      </c>
      <c r="G2559">
        <v>0</v>
      </c>
      <c r="H2559" t="s">
        <v>1292</v>
      </c>
      <c r="I2559">
        <v>0</v>
      </c>
      <c r="J2559" t="s">
        <v>1292</v>
      </c>
      <c r="K2559">
        <v>0</v>
      </c>
      <c r="L2559" t="s">
        <v>1292</v>
      </c>
      <c r="M2559">
        <v>0</v>
      </c>
      <c r="N2559" t="s">
        <v>1292</v>
      </c>
      <c r="O2559">
        <v>0</v>
      </c>
      <c r="P2559" t="s">
        <v>2290</v>
      </c>
      <c r="Q2559" s="1">
        <v>8224</v>
      </c>
      <c r="R2559">
        <v>32</v>
      </c>
      <c r="S2559" s="2">
        <v>0</v>
      </c>
      <c r="T2559" s="3">
        <v>2.036111111111111</v>
      </c>
      <c r="U2559" t="s">
        <v>1292</v>
      </c>
      <c r="V2559" t="s">
        <v>5338</v>
      </c>
      <c r="W2559" t="s">
        <v>5339</v>
      </c>
      <c r="X2559" t="b">
        <v>0</v>
      </c>
      <c r="Y2559" t="b">
        <v>0</v>
      </c>
    </row>
    <row r="2560" spans="1:25">
      <c r="A2560">
        <v>1000654</v>
      </c>
      <c r="B2560" t="s">
        <v>4061</v>
      </c>
      <c r="C2560" t="s">
        <v>5340</v>
      </c>
      <c r="D2560" t="s">
        <v>1292</v>
      </c>
      <c r="E2560">
        <v>1000654</v>
      </c>
      <c r="F2560" t="s">
        <v>1292</v>
      </c>
      <c r="G2560">
        <v>0</v>
      </c>
      <c r="H2560" t="s">
        <v>1292</v>
      </c>
      <c r="I2560">
        <v>0</v>
      </c>
      <c r="J2560" t="s">
        <v>1292</v>
      </c>
      <c r="K2560">
        <v>0</v>
      </c>
      <c r="L2560" t="s">
        <v>1292</v>
      </c>
      <c r="M2560">
        <v>0</v>
      </c>
      <c r="N2560" t="s">
        <v>1292</v>
      </c>
      <c r="O2560">
        <v>0</v>
      </c>
      <c r="P2560" t="s">
        <v>2229</v>
      </c>
      <c r="Q2560" s="1">
        <v>6518</v>
      </c>
      <c r="R2560">
        <v>26.1</v>
      </c>
      <c r="S2560" s="2">
        <v>0</v>
      </c>
      <c r="T2560" s="3">
        <v>2.4868055555555557</v>
      </c>
      <c r="U2560" t="s">
        <v>1292</v>
      </c>
      <c r="V2560" t="s">
        <v>5340</v>
      </c>
      <c r="W2560" t="s">
        <v>5341</v>
      </c>
      <c r="X2560" t="b">
        <v>0</v>
      </c>
      <c r="Y2560" t="b">
        <v>0</v>
      </c>
    </row>
    <row r="2561" spans="1:25">
      <c r="A2561">
        <v>1000655</v>
      </c>
      <c r="B2561" t="s">
        <v>4061</v>
      </c>
      <c r="C2561" t="s">
        <v>5342</v>
      </c>
      <c r="D2561" t="s">
        <v>1292</v>
      </c>
      <c r="E2561">
        <v>1000655</v>
      </c>
      <c r="F2561" t="s">
        <v>1292</v>
      </c>
      <c r="G2561">
        <v>0</v>
      </c>
      <c r="H2561" t="s">
        <v>1292</v>
      </c>
      <c r="I2561">
        <v>0</v>
      </c>
      <c r="J2561" t="s">
        <v>1292</v>
      </c>
      <c r="K2561">
        <v>0</v>
      </c>
      <c r="L2561" t="s">
        <v>1292</v>
      </c>
      <c r="M2561">
        <v>0</v>
      </c>
      <c r="N2561" t="s">
        <v>1292</v>
      </c>
      <c r="O2561">
        <v>0</v>
      </c>
      <c r="P2561" t="s">
        <v>895</v>
      </c>
      <c r="Q2561" s="1">
        <v>2926</v>
      </c>
      <c r="R2561">
        <v>22.7</v>
      </c>
      <c r="S2561" s="2">
        <v>0.01</v>
      </c>
      <c r="T2561" s="3">
        <v>2.036111111111111</v>
      </c>
      <c r="U2561" s="2">
        <v>0.4</v>
      </c>
      <c r="V2561" t="s">
        <v>5342</v>
      </c>
      <c r="W2561" t="s">
        <v>5343</v>
      </c>
      <c r="X2561" t="b">
        <v>0</v>
      </c>
      <c r="Y2561" t="b">
        <v>0</v>
      </c>
    </row>
    <row r="2562" spans="1:25">
      <c r="A2562">
        <v>1000656</v>
      </c>
      <c r="B2562" t="s">
        <v>4061</v>
      </c>
      <c r="C2562" t="s">
        <v>5344</v>
      </c>
      <c r="D2562" t="s">
        <v>1292</v>
      </c>
      <c r="E2562">
        <v>1000656</v>
      </c>
      <c r="F2562" t="s">
        <v>1292</v>
      </c>
      <c r="G2562">
        <v>0</v>
      </c>
      <c r="H2562" t="s">
        <v>1292</v>
      </c>
      <c r="I2562">
        <v>0</v>
      </c>
      <c r="J2562" t="s">
        <v>1292</v>
      </c>
      <c r="K2562">
        <v>0</v>
      </c>
      <c r="L2562" t="s">
        <v>1292</v>
      </c>
      <c r="M2562">
        <v>0</v>
      </c>
      <c r="N2562" t="s">
        <v>1292</v>
      </c>
      <c r="O2562">
        <v>0</v>
      </c>
      <c r="P2562" t="s">
        <v>4144</v>
      </c>
      <c r="Q2562" s="1">
        <v>5140</v>
      </c>
      <c r="R2562">
        <v>17.100000000000001</v>
      </c>
      <c r="S2562" s="2">
        <v>0</v>
      </c>
      <c r="T2562" t="s">
        <v>801</v>
      </c>
      <c r="U2562" t="s">
        <v>1292</v>
      </c>
      <c r="V2562" t="s">
        <v>5344</v>
      </c>
      <c r="W2562" t="s">
        <v>5345</v>
      </c>
      <c r="X2562" t="b">
        <v>0</v>
      </c>
      <c r="Y2562" t="b">
        <v>0</v>
      </c>
    </row>
    <row r="2563" spans="1:25">
      <c r="A2563">
        <v>1000657</v>
      </c>
      <c r="B2563" t="s">
        <v>4061</v>
      </c>
      <c r="C2563" t="s">
        <v>5346</v>
      </c>
      <c r="D2563" t="s">
        <v>1292</v>
      </c>
      <c r="E2563">
        <v>1000657</v>
      </c>
      <c r="F2563" t="s">
        <v>1292</v>
      </c>
      <c r="G2563">
        <v>0</v>
      </c>
      <c r="H2563" t="s">
        <v>1292</v>
      </c>
      <c r="I2563">
        <v>0</v>
      </c>
      <c r="J2563" t="s">
        <v>1292</v>
      </c>
      <c r="K2563">
        <v>0</v>
      </c>
      <c r="L2563" t="s">
        <v>1292</v>
      </c>
      <c r="M2563">
        <v>0</v>
      </c>
      <c r="N2563" t="s">
        <v>1292</v>
      </c>
      <c r="O2563">
        <v>0</v>
      </c>
      <c r="P2563" t="s">
        <v>4144</v>
      </c>
      <c r="Q2563" s="1">
        <v>9115</v>
      </c>
      <c r="R2563">
        <v>22.7</v>
      </c>
      <c r="S2563" s="2">
        <v>0.01</v>
      </c>
      <c r="T2563" t="s">
        <v>324</v>
      </c>
      <c r="U2563" s="2">
        <v>0.08</v>
      </c>
      <c r="V2563" t="s">
        <v>5346</v>
      </c>
      <c r="W2563" t="s">
        <v>5347</v>
      </c>
      <c r="X2563" t="b">
        <v>0</v>
      </c>
      <c r="Y2563" t="b">
        <v>0</v>
      </c>
    </row>
    <row r="2564" spans="1:25">
      <c r="A2564">
        <v>1000658</v>
      </c>
      <c r="B2564" t="s">
        <v>4061</v>
      </c>
      <c r="C2564" t="s">
        <v>5348</v>
      </c>
      <c r="D2564" t="s">
        <v>1292</v>
      </c>
      <c r="E2564">
        <v>1000658</v>
      </c>
      <c r="F2564" t="s">
        <v>1292</v>
      </c>
      <c r="G2564">
        <v>0</v>
      </c>
      <c r="H2564" t="s">
        <v>1292</v>
      </c>
      <c r="I2564">
        <v>0</v>
      </c>
      <c r="J2564" t="s">
        <v>1292</v>
      </c>
      <c r="K2564">
        <v>0</v>
      </c>
      <c r="L2564" t="s">
        <v>1292</v>
      </c>
      <c r="M2564">
        <v>0</v>
      </c>
      <c r="N2564" t="s">
        <v>1292</v>
      </c>
      <c r="O2564">
        <v>0</v>
      </c>
      <c r="P2564" t="s">
        <v>4144</v>
      </c>
      <c r="Q2564" s="1">
        <v>18118</v>
      </c>
      <c r="R2564">
        <v>19.399999999999999</v>
      </c>
      <c r="S2564" s="2">
        <v>0</v>
      </c>
      <c r="T2564">
        <v>0.84791666666666665</v>
      </c>
      <c r="U2564" s="2">
        <v>0.47</v>
      </c>
      <c r="V2564" t="s">
        <v>5348</v>
      </c>
      <c r="W2564" t="s">
        <v>5349</v>
      </c>
      <c r="X2564" t="b">
        <v>0</v>
      </c>
      <c r="Y2564" t="b">
        <v>0</v>
      </c>
    </row>
    <row r="2565" spans="1:25">
      <c r="A2565">
        <v>1000659</v>
      </c>
      <c r="B2565" t="s">
        <v>4061</v>
      </c>
      <c r="C2565" t="s">
        <v>5350</v>
      </c>
      <c r="D2565" t="s">
        <v>1292</v>
      </c>
      <c r="E2565">
        <v>1000659</v>
      </c>
      <c r="F2565" t="s">
        <v>1292</v>
      </c>
      <c r="G2565">
        <v>0</v>
      </c>
      <c r="H2565" t="s">
        <v>1292</v>
      </c>
      <c r="I2565">
        <v>0</v>
      </c>
      <c r="J2565" t="s">
        <v>1292</v>
      </c>
      <c r="K2565">
        <v>0</v>
      </c>
      <c r="L2565" t="s">
        <v>1292</v>
      </c>
      <c r="M2565">
        <v>0</v>
      </c>
      <c r="N2565" t="s">
        <v>1292</v>
      </c>
      <c r="O2565">
        <v>0</v>
      </c>
      <c r="P2565" t="s">
        <v>4144</v>
      </c>
      <c r="Q2565" s="1">
        <v>5750</v>
      </c>
      <c r="R2565">
        <v>7.4</v>
      </c>
      <c r="S2565" s="2">
        <v>0.05</v>
      </c>
      <c r="T2565" t="s">
        <v>336</v>
      </c>
      <c r="U2565" s="2">
        <v>0.54</v>
      </c>
      <c r="V2565" t="s">
        <v>5350</v>
      </c>
      <c r="W2565" t="s">
        <v>5351</v>
      </c>
      <c r="X2565" t="b">
        <v>0</v>
      </c>
      <c r="Y2565" t="b">
        <v>0</v>
      </c>
    </row>
    <row r="2566" spans="1:25">
      <c r="A2566">
        <v>1000660</v>
      </c>
      <c r="B2566" t="s">
        <v>4061</v>
      </c>
      <c r="C2566" t="s">
        <v>5352</v>
      </c>
      <c r="D2566" t="s">
        <v>1292</v>
      </c>
      <c r="E2566">
        <v>1000660</v>
      </c>
      <c r="F2566" t="s">
        <v>1292</v>
      </c>
      <c r="G2566">
        <v>0</v>
      </c>
      <c r="H2566" t="s">
        <v>1292</v>
      </c>
      <c r="I2566">
        <v>0</v>
      </c>
      <c r="J2566" t="s">
        <v>1292</v>
      </c>
      <c r="K2566">
        <v>0</v>
      </c>
      <c r="L2566" t="s">
        <v>1292</v>
      </c>
      <c r="M2566">
        <v>0</v>
      </c>
      <c r="N2566" t="s">
        <v>1292</v>
      </c>
      <c r="O2566">
        <v>0</v>
      </c>
      <c r="P2566" t="s">
        <v>4144</v>
      </c>
      <c r="Q2566" s="1">
        <v>7541</v>
      </c>
      <c r="R2566">
        <v>9.8000000000000007</v>
      </c>
      <c r="S2566" s="2">
        <v>0.02</v>
      </c>
      <c r="T2566" s="3">
        <v>1.9951388888888888</v>
      </c>
      <c r="U2566" s="2">
        <v>0.03</v>
      </c>
      <c r="V2566" t="s">
        <v>5352</v>
      </c>
      <c r="W2566" t="s">
        <v>5353</v>
      </c>
      <c r="X2566" t="b">
        <v>0</v>
      </c>
      <c r="Y2566" t="b">
        <v>0</v>
      </c>
    </row>
    <row r="2567" spans="1:25">
      <c r="A2567">
        <v>1000661</v>
      </c>
      <c r="B2567" t="s">
        <v>4061</v>
      </c>
      <c r="C2567" t="s">
        <v>5354</v>
      </c>
      <c r="D2567" t="s">
        <v>1292</v>
      </c>
      <c r="E2567">
        <v>1000661</v>
      </c>
      <c r="F2567" t="s">
        <v>1292</v>
      </c>
      <c r="G2567">
        <v>0</v>
      </c>
      <c r="H2567" t="s">
        <v>1292</v>
      </c>
      <c r="I2567">
        <v>0</v>
      </c>
      <c r="J2567" t="s">
        <v>1292</v>
      </c>
      <c r="K2567">
        <v>0</v>
      </c>
      <c r="L2567" t="s">
        <v>1292</v>
      </c>
      <c r="M2567">
        <v>0</v>
      </c>
      <c r="N2567" t="s">
        <v>1292</v>
      </c>
      <c r="O2567">
        <v>0</v>
      </c>
      <c r="P2567" t="s">
        <v>4144</v>
      </c>
      <c r="Q2567" s="1">
        <v>5946</v>
      </c>
      <c r="R2567">
        <v>10.1</v>
      </c>
      <c r="S2567" s="2">
        <v>0.01</v>
      </c>
      <c r="T2567" s="3">
        <v>2.1180555555555554</v>
      </c>
      <c r="U2567" s="2">
        <v>0.03</v>
      </c>
      <c r="V2567" t="s">
        <v>5354</v>
      </c>
      <c r="W2567" t="s">
        <v>5355</v>
      </c>
      <c r="X2567" t="b">
        <v>0</v>
      </c>
      <c r="Y2567" t="b">
        <v>0</v>
      </c>
    </row>
    <row r="2568" spans="1:25">
      <c r="A2568">
        <v>1000662</v>
      </c>
      <c r="B2568" t="s">
        <v>4061</v>
      </c>
      <c r="C2568" t="s">
        <v>5356</v>
      </c>
      <c r="D2568" t="s">
        <v>1292</v>
      </c>
      <c r="E2568">
        <v>1000662</v>
      </c>
      <c r="F2568" t="s">
        <v>1292</v>
      </c>
      <c r="G2568">
        <v>0</v>
      </c>
      <c r="H2568" t="s">
        <v>1292</v>
      </c>
      <c r="I2568">
        <v>0</v>
      </c>
      <c r="J2568" t="s">
        <v>1292</v>
      </c>
      <c r="K2568">
        <v>0</v>
      </c>
      <c r="L2568" t="s">
        <v>1292</v>
      </c>
      <c r="M2568">
        <v>0</v>
      </c>
      <c r="N2568" t="s">
        <v>1292</v>
      </c>
      <c r="O2568">
        <v>0</v>
      </c>
      <c r="P2568" t="s">
        <v>4144</v>
      </c>
      <c r="Q2568" s="1">
        <v>3644</v>
      </c>
      <c r="R2568">
        <v>13.4</v>
      </c>
      <c r="S2568" s="2">
        <v>0.12</v>
      </c>
      <c r="T2568" s="3">
        <v>2.7326388888888888</v>
      </c>
      <c r="U2568" s="2">
        <v>0.12</v>
      </c>
      <c r="V2568" t="s">
        <v>5356</v>
      </c>
      <c r="W2568" t="s">
        <v>5357</v>
      </c>
      <c r="X2568" t="b">
        <v>0</v>
      </c>
      <c r="Y2568" t="b">
        <v>0</v>
      </c>
    </row>
    <row r="2569" spans="1:25">
      <c r="A2569">
        <v>1000663</v>
      </c>
      <c r="B2569" t="s">
        <v>4061</v>
      </c>
      <c r="C2569" t="s">
        <v>5358</v>
      </c>
      <c r="D2569" t="s">
        <v>1292</v>
      </c>
      <c r="E2569">
        <v>1000663</v>
      </c>
      <c r="F2569" t="s">
        <v>1292</v>
      </c>
      <c r="G2569">
        <v>0</v>
      </c>
      <c r="H2569" t="s">
        <v>1292</v>
      </c>
      <c r="I2569">
        <v>0</v>
      </c>
      <c r="J2569" t="s">
        <v>1292</v>
      </c>
      <c r="K2569">
        <v>0</v>
      </c>
      <c r="L2569" t="s">
        <v>1292</v>
      </c>
      <c r="M2569">
        <v>0</v>
      </c>
      <c r="N2569" t="s">
        <v>1292</v>
      </c>
      <c r="O2569">
        <v>0</v>
      </c>
      <c r="P2569" t="s">
        <v>4144</v>
      </c>
      <c r="Q2569" s="1">
        <v>4826</v>
      </c>
      <c r="R2569">
        <v>8.9</v>
      </c>
      <c r="S2569" s="2">
        <v>0.03</v>
      </c>
      <c r="T2569" s="3">
        <v>2.1590277777777778</v>
      </c>
      <c r="U2569" t="s">
        <v>1292</v>
      </c>
      <c r="V2569" t="s">
        <v>5358</v>
      </c>
      <c r="W2569" t="s">
        <v>5359</v>
      </c>
      <c r="X2569" t="b">
        <v>0</v>
      </c>
      <c r="Y2569" t="b">
        <v>0</v>
      </c>
    </row>
    <row r="2570" spans="1:25">
      <c r="A2570">
        <v>1000664</v>
      </c>
      <c r="B2570" t="s">
        <v>4061</v>
      </c>
      <c r="C2570" t="s">
        <v>5360</v>
      </c>
      <c r="D2570" t="s">
        <v>1292</v>
      </c>
      <c r="E2570">
        <v>1000664</v>
      </c>
      <c r="F2570" t="s">
        <v>1292</v>
      </c>
      <c r="G2570">
        <v>0</v>
      </c>
      <c r="H2570" t="s">
        <v>1292</v>
      </c>
      <c r="I2570">
        <v>0</v>
      </c>
      <c r="J2570" t="s">
        <v>1292</v>
      </c>
      <c r="K2570">
        <v>0</v>
      </c>
      <c r="L2570" t="s">
        <v>1292</v>
      </c>
      <c r="M2570">
        <v>0</v>
      </c>
      <c r="N2570" t="s">
        <v>1292</v>
      </c>
      <c r="O2570">
        <v>0</v>
      </c>
      <c r="P2570" t="s">
        <v>4144</v>
      </c>
      <c r="Q2570" s="1">
        <v>13484</v>
      </c>
      <c r="R2570">
        <v>21</v>
      </c>
      <c r="S2570" s="2">
        <v>0.03</v>
      </c>
      <c r="T2570" t="s">
        <v>501</v>
      </c>
      <c r="U2570" s="2">
        <v>0.16</v>
      </c>
      <c r="V2570" t="s">
        <v>5360</v>
      </c>
      <c r="W2570" t="s">
        <v>5361</v>
      </c>
      <c r="X2570" t="b">
        <v>0</v>
      </c>
      <c r="Y2570" t="b">
        <v>0</v>
      </c>
    </row>
    <row r="2571" spans="1:25">
      <c r="A2571">
        <v>1000665</v>
      </c>
      <c r="B2571" t="s">
        <v>4061</v>
      </c>
      <c r="C2571" t="s">
        <v>5362</v>
      </c>
      <c r="D2571" t="s">
        <v>1292</v>
      </c>
      <c r="E2571">
        <v>1000665</v>
      </c>
      <c r="F2571" t="s">
        <v>1292</v>
      </c>
      <c r="G2571">
        <v>0</v>
      </c>
      <c r="H2571" t="s">
        <v>1292</v>
      </c>
      <c r="I2571">
        <v>0</v>
      </c>
      <c r="J2571" t="s">
        <v>1292</v>
      </c>
      <c r="K2571">
        <v>0</v>
      </c>
      <c r="L2571" t="s">
        <v>1292</v>
      </c>
      <c r="M2571">
        <v>0</v>
      </c>
      <c r="N2571" t="s">
        <v>1292</v>
      </c>
      <c r="O2571">
        <v>0</v>
      </c>
      <c r="P2571" t="s">
        <v>4144</v>
      </c>
      <c r="Q2571" s="1">
        <v>4850</v>
      </c>
      <c r="R2571">
        <v>10.8</v>
      </c>
      <c r="S2571" s="2">
        <v>0.01</v>
      </c>
      <c r="T2571" t="s">
        <v>529</v>
      </c>
      <c r="U2571" s="2">
        <v>0.04</v>
      </c>
      <c r="V2571" t="s">
        <v>5362</v>
      </c>
      <c r="W2571" t="s">
        <v>5363</v>
      </c>
      <c r="X2571" t="b">
        <v>0</v>
      </c>
      <c r="Y2571" t="b">
        <v>0</v>
      </c>
    </row>
    <row r="2572" spans="1:25">
      <c r="A2572">
        <v>1000666</v>
      </c>
      <c r="B2572" t="s">
        <v>4061</v>
      </c>
      <c r="C2572" t="s">
        <v>5364</v>
      </c>
      <c r="D2572" t="s">
        <v>1292</v>
      </c>
      <c r="E2572">
        <v>1000666</v>
      </c>
      <c r="F2572" t="s">
        <v>1292</v>
      </c>
      <c r="G2572">
        <v>0</v>
      </c>
      <c r="H2572" t="s">
        <v>1292</v>
      </c>
      <c r="I2572">
        <v>0</v>
      </c>
      <c r="J2572" t="s">
        <v>1292</v>
      </c>
      <c r="K2572">
        <v>0</v>
      </c>
      <c r="L2572" t="s">
        <v>1292</v>
      </c>
      <c r="M2572">
        <v>0</v>
      </c>
      <c r="N2572" t="s">
        <v>1292</v>
      </c>
      <c r="O2572">
        <v>0</v>
      </c>
      <c r="P2572" t="s">
        <v>4144</v>
      </c>
      <c r="Q2572" s="1">
        <v>4664</v>
      </c>
      <c r="R2572">
        <v>14.8</v>
      </c>
      <c r="S2572" s="2">
        <v>0.01</v>
      </c>
      <c r="T2572" s="3">
        <v>2.2409722222222221</v>
      </c>
      <c r="U2572" s="2">
        <v>0.06</v>
      </c>
      <c r="V2572" t="s">
        <v>5364</v>
      </c>
      <c r="W2572" t="s">
        <v>5365</v>
      </c>
      <c r="X2572" t="b">
        <v>0</v>
      </c>
      <c r="Y2572" t="b">
        <v>0</v>
      </c>
    </row>
    <row r="2573" spans="1:25">
      <c r="A2573">
        <v>1000667</v>
      </c>
      <c r="B2573" t="s">
        <v>4061</v>
      </c>
      <c r="C2573" t="s">
        <v>5366</v>
      </c>
      <c r="D2573" t="s">
        <v>1292</v>
      </c>
      <c r="E2573">
        <v>1000667</v>
      </c>
      <c r="F2573" t="s">
        <v>1292</v>
      </c>
      <c r="G2573">
        <v>0</v>
      </c>
      <c r="H2573" t="s">
        <v>1292</v>
      </c>
      <c r="I2573">
        <v>0</v>
      </c>
      <c r="J2573" t="s">
        <v>1292</v>
      </c>
      <c r="K2573">
        <v>0</v>
      </c>
      <c r="L2573" t="s">
        <v>1292</v>
      </c>
      <c r="M2573">
        <v>0</v>
      </c>
      <c r="N2573" t="s">
        <v>1292</v>
      </c>
      <c r="O2573">
        <v>0</v>
      </c>
      <c r="P2573" t="s">
        <v>4144</v>
      </c>
      <c r="Q2573" s="1">
        <v>15698</v>
      </c>
      <c r="R2573">
        <v>22.2</v>
      </c>
      <c r="S2573" s="2">
        <v>0.01</v>
      </c>
      <c r="T2573" s="3">
        <v>2.5277777777777777</v>
      </c>
      <c r="U2573" s="2">
        <v>0.21</v>
      </c>
      <c r="V2573" t="s">
        <v>5366</v>
      </c>
      <c r="W2573" t="s">
        <v>5367</v>
      </c>
      <c r="X2573" t="b">
        <v>0</v>
      </c>
      <c r="Y2573" t="b">
        <v>0</v>
      </c>
    </row>
    <row r="2574" spans="1:25">
      <c r="A2574">
        <v>1000668</v>
      </c>
      <c r="B2574" t="s">
        <v>4061</v>
      </c>
      <c r="C2574" t="s">
        <v>5368</v>
      </c>
      <c r="D2574" t="s">
        <v>1292</v>
      </c>
      <c r="E2574">
        <v>1000668</v>
      </c>
      <c r="F2574" t="s">
        <v>1292</v>
      </c>
      <c r="G2574">
        <v>0</v>
      </c>
      <c r="H2574" t="s">
        <v>1292</v>
      </c>
      <c r="I2574">
        <v>0</v>
      </c>
      <c r="J2574" t="s">
        <v>1292</v>
      </c>
      <c r="K2574">
        <v>0</v>
      </c>
      <c r="L2574" t="s">
        <v>1292</v>
      </c>
      <c r="M2574">
        <v>0</v>
      </c>
      <c r="N2574" t="s">
        <v>1292</v>
      </c>
      <c r="O2574">
        <v>0</v>
      </c>
      <c r="P2574" t="s">
        <v>4144</v>
      </c>
      <c r="Q2574" s="1">
        <v>13889</v>
      </c>
      <c r="R2574">
        <v>12.6</v>
      </c>
      <c r="S2574" s="2">
        <v>0</v>
      </c>
      <c r="T2574">
        <v>0.80694444444444446</v>
      </c>
      <c r="U2574" s="2">
        <v>0.48</v>
      </c>
      <c r="V2574" t="s">
        <v>5368</v>
      </c>
      <c r="W2574" t="s">
        <v>5369</v>
      </c>
      <c r="X2574" t="b">
        <v>0</v>
      </c>
      <c r="Y2574" t="b">
        <v>0</v>
      </c>
    </row>
    <row r="2575" spans="1:25">
      <c r="A2575">
        <v>1000669</v>
      </c>
      <c r="B2575" t="s">
        <v>4061</v>
      </c>
      <c r="C2575" t="s">
        <v>5370</v>
      </c>
      <c r="D2575" t="s">
        <v>1292</v>
      </c>
      <c r="E2575">
        <v>1000669</v>
      </c>
      <c r="F2575" t="s">
        <v>1292</v>
      </c>
      <c r="G2575">
        <v>0</v>
      </c>
      <c r="H2575" t="s">
        <v>1292</v>
      </c>
      <c r="I2575">
        <v>0</v>
      </c>
      <c r="J2575" t="s">
        <v>1292</v>
      </c>
      <c r="K2575">
        <v>0</v>
      </c>
      <c r="L2575" t="s">
        <v>1292</v>
      </c>
      <c r="M2575">
        <v>0</v>
      </c>
      <c r="N2575" t="s">
        <v>1292</v>
      </c>
      <c r="O2575">
        <v>0</v>
      </c>
      <c r="P2575" t="s">
        <v>4144</v>
      </c>
      <c r="Q2575" s="1">
        <v>17437</v>
      </c>
      <c r="R2575">
        <v>24.1</v>
      </c>
      <c r="S2575" s="2">
        <v>0</v>
      </c>
      <c r="T2575">
        <v>0.43819444444444444</v>
      </c>
      <c r="U2575" t="s">
        <v>1292</v>
      </c>
      <c r="V2575" t="s">
        <v>5370</v>
      </c>
      <c r="W2575" t="s">
        <v>5371</v>
      </c>
      <c r="X2575" t="b">
        <v>0</v>
      </c>
      <c r="Y2575" t="b">
        <v>0</v>
      </c>
    </row>
    <row r="2576" spans="1:25">
      <c r="A2576">
        <v>1000670</v>
      </c>
      <c r="B2576" t="s">
        <v>4061</v>
      </c>
      <c r="C2576" t="s">
        <v>5372</v>
      </c>
      <c r="D2576" t="s">
        <v>1292</v>
      </c>
      <c r="E2576">
        <v>1000670</v>
      </c>
      <c r="F2576" t="s">
        <v>1292</v>
      </c>
      <c r="G2576">
        <v>0</v>
      </c>
      <c r="H2576" t="s">
        <v>1292</v>
      </c>
      <c r="I2576">
        <v>0</v>
      </c>
      <c r="J2576" t="s">
        <v>1292</v>
      </c>
      <c r="K2576">
        <v>0</v>
      </c>
      <c r="L2576" t="s">
        <v>1292</v>
      </c>
      <c r="M2576">
        <v>0</v>
      </c>
      <c r="N2576" t="s">
        <v>1292</v>
      </c>
      <c r="O2576">
        <v>0</v>
      </c>
      <c r="P2576" t="s">
        <v>4144</v>
      </c>
      <c r="Q2576" s="1">
        <v>4189</v>
      </c>
      <c r="R2576">
        <v>11.5</v>
      </c>
      <c r="S2576" s="2">
        <v>0</v>
      </c>
      <c r="T2576" s="3">
        <v>1.8722222222222222</v>
      </c>
      <c r="U2576" s="2">
        <v>0.42</v>
      </c>
      <c r="V2576" t="s">
        <v>5372</v>
      </c>
      <c r="W2576" t="s">
        <v>5373</v>
      </c>
      <c r="X2576" t="b">
        <v>0</v>
      </c>
      <c r="Y2576" t="b">
        <v>0</v>
      </c>
    </row>
    <row r="2577" spans="1:25">
      <c r="A2577">
        <v>1000671</v>
      </c>
      <c r="B2577" t="s">
        <v>4061</v>
      </c>
      <c r="C2577" t="s">
        <v>5374</v>
      </c>
      <c r="D2577" t="s">
        <v>1292</v>
      </c>
      <c r="E2577">
        <v>1000671</v>
      </c>
      <c r="F2577" t="s">
        <v>1292</v>
      </c>
      <c r="G2577">
        <v>0</v>
      </c>
      <c r="H2577" t="s">
        <v>1292</v>
      </c>
      <c r="I2577">
        <v>0</v>
      </c>
      <c r="J2577" t="s">
        <v>1292</v>
      </c>
      <c r="K2577">
        <v>0</v>
      </c>
      <c r="L2577" t="s">
        <v>1292</v>
      </c>
      <c r="M2577">
        <v>0</v>
      </c>
      <c r="N2577" t="s">
        <v>1292</v>
      </c>
      <c r="O2577">
        <v>0</v>
      </c>
      <c r="P2577" t="s">
        <v>528</v>
      </c>
      <c r="Q2577">
        <v>758</v>
      </c>
      <c r="R2577">
        <v>3</v>
      </c>
      <c r="S2577" s="2">
        <v>0</v>
      </c>
      <c r="T2577" t="s">
        <v>336</v>
      </c>
      <c r="U2577" s="2">
        <v>0.45</v>
      </c>
      <c r="V2577" t="s">
        <v>5374</v>
      </c>
      <c r="W2577" t="s">
        <v>5375</v>
      </c>
      <c r="X2577" t="b">
        <v>0</v>
      </c>
      <c r="Y2577" t="b">
        <v>0</v>
      </c>
    </row>
    <row r="2578" spans="1:25">
      <c r="A2578">
        <v>1000672</v>
      </c>
      <c r="B2578" t="s">
        <v>4061</v>
      </c>
      <c r="C2578" t="s">
        <v>5376</v>
      </c>
      <c r="D2578" t="s">
        <v>1292</v>
      </c>
      <c r="E2578">
        <v>1000672</v>
      </c>
      <c r="F2578" t="s">
        <v>1292</v>
      </c>
      <c r="G2578">
        <v>0</v>
      </c>
      <c r="H2578" t="s">
        <v>1292</v>
      </c>
      <c r="I2578">
        <v>0</v>
      </c>
      <c r="J2578" t="s">
        <v>1292</v>
      </c>
      <c r="K2578">
        <v>0</v>
      </c>
      <c r="L2578" t="s">
        <v>1292</v>
      </c>
      <c r="M2578">
        <v>0</v>
      </c>
      <c r="N2578" t="s">
        <v>1292</v>
      </c>
      <c r="O2578">
        <v>0</v>
      </c>
      <c r="P2578" t="s">
        <v>389</v>
      </c>
      <c r="Q2578" s="1">
        <v>3926</v>
      </c>
      <c r="R2578">
        <v>19.399999999999999</v>
      </c>
      <c r="S2578" s="2">
        <v>0.03</v>
      </c>
      <c r="T2578" t="s">
        <v>696</v>
      </c>
      <c r="U2578" s="2">
        <v>0.31</v>
      </c>
      <c r="V2578" t="s">
        <v>5376</v>
      </c>
      <c r="W2578" t="s">
        <v>5377</v>
      </c>
      <c r="X2578" t="b">
        <v>0</v>
      </c>
      <c r="Y2578" t="b">
        <v>0</v>
      </c>
    </row>
    <row r="2579" spans="1:25">
      <c r="A2579">
        <v>1000673</v>
      </c>
      <c r="B2579" t="s">
        <v>4061</v>
      </c>
      <c r="C2579" t="s">
        <v>5378</v>
      </c>
      <c r="D2579" t="s">
        <v>1292</v>
      </c>
      <c r="E2579">
        <v>1000673</v>
      </c>
      <c r="F2579" t="s">
        <v>1292</v>
      </c>
      <c r="G2579">
        <v>0</v>
      </c>
      <c r="H2579" t="s">
        <v>1292</v>
      </c>
      <c r="I2579">
        <v>0</v>
      </c>
      <c r="J2579" t="s">
        <v>1292</v>
      </c>
      <c r="K2579">
        <v>0</v>
      </c>
      <c r="L2579" t="s">
        <v>1292</v>
      </c>
      <c r="M2579">
        <v>0</v>
      </c>
      <c r="N2579" t="s">
        <v>1292</v>
      </c>
      <c r="O2579">
        <v>0</v>
      </c>
      <c r="P2579" t="s">
        <v>895</v>
      </c>
      <c r="Q2579" s="1">
        <v>2025</v>
      </c>
      <c r="R2579">
        <v>10.3</v>
      </c>
      <c r="S2579" s="2">
        <v>0</v>
      </c>
      <c r="T2579" s="3">
        <v>2.8555555555555556</v>
      </c>
      <c r="U2579" t="s">
        <v>1292</v>
      </c>
      <c r="V2579" t="s">
        <v>5378</v>
      </c>
      <c r="W2579" t="s">
        <v>5379</v>
      </c>
      <c r="X2579" t="b">
        <v>0</v>
      </c>
      <c r="Y2579" t="b">
        <v>0</v>
      </c>
    </row>
    <row r="2580" spans="1:25">
      <c r="A2580">
        <v>1000674</v>
      </c>
      <c r="B2580" t="s">
        <v>4061</v>
      </c>
      <c r="C2580" t="s">
        <v>5380</v>
      </c>
      <c r="D2580" t="s">
        <v>1292</v>
      </c>
      <c r="E2580">
        <v>1000674</v>
      </c>
      <c r="F2580" t="s">
        <v>1292</v>
      </c>
      <c r="G2580">
        <v>0</v>
      </c>
      <c r="H2580" t="s">
        <v>1292</v>
      </c>
      <c r="I2580">
        <v>0</v>
      </c>
      <c r="J2580" t="s">
        <v>1292</v>
      </c>
      <c r="K2580">
        <v>0</v>
      </c>
      <c r="L2580" t="s">
        <v>1292</v>
      </c>
      <c r="M2580">
        <v>0</v>
      </c>
      <c r="N2580" t="s">
        <v>1292</v>
      </c>
      <c r="O2580">
        <v>0</v>
      </c>
      <c r="P2580" t="s">
        <v>2290</v>
      </c>
      <c r="Q2580" s="1">
        <v>1397</v>
      </c>
      <c r="R2580">
        <v>14.7</v>
      </c>
      <c r="S2580" s="2">
        <v>0</v>
      </c>
      <c r="T2580" s="3">
        <v>3.879861111111111</v>
      </c>
      <c r="U2580" t="s">
        <v>1292</v>
      </c>
      <c r="V2580" t="s">
        <v>5380</v>
      </c>
      <c r="W2580" t="s">
        <v>5381</v>
      </c>
      <c r="X2580" t="b">
        <v>0</v>
      </c>
      <c r="Y2580" t="b">
        <v>0</v>
      </c>
    </row>
    <row r="2581" spans="1:25">
      <c r="A2581">
        <v>1000675</v>
      </c>
      <c r="B2581" t="s">
        <v>4061</v>
      </c>
      <c r="C2581" t="s">
        <v>5382</v>
      </c>
      <c r="D2581" t="s">
        <v>1292</v>
      </c>
      <c r="E2581">
        <v>1000675</v>
      </c>
      <c r="F2581" t="s">
        <v>1292</v>
      </c>
      <c r="G2581">
        <v>0</v>
      </c>
      <c r="H2581" t="s">
        <v>1292</v>
      </c>
      <c r="I2581">
        <v>0</v>
      </c>
      <c r="J2581" t="s">
        <v>1292</v>
      </c>
      <c r="K2581">
        <v>0</v>
      </c>
      <c r="L2581" t="s">
        <v>1292</v>
      </c>
      <c r="M2581">
        <v>0</v>
      </c>
      <c r="N2581" t="s">
        <v>1292</v>
      </c>
      <c r="O2581">
        <v>0</v>
      </c>
      <c r="P2581" t="s">
        <v>5383</v>
      </c>
      <c r="Q2581" s="1">
        <v>8183</v>
      </c>
      <c r="R2581">
        <v>11.6</v>
      </c>
      <c r="S2581" s="2">
        <v>0.02</v>
      </c>
      <c r="T2581" t="s">
        <v>51</v>
      </c>
      <c r="U2581" s="2">
        <v>0.36</v>
      </c>
      <c r="V2581" t="s">
        <v>5382</v>
      </c>
      <c r="W2581" t="s">
        <v>5384</v>
      </c>
      <c r="X2581" t="b">
        <v>0</v>
      </c>
      <c r="Y2581" t="b">
        <v>0</v>
      </c>
    </row>
    <row r="2582" spans="1:25">
      <c r="A2582">
        <v>1000676</v>
      </c>
      <c r="B2582" t="s">
        <v>4061</v>
      </c>
      <c r="C2582" t="s">
        <v>5385</v>
      </c>
      <c r="D2582" t="s">
        <v>1292</v>
      </c>
      <c r="E2582">
        <v>1000676</v>
      </c>
      <c r="F2582" t="s">
        <v>1292</v>
      </c>
      <c r="G2582">
        <v>0</v>
      </c>
      <c r="H2582" t="s">
        <v>1292</v>
      </c>
      <c r="I2582">
        <v>0</v>
      </c>
      <c r="J2582" t="s">
        <v>1292</v>
      </c>
      <c r="K2582">
        <v>0</v>
      </c>
      <c r="L2582" t="s">
        <v>1292</v>
      </c>
      <c r="M2582">
        <v>0</v>
      </c>
      <c r="N2582" t="s">
        <v>1292</v>
      </c>
      <c r="O2582">
        <v>0</v>
      </c>
      <c r="P2582" t="s">
        <v>1102</v>
      </c>
      <c r="Q2582">
        <v>558</v>
      </c>
      <c r="R2582">
        <v>37.200000000000003</v>
      </c>
      <c r="S2582" s="2">
        <v>0</v>
      </c>
      <c r="T2582">
        <v>6.9444444444444448E-2</v>
      </c>
      <c r="U2582" t="s">
        <v>1292</v>
      </c>
      <c r="V2582" t="s">
        <v>5385</v>
      </c>
      <c r="W2582" t="s">
        <v>5386</v>
      </c>
      <c r="X2582" t="b">
        <v>0</v>
      </c>
      <c r="Y2582" t="b">
        <v>0</v>
      </c>
    </row>
    <row r="2583" spans="1:25">
      <c r="A2583">
        <v>1000677</v>
      </c>
      <c r="B2583" t="s">
        <v>4061</v>
      </c>
      <c r="C2583" t="s">
        <v>5387</v>
      </c>
      <c r="D2583" t="s">
        <v>1292</v>
      </c>
      <c r="E2583">
        <v>1000677</v>
      </c>
      <c r="F2583" t="s">
        <v>1292</v>
      </c>
      <c r="G2583">
        <v>0</v>
      </c>
      <c r="H2583" t="s">
        <v>1292</v>
      </c>
      <c r="I2583">
        <v>0</v>
      </c>
      <c r="J2583" t="s">
        <v>1292</v>
      </c>
      <c r="K2583">
        <v>0</v>
      </c>
      <c r="L2583" t="s">
        <v>1292</v>
      </c>
      <c r="M2583">
        <v>0</v>
      </c>
      <c r="N2583" t="s">
        <v>1292</v>
      </c>
      <c r="O2583">
        <v>0</v>
      </c>
      <c r="P2583" t="s">
        <v>2513</v>
      </c>
      <c r="Q2583" s="1">
        <v>30310</v>
      </c>
      <c r="R2583">
        <v>29.7</v>
      </c>
      <c r="S2583" s="2">
        <v>0.01</v>
      </c>
      <c r="T2583" s="3">
        <v>2.4868055555555557</v>
      </c>
      <c r="U2583" s="2">
        <v>0.23</v>
      </c>
      <c r="V2583" t="s">
        <v>5387</v>
      </c>
      <c r="W2583" t="s">
        <v>5388</v>
      </c>
      <c r="X2583" t="b">
        <v>0</v>
      </c>
      <c r="Y2583" t="b">
        <v>0</v>
      </c>
    </row>
    <row r="2584" spans="1:25">
      <c r="A2584">
        <v>1000678</v>
      </c>
      <c r="B2584" t="s">
        <v>4061</v>
      </c>
      <c r="C2584" t="s">
        <v>5389</v>
      </c>
      <c r="D2584" t="s">
        <v>1292</v>
      </c>
      <c r="E2584">
        <v>1000678</v>
      </c>
      <c r="F2584" t="s">
        <v>1292</v>
      </c>
      <c r="G2584">
        <v>0</v>
      </c>
      <c r="H2584" t="s">
        <v>1292</v>
      </c>
      <c r="I2584">
        <v>0</v>
      </c>
      <c r="J2584" t="s">
        <v>1292</v>
      </c>
      <c r="K2584">
        <v>0</v>
      </c>
      <c r="L2584" t="s">
        <v>1292</v>
      </c>
      <c r="M2584">
        <v>0</v>
      </c>
      <c r="N2584" t="s">
        <v>1292</v>
      </c>
      <c r="O2584">
        <v>0</v>
      </c>
      <c r="P2584" t="s">
        <v>1820</v>
      </c>
      <c r="Q2584" s="1">
        <v>5714</v>
      </c>
      <c r="R2584">
        <v>21.8</v>
      </c>
      <c r="S2584" s="2">
        <v>0</v>
      </c>
      <c r="T2584" s="3">
        <v>1.7902777777777779</v>
      </c>
      <c r="U2584" s="2">
        <v>0.39</v>
      </c>
      <c r="V2584" t="s">
        <v>5389</v>
      </c>
      <c r="W2584" t="s">
        <v>5390</v>
      </c>
      <c r="X2584" t="b">
        <v>0</v>
      </c>
      <c r="Y2584" t="b">
        <v>0</v>
      </c>
    </row>
    <row r="2585" spans="1:25">
      <c r="A2585">
        <v>1000679</v>
      </c>
      <c r="B2585" t="s">
        <v>4061</v>
      </c>
      <c r="C2585" t="s">
        <v>5391</v>
      </c>
      <c r="D2585" t="s">
        <v>1292</v>
      </c>
      <c r="E2585">
        <v>1000679</v>
      </c>
      <c r="F2585" t="s">
        <v>1292</v>
      </c>
      <c r="G2585">
        <v>0</v>
      </c>
      <c r="H2585" t="s">
        <v>1292</v>
      </c>
      <c r="I2585">
        <v>0</v>
      </c>
      <c r="J2585" t="s">
        <v>1292</v>
      </c>
      <c r="K2585">
        <v>0</v>
      </c>
      <c r="L2585" t="s">
        <v>1292</v>
      </c>
      <c r="M2585">
        <v>0</v>
      </c>
      <c r="N2585" t="s">
        <v>1292</v>
      </c>
      <c r="O2585">
        <v>0</v>
      </c>
      <c r="P2585" t="s">
        <v>5392</v>
      </c>
      <c r="Q2585" s="1">
        <v>44529</v>
      </c>
      <c r="R2585">
        <v>117.8</v>
      </c>
      <c r="S2585" s="2">
        <v>0.04</v>
      </c>
      <c r="T2585" s="3">
        <v>2.6097222222222221</v>
      </c>
      <c r="U2585" s="2">
        <v>0</v>
      </c>
      <c r="V2585" t="s">
        <v>5391</v>
      </c>
      <c r="W2585" t="s">
        <v>5393</v>
      </c>
      <c r="X2585" t="b">
        <v>0</v>
      </c>
      <c r="Y2585" t="b">
        <v>0</v>
      </c>
    </row>
    <row r="2586" spans="1:25">
      <c r="A2586">
        <v>1000680</v>
      </c>
      <c r="B2586" t="s">
        <v>4061</v>
      </c>
      <c r="C2586" t="s">
        <v>5394</v>
      </c>
      <c r="D2586" t="s">
        <v>1292</v>
      </c>
      <c r="E2586">
        <v>1000680</v>
      </c>
      <c r="F2586" t="s">
        <v>1292</v>
      </c>
      <c r="G2586">
        <v>0</v>
      </c>
      <c r="H2586" t="s">
        <v>1292</v>
      </c>
      <c r="I2586">
        <v>0</v>
      </c>
      <c r="J2586" t="s">
        <v>1292</v>
      </c>
      <c r="K2586">
        <v>0</v>
      </c>
      <c r="L2586" t="s">
        <v>1292</v>
      </c>
      <c r="M2586">
        <v>0</v>
      </c>
      <c r="N2586" t="s">
        <v>1292</v>
      </c>
      <c r="O2586">
        <v>0</v>
      </c>
      <c r="P2586" t="s">
        <v>2723</v>
      </c>
      <c r="Q2586" s="1">
        <v>11125</v>
      </c>
      <c r="R2586">
        <v>14.5</v>
      </c>
      <c r="S2586" s="2">
        <v>0.02</v>
      </c>
      <c r="T2586" t="s">
        <v>696</v>
      </c>
      <c r="U2586" s="2">
        <v>0.43</v>
      </c>
      <c r="V2586" t="s">
        <v>5394</v>
      </c>
      <c r="W2586" t="s">
        <v>5395</v>
      </c>
      <c r="X2586" t="b">
        <v>0</v>
      </c>
      <c r="Y2586" t="b">
        <v>0</v>
      </c>
    </row>
    <row r="2587" spans="1:25">
      <c r="A2587">
        <v>1000681</v>
      </c>
      <c r="B2587" t="s">
        <v>4061</v>
      </c>
      <c r="C2587" t="s">
        <v>5396</v>
      </c>
      <c r="D2587" t="s">
        <v>1292</v>
      </c>
      <c r="E2587">
        <v>1000681</v>
      </c>
      <c r="F2587" t="s">
        <v>1292</v>
      </c>
      <c r="G2587">
        <v>0</v>
      </c>
      <c r="H2587" t="s">
        <v>1292</v>
      </c>
      <c r="I2587">
        <v>0</v>
      </c>
      <c r="J2587" t="s">
        <v>1292</v>
      </c>
      <c r="K2587">
        <v>0</v>
      </c>
      <c r="L2587" t="s">
        <v>1292</v>
      </c>
      <c r="M2587">
        <v>0</v>
      </c>
      <c r="N2587" t="s">
        <v>1292</v>
      </c>
      <c r="O2587">
        <v>0</v>
      </c>
      <c r="P2587" t="s">
        <v>1820</v>
      </c>
      <c r="Q2587" s="1">
        <v>25527</v>
      </c>
      <c r="R2587">
        <v>24.8</v>
      </c>
      <c r="S2587" s="2">
        <v>0</v>
      </c>
      <c r="T2587" s="3">
        <v>1.8722222222222222</v>
      </c>
      <c r="U2587" s="2">
        <v>0.37</v>
      </c>
      <c r="V2587" t="s">
        <v>5396</v>
      </c>
      <c r="W2587" t="s">
        <v>5397</v>
      </c>
      <c r="X2587" t="b">
        <v>0</v>
      </c>
      <c r="Y2587" t="b">
        <v>0</v>
      </c>
    </row>
    <row r="2588" spans="1:25">
      <c r="A2588">
        <v>1000682</v>
      </c>
      <c r="B2588" t="s">
        <v>4061</v>
      </c>
      <c r="C2588" t="s">
        <v>5398</v>
      </c>
      <c r="D2588" t="s">
        <v>1292</v>
      </c>
      <c r="E2588">
        <v>1000682</v>
      </c>
      <c r="F2588" t="s">
        <v>1292</v>
      </c>
      <c r="G2588">
        <v>0</v>
      </c>
      <c r="H2588" t="s">
        <v>1292</v>
      </c>
      <c r="I2588">
        <v>0</v>
      </c>
      <c r="J2588" t="s">
        <v>1292</v>
      </c>
      <c r="K2588">
        <v>0</v>
      </c>
      <c r="L2588" t="s">
        <v>1292</v>
      </c>
      <c r="M2588">
        <v>0</v>
      </c>
      <c r="N2588" t="s">
        <v>1292</v>
      </c>
      <c r="O2588">
        <v>0</v>
      </c>
      <c r="P2588" t="s">
        <v>528</v>
      </c>
      <c r="Q2588" s="1">
        <v>9894</v>
      </c>
      <c r="R2588">
        <v>11.9</v>
      </c>
      <c r="S2588" s="2">
        <v>0</v>
      </c>
      <c r="T2588" s="3">
        <v>1.7902777777777779</v>
      </c>
      <c r="U2588" s="2">
        <v>0.35</v>
      </c>
      <c r="V2588" t="s">
        <v>5398</v>
      </c>
      <c r="W2588" t="s">
        <v>5399</v>
      </c>
      <c r="X2588" t="b">
        <v>0</v>
      </c>
      <c r="Y2588" t="b">
        <v>0</v>
      </c>
    </row>
    <row r="2589" spans="1:25">
      <c r="A2589">
        <v>1000683</v>
      </c>
      <c r="B2589" t="s">
        <v>4061</v>
      </c>
      <c r="C2589" t="s">
        <v>5400</v>
      </c>
      <c r="D2589" t="s">
        <v>1292</v>
      </c>
      <c r="E2589">
        <v>1000683</v>
      </c>
      <c r="F2589" t="s">
        <v>1292</v>
      </c>
      <c r="G2589">
        <v>0</v>
      </c>
      <c r="H2589" t="s">
        <v>1292</v>
      </c>
      <c r="I2589">
        <v>0</v>
      </c>
      <c r="J2589" t="s">
        <v>1292</v>
      </c>
      <c r="K2589">
        <v>0</v>
      </c>
      <c r="L2589" t="s">
        <v>1292</v>
      </c>
      <c r="M2589">
        <v>0</v>
      </c>
      <c r="N2589" t="s">
        <v>1292</v>
      </c>
      <c r="O2589">
        <v>0</v>
      </c>
      <c r="P2589" t="s">
        <v>94</v>
      </c>
      <c r="Q2589" s="1">
        <v>10057</v>
      </c>
      <c r="R2589">
        <v>19.7</v>
      </c>
      <c r="S2589" s="2">
        <v>0.01</v>
      </c>
      <c r="T2589" s="3">
        <v>1.9951388888888888</v>
      </c>
      <c r="U2589" s="2">
        <v>0.16</v>
      </c>
      <c r="V2589" t="s">
        <v>5400</v>
      </c>
      <c r="W2589" t="s">
        <v>5401</v>
      </c>
      <c r="X2589" t="b">
        <v>0</v>
      </c>
      <c r="Y2589" t="b">
        <v>0</v>
      </c>
    </row>
    <row r="2590" spans="1:25">
      <c r="A2590">
        <v>1000684</v>
      </c>
      <c r="B2590" t="s">
        <v>4061</v>
      </c>
      <c r="C2590" t="s">
        <v>5402</v>
      </c>
      <c r="D2590" t="s">
        <v>1292</v>
      </c>
      <c r="E2590">
        <v>1000684</v>
      </c>
      <c r="F2590" t="s">
        <v>1292</v>
      </c>
      <c r="G2590">
        <v>0</v>
      </c>
      <c r="H2590" t="s">
        <v>1292</v>
      </c>
      <c r="I2590">
        <v>0</v>
      </c>
      <c r="J2590" t="s">
        <v>1292</v>
      </c>
      <c r="K2590">
        <v>0</v>
      </c>
      <c r="L2590" t="s">
        <v>1292</v>
      </c>
      <c r="M2590">
        <v>0</v>
      </c>
      <c r="N2590" t="s">
        <v>1292</v>
      </c>
      <c r="O2590">
        <v>0</v>
      </c>
      <c r="P2590" t="s">
        <v>969</v>
      </c>
      <c r="Q2590" s="1">
        <v>1306</v>
      </c>
      <c r="R2590">
        <v>6.7</v>
      </c>
      <c r="S2590" s="2">
        <v>7.0000000000000007E-2</v>
      </c>
      <c r="T2590" s="3">
        <v>1.9131944444444444</v>
      </c>
      <c r="U2590" t="s">
        <v>1292</v>
      </c>
      <c r="V2590" t="s">
        <v>5402</v>
      </c>
      <c r="W2590" t="s">
        <v>5403</v>
      </c>
      <c r="X2590" t="b">
        <v>0</v>
      </c>
      <c r="Y2590" t="b">
        <v>0</v>
      </c>
    </row>
    <row r="2591" spans="1:25">
      <c r="A2591">
        <v>1000685</v>
      </c>
      <c r="B2591" t="s">
        <v>4061</v>
      </c>
      <c r="C2591" t="s">
        <v>5404</v>
      </c>
      <c r="D2591" t="s">
        <v>1292</v>
      </c>
      <c r="E2591">
        <v>1000685</v>
      </c>
      <c r="F2591" t="s">
        <v>1292</v>
      </c>
      <c r="G2591">
        <v>0</v>
      </c>
      <c r="H2591" t="s">
        <v>1292</v>
      </c>
      <c r="I2591">
        <v>0</v>
      </c>
      <c r="J2591" t="s">
        <v>1292</v>
      </c>
      <c r="K2591">
        <v>0</v>
      </c>
      <c r="L2591" t="s">
        <v>1292</v>
      </c>
      <c r="M2591">
        <v>0</v>
      </c>
      <c r="N2591" t="s">
        <v>1292</v>
      </c>
      <c r="O2591">
        <v>0</v>
      </c>
      <c r="P2591" t="s">
        <v>1955</v>
      </c>
      <c r="Q2591" s="1">
        <v>5272</v>
      </c>
      <c r="R2591">
        <v>22.3</v>
      </c>
      <c r="S2591" s="2">
        <v>0</v>
      </c>
      <c r="T2591">
        <v>0.92986111111111114</v>
      </c>
      <c r="U2591" s="2">
        <v>0.4</v>
      </c>
      <c r="V2591" t="s">
        <v>5404</v>
      </c>
      <c r="W2591" t="s">
        <v>5405</v>
      </c>
      <c r="X2591" t="b">
        <v>0</v>
      </c>
      <c r="Y2591" t="b">
        <v>0</v>
      </c>
    </row>
    <row r="2592" spans="1:25">
      <c r="A2592">
        <v>1000686</v>
      </c>
      <c r="B2592" t="s">
        <v>4061</v>
      </c>
      <c r="C2592" t="s">
        <v>5406</v>
      </c>
      <c r="D2592" t="s">
        <v>1292</v>
      </c>
      <c r="E2592">
        <v>1000686</v>
      </c>
      <c r="F2592" t="s">
        <v>1292</v>
      </c>
      <c r="G2592">
        <v>0</v>
      </c>
      <c r="H2592" t="s">
        <v>1292</v>
      </c>
      <c r="I2592">
        <v>0</v>
      </c>
      <c r="J2592" t="s">
        <v>1292</v>
      </c>
      <c r="K2592">
        <v>0</v>
      </c>
      <c r="L2592" t="s">
        <v>1292</v>
      </c>
      <c r="M2592">
        <v>0</v>
      </c>
      <c r="N2592" t="s">
        <v>1292</v>
      </c>
      <c r="O2592">
        <v>0</v>
      </c>
      <c r="P2592" t="s">
        <v>2157</v>
      </c>
      <c r="Q2592" s="1">
        <v>1917</v>
      </c>
      <c r="R2592">
        <v>32</v>
      </c>
      <c r="S2592" s="2">
        <v>0</v>
      </c>
      <c r="T2592" s="3">
        <v>1.9541666666666666</v>
      </c>
      <c r="U2592" t="s">
        <v>1292</v>
      </c>
      <c r="V2592" t="s">
        <v>5406</v>
      </c>
      <c r="W2592" t="s">
        <v>5407</v>
      </c>
      <c r="X2592" t="b">
        <v>0</v>
      </c>
      <c r="Y2592" t="b">
        <v>0</v>
      </c>
    </row>
    <row r="2593" spans="1:25">
      <c r="A2593">
        <v>1000687</v>
      </c>
      <c r="B2593" t="s">
        <v>4061</v>
      </c>
      <c r="C2593" t="s">
        <v>5408</v>
      </c>
      <c r="D2593" t="s">
        <v>1292</v>
      </c>
      <c r="E2593">
        <v>1000687</v>
      </c>
      <c r="F2593" t="s">
        <v>1292</v>
      </c>
      <c r="G2593">
        <v>0</v>
      </c>
      <c r="H2593" t="s">
        <v>1292</v>
      </c>
      <c r="I2593">
        <v>0</v>
      </c>
      <c r="J2593" t="s">
        <v>1292</v>
      </c>
      <c r="K2593">
        <v>0</v>
      </c>
      <c r="L2593" t="s">
        <v>1292</v>
      </c>
      <c r="M2593">
        <v>0</v>
      </c>
      <c r="N2593" t="s">
        <v>1292</v>
      </c>
      <c r="O2593">
        <v>0</v>
      </c>
      <c r="P2593" t="s">
        <v>4456</v>
      </c>
      <c r="Q2593" s="1">
        <v>2899</v>
      </c>
      <c r="R2593">
        <v>9.6999999999999993</v>
      </c>
      <c r="S2593" s="2">
        <v>0</v>
      </c>
      <c r="T2593" t="s">
        <v>1062</v>
      </c>
      <c r="U2593" t="s">
        <v>1292</v>
      </c>
      <c r="V2593" t="s">
        <v>5408</v>
      </c>
      <c r="W2593" t="s">
        <v>5409</v>
      </c>
      <c r="X2593" t="b">
        <v>0</v>
      </c>
      <c r="Y2593" t="b">
        <v>0</v>
      </c>
    </row>
    <row r="2594" spans="1:25">
      <c r="A2594">
        <v>1000688</v>
      </c>
      <c r="B2594" t="s">
        <v>4061</v>
      </c>
      <c r="C2594" t="s">
        <v>5410</v>
      </c>
      <c r="D2594" t="s">
        <v>1292</v>
      </c>
      <c r="E2594">
        <v>1000688</v>
      </c>
      <c r="F2594" t="s">
        <v>1292</v>
      </c>
      <c r="G2594">
        <v>0</v>
      </c>
      <c r="H2594" t="s">
        <v>1292</v>
      </c>
      <c r="I2594">
        <v>0</v>
      </c>
      <c r="J2594" t="s">
        <v>1292</v>
      </c>
      <c r="K2594">
        <v>0</v>
      </c>
      <c r="L2594" t="s">
        <v>1292</v>
      </c>
      <c r="M2594">
        <v>0</v>
      </c>
      <c r="N2594" t="s">
        <v>1292</v>
      </c>
      <c r="O2594">
        <v>0</v>
      </c>
      <c r="P2594" t="s">
        <v>94</v>
      </c>
      <c r="Q2594" s="1">
        <v>3156</v>
      </c>
      <c r="R2594">
        <v>23.4</v>
      </c>
      <c r="S2594" s="2">
        <v>0.06</v>
      </c>
      <c r="T2594" t="s">
        <v>801</v>
      </c>
      <c r="U2594" s="2">
        <v>0.04</v>
      </c>
      <c r="V2594" t="s">
        <v>5410</v>
      </c>
      <c r="W2594" t="s">
        <v>5411</v>
      </c>
      <c r="X2594" t="b">
        <v>0</v>
      </c>
      <c r="Y2594" t="b">
        <v>0</v>
      </c>
    </row>
    <row r="2595" spans="1:25">
      <c r="A2595">
        <v>1000689</v>
      </c>
      <c r="B2595" t="s">
        <v>4061</v>
      </c>
      <c r="C2595" t="s">
        <v>5412</v>
      </c>
      <c r="D2595" t="s">
        <v>1292</v>
      </c>
      <c r="E2595">
        <v>1000689</v>
      </c>
      <c r="F2595" t="s">
        <v>1292</v>
      </c>
      <c r="G2595">
        <v>0</v>
      </c>
      <c r="H2595" t="s">
        <v>1292</v>
      </c>
      <c r="I2595">
        <v>0</v>
      </c>
      <c r="J2595" t="s">
        <v>1292</v>
      </c>
      <c r="K2595">
        <v>0</v>
      </c>
      <c r="L2595" t="s">
        <v>1292</v>
      </c>
      <c r="M2595">
        <v>0</v>
      </c>
      <c r="N2595" t="s">
        <v>1292</v>
      </c>
      <c r="O2595">
        <v>0</v>
      </c>
      <c r="P2595" t="s">
        <v>4144</v>
      </c>
      <c r="Q2595" s="1">
        <v>25511</v>
      </c>
      <c r="R2595">
        <v>26.2</v>
      </c>
      <c r="S2595" s="2">
        <v>0.01</v>
      </c>
      <c r="T2595" s="3">
        <v>2.1180555555555554</v>
      </c>
      <c r="U2595" s="2">
        <v>0.19</v>
      </c>
      <c r="V2595" t="s">
        <v>5412</v>
      </c>
      <c r="W2595" t="s">
        <v>5413</v>
      </c>
      <c r="X2595" t="b">
        <v>0</v>
      </c>
      <c r="Y2595" t="b">
        <v>0</v>
      </c>
    </row>
    <row r="2596" spans="1:25">
      <c r="A2596">
        <v>1000690</v>
      </c>
      <c r="B2596" t="s">
        <v>4061</v>
      </c>
      <c r="C2596" t="s">
        <v>5414</v>
      </c>
      <c r="D2596" t="s">
        <v>1292</v>
      </c>
      <c r="E2596">
        <v>1000690</v>
      </c>
      <c r="F2596" t="s">
        <v>1292</v>
      </c>
      <c r="G2596">
        <v>0</v>
      </c>
      <c r="H2596" t="s">
        <v>1292</v>
      </c>
      <c r="I2596">
        <v>0</v>
      </c>
      <c r="J2596" t="s">
        <v>1292</v>
      </c>
      <c r="K2596">
        <v>0</v>
      </c>
      <c r="L2596" t="s">
        <v>1292</v>
      </c>
      <c r="M2596">
        <v>0</v>
      </c>
      <c r="N2596" t="s">
        <v>1292</v>
      </c>
      <c r="O2596">
        <v>0</v>
      </c>
      <c r="P2596" t="s">
        <v>4144</v>
      </c>
      <c r="Q2596" s="1">
        <v>5877</v>
      </c>
      <c r="R2596">
        <v>41.7</v>
      </c>
      <c r="S2596" s="2">
        <v>0</v>
      </c>
      <c r="T2596">
        <v>0.68402777777777779</v>
      </c>
      <c r="U2596" t="s">
        <v>1292</v>
      </c>
      <c r="V2596" t="s">
        <v>5414</v>
      </c>
      <c r="W2596" t="s">
        <v>5415</v>
      </c>
      <c r="X2596" t="b">
        <v>0</v>
      </c>
      <c r="Y2596" t="b">
        <v>0</v>
      </c>
    </row>
    <row r="2597" spans="1:25">
      <c r="A2597">
        <v>1000691</v>
      </c>
      <c r="B2597" t="s">
        <v>4061</v>
      </c>
      <c r="C2597" t="s">
        <v>5416</v>
      </c>
      <c r="D2597" t="s">
        <v>1292</v>
      </c>
      <c r="E2597">
        <v>1000691</v>
      </c>
      <c r="F2597" t="s">
        <v>1292</v>
      </c>
      <c r="G2597">
        <v>0</v>
      </c>
      <c r="H2597" t="s">
        <v>1292</v>
      </c>
      <c r="I2597">
        <v>0</v>
      </c>
      <c r="J2597" t="s">
        <v>1292</v>
      </c>
      <c r="K2597">
        <v>0</v>
      </c>
      <c r="L2597" t="s">
        <v>1292</v>
      </c>
      <c r="M2597">
        <v>0</v>
      </c>
      <c r="N2597" t="s">
        <v>1292</v>
      </c>
      <c r="O2597">
        <v>0</v>
      </c>
      <c r="P2597" t="s">
        <v>4144</v>
      </c>
      <c r="Q2597" s="1">
        <v>2049</v>
      </c>
      <c r="R2597">
        <v>17.399999999999999</v>
      </c>
      <c r="S2597" s="2">
        <v>0</v>
      </c>
      <c r="T2597" s="3">
        <v>2.036111111111111</v>
      </c>
      <c r="U2597" t="s">
        <v>1292</v>
      </c>
      <c r="V2597" t="s">
        <v>5416</v>
      </c>
      <c r="W2597" t="s">
        <v>5417</v>
      </c>
      <c r="X2597" t="b">
        <v>0</v>
      </c>
      <c r="Y2597" t="b">
        <v>0</v>
      </c>
    </row>
    <row r="2598" spans="1:25">
      <c r="A2598">
        <v>1000692</v>
      </c>
      <c r="B2598" t="s">
        <v>4061</v>
      </c>
      <c r="C2598" t="s">
        <v>5418</v>
      </c>
      <c r="D2598" t="s">
        <v>1292</v>
      </c>
      <c r="E2598">
        <v>1000692</v>
      </c>
      <c r="F2598" t="s">
        <v>1292</v>
      </c>
      <c r="G2598">
        <v>0</v>
      </c>
      <c r="H2598" t="s">
        <v>1292</v>
      </c>
      <c r="I2598">
        <v>0</v>
      </c>
      <c r="J2598" t="s">
        <v>1292</v>
      </c>
      <c r="K2598">
        <v>0</v>
      </c>
      <c r="L2598" t="s">
        <v>1292</v>
      </c>
      <c r="M2598">
        <v>0</v>
      </c>
      <c r="N2598" t="s">
        <v>1292</v>
      </c>
      <c r="O2598">
        <v>0</v>
      </c>
      <c r="P2598" t="s">
        <v>1448</v>
      </c>
      <c r="Q2598" s="1">
        <v>18818</v>
      </c>
      <c r="R2598">
        <v>31</v>
      </c>
      <c r="S2598" s="2">
        <v>0.12</v>
      </c>
      <c r="U2598" s="2">
        <v>0.26</v>
      </c>
      <c r="V2598" t="s">
        <v>5418</v>
      </c>
      <c r="W2598" t="s">
        <v>5419</v>
      </c>
      <c r="X2598" t="b">
        <v>0</v>
      </c>
      <c r="Y2598" t="b">
        <v>0</v>
      </c>
    </row>
    <row r="2599" spans="1:25">
      <c r="A2599">
        <v>1000693</v>
      </c>
      <c r="B2599" t="s">
        <v>4061</v>
      </c>
      <c r="C2599" t="s">
        <v>5420</v>
      </c>
      <c r="D2599" t="s">
        <v>1292</v>
      </c>
      <c r="E2599">
        <v>1000693</v>
      </c>
      <c r="F2599" t="s">
        <v>1292</v>
      </c>
      <c r="G2599">
        <v>0</v>
      </c>
      <c r="H2599" t="s">
        <v>1292</v>
      </c>
      <c r="I2599">
        <v>0</v>
      </c>
      <c r="J2599" t="s">
        <v>1292</v>
      </c>
      <c r="K2599">
        <v>0</v>
      </c>
      <c r="L2599" t="s">
        <v>1292</v>
      </c>
      <c r="M2599">
        <v>0</v>
      </c>
      <c r="N2599" t="s">
        <v>1292</v>
      </c>
      <c r="O2599">
        <v>0</v>
      </c>
      <c r="P2599" t="s">
        <v>2157</v>
      </c>
      <c r="Q2599" s="1">
        <v>21792</v>
      </c>
      <c r="R2599">
        <v>15.9</v>
      </c>
      <c r="S2599" s="2">
        <v>0</v>
      </c>
      <c r="T2599" s="3">
        <v>2.6097222222222221</v>
      </c>
      <c r="U2599" s="2">
        <v>0.36</v>
      </c>
      <c r="V2599" t="s">
        <v>5420</v>
      </c>
      <c r="W2599" t="s">
        <v>5421</v>
      </c>
      <c r="X2599" t="b">
        <v>0</v>
      </c>
      <c r="Y2599" t="b">
        <v>0</v>
      </c>
    </row>
    <row r="2600" spans="1:25">
      <c r="A2600">
        <v>1000694</v>
      </c>
      <c r="B2600" t="s">
        <v>4061</v>
      </c>
      <c r="C2600" t="s">
        <v>5422</v>
      </c>
      <c r="D2600" t="s">
        <v>1292</v>
      </c>
      <c r="E2600">
        <v>1000694</v>
      </c>
      <c r="F2600" t="s">
        <v>1292</v>
      </c>
      <c r="G2600">
        <v>0</v>
      </c>
      <c r="H2600" t="s">
        <v>1292</v>
      </c>
      <c r="I2600">
        <v>0</v>
      </c>
      <c r="J2600" t="s">
        <v>1292</v>
      </c>
      <c r="K2600">
        <v>0</v>
      </c>
      <c r="L2600" t="s">
        <v>1292</v>
      </c>
      <c r="M2600">
        <v>0</v>
      </c>
      <c r="N2600" t="s">
        <v>1292</v>
      </c>
      <c r="O2600">
        <v>0</v>
      </c>
      <c r="P2600" t="s">
        <v>1895</v>
      </c>
      <c r="Q2600">
        <v>60</v>
      </c>
      <c r="R2600">
        <v>2.9</v>
      </c>
      <c r="S2600" s="2">
        <v>0</v>
      </c>
      <c r="T2600" s="3">
        <v>2.5277777777777777</v>
      </c>
      <c r="U2600" t="s">
        <v>1292</v>
      </c>
      <c r="V2600" t="s">
        <v>5422</v>
      </c>
      <c r="W2600" t="s">
        <v>5423</v>
      </c>
      <c r="X2600" t="b">
        <v>0</v>
      </c>
      <c r="Y2600" t="b">
        <v>0</v>
      </c>
    </row>
    <row r="2601" spans="1:25">
      <c r="A2601">
        <v>1000695</v>
      </c>
      <c r="B2601" t="s">
        <v>4061</v>
      </c>
      <c r="C2601" t="s">
        <v>5424</v>
      </c>
      <c r="D2601" t="s">
        <v>1292</v>
      </c>
      <c r="E2601">
        <v>1000695</v>
      </c>
      <c r="F2601" t="s">
        <v>1292</v>
      </c>
      <c r="G2601">
        <v>0</v>
      </c>
      <c r="H2601" t="s">
        <v>1292</v>
      </c>
      <c r="I2601">
        <v>0</v>
      </c>
      <c r="J2601" t="s">
        <v>1292</v>
      </c>
      <c r="K2601">
        <v>0</v>
      </c>
      <c r="L2601" t="s">
        <v>1292</v>
      </c>
      <c r="M2601">
        <v>0</v>
      </c>
      <c r="N2601" t="s">
        <v>1292</v>
      </c>
      <c r="O2601">
        <v>0</v>
      </c>
      <c r="P2601" t="s">
        <v>2157</v>
      </c>
      <c r="Q2601" s="1">
        <v>39611</v>
      </c>
      <c r="R2601">
        <v>13.6</v>
      </c>
      <c r="S2601" s="2">
        <v>0</v>
      </c>
      <c r="T2601" t="s">
        <v>801</v>
      </c>
      <c r="U2601" s="2">
        <v>0.34</v>
      </c>
      <c r="V2601" t="s">
        <v>5424</v>
      </c>
      <c r="W2601" t="s">
        <v>5425</v>
      </c>
      <c r="X2601" t="b">
        <v>0</v>
      </c>
      <c r="Y2601" t="b">
        <v>0</v>
      </c>
    </row>
    <row r="2602" spans="1:25">
      <c r="A2602">
        <v>1000696</v>
      </c>
      <c r="B2602" t="s">
        <v>4061</v>
      </c>
      <c r="C2602" t="s">
        <v>5426</v>
      </c>
      <c r="D2602" t="s">
        <v>1292</v>
      </c>
      <c r="E2602">
        <v>1000696</v>
      </c>
      <c r="F2602" t="s">
        <v>1292</v>
      </c>
      <c r="G2602">
        <v>0</v>
      </c>
      <c r="H2602" t="s">
        <v>1292</v>
      </c>
      <c r="I2602">
        <v>0</v>
      </c>
      <c r="J2602" t="s">
        <v>1292</v>
      </c>
      <c r="K2602">
        <v>0</v>
      </c>
      <c r="L2602" t="s">
        <v>1292</v>
      </c>
      <c r="M2602">
        <v>0</v>
      </c>
      <c r="N2602" t="s">
        <v>1292</v>
      </c>
      <c r="O2602">
        <v>0</v>
      </c>
      <c r="P2602" t="s">
        <v>2157</v>
      </c>
      <c r="Q2602" s="1">
        <v>4515</v>
      </c>
      <c r="R2602">
        <v>13</v>
      </c>
      <c r="S2602" s="2">
        <v>0</v>
      </c>
      <c r="T2602" s="3">
        <v>2.2000000000000002</v>
      </c>
      <c r="U2602" t="s">
        <v>1292</v>
      </c>
      <c r="V2602" t="s">
        <v>5426</v>
      </c>
      <c r="W2602" t="s">
        <v>5427</v>
      </c>
      <c r="X2602" t="b">
        <v>0</v>
      </c>
      <c r="Y2602" t="b">
        <v>0</v>
      </c>
    </row>
    <row r="2603" spans="1:25">
      <c r="A2603">
        <v>1000697</v>
      </c>
      <c r="B2603" t="s">
        <v>4061</v>
      </c>
      <c r="C2603" t="s">
        <v>5428</v>
      </c>
      <c r="D2603" t="s">
        <v>1292</v>
      </c>
      <c r="E2603">
        <v>1000697</v>
      </c>
      <c r="F2603" t="s">
        <v>1292</v>
      </c>
      <c r="G2603">
        <v>0</v>
      </c>
      <c r="H2603" t="s">
        <v>1292</v>
      </c>
      <c r="I2603">
        <v>0</v>
      </c>
      <c r="J2603" t="s">
        <v>1292</v>
      </c>
      <c r="K2603">
        <v>0</v>
      </c>
      <c r="L2603" t="s">
        <v>1292</v>
      </c>
      <c r="M2603">
        <v>0</v>
      </c>
      <c r="N2603" t="s">
        <v>1292</v>
      </c>
      <c r="O2603">
        <v>0</v>
      </c>
      <c r="P2603" t="s">
        <v>2290</v>
      </c>
      <c r="Q2603" s="1">
        <v>6127</v>
      </c>
      <c r="R2603">
        <v>19</v>
      </c>
      <c r="S2603" s="2">
        <v>0</v>
      </c>
      <c r="T2603" s="3">
        <v>2.3229166666666665</v>
      </c>
      <c r="U2603" t="s">
        <v>1292</v>
      </c>
      <c r="V2603" t="s">
        <v>5428</v>
      </c>
      <c r="W2603" t="s">
        <v>5429</v>
      </c>
      <c r="X2603" t="b">
        <v>0</v>
      </c>
      <c r="Y2603" t="b">
        <v>0</v>
      </c>
    </row>
    <row r="2604" spans="1:25">
      <c r="A2604">
        <v>1000698</v>
      </c>
      <c r="B2604" t="s">
        <v>4061</v>
      </c>
      <c r="C2604" t="s">
        <v>5430</v>
      </c>
      <c r="D2604" t="s">
        <v>1292</v>
      </c>
      <c r="E2604">
        <v>1000698</v>
      </c>
      <c r="F2604" t="s">
        <v>1292</v>
      </c>
      <c r="G2604">
        <v>0</v>
      </c>
      <c r="H2604" t="s">
        <v>1292</v>
      </c>
      <c r="I2604">
        <v>0</v>
      </c>
      <c r="J2604" t="s">
        <v>1292</v>
      </c>
      <c r="K2604">
        <v>0</v>
      </c>
      <c r="L2604" t="s">
        <v>1292</v>
      </c>
      <c r="M2604">
        <v>0</v>
      </c>
      <c r="N2604" t="s">
        <v>1292</v>
      </c>
      <c r="O2604">
        <v>0</v>
      </c>
      <c r="P2604" t="s">
        <v>94</v>
      </c>
      <c r="Q2604" s="1">
        <v>11105</v>
      </c>
      <c r="R2604">
        <v>36.700000000000003</v>
      </c>
      <c r="S2604" s="2">
        <v>0</v>
      </c>
      <c r="T2604" t="s">
        <v>51</v>
      </c>
      <c r="U2604" s="2">
        <v>0.36</v>
      </c>
      <c r="V2604" t="s">
        <v>5430</v>
      </c>
      <c r="W2604" t="s">
        <v>5431</v>
      </c>
      <c r="X2604" t="b">
        <v>0</v>
      </c>
      <c r="Y2604" t="b">
        <v>0</v>
      </c>
    </row>
    <row r="2605" spans="1:25">
      <c r="A2605">
        <v>1000699</v>
      </c>
      <c r="B2605" t="s">
        <v>4061</v>
      </c>
      <c r="C2605" t="s">
        <v>5432</v>
      </c>
      <c r="D2605" t="s">
        <v>1292</v>
      </c>
      <c r="E2605">
        <v>1000699</v>
      </c>
      <c r="F2605" t="s">
        <v>1292</v>
      </c>
      <c r="G2605">
        <v>0</v>
      </c>
      <c r="H2605" t="s">
        <v>1292</v>
      </c>
      <c r="I2605">
        <v>0</v>
      </c>
      <c r="J2605" t="s">
        <v>1292</v>
      </c>
      <c r="K2605">
        <v>0</v>
      </c>
      <c r="L2605" t="s">
        <v>1292</v>
      </c>
      <c r="M2605">
        <v>0</v>
      </c>
      <c r="N2605" t="s">
        <v>1292</v>
      </c>
      <c r="O2605">
        <v>0</v>
      </c>
      <c r="P2605" t="s">
        <v>94</v>
      </c>
      <c r="Q2605" s="1">
        <v>4359</v>
      </c>
      <c r="R2605">
        <v>16.600000000000001</v>
      </c>
      <c r="S2605" s="2">
        <v>0.1</v>
      </c>
      <c r="T2605" s="3">
        <v>2.7326388888888888</v>
      </c>
      <c r="U2605" s="2">
        <v>0.08</v>
      </c>
      <c r="V2605" t="s">
        <v>5432</v>
      </c>
      <c r="W2605" t="s">
        <v>5433</v>
      </c>
      <c r="X2605" t="b">
        <v>0</v>
      </c>
      <c r="Y2605" t="b">
        <v>0</v>
      </c>
    </row>
    <row r="2606" spans="1:25">
      <c r="A2606">
        <v>1000700</v>
      </c>
      <c r="B2606" t="s">
        <v>4061</v>
      </c>
      <c r="C2606" t="s">
        <v>5434</v>
      </c>
      <c r="D2606" t="s">
        <v>1292</v>
      </c>
      <c r="E2606">
        <v>1000700</v>
      </c>
      <c r="F2606" t="s">
        <v>1292</v>
      </c>
      <c r="G2606">
        <v>0</v>
      </c>
      <c r="H2606" t="s">
        <v>1292</v>
      </c>
      <c r="I2606">
        <v>0</v>
      </c>
      <c r="J2606" t="s">
        <v>1292</v>
      </c>
      <c r="K2606">
        <v>0</v>
      </c>
      <c r="L2606" t="s">
        <v>1292</v>
      </c>
      <c r="M2606">
        <v>0</v>
      </c>
      <c r="N2606" t="s">
        <v>1292</v>
      </c>
      <c r="O2606">
        <v>0</v>
      </c>
      <c r="P2606" t="s">
        <v>94</v>
      </c>
      <c r="Q2606" s="1">
        <v>7695</v>
      </c>
      <c r="R2606">
        <v>27.3</v>
      </c>
      <c r="S2606" s="2">
        <v>0.04</v>
      </c>
      <c r="T2606" t="s">
        <v>113</v>
      </c>
      <c r="U2606" s="2">
        <v>0.36</v>
      </c>
      <c r="V2606" t="s">
        <v>5434</v>
      </c>
      <c r="W2606" t="s">
        <v>5435</v>
      </c>
      <c r="X2606" t="b">
        <v>0</v>
      </c>
      <c r="Y2606" t="b">
        <v>0</v>
      </c>
    </row>
    <row r="2607" spans="1:25">
      <c r="A2607">
        <v>1000701</v>
      </c>
      <c r="B2607" t="s">
        <v>4061</v>
      </c>
      <c r="C2607" t="s">
        <v>5436</v>
      </c>
      <c r="D2607" t="s">
        <v>1292</v>
      </c>
      <c r="E2607">
        <v>1000701</v>
      </c>
      <c r="F2607" t="s">
        <v>1292</v>
      </c>
      <c r="G2607">
        <v>0</v>
      </c>
      <c r="H2607" t="s">
        <v>1292</v>
      </c>
      <c r="I2607">
        <v>0</v>
      </c>
      <c r="J2607" t="s">
        <v>1292</v>
      </c>
      <c r="K2607">
        <v>0</v>
      </c>
      <c r="L2607" t="s">
        <v>1292</v>
      </c>
      <c r="M2607">
        <v>0</v>
      </c>
      <c r="N2607" t="s">
        <v>1292</v>
      </c>
      <c r="O2607">
        <v>0</v>
      </c>
      <c r="P2607" t="s">
        <v>255</v>
      </c>
      <c r="Q2607" s="1">
        <v>5000</v>
      </c>
      <c r="R2607">
        <v>20.5</v>
      </c>
      <c r="S2607" s="2">
        <v>0.06</v>
      </c>
      <c r="T2607" s="3">
        <v>3.3062499999999999</v>
      </c>
      <c r="U2607" s="2">
        <v>0.68</v>
      </c>
      <c r="V2607" t="s">
        <v>5436</v>
      </c>
      <c r="W2607" t="s">
        <v>5437</v>
      </c>
      <c r="X2607" t="b">
        <v>0</v>
      </c>
      <c r="Y2607" t="b">
        <v>0</v>
      </c>
    </row>
    <row r="2608" spans="1:25">
      <c r="A2608">
        <v>1000702</v>
      </c>
      <c r="B2608" t="s">
        <v>4061</v>
      </c>
      <c r="C2608" t="s">
        <v>5438</v>
      </c>
      <c r="D2608" t="s">
        <v>1292</v>
      </c>
      <c r="E2608">
        <v>1000702</v>
      </c>
      <c r="F2608" t="s">
        <v>1292</v>
      </c>
      <c r="G2608">
        <v>0</v>
      </c>
      <c r="H2608" t="s">
        <v>1292</v>
      </c>
      <c r="I2608">
        <v>0</v>
      </c>
      <c r="J2608" t="s">
        <v>1292</v>
      </c>
      <c r="K2608">
        <v>0</v>
      </c>
      <c r="L2608" t="s">
        <v>1292</v>
      </c>
      <c r="M2608">
        <v>0</v>
      </c>
      <c r="N2608" t="s">
        <v>1292</v>
      </c>
      <c r="O2608">
        <v>0</v>
      </c>
      <c r="P2608" t="s">
        <v>1306</v>
      </c>
      <c r="Q2608" s="1">
        <v>8732</v>
      </c>
      <c r="R2608">
        <v>14.1</v>
      </c>
      <c r="S2608" s="2">
        <v>0.02</v>
      </c>
      <c r="U2608" s="2">
        <v>0.28999999999999998</v>
      </c>
      <c r="V2608" t="s">
        <v>5438</v>
      </c>
      <c r="W2608" t="s">
        <v>5439</v>
      </c>
      <c r="X2608" t="b">
        <v>0</v>
      </c>
      <c r="Y2608" t="b">
        <v>0</v>
      </c>
    </row>
    <row r="2609" spans="1:25">
      <c r="A2609">
        <v>1000703</v>
      </c>
      <c r="B2609" t="s">
        <v>4061</v>
      </c>
      <c r="C2609" t="s">
        <v>5440</v>
      </c>
      <c r="D2609" t="s">
        <v>1292</v>
      </c>
      <c r="E2609">
        <v>1000703</v>
      </c>
      <c r="F2609" t="s">
        <v>1292</v>
      </c>
      <c r="G2609">
        <v>0</v>
      </c>
      <c r="H2609" t="s">
        <v>1292</v>
      </c>
      <c r="I2609">
        <v>0</v>
      </c>
      <c r="J2609" t="s">
        <v>1292</v>
      </c>
      <c r="K2609">
        <v>0</v>
      </c>
      <c r="L2609" t="s">
        <v>1292</v>
      </c>
      <c r="M2609">
        <v>0</v>
      </c>
      <c r="N2609" t="s">
        <v>1292</v>
      </c>
      <c r="O2609">
        <v>0</v>
      </c>
      <c r="P2609" t="s">
        <v>26</v>
      </c>
      <c r="Q2609" s="1">
        <v>1150</v>
      </c>
      <c r="R2609">
        <v>9.6</v>
      </c>
      <c r="S2609" s="2">
        <v>0.34</v>
      </c>
      <c r="T2609" s="3">
        <v>2.8555555555555556</v>
      </c>
      <c r="U2609" s="2">
        <v>0.14000000000000001</v>
      </c>
      <c r="V2609" t="s">
        <v>5440</v>
      </c>
      <c r="W2609" t="s">
        <v>4415</v>
      </c>
      <c r="X2609" t="b">
        <v>0</v>
      </c>
      <c r="Y2609" t="b">
        <v>0</v>
      </c>
    </row>
    <row r="2610" spans="1:25">
      <c r="A2610">
        <v>1000704</v>
      </c>
      <c r="B2610" t="s">
        <v>4061</v>
      </c>
      <c r="C2610" t="s">
        <v>5441</v>
      </c>
      <c r="D2610" t="s">
        <v>1292</v>
      </c>
      <c r="E2610">
        <v>1000704</v>
      </c>
      <c r="F2610" t="s">
        <v>1292</v>
      </c>
      <c r="G2610">
        <v>0</v>
      </c>
      <c r="H2610" t="s">
        <v>1292</v>
      </c>
      <c r="I2610">
        <v>0</v>
      </c>
      <c r="J2610" t="s">
        <v>1292</v>
      </c>
      <c r="K2610">
        <v>0</v>
      </c>
      <c r="L2610" t="s">
        <v>1292</v>
      </c>
      <c r="M2610">
        <v>0</v>
      </c>
      <c r="N2610" t="s">
        <v>1292</v>
      </c>
      <c r="O2610">
        <v>0</v>
      </c>
      <c r="P2610" t="s">
        <v>4300</v>
      </c>
      <c r="Q2610" s="1">
        <v>70237</v>
      </c>
      <c r="R2610">
        <v>19.8</v>
      </c>
      <c r="S2610" s="2">
        <v>0.02</v>
      </c>
      <c r="T2610" s="3">
        <v>2.5687500000000001</v>
      </c>
      <c r="U2610" s="2">
        <v>0.24</v>
      </c>
      <c r="V2610" t="s">
        <v>5441</v>
      </c>
      <c r="W2610" t="s">
        <v>5442</v>
      </c>
      <c r="X2610" t="b">
        <v>0</v>
      </c>
      <c r="Y2610" t="b">
        <v>0</v>
      </c>
    </row>
    <row r="2611" spans="1:25">
      <c r="A2611">
        <v>1000705</v>
      </c>
      <c r="B2611" t="s">
        <v>4061</v>
      </c>
      <c r="C2611" t="s">
        <v>5443</v>
      </c>
      <c r="D2611" t="s">
        <v>1292</v>
      </c>
      <c r="E2611">
        <v>1000705</v>
      </c>
      <c r="F2611" t="s">
        <v>1292</v>
      </c>
      <c r="G2611">
        <v>0</v>
      </c>
      <c r="H2611" t="s">
        <v>1292</v>
      </c>
      <c r="I2611">
        <v>0</v>
      </c>
      <c r="J2611" t="s">
        <v>1292</v>
      </c>
      <c r="K2611">
        <v>0</v>
      </c>
      <c r="L2611" t="s">
        <v>1292</v>
      </c>
      <c r="M2611">
        <v>0</v>
      </c>
      <c r="N2611" t="s">
        <v>1292</v>
      </c>
      <c r="O2611">
        <v>0</v>
      </c>
      <c r="P2611" t="s">
        <v>1306</v>
      </c>
      <c r="Q2611" s="1">
        <v>1446</v>
      </c>
      <c r="R2611">
        <v>9.1999999999999993</v>
      </c>
      <c r="S2611" s="2">
        <v>0.02</v>
      </c>
      <c r="T2611" s="3">
        <v>1.7493055555555554</v>
      </c>
      <c r="U2611" t="s">
        <v>1292</v>
      </c>
      <c r="V2611" t="s">
        <v>5443</v>
      </c>
      <c r="W2611" t="s">
        <v>5444</v>
      </c>
      <c r="X2611" t="b">
        <v>0</v>
      </c>
      <c r="Y2611" t="b">
        <v>0</v>
      </c>
    </row>
    <row r="2612" spans="1:25">
      <c r="A2612">
        <v>1000706</v>
      </c>
      <c r="B2612" t="s">
        <v>4061</v>
      </c>
      <c r="C2612" t="s">
        <v>5445</v>
      </c>
      <c r="D2612" t="s">
        <v>1292</v>
      </c>
      <c r="E2612">
        <v>1000706</v>
      </c>
      <c r="F2612" t="s">
        <v>1292</v>
      </c>
      <c r="G2612">
        <v>0</v>
      </c>
      <c r="H2612" t="s">
        <v>1292</v>
      </c>
      <c r="I2612">
        <v>0</v>
      </c>
      <c r="J2612" t="s">
        <v>1292</v>
      </c>
      <c r="K2612">
        <v>0</v>
      </c>
      <c r="L2612" t="s">
        <v>1292</v>
      </c>
      <c r="M2612">
        <v>0</v>
      </c>
      <c r="N2612" t="s">
        <v>1292</v>
      </c>
      <c r="O2612">
        <v>0</v>
      </c>
      <c r="P2612" t="s">
        <v>4144</v>
      </c>
      <c r="Q2612" s="1">
        <v>1904</v>
      </c>
      <c r="R2612">
        <v>39.700000000000003</v>
      </c>
      <c r="S2612" s="2">
        <v>0.01</v>
      </c>
      <c r="T2612">
        <v>0.56111111111111112</v>
      </c>
      <c r="U2612" s="2">
        <v>0.48</v>
      </c>
      <c r="V2612" t="s">
        <v>5445</v>
      </c>
      <c r="W2612" t="s">
        <v>5446</v>
      </c>
      <c r="X2612" t="b">
        <v>0</v>
      </c>
      <c r="Y2612" t="b">
        <v>0</v>
      </c>
    </row>
    <row r="2613" spans="1:25">
      <c r="A2613">
        <v>1000707</v>
      </c>
      <c r="B2613" t="s">
        <v>4061</v>
      </c>
      <c r="C2613" t="s">
        <v>5447</v>
      </c>
      <c r="D2613" t="s">
        <v>1292</v>
      </c>
      <c r="E2613">
        <v>1000707</v>
      </c>
      <c r="F2613" t="s">
        <v>1292</v>
      </c>
      <c r="G2613">
        <v>0</v>
      </c>
      <c r="H2613" t="s">
        <v>1292</v>
      </c>
      <c r="I2613">
        <v>0</v>
      </c>
      <c r="J2613" t="s">
        <v>1292</v>
      </c>
      <c r="K2613">
        <v>0</v>
      </c>
      <c r="L2613" t="s">
        <v>1292</v>
      </c>
      <c r="M2613">
        <v>0</v>
      </c>
      <c r="N2613" t="s">
        <v>1292</v>
      </c>
      <c r="O2613">
        <v>0</v>
      </c>
      <c r="P2613" t="s">
        <v>4456</v>
      </c>
      <c r="Q2613" s="1">
        <v>3416</v>
      </c>
      <c r="R2613">
        <v>9.9</v>
      </c>
      <c r="S2613" s="2">
        <v>0</v>
      </c>
      <c r="T2613">
        <v>0.6430555555555556</v>
      </c>
      <c r="U2613" s="2">
        <v>0.17</v>
      </c>
      <c r="V2613" t="s">
        <v>5447</v>
      </c>
      <c r="W2613" t="s">
        <v>5448</v>
      </c>
      <c r="X2613" t="b">
        <v>0</v>
      </c>
      <c r="Y2613" t="b">
        <v>0</v>
      </c>
    </row>
    <row r="2614" spans="1:25">
      <c r="A2614">
        <v>1000708</v>
      </c>
      <c r="B2614" t="s">
        <v>4061</v>
      </c>
      <c r="C2614" t="s">
        <v>5449</v>
      </c>
      <c r="D2614" t="s">
        <v>1292</v>
      </c>
      <c r="E2614">
        <v>1000708</v>
      </c>
      <c r="F2614" t="s">
        <v>1292</v>
      </c>
      <c r="G2614">
        <v>0</v>
      </c>
      <c r="H2614" t="s">
        <v>1292</v>
      </c>
      <c r="I2614">
        <v>0</v>
      </c>
      <c r="J2614" t="s">
        <v>1292</v>
      </c>
      <c r="K2614">
        <v>0</v>
      </c>
      <c r="L2614" t="s">
        <v>1292</v>
      </c>
      <c r="M2614">
        <v>0</v>
      </c>
      <c r="N2614" t="s">
        <v>1292</v>
      </c>
      <c r="O2614">
        <v>0</v>
      </c>
      <c r="P2614" t="s">
        <v>4456</v>
      </c>
      <c r="Q2614" s="1">
        <v>3574</v>
      </c>
      <c r="R2614">
        <v>13.1</v>
      </c>
      <c r="S2614" s="2">
        <v>0</v>
      </c>
      <c r="T2614" s="3">
        <v>2.1590277777777778</v>
      </c>
      <c r="U2614" s="2">
        <v>1</v>
      </c>
      <c r="V2614" t="s">
        <v>5449</v>
      </c>
      <c r="W2614" t="s">
        <v>5450</v>
      </c>
      <c r="X2614" t="b">
        <v>0</v>
      </c>
      <c r="Y2614" t="b">
        <v>0</v>
      </c>
    </row>
    <row r="2615" spans="1:25">
      <c r="A2615">
        <v>1000709</v>
      </c>
      <c r="B2615" t="s">
        <v>4061</v>
      </c>
      <c r="C2615" t="s">
        <v>5451</v>
      </c>
      <c r="D2615" t="s">
        <v>1292</v>
      </c>
      <c r="E2615">
        <v>1000709</v>
      </c>
      <c r="F2615" t="s">
        <v>1292</v>
      </c>
      <c r="G2615">
        <v>0</v>
      </c>
      <c r="H2615" t="s">
        <v>1292</v>
      </c>
      <c r="I2615">
        <v>0</v>
      </c>
      <c r="J2615" t="s">
        <v>1292</v>
      </c>
      <c r="K2615">
        <v>0</v>
      </c>
      <c r="L2615" t="s">
        <v>1292</v>
      </c>
      <c r="M2615">
        <v>0</v>
      </c>
      <c r="N2615" t="s">
        <v>1292</v>
      </c>
      <c r="O2615">
        <v>0</v>
      </c>
      <c r="P2615" t="s">
        <v>255</v>
      </c>
      <c r="Q2615" s="1">
        <v>3229</v>
      </c>
      <c r="R2615">
        <v>8.5</v>
      </c>
      <c r="S2615" s="2">
        <v>0.1</v>
      </c>
      <c r="T2615" t="s">
        <v>145</v>
      </c>
      <c r="U2615" s="2">
        <v>0.36</v>
      </c>
      <c r="V2615" t="s">
        <v>5451</v>
      </c>
      <c r="W2615" t="s">
        <v>5452</v>
      </c>
      <c r="X2615" t="b">
        <v>0</v>
      </c>
      <c r="Y2615" t="b">
        <v>0</v>
      </c>
    </row>
    <row r="2616" spans="1:25">
      <c r="A2616">
        <v>1000710</v>
      </c>
      <c r="B2616" t="s">
        <v>4061</v>
      </c>
      <c r="C2616" t="s">
        <v>5453</v>
      </c>
      <c r="D2616" t="s">
        <v>1292</v>
      </c>
      <c r="E2616">
        <v>1000710</v>
      </c>
      <c r="F2616" t="s">
        <v>1292</v>
      </c>
      <c r="G2616">
        <v>0</v>
      </c>
      <c r="H2616" t="s">
        <v>1292</v>
      </c>
      <c r="I2616">
        <v>0</v>
      </c>
      <c r="J2616" t="s">
        <v>1292</v>
      </c>
      <c r="K2616">
        <v>0</v>
      </c>
      <c r="L2616" t="s">
        <v>1292</v>
      </c>
      <c r="M2616">
        <v>0</v>
      </c>
      <c r="N2616" t="s">
        <v>1292</v>
      </c>
      <c r="O2616">
        <v>0</v>
      </c>
      <c r="P2616" t="s">
        <v>1448</v>
      </c>
      <c r="Q2616" s="1">
        <v>16687</v>
      </c>
      <c r="R2616">
        <v>23.9</v>
      </c>
      <c r="S2616" s="2">
        <v>0</v>
      </c>
      <c r="T2616" s="3">
        <v>2.8145833333333332</v>
      </c>
      <c r="U2616" s="2">
        <v>0.39</v>
      </c>
      <c r="V2616" t="s">
        <v>5453</v>
      </c>
      <c r="W2616" t="s">
        <v>5454</v>
      </c>
      <c r="X2616" t="b">
        <v>0</v>
      </c>
      <c r="Y2616" t="b">
        <v>0</v>
      </c>
    </row>
    <row r="2617" spans="1:25">
      <c r="A2617">
        <v>1000711</v>
      </c>
      <c r="B2617" t="s">
        <v>4061</v>
      </c>
      <c r="C2617" t="s">
        <v>5455</v>
      </c>
      <c r="D2617" t="s">
        <v>1292</v>
      </c>
      <c r="E2617">
        <v>1000711</v>
      </c>
      <c r="F2617" t="s">
        <v>1292</v>
      </c>
      <c r="G2617">
        <v>0</v>
      </c>
      <c r="H2617" t="s">
        <v>1292</v>
      </c>
      <c r="I2617">
        <v>0</v>
      </c>
      <c r="J2617" t="s">
        <v>1292</v>
      </c>
      <c r="K2617">
        <v>0</v>
      </c>
      <c r="L2617" t="s">
        <v>1292</v>
      </c>
      <c r="M2617">
        <v>0</v>
      </c>
      <c r="N2617" t="s">
        <v>1292</v>
      </c>
      <c r="O2617">
        <v>0</v>
      </c>
      <c r="Q2617" s="1">
        <v>14191</v>
      </c>
      <c r="R2617">
        <v>12.6</v>
      </c>
      <c r="S2617" s="2">
        <v>0.03</v>
      </c>
      <c r="T2617" s="3">
        <v>2.1180555555555554</v>
      </c>
      <c r="U2617" s="2">
        <v>0.21</v>
      </c>
      <c r="V2617" t="s">
        <v>5455</v>
      </c>
      <c r="W2617" t="s">
        <v>5456</v>
      </c>
      <c r="X2617" t="b">
        <v>0</v>
      </c>
      <c r="Y2617" t="b">
        <v>0</v>
      </c>
    </row>
    <row r="2618" spans="1:25">
      <c r="A2618">
        <v>1000712</v>
      </c>
      <c r="B2618" t="s">
        <v>4061</v>
      </c>
      <c r="C2618" t="s">
        <v>5457</v>
      </c>
      <c r="D2618" t="s">
        <v>1292</v>
      </c>
      <c r="E2618">
        <v>1000712</v>
      </c>
      <c r="F2618" t="s">
        <v>1292</v>
      </c>
      <c r="G2618">
        <v>0</v>
      </c>
      <c r="H2618" t="s">
        <v>1292</v>
      </c>
      <c r="I2618">
        <v>0</v>
      </c>
      <c r="J2618" t="s">
        <v>1292</v>
      </c>
      <c r="K2618">
        <v>0</v>
      </c>
      <c r="L2618" t="s">
        <v>1292</v>
      </c>
      <c r="M2618">
        <v>0</v>
      </c>
      <c r="N2618" t="s">
        <v>1292</v>
      </c>
      <c r="O2618">
        <v>0</v>
      </c>
      <c r="P2618" t="s">
        <v>2513</v>
      </c>
      <c r="Q2618" s="1">
        <v>3425</v>
      </c>
      <c r="R2618">
        <v>12.8</v>
      </c>
      <c r="S2618" s="2">
        <v>0.24</v>
      </c>
      <c r="T2618" s="3">
        <v>2.1590277777777778</v>
      </c>
      <c r="U2618" t="s">
        <v>1292</v>
      </c>
      <c r="V2618" t="s">
        <v>5457</v>
      </c>
      <c r="W2618" t="s">
        <v>5458</v>
      </c>
      <c r="X2618" t="b">
        <v>0</v>
      </c>
      <c r="Y2618" t="b">
        <v>0</v>
      </c>
    </row>
    <row r="2619" spans="1:25">
      <c r="A2619">
        <v>1000713</v>
      </c>
      <c r="B2619" t="s">
        <v>4061</v>
      </c>
      <c r="C2619" t="s">
        <v>5459</v>
      </c>
      <c r="D2619" t="s">
        <v>1292</v>
      </c>
      <c r="E2619">
        <v>1000713</v>
      </c>
      <c r="F2619" t="s">
        <v>1292</v>
      </c>
      <c r="G2619">
        <v>0</v>
      </c>
      <c r="H2619" t="s">
        <v>1292</v>
      </c>
      <c r="I2619">
        <v>0</v>
      </c>
      <c r="J2619" t="s">
        <v>1292</v>
      </c>
      <c r="K2619">
        <v>0</v>
      </c>
      <c r="L2619" t="s">
        <v>1292</v>
      </c>
      <c r="M2619">
        <v>0</v>
      </c>
      <c r="N2619" t="s">
        <v>1292</v>
      </c>
      <c r="O2619">
        <v>0</v>
      </c>
      <c r="P2619" t="s">
        <v>1955</v>
      </c>
      <c r="Q2619" s="1">
        <v>17661</v>
      </c>
      <c r="R2619">
        <v>47</v>
      </c>
      <c r="S2619" s="2">
        <v>0</v>
      </c>
      <c r="T2619" s="3">
        <v>2.4048611111111109</v>
      </c>
      <c r="U2619" t="s">
        <v>1292</v>
      </c>
      <c r="V2619" t="s">
        <v>5459</v>
      </c>
      <c r="W2619" t="s">
        <v>5460</v>
      </c>
      <c r="X2619" t="b">
        <v>0</v>
      </c>
      <c r="Y2619" t="b">
        <v>0</v>
      </c>
    </row>
    <row r="2620" spans="1:25">
      <c r="A2620">
        <v>1000714</v>
      </c>
      <c r="B2620" t="s">
        <v>4061</v>
      </c>
      <c r="C2620" t="s">
        <v>5461</v>
      </c>
      <c r="D2620" t="s">
        <v>1292</v>
      </c>
      <c r="E2620">
        <v>1000714</v>
      </c>
      <c r="F2620" t="s">
        <v>1292</v>
      </c>
      <c r="G2620">
        <v>0</v>
      </c>
      <c r="H2620" t="s">
        <v>1292</v>
      </c>
      <c r="I2620">
        <v>0</v>
      </c>
      <c r="J2620" t="s">
        <v>1292</v>
      </c>
      <c r="K2620">
        <v>0</v>
      </c>
      <c r="L2620" t="s">
        <v>1292</v>
      </c>
      <c r="M2620">
        <v>0</v>
      </c>
      <c r="N2620" t="s">
        <v>1292</v>
      </c>
      <c r="O2620">
        <v>0</v>
      </c>
      <c r="P2620" t="s">
        <v>255</v>
      </c>
      <c r="Q2620" s="1">
        <v>10691</v>
      </c>
      <c r="R2620">
        <v>18.2</v>
      </c>
      <c r="S2620" s="2">
        <v>0.17</v>
      </c>
      <c r="T2620" s="3">
        <v>2.3638888888888889</v>
      </c>
      <c r="U2620" s="2">
        <v>0.28000000000000003</v>
      </c>
      <c r="V2620" t="s">
        <v>5461</v>
      </c>
      <c r="W2620" t="s">
        <v>5462</v>
      </c>
      <c r="X2620" t="b">
        <v>0</v>
      </c>
      <c r="Y2620" t="b">
        <v>0</v>
      </c>
    </row>
    <row r="2621" spans="1:25">
      <c r="A2621">
        <v>1000715</v>
      </c>
      <c r="B2621" t="s">
        <v>4061</v>
      </c>
      <c r="C2621" t="s">
        <v>5463</v>
      </c>
      <c r="D2621" t="s">
        <v>1292</v>
      </c>
      <c r="E2621">
        <v>1000715</v>
      </c>
      <c r="F2621" t="s">
        <v>1292</v>
      </c>
      <c r="G2621">
        <v>0</v>
      </c>
      <c r="H2621" t="s">
        <v>1292</v>
      </c>
      <c r="I2621">
        <v>0</v>
      </c>
      <c r="J2621" t="s">
        <v>1292</v>
      </c>
      <c r="K2621">
        <v>0</v>
      </c>
      <c r="L2621" t="s">
        <v>1292</v>
      </c>
      <c r="M2621">
        <v>0</v>
      </c>
      <c r="N2621" t="s">
        <v>1292</v>
      </c>
      <c r="O2621">
        <v>0</v>
      </c>
      <c r="P2621" t="s">
        <v>255</v>
      </c>
      <c r="Q2621" s="1">
        <v>6412</v>
      </c>
      <c r="R2621">
        <v>16.600000000000001</v>
      </c>
      <c r="S2621" s="2">
        <v>0.08</v>
      </c>
      <c r="T2621" t="s">
        <v>51</v>
      </c>
      <c r="U2621" s="2">
        <v>0.42</v>
      </c>
      <c r="V2621" t="s">
        <v>5463</v>
      </c>
      <c r="W2621" t="s">
        <v>5464</v>
      </c>
      <c r="X2621" t="b">
        <v>0</v>
      </c>
      <c r="Y2621" t="b">
        <v>0</v>
      </c>
    </row>
    <row r="2622" spans="1:25">
      <c r="A2622">
        <v>1000716</v>
      </c>
      <c r="B2622" t="s">
        <v>4061</v>
      </c>
      <c r="C2622" t="s">
        <v>5465</v>
      </c>
      <c r="D2622" t="s">
        <v>1292</v>
      </c>
      <c r="E2622">
        <v>1000716</v>
      </c>
      <c r="F2622" t="s">
        <v>1292</v>
      </c>
      <c r="G2622">
        <v>0</v>
      </c>
      <c r="H2622" t="s">
        <v>1292</v>
      </c>
      <c r="I2622">
        <v>0</v>
      </c>
      <c r="J2622" t="s">
        <v>1292</v>
      </c>
      <c r="K2622">
        <v>0</v>
      </c>
      <c r="L2622" t="s">
        <v>1292</v>
      </c>
      <c r="M2622">
        <v>0</v>
      </c>
      <c r="N2622" t="s">
        <v>1292</v>
      </c>
      <c r="O2622">
        <v>0</v>
      </c>
      <c r="P2622" t="s">
        <v>577</v>
      </c>
      <c r="Q2622" s="1">
        <v>10052</v>
      </c>
      <c r="R2622">
        <v>19.7</v>
      </c>
      <c r="S2622" s="2">
        <v>0</v>
      </c>
      <c r="T2622" s="3">
        <v>2.6506944444444445</v>
      </c>
      <c r="U2622" t="s">
        <v>1292</v>
      </c>
      <c r="V2622" t="s">
        <v>5465</v>
      </c>
      <c r="W2622" t="s">
        <v>5466</v>
      </c>
      <c r="X2622" t="b">
        <v>0</v>
      </c>
      <c r="Y2622" t="b">
        <v>0</v>
      </c>
    </row>
    <row r="2623" spans="1:25">
      <c r="A2623">
        <v>1000717</v>
      </c>
      <c r="B2623" t="s">
        <v>4061</v>
      </c>
      <c r="C2623" t="s">
        <v>5467</v>
      </c>
      <c r="D2623" t="s">
        <v>1292</v>
      </c>
      <c r="E2623">
        <v>1000717</v>
      </c>
      <c r="F2623" t="s">
        <v>1292</v>
      </c>
      <c r="G2623">
        <v>0</v>
      </c>
      <c r="H2623" t="s">
        <v>1292</v>
      </c>
      <c r="I2623">
        <v>0</v>
      </c>
      <c r="J2623" t="s">
        <v>1292</v>
      </c>
      <c r="K2623">
        <v>0</v>
      </c>
      <c r="L2623" t="s">
        <v>1292</v>
      </c>
      <c r="M2623">
        <v>0</v>
      </c>
      <c r="N2623" t="s">
        <v>1292</v>
      </c>
      <c r="O2623">
        <v>0</v>
      </c>
      <c r="P2623" t="s">
        <v>577</v>
      </c>
      <c r="Q2623" s="1">
        <v>5055</v>
      </c>
      <c r="R2623">
        <v>10.6</v>
      </c>
      <c r="S2623" s="2">
        <v>0</v>
      </c>
      <c r="T2623" s="3">
        <v>2.7326388888888888</v>
      </c>
      <c r="U2623" s="2">
        <v>7.0000000000000007E-2</v>
      </c>
      <c r="V2623" t="s">
        <v>5467</v>
      </c>
      <c r="W2623" t="s">
        <v>5468</v>
      </c>
      <c r="X2623" t="b">
        <v>0</v>
      </c>
      <c r="Y2623" t="b">
        <v>0</v>
      </c>
    </row>
    <row r="2624" spans="1:25">
      <c r="A2624">
        <v>1000718</v>
      </c>
      <c r="B2624" t="s">
        <v>4061</v>
      </c>
      <c r="C2624" t="s">
        <v>5469</v>
      </c>
      <c r="D2624" t="s">
        <v>1292</v>
      </c>
      <c r="E2624">
        <v>1000718</v>
      </c>
      <c r="F2624" t="s">
        <v>1292</v>
      </c>
      <c r="G2624">
        <v>0</v>
      </c>
      <c r="H2624" t="s">
        <v>1292</v>
      </c>
      <c r="I2624">
        <v>0</v>
      </c>
      <c r="J2624" t="s">
        <v>1292</v>
      </c>
      <c r="K2624">
        <v>0</v>
      </c>
      <c r="L2624" t="s">
        <v>1292</v>
      </c>
      <c r="M2624">
        <v>0</v>
      </c>
      <c r="N2624" t="s">
        <v>1292</v>
      </c>
      <c r="O2624">
        <v>0</v>
      </c>
      <c r="P2624" t="s">
        <v>1846</v>
      </c>
      <c r="Q2624" s="1">
        <v>4759</v>
      </c>
      <c r="R2624">
        <v>21.9</v>
      </c>
      <c r="S2624" s="2">
        <v>0.01</v>
      </c>
      <c r="T2624" t="s">
        <v>336</v>
      </c>
      <c r="U2624" s="2">
        <v>0.33</v>
      </c>
      <c r="V2624" t="s">
        <v>5469</v>
      </c>
      <c r="W2624" t="s">
        <v>5470</v>
      </c>
      <c r="X2624" t="b">
        <v>0</v>
      </c>
      <c r="Y2624" t="b">
        <v>0</v>
      </c>
    </row>
    <row r="2625" spans="1:25">
      <c r="A2625">
        <v>1000719</v>
      </c>
      <c r="B2625" t="s">
        <v>4061</v>
      </c>
      <c r="C2625" t="s">
        <v>5471</v>
      </c>
      <c r="D2625" t="s">
        <v>1292</v>
      </c>
      <c r="E2625">
        <v>1000719</v>
      </c>
      <c r="F2625" t="s">
        <v>1292</v>
      </c>
      <c r="G2625">
        <v>0</v>
      </c>
      <c r="H2625" t="s">
        <v>1292</v>
      </c>
      <c r="I2625">
        <v>0</v>
      </c>
      <c r="J2625" t="s">
        <v>1292</v>
      </c>
      <c r="K2625">
        <v>0</v>
      </c>
      <c r="L2625" t="s">
        <v>1292</v>
      </c>
      <c r="M2625">
        <v>0</v>
      </c>
      <c r="N2625" t="s">
        <v>1292</v>
      </c>
      <c r="O2625">
        <v>0</v>
      </c>
      <c r="P2625" t="s">
        <v>2536</v>
      </c>
      <c r="Q2625" s="1">
        <v>2628</v>
      </c>
      <c r="R2625">
        <v>22.9</v>
      </c>
      <c r="S2625" s="2">
        <v>0.11</v>
      </c>
      <c r="U2625" s="2">
        <v>0.6</v>
      </c>
      <c r="V2625" t="s">
        <v>5471</v>
      </c>
      <c r="W2625" t="s">
        <v>5472</v>
      </c>
      <c r="X2625" t="b">
        <v>0</v>
      </c>
      <c r="Y2625" t="b">
        <v>0</v>
      </c>
    </row>
    <row r="2626" spans="1:25">
      <c r="A2626">
        <v>1000720</v>
      </c>
      <c r="B2626" t="s">
        <v>4061</v>
      </c>
      <c r="C2626" t="s">
        <v>5473</v>
      </c>
      <c r="D2626" t="s">
        <v>1292</v>
      </c>
      <c r="E2626">
        <v>1000720</v>
      </c>
      <c r="F2626" t="s">
        <v>1292</v>
      </c>
      <c r="G2626">
        <v>0</v>
      </c>
      <c r="H2626" t="s">
        <v>1292</v>
      </c>
      <c r="I2626">
        <v>0</v>
      </c>
      <c r="J2626" t="s">
        <v>1292</v>
      </c>
      <c r="K2626">
        <v>0</v>
      </c>
      <c r="L2626" t="s">
        <v>1292</v>
      </c>
      <c r="M2626">
        <v>0</v>
      </c>
      <c r="N2626" t="s">
        <v>1292</v>
      </c>
      <c r="O2626">
        <v>0</v>
      </c>
      <c r="P2626" t="s">
        <v>255</v>
      </c>
      <c r="Q2626" s="1">
        <v>3831</v>
      </c>
      <c r="R2626">
        <v>8.6999999999999993</v>
      </c>
      <c r="S2626" s="2">
        <v>0.08</v>
      </c>
      <c r="T2626" s="3">
        <v>2.2000000000000002</v>
      </c>
      <c r="U2626" s="2">
        <v>0.23</v>
      </c>
      <c r="V2626" t="s">
        <v>5473</v>
      </c>
      <c r="W2626" t="s">
        <v>5474</v>
      </c>
      <c r="X2626" t="b">
        <v>0</v>
      </c>
      <c r="Y2626" t="b">
        <v>0</v>
      </c>
    </row>
    <row r="2627" spans="1:25">
      <c r="A2627">
        <v>1000721</v>
      </c>
      <c r="B2627" t="s">
        <v>4061</v>
      </c>
      <c r="C2627" t="s">
        <v>5475</v>
      </c>
      <c r="D2627" t="s">
        <v>1292</v>
      </c>
      <c r="E2627">
        <v>1000721</v>
      </c>
      <c r="F2627" t="s">
        <v>1292</v>
      </c>
      <c r="G2627">
        <v>0</v>
      </c>
      <c r="H2627" t="s">
        <v>1292</v>
      </c>
      <c r="I2627">
        <v>0</v>
      </c>
      <c r="J2627" t="s">
        <v>1292</v>
      </c>
      <c r="K2627">
        <v>0</v>
      </c>
      <c r="L2627" t="s">
        <v>1292</v>
      </c>
      <c r="M2627">
        <v>0</v>
      </c>
      <c r="N2627" t="s">
        <v>1292</v>
      </c>
      <c r="O2627">
        <v>0</v>
      </c>
      <c r="P2627" t="s">
        <v>255</v>
      </c>
      <c r="Q2627" s="1">
        <v>7720</v>
      </c>
      <c r="R2627">
        <v>14.2</v>
      </c>
      <c r="S2627" s="2">
        <v>0.1</v>
      </c>
      <c r="T2627" s="3">
        <v>3.2652777777777779</v>
      </c>
      <c r="U2627" s="2">
        <v>0.06</v>
      </c>
      <c r="V2627" t="s">
        <v>5475</v>
      </c>
      <c r="W2627" t="s">
        <v>5222</v>
      </c>
      <c r="X2627" t="b">
        <v>0</v>
      </c>
      <c r="Y2627" t="b">
        <v>0</v>
      </c>
    </row>
    <row r="2628" spans="1:25">
      <c r="A2628">
        <v>1000722</v>
      </c>
      <c r="B2628" t="s">
        <v>4061</v>
      </c>
      <c r="C2628" t="s">
        <v>5476</v>
      </c>
      <c r="D2628" t="s">
        <v>1292</v>
      </c>
      <c r="E2628">
        <v>1000722</v>
      </c>
      <c r="F2628" t="s">
        <v>1292</v>
      </c>
      <c r="G2628">
        <v>0</v>
      </c>
      <c r="H2628" t="s">
        <v>1292</v>
      </c>
      <c r="I2628">
        <v>0</v>
      </c>
      <c r="J2628" t="s">
        <v>1292</v>
      </c>
      <c r="K2628">
        <v>0</v>
      </c>
      <c r="L2628" t="s">
        <v>1292</v>
      </c>
      <c r="M2628">
        <v>0</v>
      </c>
      <c r="N2628" t="s">
        <v>1292</v>
      </c>
      <c r="O2628">
        <v>0</v>
      </c>
      <c r="P2628" t="s">
        <v>4144</v>
      </c>
      <c r="Q2628" s="1">
        <v>25783</v>
      </c>
      <c r="R2628">
        <v>20.3</v>
      </c>
      <c r="S2628" s="2">
        <v>0.04</v>
      </c>
      <c r="T2628" s="3">
        <v>2.4458333333333333</v>
      </c>
      <c r="U2628" s="2">
        <v>0.27</v>
      </c>
      <c r="V2628" t="s">
        <v>5476</v>
      </c>
      <c r="W2628" t="s">
        <v>5477</v>
      </c>
      <c r="X2628" t="b">
        <v>0</v>
      </c>
      <c r="Y2628" t="b">
        <v>0</v>
      </c>
    </row>
    <row r="2629" spans="1:25">
      <c r="A2629">
        <v>1000723</v>
      </c>
      <c r="B2629" t="s">
        <v>4061</v>
      </c>
      <c r="C2629" t="s">
        <v>5478</v>
      </c>
      <c r="D2629" t="s">
        <v>1292</v>
      </c>
      <c r="E2629">
        <v>1000723</v>
      </c>
      <c r="F2629" t="s">
        <v>1292</v>
      </c>
      <c r="G2629">
        <v>0</v>
      </c>
      <c r="H2629" t="s">
        <v>1292</v>
      </c>
      <c r="I2629">
        <v>0</v>
      </c>
      <c r="J2629" t="s">
        <v>1292</v>
      </c>
      <c r="K2629">
        <v>0</v>
      </c>
      <c r="L2629" t="s">
        <v>1292</v>
      </c>
      <c r="M2629">
        <v>0</v>
      </c>
      <c r="N2629" t="s">
        <v>1292</v>
      </c>
      <c r="O2629">
        <v>0</v>
      </c>
      <c r="P2629" t="s">
        <v>2157</v>
      </c>
      <c r="Q2629" s="1">
        <v>8309</v>
      </c>
      <c r="R2629">
        <v>21.9</v>
      </c>
      <c r="S2629" s="2">
        <v>0</v>
      </c>
      <c r="T2629" s="3">
        <v>2.4048611111111109</v>
      </c>
      <c r="U2629" t="s">
        <v>1292</v>
      </c>
      <c r="V2629" t="s">
        <v>5478</v>
      </c>
      <c r="W2629" t="s">
        <v>5479</v>
      </c>
      <c r="X2629" t="b">
        <v>0</v>
      </c>
      <c r="Y2629" t="b">
        <v>0</v>
      </c>
    </row>
    <row r="2630" spans="1:25">
      <c r="A2630">
        <v>1000724</v>
      </c>
      <c r="B2630" t="s">
        <v>4061</v>
      </c>
      <c r="C2630" t="s">
        <v>5480</v>
      </c>
      <c r="D2630" t="s">
        <v>1292</v>
      </c>
      <c r="E2630">
        <v>1000724</v>
      </c>
      <c r="F2630" t="s">
        <v>1292</v>
      </c>
      <c r="G2630">
        <v>0</v>
      </c>
      <c r="H2630" t="s">
        <v>1292</v>
      </c>
      <c r="I2630">
        <v>0</v>
      </c>
      <c r="J2630" t="s">
        <v>1292</v>
      </c>
      <c r="K2630">
        <v>0</v>
      </c>
      <c r="L2630" t="s">
        <v>1292</v>
      </c>
      <c r="M2630">
        <v>0</v>
      </c>
      <c r="N2630" t="s">
        <v>1292</v>
      </c>
      <c r="O2630">
        <v>0</v>
      </c>
      <c r="P2630" t="s">
        <v>2513</v>
      </c>
      <c r="Q2630" s="1">
        <v>8302</v>
      </c>
      <c r="R2630">
        <v>18.7</v>
      </c>
      <c r="S2630" s="2">
        <v>0.01</v>
      </c>
      <c r="T2630" s="3">
        <v>2.036111111111111</v>
      </c>
      <c r="U2630" s="2">
        <v>0.17</v>
      </c>
      <c r="V2630" t="s">
        <v>5480</v>
      </c>
      <c r="W2630" t="s">
        <v>5481</v>
      </c>
      <c r="X2630" t="b">
        <v>0</v>
      </c>
      <c r="Y2630" t="b">
        <v>0</v>
      </c>
    </row>
    <row r="2631" spans="1:25">
      <c r="A2631">
        <v>1000725</v>
      </c>
      <c r="B2631" t="s">
        <v>4061</v>
      </c>
      <c r="C2631" t="s">
        <v>5482</v>
      </c>
      <c r="D2631" t="s">
        <v>1292</v>
      </c>
      <c r="E2631">
        <v>1000725</v>
      </c>
      <c r="F2631" t="s">
        <v>1292</v>
      </c>
      <c r="G2631">
        <v>0</v>
      </c>
      <c r="H2631" t="s">
        <v>1292</v>
      </c>
      <c r="I2631">
        <v>0</v>
      </c>
      <c r="J2631" t="s">
        <v>1292</v>
      </c>
      <c r="K2631">
        <v>0</v>
      </c>
      <c r="L2631" t="s">
        <v>1292</v>
      </c>
      <c r="M2631">
        <v>0</v>
      </c>
      <c r="N2631" t="s">
        <v>1292</v>
      </c>
      <c r="O2631">
        <v>0</v>
      </c>
      <c r="P2631" t="s">
        <v>4144</v>
      </c>
      <c r="Q2631" s="1">
        <v>18241</v>
      </c>
      <c r="R2631">
        <v>13.2</v>
      </c>
      <c r="S2631" s="2">
        <v>0.02</v>
      </c>
      <c r="T2631" s="3">
        <v>2.3638888888888889</v>
      </c>
      <c r="U2631" s="2">
        <v>0.35</v>
      </c>
      <c r="V2631" t="s">
        <v>5482</v>
      </c>
      <c r="W2631" t="s">
        <v>5483</v>
      </c>
      <c r="X2631" t="b">
        <v>0</v>
      </c>
      <c r="Y2631" t="b">
        <v>0</v>
      </c>
    </row>
    <row r="2632" spans="1:25">
      <c r="A2632">
        <v>1000726</v>
      </c>
      <c r="B2632" t="s">
        <v>4061</v>
      </c>
      <c r="C2632" t="s">
        <v>5484</v>
      </c>
      <c r="D2632" t="s">
        <v>1292</v>
      </c>
      <c r="E2632">
        <v>1000726</v>
      </c>
      <c r="F2632" t="s">
        <v>1292</v>
      </c>
      <c r="G2632">
        <v>0</v>
      </c>
      <c r="H2632" t="s">
        <v>1292</v>
      </c>
      <c r="I2632">
        <v>0</v>
      </c>
      <c r="J2632" t="s">
        <v>1292</v>
      </c>
      <c r="K2632">
        <v>0</v>
      </c>
      <c r="L2632" t="s">
        <v>1292</v>
      </c>
      <c r="M2632">
        <v>0</v>
      </c>
      <c r="N2632" t="s">
        <v>1292</v>
      </c>
      <c r="O2632">
        <v>0</v>
      </c>
      <c r="P2632" t="s">
        <v>4144</v>
      </c>
      <c r="Q2632" s="1">
        <v>19466</v>
      </c>
      <c r="R2632">
        <v>20.6</v>
      </c>
      <c r="S2632" s="2">
        <v>0</v>
      </c>
      <c r="T2632" s="3">
        <v>2.9784722222222224</v>
      </c>
      <c r="U2632" s="2">
        <v>7.0000000000000007E-2</v>
      </c>
      <c r="V2632" t="s">
        <v>5484</v>
      </c>
      <c r="W2632" t="s">
        <v>5485</v>
      </c>
      <c r="X2632" t="b">
        <v>0</v>
      </c>
      <c r="Y2632" t="b">
        <v>0</v>
      </c>
    </row>
    <row r="2633" spans="1:25">
      <c r="A2633">
        <v>1000727</v>
      </c>
      <c r="B2633" t="s">
        <v>4061</v>
      </c>
      <c r="C2633" t="s">
        <v>5486</v>
      </c>
      <c r="D2633" t="s">
        <v>1292</v>
      </c>
      <c r="E2633">
        <v>1000727</v>
      </c>
      <c r="F2633" t="s">
        <v>1292</v>
      </c>
      <c r="G2633">
        <v>0</v>
      </c>
      <c r="H2633" t="s">
        <v>1292</v>
      </c>
      <c r="I2633">
        <v>0</v>
      </c>
      <c r="J2633" t="s">
        <v>1292</v>
      </c>
      <c r="K2633">
        <v>0</v>
      </c>
      <c r="L2633" t="s">
        <v>1292</v>
      </c>
      <c r="M2633">
        <v>0</v>
      </c>
      <c r="N2633" t="s">
        <v>1292</v>
      </c>
      <c r="O2633">
        <v>0</v>
      </c>
      <c r="P2633" t="s">
        <v>4144</v>
      </c>
      <c r="Q2633" s="1">
        <v>13799</v>
      </c>
      <c r="R2633">
        <v>29.7</v>
      </c>
      <c r="S2633" s="2">
        <v>0</v>
      </c>
      <c r="T2633">
        <v>0.97083333333333333</v>
      </c>
      <c r="U2633" t="s">
        <v>1292</v>
      </c>
      <c r="V2633" t="s">
        <v>5486</v>
      </c>
      <c r="W2633" t="s">
        <v>5487</v>
      </c>
      <c r="X2633" t="b">
        <v>0</v>
      </c>
      <c r="Y2633" t="b">
        <v>0</v>
      </c>
    </row>
    <row r="2634" spans="1:25">
      <c r="A2634">
        <v>1000728</v>
      </c>
      <c r="B2634" t="s">
        <v>4061</v>
      </c>
      <c r="C2634" t="s">
        <v>5488</v>
      </c>
      <c r="D2634" t="s">
        <v>1292</v>
      </c>
      <c r="E2634">
        <v>1000728</v>
      </c>
      <c r="F2634" t="s">
        <v>1292</v>
      </c>
      <c r="G2634">
        <v>0</v>
      </c>
      <c r="H2634" t="s">
        <v>1292</v>
      </c>
      <c r="I2634">
        <v>0</v>
      </c>
      <c r="J2634" t="s">
        <v>1292</v>
      </c>
      <c r="K2634">
        <v>0</v>
      </c>
      <c r="L2634" t="s">
        <v>1292</v>
      </c>
      <c r="M2634">
        <v>0</v>
      </c>
      <c r="N2634" t="s">
        <v>1292</v>
      </c>
      <c r="O2634">
        <v>0</v>
      </c>
      <c r="P2634" t="s">
        <v>1853</v>
      </c>
      <c r="Q2634" s="1">
        <v>5618</v>
      </c>
      <c r="R2634">
        <v>22</v>
      </c>
      <c r="S2634" s="2">
        <v>0.01</v>
      </c>
      <c r="T2634" s="3">
        <v>2.0770833333333334</v>
      </c>
      <c r="U2634" s="2">
        <v>0.34</v>
      </c>
      <c r="V2634" t="s">
        <v>5488</v>
      </c>
      <c r="W2634" t="s">
        <v>5489</v>
      </c>
      <c r="X2634" t="b">
        <v>0</v>
      </c>
      <c r="Y2634" t="b">
        <v>0</v>
      </c>
    </row>
    <row r="2635" spans="1:25">
      <c r="A2635">
        <v>1000729</v>
      </c>
      <c r="B2635" t="s">
        <v>4061</v>
      </c>
      <c r="C2635" t="s">
        <v>5490</v>
      </c>
      <c r="D2635" t="s">
        <v>1292</v>
      </c>
      <c r="E2635">
        <v>1000729</v>
      </c>
      <c r="F2635" t="s">
        <v>1292</v>
      </c>
      <c r="G2635">
        <v>0</v>
      </c>
      <c r="H2635" t="s">
        <v>1292</v>
      </c>
      <c r="I2635">
        <v>0</v>
      </c>
      <c r="J2635" t="s">
        <v>1292</v>
      </c>
      <c r="K2635">
        <v>0</v>
      </c>
      <c r="L2635" t="s">
        <v>1292</v>
      </c>
      <c r="M2635">
        <v>0</v>
      </c>
      <c r="N2635" t="s">
        <v>1292</v>
      </c>
      <c r="O2635">
        <v>0</v>
      </c>
      <c r="P2635" t="s">
        <v>577</v>
      </c>
      <c r="Q2635" s="1">
        <v>9308</v>
      </c>
      <c r="R2635">
        <v>16.399999999999999</v>
      </c>
      <c r="S2635" s="2">
        <v>0.01</v>
      </c>
      <c r="T2635" s="3">
        <v>2.7326388888888888</v>
      </c>
      <c r="U2635" s="2">
        <v>0.23</v>
      </c>
      <c r="V2635" t="s">
        <v>5490</v>
      </c>
      <c r="W2635" t="s">
        <v>5491</v>
      </c>
      <c r="X2635" t="b">
        <v>0</v>
      </c>
      <c r="Y2635" t="b">
        <v>0</v>
      </c>
    </row>
    <row r="2636" spans="1:25">
      <c r="A2636">
        <v>1000730</v>
      </c>
      <c r="B2636" t="s">
        <v>4061</v>
      </c>
      <c r="C2636" t="s">
        <v>5492</v>
      </c>
      <c r="D2636" t="s">
        <v>1292</v>
      </c>
      <c r="E2636">
        <v>1000730</v>
      </c>
      <c r="F2636" t="s">
        <v>1292</v>
      </c>
      <c r="G2636">
        <v>0</v>
      </c>
      <c r="H2636" t="s">
        <v>1292</v>
      </c>
      <c r="I2636">
        <v>0</v>
      </c>
      <c r="J2636" t="s">
        <v>1292</v>
      </c>
      <c r="K2636">
        <v>0</v>
      </c>
      <c r="L2636" t="s">
        <v>1292</v>
      </c>
      <c r="M2636">
        <v>0</v>
      </c>
      <c r="N2636" t="s">
        <v>1292</v>
      </c>
      <c r="O2636">
        <v>0</v>
      </c>
      <c r="P2636" t="s">
        <v>1846</v>
      </c>
      <c r="Q2636" s="1">
        <v>2876</v>
      </c>
      <c r="R2636">
        <v>19.7</v>
      </c>
      <c r="S2636" s="2">
        <v>0</v>
      </c>
      <c r="T2636" t="s">
        <v>501</v>
      </c>
      <c r="U2636" s="2">
        <v>0.35</v>
      </c>
      <c r="V2636" t="s">
        <v>5492</v>
      </c>
      <c r="W2636" t="s">
        <v>5493</v>
      </c>
      <c r="X2636" t="b">
        <v>0</v>
      </c>
      <c r="Y2636" t="b">
        <v>0</v>
      </c>
    </row>
    <row r="2637" spans="1:25">
      <c r="A2637">
        <v>1000731</v>
      </c>
      <c r="B2637" t="s">
        <v>4061</v>
      </c>
      <c r="C2637" t="s">
        <v>5494</v>
      </c>
      <c r="D2637" t="s">
        <v>1292</v>
      </c>
      <c r="E2637">
        <v>1000731</v>
      </c>
      <c r="F2637" t="s">
        <v>1292</v>
      </c>
      <c r="G2637">
        <v>0</v>
      </c>
      <c r="H2637" t="s">
        <v>1292</v>
      </c>
      <c r="I2637">
        <v>0</v>
      </c>
      <c r="J2637" t="s">
        <v>1292</v>
      </c>
      <c r="K2637">
        <v>0</v>
      </c>
      <c r="L2637" t="s">
        <v>1292</v>
      </c>
      <c r="M2637">
        <v>0</v>
      </c>
      <c r="N2637" t="s">
        <v>1292</v>
      </c>
      <c r="O2637">
        <v>0</v>
      </c>
      <c r="P2637" t="s">
        <v>2923</v>
      </c>
      <c r="Q2637">
        <v>429</v>
      </c>
      <c r="R2637">
        <v>13</v>
      </c>
      <c r="S2637" s="2">
        <v>0.35</v>
      </c>
      <c r="T2637" s="3">
        <v>1.83125</v>
      </c>
      <c r="U2637" s="2">
        <v>0.1</v>
      </c>
      <c r="V2637" t="s">
        <v>5494</v>
      </c>
      <c r="W2637" t="s">
        <v>5495</v>
      </c>
      <c r="X2637" t="b">
        <v>0</v>
      </c>
      <c r="Y2637" t="b">
        <v>0</v>
      </c>
    </row>
    <row r="2638" spans="1:25">
      <c r="A2638">
        <v>1000732</v>
      </c>
      <c r="B2638" t="s">
        <v>4061</v>
      </c>
      <c r="C2638" t="s">
        <v>5496</v>
      </c>
      <c r="D2638" t="s">
        <v>1292</v>
      </c>
      <c r="E2638">
        <v>1000732</v>
      </c>
      <c r="F2638" t="s">
        <v>1292</v>
      </c>
      <c r="G2638">
        <v>0</v>
      </c>
      <c r="H2638" t="s">
        <v>1292</v>
      </c>
      <c r="I2638">
        <v>0</v>
      </c>
      <c r="J2638" t="s">
        <v>1292</v>
      </c>
      <c r="K2638">
        <v>0</v>
      </c>
      <c r="L2638" t="s">
        <v>1292</v>
      </c>
      <c r="M2638">
        <v>0</v>
      </c>
      <c r="N2638" t="s">
        <v>1292</v>
      </c>
      <c r="O2638">
        <v>0</v>
      </c>
      <c r="P2638" t="s">
        <v>1123</v>
      </c>
      <c r="Q2638" s="1">
        <v>12268</v>
      </c>
      <c r="R2638">
        <v>15.3</v>
      </c>
      <c r="S2638" s="2">
        <v>0</v>
      </c>
      <c r="T2638" s="3">
        <v>3.0604166666666668</v>
      </c>
      <c r="U2638" s="2">
        <v>0.25</v>
      </c>
      <c r="V2638" t="s">
        <v>5496</v>
      </c>
      <c r="W2638" t="s">
        <v>5497</v>
      </c>
      <c r="X2638" t="b">
        <v>0</v>
      </c>
      <c r="Y2638" t="b">
        <v>0</v>
      </c>
    </row>
    <row r="2639" spans="1:25">
      <c r="A2639">
        <v>1000733</v>
      </c>
      <c r="B2639" t="s">
        <v>4061</v>
      </c>
      <c r="C2639" t="s">
        <v>5498</v>
      </c>
      <c r="D2639" t="s">
        <v>1292</v>
      </c>
      <c r="E2639">
        <v>1000733</v>
      </c>
      <c r="F2639" t="s">
        <v>1292</v>
      </c>
      <c r="G2639">
        <v>0</v>
      </c>
      <c r="H2639" t="s">
        <v>1292</v>
      </c>
      <c r="I2639">
        <v>0</v>
      </c>
      <c r="J2639" t="s">
        <v>1292</v>
      </c>
      <c r="K2639">
        <v>0</v>
      </c>
      <c r="L2639" t="s">
        <v>1292</v>
      </c>
      <c r="M2639">
        <v>0</v>
      </c>
      <c r="N2639" t="s">
        <v>1292</v>
      </c>
      <c r="O2639">
        <v>0</v>
      </c>
      <c r="P2639" t="s">
        <v>1895</v>
      </c>
      <c r="Q2639" s="1">
        <v>4626</v>
      </c>
      <c r="R2639">
        <v>15.9</v>
      </c>
      <c r="S2639" s="2">
        <v>0.03</v>
      </c>
      <c r="T2639" s="3">
        <v>2.3229166666666665</v>
      </c>
      <c r="U2639" s="2">
        <v>0.15</v>
      </c>
      <c r="V2639" t="s">
        <v>5498</v>
      </c>
      <c r="W2639" t="s">
        <v>5499</v>
      </c>
      <c r="X2639" t="b">
        <v>0</v>
      </c>
      <c r="Y2639" t="b">
        <v>0</v>
      </c>
    </row>
    <row r="2640" spans="1:25">
      <c r="A2640">
        <v>1000734</v>
      </c>
      <c r="B2640" t="s">
        <v>4061</v>
      </c>
      <c r="C2640" t="s">
        <v>5500</v>
      </c>
      <c r="D2640" t="s">
        <v>1292</v>
      </c>
      <c r="E2640">
        <v>1000734</v>
      </c>
      <c r="F2640" t="s">
        <v>1292</v>
      </c>
      <c r="G2640">
        <v>0</v>
      </c>
      <c r="H2640" t="s">
        <v>1292</v>
      </c>
      <c r="I2640">
        <v>0</v>
      </c>
      <c r="J2640" t="s">
        <v>1292</v>
      </c>
      <c r="K2640">
        <v>0</v>
      </c>
      <c r="L2640" t="s">
        <v>1292</v>
      </c>
      <c r="M2640">
        <v>0</v>
      </c>
      <c r="N2640" t="s">
        <v>1292</v>
      </c>
      <c r="O2640">
        <v>0</v>
      </c>
      <c r="P2640" t="s">
        <v>2278</v>
      </c>
      <c r="Q2640" s="1">
        <v>2001</v>
      </c>
      <c r="R2640">
        <v>9</v>
      </c>
      <c r="S2640" s="2">
        <v>0.44</v>
      </c>
      <c r="T2640" s="3">
        <v>3.5520833333333335</v>
      </c>
      <c r="U2640" t="s">
        <v>1292</v>
      </c>
      <c r="V2640" t="s">
        <v>5500</v>
      </c>
      <c r="W2640" t="s">
        <v>4489</v>
      </c>
      <c r="X2640" t="b">
        <v>0</v>
      </c>
      <c r="Y2640" t="b">
        <v>0</v>
      </c>
    </row>
    <row r="2641" spans="1:25">
      <c r="A2641">
        <v>1000735</v>
      </c>
      <c r="B2641" t="s">
        <v>4061</v>
      </c>
      <c r="C2641" t="s">
        <v>5501</v>
      </c>
      <c r="D2641" t="s">
        <v>1292</v>
      </c>
      <c r="E2641">
        <v>1000735</v>
      </c>
      <c r="F2641" t="s">
        <v>1292</v>
      </c>
      <c r="G2641">
        <v>0</v>
      </c>
      <c r="H2641" t="s">
        <v>1292</v>
      </c>
      <c r="I2641">
        <v>0</v>
      </c>
      <c r="J2641" t="s">
        <v>1292</v>
      </c>
      <c r="K2641">
        <v>0</v>
      </c>
      <c r="L2641" t="s">
        <v>1292</v>
      </c>
      <c r="M2641">
        <v>0</v>
      </c>
      <c r="N2641" t="s">
        <v>1292</v>
      </c>
      <c r="O2641">
        <v>0</v>
      </c>
      <c r="P2641" t="s">
        <v>577</v>
      </c>
      <c r="Q2641" s="1">
        <v>4915</v>
      </c>
      <c r="R2641">
        <v>18.5</v>
      </c>
      <c r="S2641" s="2">
        <v>0.01</v>
      </c>
      <c r="T2641" s="3">
        <v>2.4868055555555557</v>
      </c>
      <c r="U2641" s="2">
        <v>0.13</v>
      </c>
      <c r="V2641" t="s">
        <v>5501</v>
      </c>
      <c r="W2641" t="s">
        <v>5502</v>
      </c>
      <c r="X2641" t="b">
        <v>0</v>
      </c>
      <c r="Y2641" t="b">
        <v>0</v>
      </c>
    </row>
    <row r="2642" spans="1:25">
      <c r="A2642">
        <v>1000736</v>
      </c>
      <c r="B2642" t="s">
        <v>4061</v>
      </c>
      <c r="C2642" t="s">
        <v>5503</v>
      </c>
      <c r="D2642" t="s">
        <v>1292</v>
      </c>
      <c r="E2642">
        <v>1000736</v>
      </c>
      <c r="F2642" t="s">
        <v>1292</v>
      </c>
      <c r="G2642">
        <v>0</v>
      </c>
      <c r="H2642" t="s">
        <v>1292</v>
      </c>
      <c r="I2642">
        <v>0</v>
      </c>
      <c r="J2642" t="s">
        <v>1292</v>
      </c>
      <c r="K2642">
        <v>0</v>
      </c>
      <c r="L2642" t="s">
        <v>1292</v>
      </c>
      <c r="M2642">
        <v>0</v>
      </c>
      <c r="N2642" t="s">
        <v>1292</v>
      </c>
      <c r="O2642">
        <v>0</v>
      </c>
      <c r="P2642" t="s">
        <v>528</v>
      </c>
      <c r="Q2642" s="1">
        <v>13195</v>
      </c>
      <c r="R2642">
        <v>9.5</v>
      </c>
      <c r="S2642" s="2">
        <v>0</v>
      </c>
      <c r="T2642" s="3">
        <v>1.7493055555555554</v>
      </c>
      <c r="U2642" s="2">
        <v>0.34</v>
      </c>
      <c r="V2642" t="s">
        <v>5503</v>
      </c>
      <c r="W2642" t="s">
        <v>5504</v>
      </c>
      <c r="X2642" t="b">
        <v>0</v>
      </c>
      <c r="Y2642" t="b">
        <v>0</v>
      </c>
    </row>
    <row r="2643" spans="1:25">
      <c r="A2643">
        <v>1000737</v>
      </c>
      <c r="B2643" t="s">
        <v>4061</v>
      </c>
      <c r="C2643" t="s">
        <v>5505</v>
      </c>
      <c r="D2643" t="s">
        <v>1292</v>
      </c>
      <c r="E2643">
        <v>1000737</v>
      </c>
      <c r="F2643" t="s">
        <v>1292</v>
      </c>
      <c r="G2643">
        <v>0</v>
      </c>
      <c r="H2643" t="s">
        <v>1292</v>
      </c>
      <c r="I2643">
        <v>0</v>
      </c>
      <c r="J2643" t="s">
        <v>1292</v>
      </c>
      <c r="K2643">
        <v>0</v>
      </c>
      <c r="L2643" t="s">
        <v>1292</v>
      </c>
      <c r="M2643">
        <v>0</v>
      </c>
      <c r="N2643" t="s">
        <v>1292</v>
      </c>
      <c r="O2643">
        <v>0</v>
      </c>
      <c r="P2643" t="s">
        <v>2229</v>
      </c>
      <c r="Q2643" s="1">
        <v>7946</v>
      </c>
      <c r="R2643">
        <v>16.600000000000001</v>
      </c>
      <c r="S2643" s="2">
        <v>0</v>
      </c>
      <c r="T2643" s="3">
        <v>2.5687500000000001</v>
      </c>
      <c r="U2643" s="2">
        <v>0.2</v>
      </c>
      <c r="V2643" t="s">
        <v>5505</v>
      </c>
      <c r="W2643" t="s">
        <v>5506</v>
      </c>
      <c r="X2643" t="b">
        <v>0</v>
      </c>
      <c r="Y2643" t="b">
        <v>0</v>
      </c>
    </row>
    <row r="2644" spans="1:25">
      <c r="A2644">
        <v>1000738</v>
      </c>
      <c r="B2644" t="s">
        <v>4061</v>
      </c>
      <c r="C2644" t="s">
        <v>5507</v>
      </c>
      <c r="D2644" t="s">
        <v>1292</v>
      </c>
      <c r="E2644">
        <v>1000738</v>
      </c>
      <c r="F2644" t="s">
        <v>1292</v>
      </c>
      <c r="G2644">
        <v>0</v>
      </c>
      <c r="H2644" t="s">
        <v>1292</v>
      </c>
      <c r="I2644">
        <v>0</v>
      </c>
      <c r="J2644" t="s">
        <v>1292</v>
      </c>
      <c r="K2644">
        <v>0</v>
      </c>
      <c r="L2644" t="s">
        <v>1292</v>
      </c>
      <c r="M2644">
        <v>0</v>
      </c>
      <c r="N2644" t="s">
        <v>1292</v>
      </c>
      <c r="O2644">
        <v>0</v>
      </c>
      <c r="P2644" t="s">
        <v>528</v>
      </c>
      <c r="Q2644" s="1">
        <v>3578</v>
      </c>
      <c r="R2644">
        <v>19.7</v>
      </c>
      <c r="S2644" s="2">
        <v>0</v>
      </c>
      <c r="T2644" s="3">
        <v>2.1590277777777778</v>
      </c>
      <c r="U2644" s="2">
        <v>0.45</v>
      </c>
      <c r="V2644" t="s">
        <v>5507</v>
      </c>
      <c r="W2644" t="s">
        <v>5508</v>
      </c>
      <c r="X2644" t="b">
        <v>0</v>
      </c>
      <c r="Y2644" t="b">
        <v>0</v>
      </c>
    </row>
    <row r="2645" spans="1:25">
      <c r="A2645">
        <v>1000739</v>
      </c>
      <c r="B2645" t="s">
        <v>4061</v>
      </c>
      <c r="C2645" t="s">
        <v>5509</v>
      </c>
      <c r="D2645" t="s">
        <v>1292</v>
      </c>
      <c r="E2645">
        <v>1000739</v>
      </c>
      <c r="F2645" t="s">
        <v>1292</v>
      </c>
      <c r="G2645">
        <v>0</v>
      </c>
      <c r="H2645" t="s">
        <v>1292</v>
      </c>
      <c r="I2645">
        <v>0</v>
      </c>
      <c r="J2645" t="s">
        <v>1292</v>
      </c>
      <c r="K2645">
        <v>0</v>
      </c>
      <c r="L2645" t="s">
        <v>1292</v>
      </c>
      <c r="M2645">
        <v>0</v>
      </c>
      <c r="N2645" t="s">
        <v>1292</v>
      </c>
      <c r="O2645">
        <v>0</v>
      </c>
      <c r="P2645" t="s">
        <v>255</v>
      </c>
      <c r="Q2645" s="1">
        <v>6524</v>
      </c>
      <c r="R2645">
        <v>5.9</v>
      </c>
      <c r="S2645" s="2">
        <v>0.32</v>
      </c>
      <c r="T2645" s="3">
        <v>2.7736111111111112</v>
      </c>
      <c r="U2645" s="2">
        <v>0.1</v>
      </c>
      <c r="V2645" t="s">
        <v>5509</v>
      </c>
      <c r="W2645" t="s">
        <v>5510</v>
      </c>
      <c r="X2645" t="b">
        <v>0</v>
      </c>
      <c r="Y2645" t="b">
        <v>0</v>
      </c>
    </row>
    <row r="2646" spans="1:25">
      <c r="A2646">
        <v>1000740</v>
      </c>
      <c r="B2646" t="s">
        <v>4061</v>
      </c>
      <c r="C2646" t="s">
        <v>5511</v>
      </c>
      <c r="D2646" t="s">
        <v>1292</v>
      </c>
      <c r="E2646">
        <v>1000740</v>
      </c>
      <c r="F2646" t="s">
        <v>1292</v>
      </c>
      <c r="G2646">
        <v>0</v>
      </c>
      <c r="H2646" t="s">
        <v>1292</v>
      </c>
      <c r="I2646">
        <v>0</v>
      </c>
      <c r="J2646" t="s">
        <v>1292</v>
      </c>
      <c r="K2646">
        <v>0</v>
      </c>
      <c r="L2646" t="s">
        <v>1292</v>
      </c>
      <c r="M2646">
        <v>0</v>
      </c>
      <c r="N2646" t="s">
        <v>1292</v>
      </c>
      <c r="O2646">
        <v>0</v>
      </c>
      <c r="P2646" t="s">
        <v>26</v>
      </c>
      <c r="Q2646" s="1">
        <v>11305</v>
      </c>
      <c r="R2646">
        <v>23.6</v>
      </c>
      <c r="S2646" s="2">
        <v>0.32</v>
      </c>
      <c r="T2646" s="3">
        <v>2.4458333333333333</v>
      </c>
      <c r="U2646" s="2">
        <v>0.2</v>
      </c>
      <c r="V2646" t="s">
        <v>5511</v>
      </c>
      <c r="W2646" t="s">
        <v>5512</v>
      </c>
      <c r="X2646" t="b">
        <v>0</v>
      </c>
      <c r="Y2646" t="b">
        <v>0</v>
      </c>
    </row>
    <row r="2647" spans="1:25">
      <c r="A2647">
        <v>1000741</v>
      </c>
      <c r="B2647" t="s">
        <v>4061</v>
      </c>
      <c r="C2647" t="s">
        <v>5513</v>
      </c>
      <c r="D2647" t="s">
        <v>1292</v>
      </c>
      <c r="E2647">
        <v>1000741</v>
      </c>
      <c r="F2647" t="s">
        <v>1292</v>
      </c>
      <c r="G2647">
        <v>0</v>
      </c>
      <c r="H2647" t="s">
        <v>1292</v>
      </c>
      <c r="I2647">
        <v>0</v>
      </c>
      <c r="J2647" t="s">
        <v>1292</v>
      </c>
      <c r="K2647">
        <v>0</v>
      </c>
      <c r="L2647" t="s">
        <v>1292</v>
      </c>
      <c r="M2647">
        <v>0</v>
      </c>
      <c r="N2647" t="s">
        <v>1292</v>
      </c>
      <c r="O2647">
        <v>0</v>
      </c>
      <c r="P2647" t="s">
        <v>2157</v>
      </c>
      <c r="Q2647" s="1">
        <v>3214</v>
      </c>
      <c r="R2647">
        <v>16.7</v>
      </c>
      <c r="S2647" s="2">
        <v>0</v>
      </c>
      <c r="T2647" t="s">
        <v>696</v>
      </c>
      <c r="U2647" t="s">
        <v>1292</v>
      </c>
      <c r="V2647" t="s">
        <v>5513</v>
      </c>
      <c r="W2647" t="s">
        <v>5514</v>
      </c>
      <c r="X2647" t="b">
        <v>0</v>
      </c>
      <c r="Y2647" t="b">
        <v>0</v>
      </c>
    </row>
    <row r="2648" spans="1:25">
      <c r="A2648">
        <v>1000742</v>
      </c>
      <c r="B2648" t="s">
        <v>4061</v>
      </c>
      <c r="C2648" t="s">
        <v>5515</v>
      </c>
      <c r="D2648" t="s">
        <v>1292</v>
      </c>
      <c r="E2648">
        <v>1000742</v>
      </c>
      <c r="F2648" t="s">
        <v>1292</v>
      </c>
      <c r="G2648">
        <v>0</v>
      </c>
      <c r="H2648" t="s">
        <v>1292</v>
      </c>
      <c r="I2648">
        <v>0</v>
      </c>
      <c r="J2648" t="s">
        <v>1292</v>
      </c>
      <c r="K2648">
        <v>0</v>
      </c>
      <c r="L2648" t="s">
        <v>1292</v>
      </c>
      <c r="M2648">
        <v>0</v>
      </c>
      <c r="N2648" t="s">
        <v>1292</v>
      </c>
      <c r="O2648">
        <v>0</v>
      </c>
      <c r="P2648" t="s">
        <v>2157</v>
      </c>
      <c r="Q2648" s="1">
        <v>19300</v>
      </c>
      <c r="R2648">
        <v>20.7</v>
      </c>
      <c r="S2648" s="2">
        <v>0</v>
      </c>
      <c r="T2648" s="3">
        <v>1.83125</v>
      </c>
      <c r="U2648" t="s">
        <v>1292</v>
      </c>
      <c r="V2648" t="s">
        <v>5515</v>
      </c>
      <c r="W2648" t="s">
        <v>5516</v>
      </c>
      <c r="X2648" t="b">
        <v>0</v>
      </c>
      <c r="Y2648" t="b">
        <v>0</v>
      </c>
    </row>
    <row r="2649" spans="1:25">
      <c r="A2649">
        <v>1000743</v>
      </c>
      <c r="B2649" t="s">
        <v>4061</v>
      </c>
      <c r="C2649" t="s">
        <v>5517</v>
      </c>
      <c r="D2649" t="s">
        <v>1292</v>
      </c>
      <c r="E2649">
        <v>1000743</v>
      </c>
      <c r="F2649" t="s">
        <v>1292</v>
      </c>
      <c r="G2649">
        <v>0</v>
      </c>
      <c r="H2649" t="s">
        <v>1292</v>
      </c>
      <c r="I2649">
        <v>0</v>
      </c>
      <c r="J2649" t="s">
        <v>1292</v>
      </c>
      <c r="K2649">
        <v>0</v>
      </c>
      <c r="L2649" t="s">
        <v>1292</v>
      </c>
      <c r="M2649">
        <v>0</v>
      </c>
      <c r="N2649" t="s">
        <v>1292</v>
      </c>
      <c r="O2649">
        <v>0</v>
      </c>
      <c r="P2649" t="s">
        <v>29</v>
      </c>
      <c r="Q2649" s="1">
        <v>3890</v>
      </c>
      <c r="R2649">
        <v>12.8</v>
      </c>
      <c r="S2649" s="2">
        <v>0.85</v>
      </c>
      <c r="T2649" s="3">
        <v>1.9541666666666666</v>
      </c>
      <c r="U2649" t="s">
        <v>1292</v>
      </c>
      <c r="V2649" t="s">
        <v>5517</v>
      </c>
      <c r="W2649" t="s">
        <v>5518</v>
      </c>
      <c r="X2649" t="b">
        <v>0</v>
      </c>
      <c r="Y2649" t="b">
        <v>0</v>
      </c>
    </row>
    <row r="2650" spans="1:25">
      <c r="A2650">
        <v>1000744</v>
      </c>
      <c r="B2650" t="s">
        <v>4061</v>
      </c>
      <c r="C2650" t="s">
        <v>5519</v>
      </c>
      <c r="D2650" t="s">
        <v>1292</v>
      </c>
      <c r="E2650">
        <v>1000744</v>
      </c>
      <c r="F2650" t="s">
        <v>1292</v>
      </c>
      <c r="G2650">
        <v>0</v>
      </c>
      <c r="H2650" t="s">
        <v>1292</v>
      </c>
      <c r="I2650">
        <v>0</v>
      </c>
      <c r="J2650" t="s">
        <v>1292</v>
      </c>
      <c r="K2650">
        <v>0</v>
      </c>
      <c r="L2650" t="s">
        <v>1292</v>
      </c>
      <c r="M2650">
        <v>0</v>
      </c>
      <c r="N2650" t="s">
        <v>1292</v>
      </c>
      <c r="O2650">
        <v>0</v>
      </c>
      <c r="P2650" t="s">
        <v>3326</v>
      </c>
      <c r="Q2650" s="1">
        <v>3282</v>
      </c>
      <c r="R2650">
        <v>10.1</v>
      </c>
      <c r="S2650" s="2">
        <v>0.06</v>
      </c>
      <c r="T2650" s="3">
        <v>2.5687500000000001</v>
      </c>
      <c r="U2650" s="2">
        <v>0.12</v>
      </c>
      <c r="V2650" t="s">
        <v>5519</v>
      </c>
      <c r="W2650" t="s">
        <v>5520</v>
      </c>
      <c r="X2650" t="b">
        <v>0</v>
      </c>
      <c r="Y2650" t="b">
        <v>0</v>
      </c>
    </row>
    <row r="2651" spans="1:25">
      <c r="A2651">
        <v>1000745</v>
      </c>
      <c r="B2651" t="s">
        <v>4061</v>
      </c>
      <c r="C2651" t="s">
        <v>5521</v>
      </c>
      <c r="D2651" t="s">
        <v>1292</v>
      </c>
      <c r="E2651">
        <v>1000745</v>
      </c>
      <c r="F2651" t="s">
        <v>1292</v>
      </c>
      <c r="G2651">
        <v>0</v>
      </c>
      <c r="H2651" t="s">
        <v>1292</v>
      </c>
      <c r="I2651">
        <v>0</v>
      </c>
      <c r="J2651" t="s">
        <v>1292</v>
      </c>
      <c r="K2651">
        <v>0</v>
      </c>
      <c r="L2651" t="s">
        <v>1292</v>
      </c>
      <c r="M2651">
        <v>0</v>
      </c>
      <c r="N2651" t="s">
        <v>1292</v>
      </c>
      <c r="O2651">
        <v>0</v>
      </c>
      <c r="P2651" t="s">
        <v>1123</v>
      </c>
      <c r="Q2651" s="1">
        <v>11845</v>
      </c>
      <c r="R2651">
        <v>21</v>
      </c>
      <c r="S2651" s="2">
        <v>0.03</v>
      </c>
      <c r="T2651" t="s">
        <v>40</v>
      </c>
      <c r="U2651" t="s">
        <v>1292</v>
      </c>
      <c r="V2651" t="s">
        <v>5521</v>
      </c>
      <c r="W2651" t="s">
        <v>5522</v>
      </c>
      <c r="X2651" t="b">
        <v>0</v>
      </c>
      <c r="Y2651" t="b">
        <v>0</v>
      </c>
    </row>
    <row r="2652" spans="1:25">
      <c r="A2652">
        <v>1000746</v>
      </c>
      <c r="B2652" t="s">
        <v>4061</v>
      </c>
      <c r="C2652" t="s">
        <v>5523</v>
      </c>
      <c r="D2652" t="s">
        <v>1292</v>
      </c>
      <c r="E2652">
        <v>1000746</v>
      </c>
      <c r="F2652" t="s">
        <v>1292</v>
      </c>
      <c r="G2652">
        <v>0</v>
      </c>
      <c r="H2652" t="s">
        <v>1292</v>
      </c>
      <c r="I2652">
        <v>0</v>
      </c>
      <c r="J2652" t="s">
        <v>1292</v>
      </c>
      <c r="K2652">
        <v>0</v>
      </c>
      <c r="L2652" t="s">
        <v>1292</v>
      </c>
      <c r="M2652">
        <v>0</v>
      </c>
      <c r="N2652" t="s">
        <v>1292</v>
      </c>
      <c r="O2652">
        <v>0</v>
      </c>
      <c r="P2652" t="s">
        <v>29</v>
      </c>
      <c r="Q2652" s="1">
        <v>24473</v>
      </c>
      <c r="R2652">
        <v>18.3</v>
      </c>
      <c r="S2652" s="2">
        <v>0.05</v>
      </c>
      <c r="T2652" s="3">
        <v>2.2409722222222221</v>
      </c>
      <c r="U2652" s="2">
        <v>0.23</v>
      </c>
      <c r="V2652" t="s">
        <v>5523</v>
      </c>
      <c r="W2652" t="s">
        <v>5524</v>
      </c>
      <c r="X2652" t="b">
        <v>0</v>
      </c>
      <c r="Y2652" t="b">
        <v>0</v>
      </c>
    </row>
    <row r="2653" spans="1:25">
      <c r="A2653">
        <v>1000747</v>
      </c>
      <c r="B2653" t="s">
        <v>4061</v>
      </c>
      <c r="C2653" t="s">
        <v>5525</v>
      </c>
      <c r="D2653" t="s">
        <v>1292</v>
      </c>
      <c r="E2653">
        <v>1000747</v>
      </c>
      <c r="F2653" t="s">
        <v>1292</v>
      </c>
      <c r="G2653">
        <v>0</v>
      </c>
      <c r="H2653" t="s">
        <v>1292</v>
      </c>
      <c r="I2653">
        <v>0</v>
      </c>
      <c r="J2653" t="s">
        <v>1292</v>
      </c>
      <c r="K2653">
        <v>0</v>
      </c>
      <c r="L2653" t="s">
        <v>1292</v>
      </c>
      <c r="M2653">
        <v>0</v>
      </c>
      <c r="N2653" t="s">
        <v>1292</v>
      </c>
      <c r="O2653">
        <v>0</v>
      </c>
      <c r="P2653" t="s">
        <v>99</v>
      </c>
      <c r="Q2653" s="1">
        <v>1880</v>
      </c>
      <c r="R2653">
        <v>31.3</v>
      </c>
      <c r="S2653" s="2">
        <v>0.32</v>
      </c>
      <c r="T2653" t="s">
        <v>324</v>
      </c>
      <c r="U2653" s="2">
        <v>0.24</v>
      </c>
      <c r="V2653" t="s">
        <v>5525</v>
      </c>
      <c r="W2653" t="s">
        <v>4899</v>
      </c>
      <c r="X2653" t="b">
        <v>0</v>
      </c>
      <c r="Y2653" t="b">
        <v>0</v>
      </c>
    </row>
    <row r="2654" spans="1:25">
      <c r="A2654">
        <v>1000748</v>
      </c>
      <c r="B2654" t="s">
        <v>4061</v>
      </c>
      <c r="C2654" t="s">
        <v>5526</v>
      </c>
      <c r="D2654" t="s">
        <v>1292</v>
      </c>
      <c r="E2654">
        <v>1000748</v>
      </c>
      <c r="F2654" t="s">
        <v>1292</v>
      </c>
      <c r="G2654">
        <v>0</v>
      </c>
      <c r="H2654" t="s">
        <v>1292</v>
      </c>
      <c r="I2654">
        <v>0</v>
      </c>
      <c r="J2654" t="s">
        <v>1292</v>
      </c>
      <c r="K2654">
        <v>0</v>
      </c>
      <c r="L2654" t="s">
        <v>1292</v>
      </c>
      <c r="M2654">
        <v>0</v>
      </c>
      <c r="N2654" t="s">
        <v>1292</v>
      </c>
      <c r="O2654">
        <v>0</v>
      </c>
      <c r="P2654" t="s">
        <v>1102</v>
      </c>
      <c r="Q2654" s="1">
        <v>2627</v>
      </c>
      <c r="R2654">
        <v>26.5</v>
      </c>
      <c r="S2654" s="2">
        <v>0.01</v>
      </c>
      <c r="T2654" s="3">
        <v>4.166666666666667</v>
      </c>
      <c r="U2654" t="s">
        <v>1292</v>
      </c>
      <c r="V2654" t="s">
        <v>5526</v>
      </c>
      <c r="W2654" t="s">
        <v>5527</v>
      </c>
      <c r="X2654" t="b">
        <v>0</v>
      </c>
      <c r="Y2654" t="b">
        <v>0</v>
      </c>
    </row>
    <row r="2655" spans="1:25">
      <c r="A2655">
        <v>1000749</v>
      </c>
      <c r="B2655" t="s">
        <v>4061</v>
      </c>
      <c r="C2655" t="s">
        <v>5528</v>
      </c>
      <c r="D2655" t="s">
        <v>1292</v>
      </c>
      <c r="E2655">
        <v>1000749</v>
      </c>
      <c r="F2655" t="s">
        <v>1292</v>
      </c>
      <c r="G2655">
        <v>0</v>
      </c>
      <c r="H2655" t="s">
        <v>1292</v>
      </c>
      <c r="I2655">
        <v>0</v>
      </c>
      <c r="J2655" t="s">
        <v>1292</v>
      </c>
      <c r="K2655">
        <v>0</v>
      </c>
      <c r="L2655" t="s">
        <v>1292</v>
      </c>
      <c r="M2655">
        <v>0</v>
      </c>
      <c r="N2655" t="s">
        <v>1292</v>
      </c>
      <c r="O2655">
        <v>0</v>
      </c>
      <c r="P2655" t="s">
        <v>1102</v>
      </c>
      <c r="Q2655" s="1">
        <v>7072</v>
      </c>
      <c r="R2655">
        <v>38</v>
      </c>
      <c r="S2655" s="2">
        <v>0</v>
      </c>
      <c r="T2655" s="3">
        <v>4.166666666666667</v>
      </c>
      <c r="U2655" s="2">
        <v>0.24</v>
      </c>
      <c r="V2655" t="s">
        <v>5528</v>
      </c>
      <c r="W2655" t="s">
        <v>5529</v>
      </c>
      <c r="X2655" t="b">
        <v>0</v>
      </c>
      <c r="Y2655" t="b">
        <v>0</v>
      </c>
    </row>
    <row r="2656" spans="1:25">
      <c r="A2656">
        <v>1000750</v>
      </c>
      <c r="B2656" t="s">
        <v>4061</v>
      </c>
      <c r="C2656" t="s">
        <v>5530</v>
      </c>
      <c r="D2656" t="s">
        <v>1292</v>
      </c>
      <c r="E2656">
        <v>1000750</v>
      </c>
      <c r="F2656" t="s">
        <v>1292</v>
      </c>
      <c r="G2656">
        <v>0</v>
      </c>
      <c r="H2656" t="s">
        <v>1292</v>
      </c>
      <c r="I2656">
        <v>0</v>
      </c>
      <c r="J2656" t="s">
        <v>1292</v>
      </c>
      <c r="K2656">
        <v>0</v>
      </c>
      <c r="L2656" t="s">
        <v>1292</v>
      </c>
      <c r="M2656">
        <v>0</v>
      </c>
      <c r="N2656" t="s">
        <v>1292</v>
      </c>
      <c r="O2656">
        <v>0</v>
      </c>
      <c r="P2656" t="s">
        <v>26</v>
      </c>
      <c r="Q2656" s="1">
        <v>7485</v>
      </c>
      <c r="R2656">
        <v>17.2</v>
      </c>
      <c r="S2656" s="2">
        <v>0.14000000000000001</v>
      </c>
      <c r="T2656" s="3">
        <v>2.9375</v>
      </c>
      <c r="U2656" s="2">
        <v>0.12</v>
      </c>
      <c r="V2656" t="s">
        <v>5530</v>
      </c>
      <c r="W2656" t="s">
        <v>5531</v>
      </c>
      <c r="X2656" t="b">
        <v>0</v>
      </c>
      <c r="Y2656" t="b">
        <v>0</v>
      </c>
    </row>
    <row r="2657" spans="1:25">
      <c r="A2657">
        <v>1000751</v>
      </c>
      <c r="B2657" t="s">
        <v>4061</v>
      </c>
      <c r="C2657" t="s">
        <v>5532</v>
      </c>
      <c r="D2657" t="s">
        <v>1292</v>
      </c>
      <c r="E2657">
        <v>1000751</v>
      </c>
      <c r="F2657" t="s">
        <v>1292</v>
      </c>
      <c r="G2657">
        <v>0</v>
      </c>
      <c r="H2657" t="s">
        <v>1292</v>
      </c>
      <c r="I2657">
        <v>0</v>
      </c>
      <c r="J2657" t="s">
        <v>1292</v>
      </c>
      <c r="K2657">
        <v>0</v>
      </c>
      <c r="L2657" t="s">
        <v>1292</v>
      </c>
      <c r="M2657">
        <v>0</v>
      </c>
      <c r="N2657" t="s">
        <v>1292</v>
      </c>
      <c r="O2657">
        <v>0</v>
      </c>
      <c r="P2657" t="s">
        <v>1846</v>
      </c>
      <c r="Q2657" s="1">
        <v>5200</v>
      </c>
      <c r="R2657">
        <v>20.8</v>
      </c>
      <c r="S2657" s="2">
        <v>0</v>
      </c>
      <c r="T2657">
        <v>0.92986111111111114</v>
      </c>
      <c r="U2657" s="2">
        <v>0.24</v>
      </c>
      <c r="V2657" t="s">
        <v>5532</v>
      </c>
      <c r="W2657" t="s">
        <v>5533</v>
      </c>
      <c r="X2657" t="b">
        <v>0</v>
      </c>
      <c r="Y2657" t="b">
        <v>0</v>
      </c>
    </row>
    <row r="2658" spans="1:25">
      <c r="A2658">
        <v>1000752</v>
      </c>
      <c r="B2658" t="s">
        <v>4061</v>
      </c>
      <c r="C2658" t="s">
        <v>5534</v>
      </c>
      <c r="D2658" t="s">
        <v>1292</v>
      </c>
      <c r="E2658">
        <v>1000752</v>
      </c>
      <c r="F2658" t="s">
        <v>1292</v>
      </c>
      <c r="G2658">
        <v>0</v>
      </c>
      <c r="H2658" t="s">
        <v>1292</v>
      </c>
      <c r="I2658">
        <v>0</v>
      </c>
      <c r="J2658" t="s">
        <v>1292</v>
      </c>
      <c r="K2658">
        <v>0</v>
      </c>
      <c r="L2658" t="s">
        <v>1292</v>
      </c>
      <c r="M2658">
        <v>0</v>
      </c>
      <c r="N2658" t="s">
        <v>1292</v>
      </c>
      <c r="O2658">
        <v>0</v>
      </c>
      <c r="P2658" t="s">
        <v>1554</v>
      </c>
      <c r="Q2658" s="1">
        <v>8207</v>
      </c>
      <c r="R2658">
        <v>27.2</v>
      </c>
      <c r="S2658" s="2">
        <v>0.08</v>
      </c>
      <c r="T2658" s="3">
        <v>2.6916666666666669</v>
      </c>
      <c r="U2658" s="2">
        <v>0.34</v>
      </c>
      <c r="V2658" t="s">
        <v>5534</v>
      </c>
      <c r="W2658" t="s">
        <v>5535</v>
      </c>
      <c r="X2658" t="b">
        <v>0</v>
      </c>
      <c r="Y2658" t="b">
        <v>0</v>
      </c>
    </row>
    <row r="2659" spans="1:25">
      <c r="A2659">
        <v>1000753</v>
      </c>
      <c r="B2659" t="s">
        <v>4061</v>
      </c>
      <c r="C2659" t="s">
        <v>5536</v>
      </c>
      <c r="D2659" t="s">
        <v>1292</v>
      </c>
      <c r="E2659">
        <v>1000753</v>
      </c>
      <c r="F2659" t="s">
        <v>1292</v>
      </c>
      <c r="G2659">
        <v>0</v>
      </c>
      <c r="H2659" t="s">
        <v>1292</v>
      </c>
      <c r="I2659">
        <v>0</v>
      </c>
      <c r="J2659" t="s">
        <v>1292</v>
      </c>
      <c r="K2659">
        <v>0</v>
      </c>
      <c r="L2659" t="s">
        <v>1292</v>
      </c>
      <c r="M2659">
        <v>0</v>
      </c>
      <c r="N2659" t="s">
        <v>1292</v>
      </c>
      <c r="O2659">
        <v>0</v>
      </c>
      <c r="P2659" t="s">
        <v>26</v>
      </c>
      <c r="Q2659" s="1">
        <v>4335</v>
      </c>
      <c r="R2659">
        <v>25.5</v>
      </c>
      <c r="S2659" s="2">
        <v>0.19</v>
      </c>
      <c r="T2659" s="3">
        <v>2.4868055555555557</v>
      </c>
      <c r="U2659" s="2">
        <v>0.35</v>
      </c>
      <c r="V2659" t="s">
        <v>5536</v>
      </c>
      <c r="W2659" t="s">
        <v>5537</v>
      </c>
      <c r="X2659" t="b">
        <v>0</v>
      </c>
      <c r="Y2659" t="b">
        <v>0</v>
      </c>
    </row>
    <row r="2660" spans="1:25">
      <c r="A2660">
        <v>1000754</v>
      </c>
      <c r="B2660" t="s">
        <v>4061</v>
      </c>
      <c r="C2660" t="s">
        <v>5538</v>
      </c>
      <c r="D2660" t="s">
        <v>1292</v>
      </c>
      <c r="E2660">
        <v>1000754</v>
      </c>
      <c r="F2660" t="s">
        <v>1292</v>
      </c>
      <c r="G2660">
        <v>0</v>
      </c>
      <c r="H2660" t="s">
        <v>1292</v>
      </c>
      <c r="I2660">
        <v>0</v>
      </c>
      <c r="J2660" t="s">
        <v>1292</v>
      </c>
      <c r="K2660">
        <v>0</v>
      </c>
      <c r="L2660" t="s">
        <v>1292</v>
      </c>
      <c r="M2660">
        <v>0</v>
      </c>
      <c r="N2660" t="s">
        <v>1292</v>
      </c>
      <c r="O2660">
        <v>0</v>
      </c>
      <c r="P2660" t="s">
        <v>26</v>
      </c>
      <c r="Q2660">
        <v>675</v>
      </c>
      <c r="R2660">
        <v>7.5</v>
      </c>
      <c r="S2660" s="2">
        <v>0.09</v>
      </c>
      <c r="T2660" s="3">
        <v>3.4291666666666667</v>
      </c>
      <c r="U2660" s="2">
        <v>0.24</v>
      </c>
      <c r="V2660" t="s">
        <v>5538</v>
      </c>
      <c r="W2660" t="s">
        <v>5539</v>
      </c>
      <c r="X2660" t="b">
        <v>0</v>
      </c>
      <c r="Y2660" t="b">
        <v>0</v>
      </c>
    </row>
    <row r="2661" spans="1:25">
      <c r="A2661">
        <v>1000755</v>
      </c>
      <c r="B2661" t="s">
        <v>4061</v>
      </c>
      <c r="C2661" t="s">
        <v>5540</v>
      </c>
      <c r="D2661" t="s">
        <v>1292</v>
      </c>
      <c r="E2661">
        <v>1000755</v>
      </c>
      <c r="F2661" t="s">
        <v>1292</v>
      </c>
      <c r="G2661">
        <v>0</v>
      </c>
      <c r="H2661" t="s">
        <v>1292</v>
      </c>
      <c r="I2661">
        <v>0</v>
      </c>
      <c r="J2661" t="s">
        <v>1292</v>
      </c>
      <c r="K2661">
        <v>0</v>
      </c>
      <c r="L2661" t="s">
        <v>1292</v>
      </c>
      <c r="M2661">
        <v>0</v>
      </c>
      <c r="N2661" t="s">
        <v>1292</v>
      </c>
      <c r="O2661">
        <v>0</v>
      </c>
      <c r="P2661" t="s">
        <v>1543</v>
      </c>
      <c r="Q2661" s="1">
        <v>4682</v>
      </c>
      <c r="R2661">
        <v>6.4</v>
      </c>
      <c r="S2661" s="2">
        <v>0.49</v>
      </c>
      <c r="T2661" s="3">
        <v>2.2409722222222221</v>
      </c>
      <c r="U2661" s="2">
        <v>0.25</v>
      </c>
      <c r="V2661" t="s">
        <v>5540</v>
      </c>
      <c r="W2661" t="s">
        <v>5541</v>
      </c>
      <c r="X2661" t="b">
        <v>0</v>
      </c>
      <c r="Y2661" t="b">
        <v>0</v>
      </c>
    </row>
    <row r="2662" spans="1:25">
      <c r="A2662">
        <v>1000756</v>
      </c>
      <c r="B2662" t="s">
        <v>4061</v>
      </c>
      <c r="C2662" t="s">
        <v>5542</v>
      </c>
      <c r="D2662" t="s">
        <v>1292</v>
      </c>
      <c r="E2662">
        <v>1000756</v>
      </c>
      <c r="F2662" t="s">
        <v>1292</v>
      </c>
      <c r="G2662">
        <v>0</v>
      </c>
      <c r="H2662" t="s">
        <v>1292</v>
      </c>
      <c r="I2662">
        <v>0</v>
      </c>
      <c r="J2662" t="s">
        <v>1292</v>
      </c>
      <c r="K2662">
        <v>0</v>
      </c>
      <c r="L2662" t="s">
        <v>1292</v>
      </c>
      <c r="M2662">
        <v>0</v>
      </c>
      <c r="N2662" t="s">
        <v>1292</v>
      </c>
      <c r="O2662">
        <v>0</v>
      </c>
      <c r="P2662" t="s">
        <v>4456</v>
      </c>
      <c r="Q2662" s="1">
        <v>5388</v>
      </c>
      <c r="R2662">
        <v>11.4</v>
      </c>
      <c r="S2662" s="2">
        <v>0.01</v>
      </c>
      <c r="T2662" t="s">
        <v>145</v>
      </c>
      <c r="U2662" t="s">
        <v>1292</v>
      </c>
      <c r="V2662" t="s">
        <v>5542</v>
      </c>
      <c r="W2662" t="s">
        <v>5543</v>
      </c>
      <c r="X2662" t="b">
        <v>0</v>
      </c>
      <c r="Y2662" t="b">
        <v>0</v>
      </c>
    </row>
    <row r="2663" spans="1:25">
      <c r="A2663">
        <v>1000757</v>
      </c>
      <c r="B2663" t="s">
        <v>4061</v>
      </c>
      <c r="C2663" t="s">
        <v>5544</v>
      </c>
      <c r="D2663" t="s">
        <v>1292</v>
      </c>
      <c r="E2663">
        <v>1000757</v>
      </c>
      <c r="F2663" t="s">
        <v>1292</v>
      </c>
      <c r="G2663">
        <v>0</v>
      </c>
      <c r="H2663" t="s">
        <v>1292</v>
      </c>
      <c r="I2663">
        <v>0</v>
      </c>
      <c r="J2663" t="s">
        <v>1292</v>
      </c>
      <c r="K2663">
        <v>0</v>
      </c>
      <c r="L2663" t="s">
        <v>1292</v>
      </c>
      <c r="M2663">
        <v>0</v>
      </c>
      <c r="N2663" t="s">
        <v>1292</v>
      </c>
      <c r="O2663">
        <v>0</v>
      </c>
      <c r="P2663" t="s">
        <v>94</v>
      </c>
      <c r="Q2663" s="1">
        <v>1361</v>
      </c>
      <c r="R2663">
        <v>16.2</v>
      </c>
      <c r="S2663" s="2">
        <v>0.02</v>
      </c>
      <c r="T2663" s="3">
        <v>3.6340277777777779</v>
      </c>
      <c r="U2663" s="2">
        <v>0.02</v>
      </c>
      <c r="V2663" t="s">
        <v>5544</v>
      </c>
      <c r="W2663" t="s">
        <v>5545</v>
      </c>
      <c r="X2663" t="b">
        <v>0</v>
      </c>
      <c r="Y2663" t="b">
        <v>0</v>
      </c>
    </row>
    <row r="2664" spans="1:25">
      <c r="A2664">
        <v>1000758</v>
      </c>
      <c r="B2664" t="s">
        <v>4061</v>
      </c>
      <c r="C2664" t="s">
        <v>5546</v>
      </c>
      <c r="D2664" t="s">
        <v>1292</v>
      </c>
      <c r="E2664">
        <v>1000758</v>
      </c>
      <c r="F2664" t="s">
        <v>1292</v>
      </c>
      <c r="G2664">
        <v>0</v>
      </c>
      <c r="H2664" t="s">
        <v>1292</v>
      </c>
      <c r="I2664">
        <v>0</v>
      </c>
      <c r="J2664" t="s">
        <v>1292</v>
      </c>
      <c r="K2664">
        <v>0</v>
      </c>
      <c r="L2664" t="s">
        <v>1292</v>
      </c>
      <c r="M2664">
        <v>0</v>
      </c>
      <c r="N2664" t="s">
        <v>1292</v>
      </c>
      <c r="O2664">
        <v>0</v>
      </c>
      <c r="P2664" t="s">
        <v>2672</v>
      </c>
      <c r="Q2664" s="1">
        <v>10900</v>
      </c>
      <c r="R2664">
        <v>15.7</v>
      </c>
      <c r="S2664" s="2">
        <v>0.1</v>
      </c>
      <c r="T2664" s="3">
        <v>2.4048611111111109</v>
      </c>
      <c r="U2664" s="2">
        <v>0.34</v>
      </c>
      <c r="V2664" t="s">
        <v>5546</v>
      </c>
      <c r="W2664" t="s">
        <v>5547</v>
      </c>
      <c r="X2664" t="b">
        <v>0</v>
      </c>
      <c r="Y2664" t="b">
        <v>0</v>
      </c>
    </row>
    <row r="2665" spans="1:25">
      <c r="A2665">
        <v>1000759</v>
      </c>
      <c r="B2665" t="s">
        <v>4061</v>
      </c>
      <c r="C2665" t="s">
        <v>5548</v>
      </c>
      <c r="D2665" t="s">
        <v>1292</v>
      </c>
      <c r="E2665">
        <v>1000759</v>
      </c>
      <c r="F2665" t="s">
        <v>1292</v>
      </c>
      <c r="G2665">
        <v>0</v>
      </c>
      <c r="H2665" t="s">
        <v>1292</v>
      </c>
      <c r="I2665">
        <v>0</v>
      </c>
      <c r="J2665" t="s">
        <v>1292</v>
      </c>
      <c r="K2665">
        <v>0</v>
      </c>
      <c r="L2665" t="s">
        <v>1292</v>
      </c>
      <c r="M2665">
        <v>0</v>
      </c>
      <c r="N2665" t="s">
        <v>1292</v>
      </c>
      <c r="O2665">
        <v>0</v>
      </c>
      <c r="P2665" t="s">
        <v>895</v>
      </c>
      <c r="Q2665" s="1">
        <v>5908</v>
      </c>
      <c r="R2665">
        <v>11.7</v>
      </c>
      <c r="S2665" s="2">
        <v>0.02</v>
      </c>
      <c r="T2665" s="3">
        <v>2.1590277777777778</v>
      </c>
      <c r="U2665" s="2">
        <v>0.47</v>
      </c>
      <c r="V2665" t="s">
        <v>5548</v>
      </c>
      <c r="W2665" t="s">
        <v>5549</v>
      </c>
      <c r="X2665" t="b">
        <v>0</v>
      </c>
      <c r="Y2665" t="b">
        <v>0</v>
      </c>
    </row>
    <row r="2666" spans="1:25">
      <c r="A2666">
        <v>1000760</v>
      </c>
      <c r="B2666" t="s">
        <v>4061</v>
      </c>
      <c r="C2666" t="s">
        <v>5550</v>
      </c>
      <c r="D2666" t="s">
        <v>1292</v>
      </c>
      <c r="E2666">
        <v>1000760</v>
      </c>
      <c r="F2666" t="s">
        <v>1292</v>
      </c>
      <c r="G2666">
        <v>0</v>
      </c>
      <c r="H2666" t="s">
        <v>1292</v>
      </c>
      <c r="I2666">
        <v>0</v>
      </c>
      <c r="J2666" t="s">
        <v>1292</v>
      </c>
      <c r="K2666">
        <v>0</v>
      </c>
      <c r="L2666" t="s">
        <v>1292</v>
      </c>
      <c r="M2666">
        <v>0</v>
      </c>
      <c r="N2666" t="s">
        <v>1292</v>
      </c>
      <c r="O2666">
        <v>0</v>
      </c>
      <c r="P2666" t="s">
        <v>26</v>
      </c>
      <c r="Q2666" s="1">
        <v>6450</v>
      </c>
      <c r="R2666">
        <v>18.399999999999999</v>
      </c>
      <c r="S2666" s="2">
        <v>0.13</v>
      </c>
      <c r="T2666" s="3">
        <v>2.6916666666666669</v>
      </c>
      <c r="U2666" s="2">
        <v>0.13</v>
      </c>
      <c r="V2666" t="s">
        <v>5550</v>
      </c>
      <c r="W2666" t="s">
        <v>5551</v>
      </c>
      <c r="X2666" t="b">
        <v>0</v>
      </c>
      <c r="Y2666" t="b">
        <v>0</v>
      </c>
    </row>
    <row r="2667" spans="1:25">
      <c r="A2667">
        <v>1000761</v>
      </c>
      <c r="B2667" t="s">
        <v>4061</v>
      </c>
      <c r="C2667" t="s">
        <v>5552</v>
      </c>
      <c r="D2667" t="s">
        <v>1292</v>
      </c>
      <c r="E2667">
        <v>1000761</v>
      </c>
      <c r="F2667" t="s">
        <v>1292</v>
      </c>
      <c r="G2667">
        <v>0</v>
      </c>
      <c r="H2667" t="s">
        <v>1292</v>
      </c>
      <c r="I2667">
        <v>0</v>
      </c>
      <c r="J2667" t="s">
        <v>1292</v>
      </c>
      <c r="K2667">
        <v>0</v>
      </c>
      <c r="L2667" t="s">
        <v>1292</v>
      </c>
      <c r="M2667">
        <v>0</v>
      </c>
      <c r="N2667" t="s">
        <v>1292</v>
      </c>
      <c r="O2667">
        <v>0</v>
      </c>
      <c r="P2667" t="s">
        <v>1895</v>
      </c>
      <c r="Q2667" s="1">
        <v>12086</v>
      </c>
      <c r="R2667">
        <v>26.2</v>
      </c>
      <c r="S2667" s="2">
        <v>0</v>
      </c>
      <c r="T2667" s="3">
        <v>2.4868055555555557</v>
      </c>
      <c r="U2667" t="s">
        <v>1292</v>
      </c>
      <c r="V2667" t="s">
        <v>5552</v>
      </c>
      <c r="W2667" t="s">
        <v>5553</v>
      </c>
      <c r="X2667" t="b">
        <v>0</v>
      </c>
      <c r="Y2667" t="b">
        <v>0</v>
      </c>
    </row>
    <row r="2668" spans="1:25">
      <c r="A2668">
        <v>1000762</v>
      </c>
      <c r="B2668" t="s">
        <v>4061</v>
      </c>
      <c r="C2668" t="s">
        <v>5554</v>
      </c>
      <c r="D2668" t="s">
        <v>1292</v>
      </c>
      <c r="E2668">
        <v>1000762</v>
      </c>
      <c r="F2668" t="s">
        <v>1292</v>
      </c>
      <c r="G2668">
        <v>0</v>
      </c>
      <c r="H2668" t="s">
        <v>1292</v>
      </c>
      <c r="I2668">
        <v>0</v>
      </c>
      <c r="J2668" t="s">
        <v>1292</v>
      </c>
      <c r="K2668">
        <v>0</v>
      </c>
      <c r="L2668" t="s">
        <v>1292</v>
      </c>
      <c r="M2668">
        <v>0</v>
      </c>
      <c r="N2668" t="s">
        <v>1292</v>
      </c>
      <c r="O2668">
        <v>0</v>
      </c>
      <c r="P2668" t="s">
        <v>1554</v>
      </c>
      <c r="Q2668" s="1">
        <v>5881</v>
      </c>
      <c r="R2668">
        <v>17</v>
      </c>
      <c r="S2668" s="2">
        <v>0.35</v>
      </c>
      <c r="T2668" s="3">
        <v>2.5277777777777777</v>
      </c>
      <c r="U2668" s="2">
        <v>0.3</v>
      </c>
      <c r="V2668" t="s">
        <v>5554</v>
      </c>
      <c r="W2668" t="s">
        <v>5555</v>
      </c>
      <c r="X2668" t="b">
        <v>0</v>
      </c>
      <c r="Y2668" t="b">
        <v>0</v>
      </c>
    </row>
    <row r="2669" spans="1:25">
      <c r="A2669">
        <v>1000763</v>
      </c>
      <c r="B2669" t="s">
        <v>4061</v>
      </c>
      <c r="C2669" t="s">
        <v>5556</v>
      </c>
      <c r="D2669" t="s">
        <v>1292</v>
      </c>
      <c r="E2669">
        <v>1000763</v>
      </c>
      <c r="F2669" t="s">
        <v>1292</v>
      </c>
      <c r="G2669">
        <v>0</v>
      </c>
      <c r="H2669" t="s">
        <v>1292</v>
      </c>
      <c r="I2669">
        <v>0</v>
      </c>
      <c r="J2669" t="s">
        <v>1292</v>
      </c>
      <c r="K2669">
        <v>0</v>
      </c>
      <c r="L2669" t="s">
        <v>1292</v>
      </c>
      <c r="M2669">
        <v>0</v>
      </c>
      <c r="N2669" t="s">
        <v>1292</v>
      </c>
      <c r="O2669">
        <v>0</v>
      </c>
      <c r="P2669" t="s">
        <v>1306</v>
      </c>
      <c r="Q2669" s="1">
        <v>4872</v>
      </c>
      <c r="R2669">
        <v>18.2</v>
      </c>
      <c r="S2669" s="2">
        <v>0</v>
      </c>
      <c r="T2669" s="3">
        <v>2.7736111111111112</v>
      </c>
      <c r="U2669" s="2">
        <v>0.16</v>
      </c>
      <c r="V2669" t="s">
        <v>5556</v>
      </c>
      <c r="W2669" t="s">
        <v>5557</v>
      </c>
      <c r="X2669" t="b">
        <v>0</v>
      </c>
      <c r="Y2669" t="b">
        <v>0</v>
      </c>
    </row>
    <row r="2670" spans="1:25">
      <c r="A2670">
        <v>1000764</v>
      </c>
      <c r="B2670" t="s">
        <v>4061</v>
      </c>
      <c r="C2670" t="s">
        <v>5558</v>
      </c>
      <c r="D2670" t="s">
        <v>1292</v>
      </c>
      <c r="E2670">
        <v>1000764</v>
      </c>
      <c r="F2670" t="s">
        <v>1292</v>
      </c>
      <c r="G2670">
        <v>0</v>
      </c>
      <c r="H2670" t="s">
        <v>1292</v>
      </c>
      <c r="I2670">
        <v>0</v>
      </c>
      <c r="J2670" t="s">
        <v>1292</v>
      </c>
      <c r="K2670">
        <v>0</v>
      </c>
      <c r="L2670" t="s">
        <v>1292</v>
      </c>
      <c r="M2670">
        <v>0</v>
      </c>
      <c r="N2670" t="s">
        <v>1292</v>
      </c>
      <c r="O2670">
        <v>0</v>
      </c>
      <c r="P2670" t="s">
        <v>1123</v>
      </c>
      <c r="Q2670" s="1">
        <v>4454</v>
      </c>
      <c r="R2670">
        <v>16.100000000000001</v>
      </c>
      <c r="S2670" s="2">
        <v>0.01</v>
      </c>
      <c r="T2670" t="s">
        <v>658</v>
      </c>
      <c r="U2670" s="2">
        <v>0.35</v>
      </c>
      <c r="V2670" t="s">
        <v>5558</v>
      </c>
      <c r="W2670" t="s">
        <v>5559</v>
      </c>
      <c r="X2670" t="b">
        <v>0</v>
      </c>
      <c r="Y2670" t="b">
        <v>0</v>
      </c>
    </row>
    <row r="2671" spans="1:25">
      <c r="A2671">
        <v>1000765</v>
      </c>
      <c r="B2671" t="s">
        <v>4061</v>
      </c>
      <c r="C2671" t="s">
        <v>5560</v>
      </c>
      <c r="D2671" t="s">
        <v>1292</v>
      </c>
      <c r="E2671">
        <v>1000765</v>
      </c>
      <c r="F2671" t="s">
        <v>1292</v>
      </c>
      <c r="G2671">
        <v>0</v>
      </c>
      <c r="H2671" t="s">
        <v>1292</v>
      </c>
      <c r="I2671">
        <v>0</v>
      </c>
      <c r="J2671" t="s">
        <v>1292</v>
      </c>
      <c r="K2671">
        <v>0</v>
      </c>
      <c r="L2671" t="s">
        <v>1292</v>
      </c>
      <c r="M2671">
        <v>0</v>
      </c>
      <c r="N2671" t="s">
        <v>1292</v>
      </c>
      <c r="O2671">
        <v>0</v>
      </c>
      <c r="P2671" t="s">
        <v>2290</v>
      </c>
      <c r="Q2671" s="1">
        <v>31103</v>
      </c>
      <c r="R2671">
        <v>28.5</v>
      </c>
      <c r="S2671" s="2">
        <v>0</v>
      </c>
      <c r="T2671" s="3">
        <v>2.3229166666666665</v>
      </c>
      <c r="U2671" s="2">
        <v>0.35</v>
      </c>
      <c r="V2671" t="s">
        <v>5560</v>
      </c>
      <c r="W2671" t="s">
        <v>5561</v>
      </c>
      <c r="X2671" t="b">
        <v>0</v>
      </c>
      <c r="Y2671" t="b">
        <v>0</v>
      </c>
    </row>
    <row r="2672" spans="1:25">
      <c r="A2672">
        <v>1000766</v>
      </c>
      <c r="B2672" t="s">
        <v>4061</v>
      </c>
      <c r="C2672" t="s">
        <v>5562</v>
      </c>
      <c r="D2672" t="s">
        <v>1292</v>
      </c>
      <c r="E2672">
        <v>1000766</v>
      </c>
      <c r="F2672" t="s">
        <v>1292</v>
      </c>
      <c r="G2672">
        <v>0</v>
      </c>
      <c r="H2672" t="s">
        <v>1292</v>
      </c>
      <c r="I2672">
        <v>0</v>
      </c>
      <c r="J2672" t="s">
        <v>1292</v>
      </c>
      <c r="K2672">
        <v>0</v>
      </c>
      <c r="L2672" t="s">
        <v>1292</v>
      </c>
      <c r="M2672">
        <v>0</v>
      </c>
      <c r="N2672" t="s">
        <v>1292</v>
      </c>
      <c r="O2672">
        <v>0</v>
      </c>
      <c r="P2672" t="s">
        <v>1102</v>
      </c>
      <c r="Q2672" s="1">
        <v>5672</v>
      </c>
      <c r="R2672">
        <v>9.1999999999999993</v>
      </c>
      <c r="S2672" s="2">
        <v>0</v>
      </c>
      <c r="T2672" s="3">
        <v>2.4458333333333333</v>
      </c>
      <c r="U2672" s="2">
        <v>0.05</v>
      </c>
      <c r="V2672" t="s">
        <v>5562</v>
      </c>
      <c r="W2672" t="s">
        <v>253</v>
      </c>
      <c r="X2672" t="b">
        <v>0</v>
      </c>
      <c r="Y26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4D44-3443-49F5-B0D6-030691E0BFA2}">
  <dimension ref="A1:AC1498"/>
  <sheetViews>
    <sheetView workbookViewId="0">
      <selection activeCell="C1" sqref="C1:C1048576"/>
    </sheetView>
  </sheetViews>
  <sheetFormatPr defaultRowHeight="15"/>
  <sheetData>
    <row r="1" spans="1:29">
      <c r="A1" t="s">
        <v>1</v>
      </c>
      <c r="B1" t="s">
        <v>5563</v>
      </c>
      <c r="C1" t="s">
        <v>2</v>
      </c>
      <c r="D1" t="s">
        <v>5564</v>
      </c>
      <c r="E1" t="s">
        <v>15</v>
      </c>
      <c r="F1" t="s">
        <v>5565</v>
      </c>
      <c r="G1" t="s">
        <v>5566</v>
      </c>
      <c r="H1" t="s">
        <v>5567</v>
      </c>
      <c r="I1" t="s">
        <v>5568</v>
      </c>
      <c r="J1" t="s">
        <v>5569</v>
      </c>
      <c r="K1" t="s">
        <v>5570</v>
      </c>
      <c r="L1" t="s">
        <v>5571</v>
      </c>
      <c r="M1" t="s">
        <v>5572</v>
      </c>
      <c r="N1" t="s">
        <v>5573</v>
      </c>
      <c r="O1" t="s">
        <v>5574</v>
      </c>
      <c r="P1" t="s">
        <v>5575</v>
      </c>
      <c r="Q1" t="s">
        <v>9</v>
      </c>
      <c r="R1" t="s">
        <v>5576</v>
      </c>
      <c r="S1" t="s">
        <v>5577</v>
      </c>
      <c r="T1" t="s">
        <v>5578</v>
      </c>
      <c r="U1" t="s">
        <v>5579</v>
      </c>
      <c r="V1" t="s">
        <v>5580</v>
      </c>
      <c r="W1" t="s">
        <v>5581</v>
      </c>
      <c r="X1" t="s">
        <v>5582</v>
      </c>
      <c r="Y1" t="s">
        <v>5583</v>
      </c>
      <c r="Z1" t="s">
        <v>5584</v>
      </c>
      <c r="AA1" t="s">
        <v>5585</v>
      </c>
      <c r="AB1" t="s">
        <v>5586</v>
      </c>
      <c r="AC1" t="s">
        <v>3</v>
      </c>
    </row>
    <row r="2" spans="1:29">
      <c r="A2">
        <v>1</v>
      </c>
      <c r="B2">
        <v>1</v>
      </c>
      <c r="C2" t="s">
        <v>31</v>
      </c>
      <c r="D2" t="s">
        <v>5587</v>
      </c>
      <c r="E2" t="s">
        <v>29</v>
      </c>
      <c r="F2" t="s">
        <v>5588</v>
      </c>
      <c r="G2" t="s">
        <v>5589</v>
      </c>
      <c r="H2" t="s">
        <v>5590</v>
      </c>
      <c r="I2">
        <v>5</v>
      </c>
      <c r="J2" t="s">
        <v>5591</v>
      </c>
      <c r="K2">
        <v>100</v>
      </c>
      <c r="L2">
        <v>4</v>
      </c>
      <c r="M2">
        <v>100</v>
      </c>
      <c r="N2">
        <v>2</v>
      </c>
      <c r="O2">
        <v>100</v>
      </c>
      <c r="P2">
        <v>16</v>
      </c>
      <c r="Q2">
        <v>100</v>
      </c>
      <c r="R2">
        <v>4</v>
      </c>
      <c r="S2">
        <v>100</v>
      </c>
      <c r="T2">
        <v>56</v>
      </c>
      <c r="U2">
        <v>88.2</v>
      </c>
      <c r="V2">
        <v>128</v>
      </c>
      <c r="W2">
        <v>94.3</v>
      </c>
      <c r="X2">
        <v>58</v>
      </c>
      <c r="Y2">
        <v>100</v>
      </c>
      <c r="Z2">
        <v>4</v>
      </c>
      <c r="AA2">
        <v>95.2</v>
      </c>
      <c r="AB2">
        <v>51</v>
      </c>
      <c r="AC2">
        <v>100</v>
      </c>
    </row>
    <row r="3" spans="1:29">
      <c r="A3">
        <v>2</v>
      </c>
      <c r="B3">
        <v>2</v>
      </c>
      <c r="C3" t="s">
        <v>35</v>
      </c>
      <c r="D3" t="s">
        <v>5592</v>
      </c>
      <c r="E3" t="s">
        <v>26</v>
      </c>
      <c r="F3" t="s">
        <v>5593</v>
      </c>
      <c r="G3" t="s">
        <v>5594</v>
      </c>
      <c r="H3" t="s">
        <v>5590</v>
      </c>
      <c r="I3">
        <v>5</v>
      </c>
      <c r="J3" t="s">
        <v>5595</v>
      </c>
      <c r="K3">
        <v>100</v>
      </c>
      <c r="L3">
        <v>3</v>
      </c>
      <c r="M3">
        <v>100</v>
      </c>
      <c r="N3">
        <v>4</v>
      </c>
      <c r="O3">
        <v>100</v>
      </c>
      <c r="P3">
        <v>14</v>
      </c>
      <c r="Q3">
        <v>92.3</v>
      </c>
      <c r="R3">
        <v>68</v>
      </c>
      <c r="S3">
        <v>100</v>
      </c>
      <c r="T3">
        <v>64</v>
      </c>
      <c r="U3">
        <v>95.8</v>
      </c>
      <c r="V3">
        <v>85</v>
      </c>
      <c r="W3">
        <v>99.9</v>
      </c>
      <c r="X3">
        <v>7</v>
      </c>
      <c r="Y3">
        <v>100</v>
      </c>
      <c r="Z3">
        <v>6</v>
      </c>
      <c r="AA3">
        <v>97.3</v>
      </c>
      <c r="AB3" t="s">
        <v>5596</v>
      </c>
      <c r="AC3">
        <v>99.2</v>
      </c>
    </row>
    <row r="4" spans="1:29">
      <c r="A4">
        <v>3</v>
      </c>
      <c r="B4">
        <v>4</v>
      </c>
      <c r="C4" t="s">
        <v>25</v>
      </c>
      <c r="D4" t="s">
        <v>5592</v>
      </c>
      <c r="E4" t="s">
        <v>26</v>
      </c>
      <c r="F4" t="s">
        <v>5593</v>
      </c>
      <c r="G4" t="s">
        <v>5594</v>
      </c>
      <c r="H4" t="s">
        <v>5590</v>
      </c>
      <c r="I4">
        <v>5</v>
      </c>
      <c r="J4" t="s">
        <v>5595</v>
      </c>
      <c r="K4">
        <v>100</v>
      </c>
      <c r="L4">
        <v>2</v>
      </c>
      <c r="M4">
        <v>100</v>
      </c>
      <c r="N4">
        <v>5</v>
      </c>
      <c r="O4">
        <v>100</v>
      </c>
      <c r="P4">
        <v>8</v>
      </c>
      <c r="Q4">
        <v>90.6</v>
      </c>
      <c r="R4">
        <v>73</v>
      </c>
      <c r="S4">
        <v>98.2</v>
      </c>
      <c r="T4">
        <v>110</v>
      </c>
      <c r="U4">
        <v>98.2</v>
      </c>
      <c r="V4">
        <v>60</v>
      </c>
      <c r="W4">
        <v>100</v>
      </c>
      <c r="X4">
        <v>1</v>
      </c>
      <c r="Y4">
        <v>100</v>
      </c>
      <c r="Z4">
        <v>3</v>
      </c>
      <c r="AA4">
        <v>97.8</v>
      </c>
      <c r="AB4" t="s">
        <v>5597</v>
      </c>
      <c r="AC4">
        <v>98.9</v>
      </c>
    </row>
    <row r="5" spans="1:29">
      <c r="A5">
        <v>4</v>
      </c>
      <c r="B5">
        <v>5</v>
      </c>
      <c r="C5" t="s">
        <v>33</v>
      </c>
      <c r="D5" t="s">
        <v>5587</v>
      </c>
      <c r="E5" t="s">
        <v>29</v>
      </c>
      <c r="F5" t="s">
        <v>5593</v>
      </c>
      <c r="G5" t="s">
        <v>5594</v>
      </c>
      <c r="H5" t="s">
        <v>5590</v>
      </c>
      <c r="I5">
        <v>5</v>
      </c>
      <c r="J5" t="s">
        <v>5591</v>
      </c>
      <c r="K5">
        <v>100</v>
      </c>
      <c r="L5">
        <v>1</v>
      </c>
      <c r="M5">
        <v>100</v>
      </c>
      <c r="N5">
        <v>1</v>
      </c>
      <c r="O5">
        <v>98.3</v>
      </c>
      <c r="P5">
        <v>44</v>
      </c>
      <c r="Q5">
        <v>100</v>
      </c>
      <c r="R5">
        <v>1</v>
      </c>
      <c r="S5">
        <v>84.6</v>
      </c>
      <c r="T5">
        <v>210</v>
      </c>
      <c r="U5">
        <v>66.8</v>
      </c>
      <c r="V5">
        <v>223</v>
      </c>
      <c r="W5">
        <v>100</v>
      </c>
      <c r="X5">
        <v>5</v>
      </c>
      <c r="Y5">
        <v>100</v>
      </c>
      <c r="Z5">
        <v>1</v>
      </c>
      <c r="AA5">
        <v>96.7</v>
      </c>
      <c r="AB5">
        <v>39</v>
      </c>
      <c r="AC5">
        <v>98.3</v>
      </c>
    </row>
    <row r="6" spans="1:29">
      <c r="A6">
        <v>5</v>
      </c>
      <c r="B6">
        <v>3</v>
      </c>
      <c r="C6" t="s">
        <v>28</v>
      </c>
      <c r="D6" t="s">
        <v>5587</v>
      </c>
      <c r="E6" t="s">
        <v>29</v>
      </c>
      <c r="F6" t="s">
        <v>5593</v>
      </c>
      <c r="G6" t="s">
        <v>5594</v>
      </c>
      <c r="H6" t="s">
        <v>5590</v>
      </c>
      <c r="I6">
        <v>5</v>
      </c>
      <c r="J6" t="s">
        <v>5591</v>
      </c>
      <c r="K6">
        <v>100</v>
      </c>
      <c r="L6">
        <v>5</v>
      </c>
      <c r="M6">
        <v>100</v>
      </c>
      <c r="N6">
        <v>3</v>
      </c>
      <c r="O6">
        <v>100</v>
      </c>
      <c r="P6">
        <v>11</v>
      </c>
      <c r="Q6">
        <v>99.9</v>
      </c>
      <c r="R6">
        <v>8</v>
      </c>
      <c r="S6">
        <v>99.9</v>
      </c>
      <c r="T6">
        <v>78</v>
      </c>
      <c r="U6">
        <v>51.2</v>
      </c>
      <c r="V6">
        <v>284</v>
      </c>
      <c r="W6">
        <v>95.8</v>
      </c>
      <c r="X6">
        <v>44</v>
      </c>
      <c r="Y6">
        <v>100</v>
      </c>
      <c r="Z6">
        <v>2</v>
      </c>
      <c r="AA6">
        <v>94.4</v>
      </c>
      <c r="AB6">
        <v>63</v>
      </c>
      <c r="AC6">
        <v>98.1</v>
      </c>
    </row>
    <row r="7" spans="1:29">
      <c r="A7">
        <v>6</v>
      </c>
      <c r="B7" t="s">
        <v>5598</v>
      </c>
      <c r="C7" t="s">
        <v>43</v>
      </c>
      <c r="D7" t="s">
        <v>5592</v>
      </c>
      <c r="E7" t="s">
        <v>26</v>
      </c>
      <c r="F7" t="s">
        <v>5593</v>
      </c>
      <c r="G7" t="s">
        <v>5594</v>
      </c>
      <c r="H7" t="s">
        <v>5590</v>
      </c>
      <c r="I7">
        <v>5</v>
      </c>
      <c r="J7" t="s">
        <v>5595</v>
      </c>
      <c r="K7">
        <v>98.3</v>
      </c>
      <c r="L7">
        <v>23</v>
      </c>
      <c r="M7">
        <v>99.4</v>
      </c>
      <c r="N7">
        <v>12</v>
      </c>
      <c r="O7">
        <v>98.5</v>
      </c>
      <c r="P7">
        <v>42</v>
      </c>
      <c r="Q7">
        <v>94</v>
      </c>
      <c r="R7">
        <v>58</v>
      </c>
      <c r="S7">
        <v>100</v>
      </c>
      <c r="T7">
        <v>61</v>
      </c>
      <c r="U7">
        <v>100</v>
      </c>
      <c r="V7">
        <v>14</v>
      </c>
      <c r="W7">
        <v>96.7</v>
      </c>
      <c r="X7">
        <v>35</v>
      </c>
      <c r="Y7">
        <v>83</v>
      </c>
      <c r="Z7">
        <v>45</v>
      </c>
      <c r="AA7">
        <v>94.4</v>
      </c>
      <c r="AB7" t="s">
        <v>5599</v>
      </c>
      <c r="AC7">
        <v>97.8</v>
      </c>
    </row>
    <row r="8" spans="1:29">
      <c r="A8">
        <v>7</v>
      </c>
      <c r="B8">
        <v>9</v>
      </c>
      <c r="C8" t="s">
        <v>5600</v>
      </c>
      <c r="D8" t="s">
        <v>5601</v>
      </c>
      <c r="E8" t="s">
        <v>50</v>
      </c>
      <c r="F8" t="s">
        <v>5593</v>
      </c>
      <c r="G8" t="s">
        <v>5602</v>
      </c>
      <c r="H8" t="s">
        <v>5590</v>
      </c>
      <c r="I8">
        <v>5</v>
      </c>
      <c r="J8" t="s">
        <v>5595</v>
      </c>
      <c r="K8">
        <v>98.8</v>
      </c>
      <c r="L8">
        <v>19</v>
      </c>
      <c r="M8">
        <v>83.6</v>
      </c>
      <c r="N8">
        <v>62</v>
      </c>
      <c r="O8">
        <v>72.099999999999994</v>
      </c>
      <c r="P8">
        <v>177</v>
      </c>
      <c r="Q8">
        <v>98.9</v>
      </c>
      <c r="R8">
        <v>21</v>
      </c>
      <c r="S8">
        <v>100</v>
      </c>
      <c r="T8">
        <v>22</v>
      </c>
      <c r="U8">
        <v>98.5</v>
      </c>
      <c r="V8">
        <v>56</v>
      </c>
      <c r="W8">
        <v>96</v>
      </c>
      <c r="X8">
        <v>42</v>
      </c>
      <c r="Y8">
        <v>79.099999999999994</v>
      </c>
      <c r="Z8">
        <v>52</v>
      </c>
      <c r="AA8">
        <v>88.4</v>
      </c>
      <c r="AB8" t="s">
        <v>5603</v>
      </c>
      <c r="AC8">
        <v>93.3</v>
      </c>
    </row>
    <row r="9" spans="1:29">
      <c r="A9">
        <v>8</v>
      </c>
      <c r="B9">
        <v>11</v>
      </c>
      <c r="C9" t="s">
        <v>69</v>
      </c>
      <c r="D9" t="s">
        <v>5604</v>
      </c>
      <c r="E9" t="s">
        <v>70</v>
      </c>
      <c r="F9" t="s">
        <v>5605</v>
      </c>
      <c r="G9" t="s">
        <v>5594</v>
      </c>
      <c r="H9" t="s">
        <v>5590</v>
      </c>
      <c r="I9">
        <v>3</v>
      </c>
      <c r="J9" t="s">
        <v>5595</v>
      </c>
      <c r="K9">
        <v>99.4</v>
      </c>
      <c r="L9">
        <v>15</v>
      </c>
      <c r="M9">
        <v>88.6</v>
      </c>
      <c r="N9">
        <v>54</v>
      </c>
      <c r="O9">
        <v>76.5</v>
      </c>
      <c r="P9">
        <v>157</v>
      </c>
      <c r="Q9">
        <v>93.2</v>
      </c>
      <c r="R9">
        <v>64</v>
      </c>
      <c r="S9">
        <v>100</v>
      </c>
      <c r="T9">
        <v>33</v>
      </c>
      <c r="U9">
        <v>81.900000000000006</v>
      </c>
      <c r="V9">
        <v>154</v>
      </c>
      <c r="W9">
        <v>76.3</v>
      </c>
      <c r="X9">
        <v>165</v>
      </c>
      <c r="Y9">
        <v>100</v>
      </c>
      <c r="Z9">
        <v>7</v>
      </c>
      <c r="AA9">
        <v>88.1</v>
      </c>
      <c r="AB9" t="s">
        <v>5606</v>
      </c>
      <c r="AC9">
        <v>92.7</v>
      </c>
    </row>
    <row r="10" spans="1:29">
      <c r="A10">
        <v>9</v>
      </c>
      <c r="B10">
        <v>8</v>
      </c>
      <c r="C10" t="s">
        <v>78</v>
      </c>
      <c r="D10" t="s">
        <v>5592</v>
      </c>
      <c r="E10" t="s">
        <v>26</v>
      </c>
      <c r="F10" t="s">
        <v>5605</v>
      </c>
      <c r="G10" t="s">
        <v>5594</v>
      </c>
      <c r="H10" t="s">
        <v>5590</v>
      </c>
      <c r="I10">
        <v>5</v>
      </c>
      <c r="J10" t="s">
        <v>5595</v>
      </c>
      <c r="K10">
        <v>99.5</v>
      </c>
      <c r="L10">
        <v>13</v>
      </c>
      <c r="M10">
        <v>97.9</v>
      </c>
      <c r="N10">
        <v>22</v>
      </c>
      <c r="O10">
        <v>98.4</v>
      </c>
      <c r="P10">
        <v>43</v>
      </c>
      <c r="Q10">
        <v>74.3</v>
      </c>
      <c r="R10">
        <v>131</v>
      </c>
      <c r="S10">
        <v>99.1</v>
      </c>
      <c r="T10">
        <v>96</v>
      </c>
      <c r="U10">
        <v>100</v>
      </c>
      <c r="V10">
        <v>15</v>
      </c>
      <c r="W10">
        <v>100</v>
      </c>
      <c r="X10">
        <v>2</v>
      </c>
      <c r="Y10">
        <v>51.6</v>
      </c>
      <c r="Z10">
        <v>126</v>
      </c>
      <c r="AA10">
        <v>92.5</v>
      </c>
      <c r="AB10">
        <v>74</v>
      </c>
      <c r="AC10">
        <v>92.4</v>
      </c>
    </row>
    <row r="11" spans="1:29">
      <c r="A11">
        <v>10</v>
      </c>
      <c r="B11">
        <v>27</v>
      </c>
      <c r="C11" t="s">
        <v>45</v>
      </c>
      <c r="D11" t="s">
        <v>5587</v>
      </c>
      <c r="E11" t="s">
        <v>29</v>
      </c>
      <c r="F11" t="s">
        <v>5605</v>
      </c>
      <c r="G11" t="s">
        <v>5594</v>
      </c>
      <c r="H11" t="s">
        <v>5590</v>
      </c>
      <c r="I11">
        <v>5</v>
      </c>
      <c r="J11" t="s">
        <v>5595</v>
      </c>
      <c r="K11">
        <v>100</v>
      </c>
      <c r="L11">
        <v>6</v>
      </c>
      <c r="M11">
        <v>100</v>
      </c>
      <c r="N11">
        <v>6</v>
      </c>
      <c r="O11">
        <v>20.5</v>
      </c>
      <c r="P11">
        <v>656</v>
      </c>
      <c r="Q11">
        <v>99.9</v>
      </c>
      <c r="R11">
        <v>7</v>
      </c>
      <c r="S11">
        <v>92.2</v>
      </c>
      <c r="T11">
        <v>172</v>
      </c>
      <c r="U11">
        <v>63.9</v>
      </c>
      <c r="V11">
        <v>235</v>
      </c>
      <c r="W11">
        <v>92.4</v>
      </c>
      <c r="X11">
        <v>66</v>
      </c>
      <c r="Y11">
        <v>98.7</v>
      </c>
      <c r="Z11">
        <v>15</v>
      </c>
      <c r="AA11">
        <v>100</v>
      </c>
      <c r="AB11">
        <v>1</v>
      </c>
      <c r="AC11">
        <v>90.4</v>
      </c>
    </row>
    <row r="12" spans="1:29">
      <c r="A12">
        <v>11</v>
      </c>
      <c r="B12">
        <v>10</v>
      </c>
      <c r="C12" t="s">
        <v>5607</v>
      </c>
      <c r="D12" t="s">
        <v>5587</v>
      </c>
      <c r="E12" t="s">
        <v>29</v>
      </c>
      <c r="F12" t="s">
        <v>5593</v>
      </c>
      <c r="G12" t="s">
        <v>5594</v>
      </c>
      <c r="H12" t="s">
        <v>5590</v>
      </c>
      <c r="I12">
        <v>5</v>
      </c>
      <c r="J12" t="s">
        <v>5591</v>
      </c>
      <c r="K12">
        <v>99.1</v>
      </c>
      <c r="L12">
        <v>17</v>
      </c>
      <c r="M12">
        <v>95.4</v>
      </c>
      <c r="N12">
        <v>38</v>
      </c>
      <c r="O12">
        <v>92.5</v>
      </c>
      <c r="P12">
        <v>72</v>
      </c>
      <c r="Q12">
        <v>78.5</v>
      </c>
      <c r="R12">
        <v>122</v>
      </c>
      <c r="S12">
        <v>81.2</v>
      </c>
      <c r="T12">
        <v>225</v>
      </c>
      <c r="U12">
        <v>84.4</v>
      </c>
      <c r="V12">
        <v>145</v>
      </c>
      <c r="W12">
        <v>61.4</v>
      </c>
      <c r="X12">
        <v>236</v>
      </c>
      <c r="Y12">
        <v>98.3</v>
      </c>
      <c r="Z12">
        <v>17</v>
      </c>
      <c r="AA12">
        <v>81.7</v>
      </c>
      <c r="AB12" t="s">
        <v>5608</v>
      </c>
      <c r="AC12">
        <v>90.3</v>
      </c>
    </row>
    <row r="13" spans="1:29">
      <c r="A13">
        <v>12</v>
      </c>
      <c r="B13">
        <v>13</v>
      </c>
      <c r="C13" t="s">
        <v>63</v>
      </c>
      <c r="D13" t="s">
        <v>5587</v>
      </c>
      <c r="E13" t="s">
        <v>29</v>
      </c>
      <c r="F13" t="s">
        <v>5593</v>
      </c>
      <c r="G13" t="s">
        <v>5594</v>
      </c>
      <c r="H13" t="s">
        <v>5590</v>
      </c>
      <c r="I13">
        <v>5</v>
      </c>
      <c r="J13" t="s">
        <v>5591</v>
      </c>
      <c r="K13">
        <v>96.4</v>
      </c>
      <c r="L13">
        <v>29</v>
      </c>
      <c r="M13">
        <v>89.1</v>
      </c>
      <c r="N13">
        <v>52</v>
      </c>
      <c r="O13">
        <v>99.9</v>
      </c>
      <c r="P13">
        <v>24</v>
      </c>
      <c r="Q13">
        <v>68.400000000000006</v>
      </c>
      <c r="R13">
        <v>153</v>
      </c>
      <c r="S13">
        <v>96</v>
      </c>
      <c r="T13">
        <v>140</v>
      </c>
      <c r="U13">
        <v>70.3</v>
      </c>
      <c r="V13">
        <v>208</v>
      </c>
      <c r="W13">
        <v>83.3</v>
      </c>
      <c r="X13">
        <v>129</v>
      </c>
      <c r="Y13">
        <v>100</v>
      </c>
      <c r="Z13">
        <v>5</v>
      </c>
      <c r="AA13">
        <v>99.9</v>
      </c>
      <c r="AB13" t="s">
        <v>5609</v>
      </c>
      <c r="AC13">
        <v>89.4</v>
      </c>
    </row>
    <row r="14" spans="1:29">
      <c r="A14">
        <v>13</v>
      </c>
      <c r="B14">
        <v>20</v>
      </c>
      <c r="C14" t="s">
        <v>73</v>
      </c>
      <c r="D14" t="s">
        <v>5587</v>
      </c>
      <c r="E14" t="s">
        <v>29</v>
      </c>
      <c r="F14" t="s">
        <v>5593</v>
      </c>
      <c r="G14" t="s">
        <v>5594</v>
      </c>
      <c r="H14" t="s">
        <v>5590</v>
      </c>
      <c r="I14">
        <v>5</v>
      </c>
      <c r="J14" t="s">
        <v>5591</v>
      </c>
      <c r="K14">
        <v>98.1</v>
      </c>
      <c r="L14">
        <v>26</v>
      </c>
      <c r="M14">
        <v>90.5</v>
      </c>
      <c r="N14">
        <v>47</v>
      </c>
      <c r="O14">
        <v>52.9</v>
      </c>
      <c r="P14">
        <v>297</v>
      </c>
      <c r="Q14">
        <v>99.1</v>
      </c>
      <c r="R14">
        <v>18</v>
      </c>
      <c r="S14">
        <v>68.7</v>
      </c>
      <c r="T14">
        <v>283</v>
      </c>
      <c r="U14">
        <v>64</v>
      </c>
      <c r="V14">
        <v>234</v>
      </c>
      <c r="W14">
        <v>79.900000000000006</v>
      </c>
      <c r="X14">
        <v>144</v>
      </c>
      <c r="Y14">
        <v>98</v>
      </c>
      <c r="Z14">
        <v>18</v>
      </c>
      <c r="AA14">
        <v>94.7</v>
      </c>
      <c r="AB14" t="s">
        <v>5610</v>
      </c>
      <c r="AC14">
        <v>89.3</v>
      </c>
    </row>
    <row r="15" spans="1:29">
      <c r="A15">
        <v>14</v>
      </c>
      <c r="B15">
        <v>33</v>
      </c>
      <c r="C15" t="s">
        <v>5611</v>
      </c>
      <c r="D15" t="s">
        <v>5612</v>
      </c>
      <c r="E15" t="s">
        <v>116</v>
      </c>
      <c r="F15" t="s">
        <v>5605</v>
      </c>
      <c r="G15" t="s">
        <v>5594</v>
      </c>
      <c r="H15" t="s">
        <v>5590</v>
      </c>
      <c r="I15">
        <v>5</v>
      </c>
      <c r="J15" t="s">
        <v>5595</v>
      </c>
      <c r="K15">
        <v>98.4</v>
      </c>
      <c r="L15">
        <v>21</v>
      </c>
      <c r="M15">
        <v>92.3</v>
      </c>
      <c r="N15">
        <v>45</v>
      </c>
      <c r="O15">
        <v>15.4</v>
      </c>
      <c r="P15" t="s">
        <v>5613</v>
      </c>
      <c r="Q15">
        <v>92.1</v>
      </c>
      <c r="R15">
        <v>69</v>
      </c>
      <c r="S15">
        <v>92.9</v>
      </c>
      <c r="T15">
        <v>166</v>
      </c>
      <c r="U15">
        <v>99.7</v>
      </c>
      <c r="V15">
        <v>36</v>
      </c>
      <c r="W15">
        <v>97.2</v>
      </c>
      <c r="X15">
        <v>30</v>
      </c>
      <c r="Y15">
        <v>93.3</v>
      </c>
      <c r="Z15">
        <v>31</v>
      </c>
      <c r="AA15">
        <v>90.4</v>
      </c>
      <c r="AB15" t="s">
        <v>5614</v>
      </c>
      <c r="AC15">
        <v>87.9</v>
      </c>
    </row>
    <row r="16" spans="1:29">
      <c r="A16">
        <v>15</v>
      </c>
      <c r="B16" t="s">
        <v>5598</v>
      </c>
      <c r="C16" t="s">
        <v>39</v>
      </c>
      <c r="D16" t="s">
        <v>5587</v>
      </c>
      <c r="E16" t="s">
        <v>29</v>
      </c>
      <c r="F16" t="s">
        <v>5615</v>
      </c>
      <c r="G16" t="s">
        <v>5589</v>
      </c>
      <c r="H16" t="s">
        <v>5590</v>
      </c>
      <c r="I16">
        <v>5</v>
      </c>
      <c r="J16" t="s">
        <v>5591</v>
      </c>
      <c r="K16">
        <v>96.1</v>
      </c>
      <c r="L16">
        <v>30</v>
      </c>
      <c r="M16">
        <v>93.7</v>
      </c>
      <c r="N16">
        <v>41</v>
      </c>
      <c r="O16">
        <v>100</v>
      </c>
      <c r="P16">
        <v>5</v>
      </c>
      <c r="Q16">
        <v>100</v>
      </c>
      <c r="R16">
        <v>3</v>
      </c>
      <c r="S16">
        <v>100</v>
      </c>
      <c r="T16">
        <v>63</v>
      </c>
      <c r="U16">
        <v>81</v>
      </c>
      <c r="V16">
        <v>159</v>
      </c>
      <c r="W16">
        <v>22.8</v>
      </c>
      <c r="X16">
        <v>521</v>
      </c>
      <c r="Y16">
        <v>34.200000000000003</v>
      </c>
      <c r="Z16">
        <v>225</v>
      </c>
      <c r="AA16">
        <v>41.4</v>
      </c>
      <c r="AB16">
        <v>357</v>
      </c>
      <c r="AC16">
        <v>87.8</v>
      </c>
    </row>
    <row r="17" spans="1:29">
      <c r="A17">
        <v>16</v>
      </c>
      <c r="B17">
        <v>18</v>
      </c>
      <c r="C17" t="s">
        <v>47</v>
      </c>
      <c r="D17" t="s">
        <v>5587</v>
      </c>
      <c r="E17" t="s">
        <v>29</v>
      </c>
      <c r="F17" t="s">
        <v>5588</v>
      </c>
      <c r="G17" t="s">
        <v>5594</v>
      </c>
      <c r="H17" t="s">
        <v>5590</v>
      </c>
      <c r="I17">
        <v>5</v>
      </c>
      <c r="J17" t="s">
        <v>5591</v>
      </c>
      <c r="K17">
        <v>99.9</v>
      </c>
      <c r="L17">
        <v>9</v>
      </c>
      <c r="M17">
        <v>99.9</v>
      </c>
      <c r="N17">
        <v>7</v>
      </c>
      <c r="O17">
        <v>100</v>
      </c>
      <c r="P17">
        <v>3</v>
      </c>
      <c r="Q17">
        <v>45.8</v>
      </c>
      <c r="R17">
        <v>293</v>
      </c>
      <c r="S17">
        <v>89.8</v>
      </c>
      <c r="T17">
        <v>184</v>
      </c>
      <c r="U17">
        <v>78.8</v>
      </c>
      <c r="V17">
        <v>169</v>
      </c>
      <c r="W17">
        <v>85.8</v>
      </c>
      <c r="X17">
        <v>112</v>
      </c>
      <c r="Y17">
        <v>99.9</v>
      </c>
      <c r="Z17">
        <v>9</v>
      </c>
      <c r="AA17">
        <v>99.2</v>
      </c>
      <c r="AB17">
        <v>13</v>
      </c>
      <c r="AC17">
        <v>87.7</v>
      </c>
    </row>
    <row r="18" spans="1:29">
      <c r="A18">
        <f>17</f>
        <v>17</v>
      </c>
      <c r="B18">
        <v>12</v>
      </c>
      <c r="C18" t="s">
        <v>59</v>
      </c>
      <c r="D18" t="s">
        <v>5616</v>
      </c>
      <c r="E18" t="s">
        <v>54</v>
      </c>
      <c r="F18" t="s">
        <v>5605</v>
      </c>
      <c r="G18" t="s">
        <v>5594</v>
      </c>
      <c r="H18" t="s">
        <v>5590</v>
      </c>
      <c r="I18">
        <v>5</v>
      </c>
      <c r="J18" t="s">
        <v>5595</v>
      </c>
      <c r="K18">
        <v>99.4</v>
      </c>
      <c r="L18">
        <v>14</v>
      </c>
      <c r="M18">
        <v>95.4</v>
      </c>
      <c r="N18">
        <v>37</v>
      </c>
      <c r="O18">
        <v>90.4</v>
      </c>
      <c r="P18">
        <v>85</v>
      </c>
      <c r="Q18">
        <v>97.5</v>
      </c>
      <c r="R18">
        <v>38</v>
      </c>
      <c r="S18">
        <v>50.8</v>
      </c>
      <c r="T18">
        <v>354</v>
      </c>
      <c r="U18">
        <v>23.5</v>
      </c>
      <c r="V18">
        <v>492</v>
      </c>
      <c r="W18">
        <v>43.2</v>
      </c>
      <c r="X18">
        <v>353</v>
      </c>
      <c r="Y18">
        <v>82.6</v>
      </c>
      <c r="Z18">
        <v>46</v>
      </c>
      <c r="AA18">
        <v>68.8</v>
      </c>
      <c r="AB18">
        <v>212</v>
      </c>
      <c r="AC18">
        <v>87</v>
      </c>
    </row>
    <row r="19" spans="1:29">
      <c r="A19">
        <f>17</f>
        <v>17</v>
      </c>
      <c r="B19" t="s">
        <v>5617</v>
      </c>
      <c r="C19" t="s">
        <v>37</v>
      </c>
      <c r="D19" t="s">
        <v>5587</v>
      </c>
      <c r="E19" t="s">
        <v>29</v>
      </c>
      <c r="F19" t="s">
        <v>5588</v>
      </c>
      <c r="G19" t="s">
        <v>5589</v>
      </c>
      <c r="H19" t="s">
        <v>5590</v>
      </c>
      <c r="I19">
        <v>5</v>
      </c>
      <c r="J19" t="s">
        <v>5591</v>
      </c>
      <c r="K19">
        <v>99.8</v>
      </c>
      <c r="L19">
        <v>10</v>
      </c>
      <c r="M19">
        <v>97.5</v>
      </c>
      <c r="N19">
        <v>23</v>
      </c>
      <c r="O19">
        <v>64.5</v>
      </c>
      <c r="P19">
        <v>216</v>
      </c>
      <c r="Q19">
        <v>100</v>
      </c>
      <c r="R19">
        <v>2</v>
      </c>
      <c r="S19">
        <v>16.7</v>
      </c>
      <c r="T19">
        <v>640</v>
      </c>
      <c r="U19">
        <v>57.5</v>
      </c>
      <c r="V19">
        <v>261</v>
      </c>
      <c r="W19">
        <v>52.5</v>
      </c>
      <c r="X19">
        <v>298</v>
      </c>
      <c r="Y19">
        <v>94.6</v>
      </c>
      <c r="Z19">
        <v>27</v>
      </c>
      <c r="AA19">
        <v>79.3</v>
      </c>
      <c r="AB19">
        <v>155</v>
      </c>
      <c r="AC19">
        <v>87</v>
      </c>
    </row>
    <row r="20" spans="1:29">
      <c r="A20">
        <f>19</f>
        <v>19</v>
      </c>
      <c r="B20">
        <v>45</v>
      </c>
      <c r="C20" t="s">
        <v>5618</v>
      </c>
      <c r="D20" t="s">
        <v>5612</v>
      </c>
      <c r="E20" t="s">
        <v>116</v>
      </c>
      <c r="F20" t="s">
        <v>5605</v>
      </c>
      <c r="G20" t="s">
        <v>5594</v>
      </c>
      <c r="H20" t="s">
        <v>5590</v>
      </c>
      <c r="I20">
        <v>4</v>
      </c>
      <c r="J20" t="s">
        <v>5595</v>
      </c>
      <c r="K20">
        <v>89.7</v>
      </c>
      <c r="L20">
        <v>45</v>
      </c>
      <c r="M20">
        <v>88.1</v>
      </c>
      <c r="N20">
        <v>55</v>
      </c>
      <c r="O20">
        <v>18.2</v>
      </c>
      <c r="P20" t="s">
        <v>5613</v>
      </c>
      <c r="Q20">
        <v>95.9</v>
      </c>
      <c r="R20">
        <v>47</v>
      </c>
      <c r="S20">
        <v>100</v>
      </c>
      <c r="T20">
        <v>55</v>
      </c>
      <c r="U20">
        <v>99.1</v>
      </c>
      <c r="V20">
        <v>50</v>
      </c>
      <c r="W20">
        <v>99</v>
      </c>
      <c r="X20">
        <v>15</v>
      </c>
      <c r="Y20">
        <v>95.5</v>
      </c>
      <c r="Z20">
        <v>25</v>
      </c>
      <c r="AA20">
        <v>99.6</v>
      </c>
      <c r="AB20">
        <v>10</v>
      </c>
      <c r="AC20">
        <v>86.7</v>
      </c>
    </row>
    <row r="21" spans="1:29">
      <c r="A21">
        <f>19</f>
        <v>19</v>
      </c>
      <c r="B21">
        <v>41</v>
      </c>
      <c r="C21" t="s">
        <v>174</v>
      </c>
      <c r="D21" t="s">
        <v>5612</v>
      </c>
      <c r="E21" t="s">
        <v>116</v>
      </c>
      <c r="F21" t="s">
        <v>5605</v>
      </c>
      <c r="G21" t="s">
        <v>5594</v>
      </c>
      <c r="H21" t="s">
        <v>5590</v>
      </c>
      <c r="I21">
        <v>5</v>
      </c>
      <c r="J21" t="s">
        <v>5595</v>
      </c>
      <c r="K21">
        <v>96</v>
      </c>
      <c r="L21">
        <v>31</v>
      </c>
      <c r="M21">
        <v>87.7</v>
      </c>
      <c r="N21">
        <v>57</v>
      </c>
      <c r="O21">
        <v>11.8</v>
      </c>
      <c r="P21" t="s">
        <v>5613</v>
      </c>
      <c r="Q21">
        <v>93.5</v>
      </c>
      <c r="R21">
        <v>63</v>
      </c>
      <c r="S21">
        <v>99.5</v>
      </c>
      <c r="T21">
        <v>89</v>
      </c>
      <c r="U21">
        <v>100</v>
      </c>
      <c r="V21">
        <v>13</v>
      </c>
      <c r="W21">
        <v>91.9</v>
      </c>
      <c r="X21">
        <v>70</v>
      </c>
      <c r="Y21">
        <v>88.1</v>
      </c>
      <c r="Z21">
        <v>42</v>
      </c>
      <c r="AA21">
        <v>99.7</v>
      </c>
      <c r="AB21">
        <v>7</v>
      </c>
      <c r="AC21">
        <v>86.7</v>
      </c>
    </row>
    <row r="22" spans="1:29">
      <c r="A22">
        <v>21</v>
      </c>
      <c r="B22" t="s">
        <v>5619</v>
      </c>
      <c r="C22" t="s">
        <v>75</v>
      </c>
      <c r="D22" t="s">
        <v>5620</v>
      </c>
      <c r="E22" t="s">
        <v>76</v>
      </c>
      <c r="F22" t="s">
        <v>5605</v>
      </c>
      <c r="G22" t="s">
        <v>5594</v>
      </c>
      <c r="H22" t="s">
        <v>5590</v>
      </c>
      <c r="I22">
        <v>5</v>
      </c>
      <c r="J22" t="s">
        <v>5595</v>
      </c>
      <c r="K22">
        <v>99.7</v>
      </c>
      <c r="L22">
        <v>11</v>
      </c>
      <c r="M22">
        <v>96</v>
      </c>
      <c r="N22">
        <v>33</v>
      </c>
      <c r="O22">
        <v>54.2</v>
      </c>
      <c r="P22">
        <v>283</v>
      </c>
      <c r="Q22">
        <v>57.2</v>
      </c>
      <c r="R22">
        <v>226</v>
      </c>
      <c r="S22">
        <v>95.7</v>
      </c>
      <c r="T22">
        <v>145</v>
      </c>
      <c r="U22">
        <v>96.4</v>
      </c>
      <c r="V22">
        <v>80</v>
      </c>
      <c r="W22">
        <v>95.5</v>
      </c>
      <c r="X22">
        <v>46</v>
      </c>
      <c r="Y22">
        <v>96.4</v>
      </c>
      <c r="Z22">
        <v>22</v>
      </c>
      <c r="AA22">
        <v>99.9</v>
      </c>
      <c r="AB22">
        <v>2</v>
      </c>
      <c r="AC22">
        <v>86.3</v>
      </c>
    </row>
    <row r="23" spans="1:29">
      <c r="A23">
        <v>22</v>
      </c>
      <c r="B23">
        <v>15</v>
      </c>
      <c r="C23" t="s">
        <v>5621</v>
      </c>
      <c r="D23" t="s">
        <v>5592</v>
      </c>
      <c r="E23" t="s">
        <v>26</v>
      </c>
      <c r="F23" t="s">
        <v>5605</v>
      </c>
      <c r="G23" t="s">
        <v>5594</v>
      </c>
      <c r="H23" t="s">
        <v>5590</v>
      </c>
      <c r="I23">
        <v>5</v>
      </c>
      <c r="J23" t="s">
        <v>5595</v>
      </c>
      <c r="K23">
        <v>98.1</v>
      </c>
      <c r="L23">
        <v>25</v>
      </c>
      <c r="M23">
        <v>96.9</v>
      </c>
      <c r="N23">
        <v>26</v>
      </c>
      <c r="O23">
        <v>72.400000000000006</v>
      </c>
      <c r="P23">
        <v>176</v>
      </c>
      <c r="Q23">
        <v>58.7</v>
      </c>
      <c r="R23">
        <v>216</v>
      </c>
      <c r="S23">
        <v>98.8</v>
      </c>
      <c r="T23">
        <v>100</v>
      </c>
      <c r="U23">
        <v>99.9</v>
      </c>
      <c r="V23">
        <v>33</v>
      </c>
      <c r="W23">
        <v>99.6</v>
      </c>
      <c r="X23">
        <v>12</v>
      </c>
      <c r="Y23">
        <v>48.1</v>
      </c>
      <c r="Z23">
        <v>141</v>
      </c>
      <c r="AA23">
        <v>99.7</v>
      </c>
      <c r="AB23">
        <v>6</v>
      </c>
      <c r="AC23">
        <v>86.1</v>
      </c>
    </row>
    <row r="24" spans="1:29">
      <c r="A24">
        <v>23</v>
      </c>
      <c r="B24">
        <v>22</v>
      </c>
      <c r="C24" t="s">
        <v>65</v>
      </c>
      <c r="D24" t="s">
        <v>5587</v>
      </c>
      <c r="E24" t="s">
        <v>29</v>
      </c>
      <c r="F24" t="s">
        <v>5605</v>
      </c>
      <c r="G24" t="s">
        <v>5594</v>
      </c>
      <c r="H24" t="s">
        <v>5590</v>
      </c>
      <c r="I24">
        <v>5</v>
      </c>
      <c r="J24" t="s">
        <v>5591</v>
      </c>
      <c r="K24">
        <v>99.6</v>
      </c>
      <c r="L24">
        <v>12</v>
      </c>
      <c r="M24">
        <v>98.3</v>
      </c>
      <c r="N24">
        <v>16</v>
      </c>
      <c r="O24">
        <v>100</v>
      </c>
      <c r="P24">
        <v>15</v>
      </c>
      <c r="Q24">
        <v>40.700000000000003</v>
      </c>
      <c r="R24">
        <v>339</v>
      </c>
      <c r="S24">
        <v>56.1</v>
      </c>
      <c r="T24">
        <v>332</v>
      </c>
      <c r="U24">
        <v>96.8</v>
      </c>
      <c r="V24">
        <v>76</v>
      </c>
      <c r="W24">
        <v>97.6</v>
      </c>
      <c r="X24">
        <v>25</v>
      </c>
      <c r="Y24">
        <v>99.9</v>
      </c>
      <c r="Z24">
        <v>10</v>
      </c>
      <c r="AA24">
        <v>94.2</v>
      </c>
      <c r="AB24" t="s">
        <v>5622</v>
      </c>
      <c r="AC24">
        <v>85.9</v>
      </c>
    </row>
    <row r="25" spans="1:29">
      <c r="A25">
        <v>24</v>
      </c>
      <c r="B25">
        <v>26</v>
      </c>
      <c r="C25" t="s">
        <v>5623</v>
      </c>
      <c r="D25" t="s">
        <v>5624</v>
      </c>
      <c r="E25" t="s">
        <v>125</v>
      </c>
      <c r="F25" t="s">
        <v>5593</v>
      </c>
      <c r="G25" t="s">
        <v>5589</v>
      </c>
      <c r="H25" t="s">
        <v>5590</v>
      </c>
      <c r="I25">
        <v>1</v>
      </c>
      <c r="J25" t="s">
        <v>5595</v>
      </c>
      <c r="K25">
        <v>73.7</v>
      </c>
      <c r="L25">
        <v>82</v>
      </c>
      <c r="M25">
        <v>97</v>
      </c>
      <c r="N25">
        <v>25</v>
      </c>
      <c r="O25">
        <v>99.3</v>
      </c>
      <c r="P25">
        <v>33</v>
      </c>
      <c r="Q25">
        <v>95.7</v>
      </c>
      <c r="R25">
        <v>49</v>
      </c>
      <c r="S25">
        <v>69.2</v>
      </c>
      <c r="T25">
        <v>280</v>
      </c>
      <c r="U25">
        <v>72.7</v>
      </c>
      <c r="V25">
        <v>196</v>
      </c>
      <c r="W25">
        <v>100</v>
      </c>
      <c r="X25">
        <v>3</v>
      </c>
      <c r="Y25">
        <v>60.8</v>
      </c>
      <c r="Z25">
        <v>97</v>
      </c>
      <c r="AA25">
        <v>80.400000000000006</v>
      </c>
      <c r="AB25" t="s">
        <v>5625</v>
      </c>
      <c r="AC25">
        <v>85.8</v>
      </c>
    </row>
    <row r="26" spans="1:29">
      <c r="A26">
        <v>25</v>
      </c>
      <c r="B26">
        <v>14</v>
      </c>
      <c r="C26" t="s">
        <v>53</v>
      </c>
      <c r="D26" t="s">
        <v>5616</v>
      </c>
      <c r="E26" t="s">
        <v>54</v>
      </c>
      <c r="F26" t="s">
        <v>5605</v>
      </c>
      <c r="G26" t="s">
        <v>5594</v>
      </c>
      <c r="H26" t="s">
        <v>5590</v>
      </c>
      <c r="I26">
        <v>4</v>
      </c>
      <c r="J26" t="s">
        <v>5595</v>
      </c>
      <c r="K26">
        <v>99.1</v>
      </c>
      <c r="L26">
        <v>16</v>
      </c>
      <c r="M26">
        <v>96.9</v>
      </c>
      <c r="N26">
        <v>27</v>
      </c>
      <c r="O26">
        <v>93.9</v>
      </c>
      <c r="P26">
        <v>67</v>
      </c>
      <c r="Q26">
        <v>98.9</v>
      </c>
      <c r="R26">
        <v>22</v>
      </c>
      <c r="S26">
        <v>9.4</v>
      </c>
      <c r="T26" t="s">
        <v>5613</v>
      </c>
      <c r="U26">
        <v>15.7</v>
      </c>
      <c r="V26">
        <v>603</v>
      </c>
      <c r="W26">
        <v>47.8</v>
      </c>
      <c r="X26">
        <v>328</v>
      </c>
      <c r="Y26">
        <v>82.2</v>
      </c>
      <c r="Z26">
        <v>47</v>
      </c>
      <c r="AA26">
        <v>55.8</v>
      </c>
      <c r="AB26" t="s">
        <v>5626</v>
      </c>
      <c r="AC26">
        <v>84.9</v>
      </c>
    </row>
    <row r="27" spans="1:29">
      <c r="A27">
        <f>26</f>
        <v>26</v>
      </c>
      <c r="B27">
        <v>19</v>
      </c>
      <c r="C27" t="s">
        <v>101</v>
      </c>
      <c r="D27" t="s">
        <v>5604</v>
      </c>
      <c r="E27" t="s">
        <v>70</v>
      </c>
      <c r="F27" t="s">
        <v>5593</v>
      </c>
      <c r="G27" t="s">
        <v>5594</v>
      </c>
      <c r="H27" t="s">
        <v>5590</v>
      </c>
      <c r="I27">
        <v>3</v>
      </c>
      <c r="J27" t="s">
        <v>5595</v>
      </c>
      <c r="K27">
        <v>91</v>
      </c>
      <c r="L27">
        <v>42</v>
      </c>
      <c r="M27">
        <v>67.099999999999994</v>
      </c>
      <c r="N27">
        <v>115</v>
      </c>
      <c r="O27">
        <v>77.599999999999994</v>
      </c>
      <c r="P27">
        <v>149</v>
      </c>
      <c r="Q27">
        <v>94.4</v>
      </c>
      <c r="R27">
        <v>56</v>
      </c>
      <c r="S27">
        <v>100</v>
      </c>
      <c r="T27">
        <v>35</v>
      </c>
      <c r="U27">
        <v>80.2</v>
      </c>
      <c r="V27">
        <v>161</v>
      </c>
      <c r="W27">
        <v>66.099999999999994</v>
      </c>
      <c r="X27">
        <v>212</v>
      </c>
      <c r="Y27">
        <v>68.400000000000006</v>
      </c>
      <c r="Z27">
        <v>79</v>
      </c>
      <c r="AA27">
        <v>78.2</v>
      </c>
      <c r="AB27" t="s">
        <v>5627</v>
      </c>
      <c r="AC27">
        <v>84.5</v>
      </c>
    </row>
    <row r="28" spans="1:29">
      <c r="A28">
        <f>26</f>
        <v>26</v>
      </c>
      <c r="B28">
        <v>21</v>
      </c>
      <c r="C28" t="s">
        <v>5628</v>
      </c>
      <c r="D28" t="s">
        <v>5629</v>
      </c>
      <c r="E28" t="s">
        <v>5630</v>
      </c>
      <c r="F28" t="s">
        <v>5593</v>
      </c>
      <c r="G28" t="s">
        <v>5594</v>
      </c>
      <c r="H28" t="s">
        <v>5590</v>
      </c>
      <c r="I28">
        <v>5</v>
      </c>
      <c r="J28" t="s">
        <v>5595</v>
      </c>
      <c r="K28">
        <v>97.6</v>
      </c>
      <c r="L28">
        <v>27</v>
      </c>
      <c r="M28">
        <v>51.4</v>
      </c>
      <c r="N28">
        <v>159</v>
      </c>
      <c r="O28">
        <v>82.9</v>
      </c>
      <c r="P28">
        <v>121</v>
      </c>
      <c r="Q28">
        <v>82.3</v>
      </c>
      <c r="R28">
        <v>102</v>
      </c>
      <c r="S28">
        <v>100</v>
      </c>
      <c r="T28">
        <v>28</v>
      </c>
      <c r="U28">
        <v>99</v>
      </c>
      <c r="V28">
        <v>52</v>
      </c>
      <c r="W28">
        <v>42.7</v>
      </c>
      <c r="X28">
        <v>355</v>
      </c>
      <c r="Y28">
        <v>99.5</v>
      </c>
      <c r="Z28">
        <v>14</v>
      </c>
      <c r="AA28">
        <v>97.3</v>
      </c>
      <c r="AB28">
        <v>32</v>
      </c>
      <c r="AC28">
        <v>84.5</v>
      </c>
    </row>
    <row r="29" spans="1:29">
      <c r="A29">
        <v>28</v>
      </c>
      <c r="B29">
        <v>24</v>
      </c>
      <c r="C29" t="s">
        <v>61</v>
      </c>
      <c r="D29" t="s">
        <v>5587</v>
      </c>
      <c r="E29" t="s">
        <v>29</v>
      </c>
      <c r="F29" t="s">
        <v>5593</v>
      </c>
      <c r="G29" t="s">
        <v>5594</v>
      </c>
      <c r="H29" t="s">
        <v>5590</v>
      </c>
      <c r="I29">
        <v>5</v>
      </c>
      <c r="J29" t="s">
        <v>5591</v>
      </c>
      <c r="K29">
        <v>87.3</v>
      </c>
      <c r="L29">
        <v>51</v>
      </c>
      <c r="M29">
        <v>59.7</v>
      </c>
      <c r="N29">
        <v>134</v>
      </c>
      <c r="O29">
        <v>100</v>
      </c>
      <c r="P29">
        <v>8</v>
      </c>
      <c r="Q29">
        <v>89.4</v>
      </c>
      <c r="R29">
        <v>77</v>
      </c>
      <c r="S29">
        <v>64.400000000000006</v>
      </c>
      <c r="T29">
        <v>300</v>
      </c>
      <c r="U29">
        <v>91.4</v>
      </c>
      <c r="V29">
        <v>111</v>
      </c>
      <c r="W29">
        <v>98.1</v>
      </c>
      <c r="X29">
        <v>21</v>
      </c>
      <c r="Y29">
        <v>74.5</v>
      </c>
      <c r="Z29">
        <v>60</v>
      </c>
      <c r="AA29">
        <v>84.6</v>
      </c>
      <c r="AB29">
        <v>122</v>
      </c>
      <c r="AC29">
        <v>84.5</v>
      </c>
    </row>
    <row r="30" spans="1:29">
      <c r="A30">
        <v>28</v>
      </c>
      <c r="B30">
        <v>23</v>
      </c>
      <c r="C30" t="s">
        <v>93</v>
      </c>
      <c r="D30" t="s">
        <v>5631</v>
      </c>
      <c r="E30" t="s">
        <v>94</v>
      </c>
      <c r="F30" t="s">
        <v>5593</v>
      </c>
      <c r="G30" t="s">
        <v>5594</v>
      </c>
      <c r="H30" t="s">
        <v>5590</v>
      </c>
      <c r="I30">
        <v>5</v>
      </c>
      <c r="J30" t="s">
        <v>5595</v>
      </c>
      <c r="K30">
        <v>100</v>
      </c>
      <c r="L30">
        <v>7</v>
      </c>
      <c r="M30">
        <v>99.8</v>
      </c>
      <c r="N30">
        <v>9</v>
      </c>
      <c r="O30">
        <v>90.4</v>
      </c>
      <c r="P30">
        <v>84</v>
      </c>
      <c r="Q30">
        <v>70</v>
      </c>
      <c r="R30">
        <v>148</v>
      </c>
      <c r="S30">
        <v>10.3</v>
      </c>
      <c r="T30" t="s">
        <v>5613</v>
      </c>
      <c r="U30">
        <v>29.2</v>
      </c>
      <c r="V30">
        <v>427</v>
      </c>
      <c r="W30">
        <v>70</v>
      </c>
      <c r="X30">
        <v>196</v>
      </c>
      <c r="Y30">
        <v>99.8</v>
      </c>
      <c r="Z30">
        <v>11</v>
      </c>
      <c r="AA30">
        <v>99.7</v>
      </c>
      <c r="AB30">
        <v>5</v>
      </c>
      <c r="AC30">
        <v>84.3</v>
      </c>
    </row>
    <row r="31" spans="1:29">
      <c r="A31">
        <v>29</v>
      </c>
      <c r="B31">
        <v>44</v>
      </c>
      <c r="C31" t="s">
        <v>67</v>
      </c>
      <c r="D31" t="s">
        <v>5587</v>
      </c>
      <c r="E31" t="s">
        <v>29</v>
      </c>
      <c r="F31" t="s">
        <v>5605</v>
      </c>
      <c r="G31" t="s">
        <v>5594</v>
      </c>
      <c r="H31" t="s">
        <v>5590</v>
      </c>
      <c r="I31">
        <v>5</v>
      </c>
      <c r="J31" t="s">
        <v>5595</v>
      </c>
      <c r="K31">
        <v>100</v>
      </c>
      <c r="L31">
        <v>8</v>
      </c>
      <c r="M31">
        <v>99.8</v>
      </c>
      <c r="N31">
        <v>8</v>
      </c>
      <c r="O31">
        <v>36.6</v>
      </c>
      <c r="P31">
        <v>435</v>
      </c>
      <c r="Q31">
        <v>84.8</v>
      </c>
      <c r="R31">
        <v>96</v>
      </c>
      <c r="S31">
        <v>43.4</v>
      </c>
      <c r="T31">
        <v>386</v>
      </c>
      <c r="U31">
        <v>24.8</v>
      </c>
      <c r="V31">
        <v>477</v>
      </c>
      <c r="W31">
        <v>89.8</v>
      </c>
      <c r="X31">
        <v>86</v>
      </c>
      <c r="Y31">
        <v>97</v>
      </c>
      <c r="Z31">
        <v>20</v>
      </c>
      <c r="AA31">
        <v>91.2</v>
      </c>
      <c r="AB31">
        <v>86</v>
      </c>
      <c r="AC31">
        <v>83.8</v>
      </c>
    </row>
    <row r="32" spans="1:29">
      <c r="A32">
        <v>30</v>
      </c>
      <c r="B32">
        <v>31</v>
      </c>
      <c r="C32" t="s">
        <v>147</v>
      </c>
      <c r="D32" t="s">
        <v>5620</v>
      </c>
      <c r="E32" t="s">
        <v>76</v>
      </c>
      <c r="F32" t="s">
        <v>5605</v>
      </c>
      <c r="G32" t="s">
        <v>5594</v>
      </c>
      <c r="H32" t="s">
        <v>5590</v>
      </c>
      <c r="I32">
        <v>5</v>
      </c>
      <c r="J32" t="s">
        <v>5595</v>
      </c>
      <c r="K32">
        <v>93.7</v>
      </c>
      <c r="L32">
        <v>34</v>
      </c>
      <c r="M32">
        <v>87.6</v>
      </c>
      <c r="N32">
        <v>58</v>
      </c>
      <c r="O32">
        <v>64</v>
      </c>
      <c r="P32">
        <v>219</v>
      </c>
      <c r="Q32">
        <v>62.1</v>
      </c>
      <c r="R32">
        <v>195</v>
      </c>
      <c r="S32">
        <v>88.9</v>
      </c>
      <c r="T32">
        <v>188</v>
      </c>
      <c r="U32">
        <v>93.3</v>
      </c>
      <c r="V32">
        <v>98</v>
      </c>
      <c r="W32">
        <v>86.2</v>
      </c>
      <c r="X32">
        <v>107</v>
      </c>
      <c r="Y32">
        <v>92.5</v>
      </c>
      <c r="Z32">
        <v>33</v>
      </c>
      <c r="AA32">
        <v>94.2</v>
      </c>
      <c r="AB32" t="s">
        <v>5622</v>
      </c>
      <c r="AC32">
        <v>83.7</v>
      </c>
    </row>
    <row r="33" spans="1:29">
      <c r="A33">
        <v>32</v>
      </c>
      <c r="B33">
        <v>28</v>
      </c>
      <c r="C33" t="s">
        <v>5632</v>
      </c>
      <c r="D33" t="s">
        <v>5592</v>
      </c>
      <c r="E33" t="s">
        <v>26</v>
      </c>
      <c r="F33" t="s">
        <v>5605</v>
      </c>
      <c r="G33" t="s">
        <v>5594</v>
      </c>
      <c r="H33" t="s">
        <v>5590</v>
      </c>
      <c r="I33">
        <v>5</v>
      </c>
      <c r="J33" t="s">
        <v>5595</v>
      </c>
      <c r="K33">
        <v>95.4</v>
      </c>
      <c r="L33">
        <v>33</v>
      </c>
      <c r="M33">
        <v>98</v>
      </c>
      <c r="N33">
        <v>21</v>
      </c>
      <c r="O33">
        <v>53.8</v>
      </c>
      <c r="P33">
        <v>288</v>
      </c>
      <c r="Q33">
        <v>49.1</v>
      </c>
      <c r="R33">
        <v>274</v>
      </c>
      <c r="S33">
        <v>93.5</v>
      </c>
      <c r="T33">
        <v>160</v>
      </c>
      <c r="U33">
        <v>99.4</v>
      </c>
      <c r="V33">
        <v>44</v>
      </c>
      <c r="W33">
        <v>99.7</v>
      </c>
      <c r="X33">
        <v>10</v>
      </c>
      <c r="Y33">
        <v>71.900000000000006</v>
      </c>
      <c r="Z33">
        <v>66</v>
      </c>
      <c r="AA33">
        <v>92.3</v>
      </c>
      <c r="AB33" t="s">
        <v>5633</v>
      </c>
      <c r="AC33">
        <v>82.2</v>
      </c>
    </row>
    <row r="34" spans="1:29">
      <c r="A34">
        <v>33</v>
      </c>
      <c r="B34">
        <v>25</v>
      </c>
      <c r="C34" t="s">
        <v>81</v>
      </c>
      <c r="D34" t="s">
        <v>5587</v>
      </c>
      <c r="E34" t="s">
        <v>29</v>
      </c>
      <c r="F34" t="s">
        <v>5605</v>
      </c>
      <c r="G34" t="s">
        <v>5594</v>
      </c>
      <c r="H34" t="s">
        <v>5590</v>
      </c>
      <c r="I34">
        <v>5</v>
      </c>
      <c r="J34" t="s">
        <v>5595</v>
      </c>
      <c r="K34">
        <v>98.3</v>
      </c>
      <c r="L34">
        <v>22</v>
      </c>
      <c r="M34">
        <v>89.9</v>
      </c>
      <c r="N34">
        <v>48</v>
      </c>
      <c r="O34">
        <v>82.2</v>
      </c>
      <c r="P34">
        <v>127</v>
      </c>
      <c r="Q34">
        <v>56.2</v>
      </c>
      <c r="R34">
        <v>231</v>
      </c>
      <c r="S34">
        <v>67</v>
      </c>
      <c r="T34">
        <v>292</v>
      </c>
      <c r="U34">
        <v>27.6</v>
      </c>
      <c r="V34">
        <v>445</v>
      </c>
      <c r="W34">
        <v>95.4</v>
      </c>
      <c r="X34">
        <v>48</v>
      </c>
      <c r="Y34">
        <v>94.3</v>
      </c>
      <c r="Z34">
        <v>29</v>
      </c>
      <c r="AA34">
        <v>83.7</v>
      </c>
      <c r="AB34" t="s">
        <v>5634</v>
      </c>
      <c r="AC34">
        <v>81.7</v>
      </c>
    </row>
    <row r="35" spans="1:29">
      <c r="A35">
        <f>34</f>
        <v>34</v>
      </c>
      <c r="B35">
        <v>30</v>
      </c>
      <c r="C35" t="s">
        <v>5635</v>
      </c>
      <c r="D35" t="s">
        <v>5612</v>
      </c>
      <c r="E35" t="s">
        <v>116</v>
      </c>
      <c r="F35" t="s">
        <v>5593</v>
      </c>
      <c r="G35" t="s">
        <v>5594</v>
      </c>
      <c r="H35" t="s">
        <v>5590</v>
      </c>
      <c r="I35">
        <v>4</v>
      </c>
      <c r="J35" t="s">
        <v>5595</v>
      </c>
      <c r="K35">
        <v>93.2</v>
      </c>
      <c r="L35">
        <v>37</v>
      </c>
      <c r="M35">
        <v>70.2</v>
      </c>
      <c r="N35">
        <v>102</v>
      </c>
      <c r="O35">
        <v>34.9</v>
      </c>
      <c r="P35">
        <v>455</v>
      </c>
      <c r="Q35">
        <v>92.8</v>
      </c>
      <c r="R35">
        <v>65</v>
      </c>
      <c r="S35">
        <v>100</v>
      </c>
      <c r="T35">
        <v>38</v>
      </c>
      <c r="U35">
        <v>93.3</v>
      </c>
      <c r="V35">
        <v>97</v>
      </c>
      <c r="W35">
        <v>78.5</v>
      </c>
      <c r="X35">
        <v>156</v>
      </c>
      <c r="Y35">
        <v>43.9</v>
      </c>
      <c r="Z35">
        <v>164</v>
      </c>
      <c r="AA35">
        <v>87.4</v>
      </c>
      <c r="AB35" t="s">
        <v>5636</v>
      </c>
      <c r="AC35">
        <v>81.5</v>
      </c>
    </row>
    <row r="36" spans="1:29">
      <c r="A36">
        <f>34</f>
        <v>34</v>
      </c>
      <c r="B36">
        <v>47</v>
      </c>
      <c r="C36" t="s">
        <v>127</v>
      </c>
      <c r="D36" t="s">
        <v>5620</v>
      </c>
      <c r="E36" t="s">
        <v>76</v>
      </c>
      <c r="F36" t="s">
        <v>5605</v>
      </c>
      <c r="G36" t="s">
        <v>5594</v>
      </c>
      <c r="H36" t="s">
        <v>5590</v>
      </c>
      <c r="I36">
        <v>5</v>
      </c>
      <c r="J36" t="s">
        <v>5595</v>
      </c>
      <c r="K36">
        <v>98.2</v>
      </c>
      <c r="L36">
        <v>24</v>
      </c>
      <c r="M36">
        <v>93.5</v>
      </c>
      <c r="N36">
        <v>43</v>
      </c>
      <c r="O36">
        <v>44.4</v>
      </c>
      <c r="P36">
        <v>354</v>
      </c>
      <c r="Q36">
        <v>57</v>
      </c>
      <c r="R36">
        <v>227</v>
      </c>
      <c r="S36">
        <v>96.4</v>
      </c>
      <c r="T36">
        <v>134</v>
      </c>
      <c r="U36">
        <v>74.099999999999994</v>
      </c>
      <c r="V36">
        <v>189</v>
      </c>
      <c r="W36">
        <v>96.3</v>
      </c>
      <c r="X36">
        <v>37</v>
      </c>
      <c r="Y36">
        <v>60.1</v>
      </c>
      <c r="Z36">
        <v>99</v>
      </c>
      <c r="AA36">
        <v>99.9</v>
      </c>
      <c r="AB36" t="s">
        <v>5609</v>
      </c>
      <c r="AC36">
        <v>81.5</v>
      </c>
    </row>
    <row r="37" spans="1:29">
      <c r="A37">
        <v>36</v>
      </c>
      <c r="B37" t="s">
        <v>5617</v>
      </c>
      <c r="C37" t="s">
        <v>5637</v>
      </c>
      <c r="D37" t="s">
        <v>5601</v>
      </c>
      <c r="E37" t="s">
        <v>50</v>
      </c>
      <c r="F37" t="s">
        <v>5588</v>
      </c>
      <c r="G37" t="s">
        <v>5602</v>
      </c>
      <c r="H37" t="s">
        <v>5590</v>
      </c>
      <c r="I37">
        <v>5</v>
      </c>
      <c r="J37" t="s">
        <v>5595</v>
      </c>
      <c r="K37">
        <v>84.6</v>
      </c>
      <c r="L37">
        <v>57</v>
      </c>
      <c r="M37">
        <v>59.9</v>
      </c>
      <c r="N37">
        <v>133</v>
      </c>
      <c r="O37">
        <v>92.4</v>
      </c>
      <c r="P37">
        <v>73</v>
      </c>
      <c r="Q37">
        <v>98</v>
      </c>
      <c r="R37">
        <v>34</v>
      </c>
      <c r="S37">
        <v>100</v>
      </c>
      <c r="T37">
        <v>25</v>
      </c>
      <c r="U37">
        <v>100</v>
      </c>
      <c r="V37">
        <v>12</v>
      </c>
      <c r="W37">
        <v>65.599999999999994</v>
      </c>
      <c r="X37">
        <v>213</v>
      </c>
      <c r="Y37">
        <v>19.399999999999999</v>
      </c>
      <c r="Z37">
        <v>431</v>
      </c>
      <c r="AA37">
        <v>42.3</v>
      </c>
      <c r="AB37" t="s">
        <v>5638</v>
      </c>
      <c r="AC37">
        <v>80.400000000000006</v>
      </c>
    </row>
    <row r="38" spans="1:29">
      <c r="A38">
        <v>37</v>
      </c>
      <c r="B38">
        <v>49</v>
      </c>
      <c r="C38" t="s">
        <v>98</v>
      </c>
      <c r="D38" t="s">
        <v>5639</v>
      </c>
      <c r="E38" t="s">
        <v>99</v>
      </c>
      <c r="F38" t="s">
        <v>5605</v>
      </c>
      <c r="G38" t="s">
        <v>5602</v>
      </c>
      <c r="H38" t="s">
        <v>5590</v>
      </c>
      <c r="I38">
        <v>5</v>
      </c>
      <c r="J38" t="s">
        <v>5595</v>
      </c>
      <c r="K38">
        <v>83.9</v>
      </c>
      <c r="L38">
        <v>59</v>
      </c>
      <c r="M38">
        <v>98.2</v>
      </c>
      <c r="N38">
        <v>19</v>
      </c>
      <c r="O38">
        <v>88.8</v>
      </c>
      <c r="P38">
        <v>89</v>
      </c>
      <c r="Q38">
        <v>59.6</v>
      </c>
      <c r="R38">
        <v>210</v>
      </c>
      <c r="S38">
        <v>76.5</v>
      </c>
      <c r="T38">
        <v>243</v>
      </c>
      <c r="U38">
        <v>97.3</v>
      </c>
      <c r="V38">
        <v>71</v>
      </c>
      <c r="W38">
        <v>86.7</v>
      </c>
      <c r="X38">
        <v>103</v>
      </c>
      <c r="Y38">
        <v>25</v>
      </c>
      <c r="Z38">
        <v>330</v>
      </c>
      <c r="AA38">
        <v>84.8</v>
      </c>
      <c r="AB38" t="s">
        <v>5640</v>
      </c>
      <c r="AC38">
        <v>80</v>
      </c>
    </row>
    <row r="39" spans="1:29">
      <c r="A39">
        <f>38</f>
        <v>38</v>
      </c>
      <c r="B39">
        <v>48</v>
      </c>
      <c r="C39" t="s">
        <v>202</v>
      </c>
      <c r="D39" t="s">
        <v>5624</v>
      </c>
      <c r="E39" t="s">
        <v>125</v>
      </c>
      <c r="F39" t="s">
        <v>5588</v>
      </c>
      <c r="G39" t="s">
        <v>5589</v>
      </c>
      <c r="H39" t="s">
        <v>5590</v>
      </c>
      <c r="I39">
        <v>1</v>
      </c>
      <c r="J39" t="s">
        <v>5595</v>
      </c>
      <c r="K39">
        <v>44.8</v>
      </c>
      <c r="L39">
        <v>185</v>
      </c>
      <c r="M39">
        <v>99.6</v>
      </c>
      <c r="N39">
        <v>10</v>
      </c>
      <c r="O39">
        <v>97.3</v>
      </c>
      <c r="P39">
        <v>51</v>
      </c>
      <c r="Q39">
        <v>93.8</v>
      </c>
      <c r="R39">
        <v>59</v>
      </c>
      <c r="S39">
        <v>98.5</v>
      </c>
      <c r="T39">
        <v>106</v>
      </c>
      <c r="U39">
        <v>98.3</v>
      </c>
      <c r="V39">
        <v>58</v>
      </c>
      <c r="W39">
        <v>76.900000000000006</v>
      </c>
      <c r="X39">
        <v>163</v>
      </c>
      <c r="Y39">
        <v>90.3</v>
      </c>
      <c r="Z39">
        <v>35</v>
      </c>
      <c r="AA39">
        <v>72.5</v>
      </c>
      <c r="AB39" t="s">
        <v>5641</v>
      </c>
      <c r="AC39">
        <v>79.5</v>
      </c>
    </row>
    <row r="40" spans="1:29">
      <c r="A40">
        <f>38</f>
        <v>38</v>
      </c>
      <c r="B40">
        <v>39</v>
      </c>
      <c r="C40" t="s">
        <v>89</v>
      </c>
      <c r="D40" t="s">
        <v>5587</v>
      </c>
      <c r="E40" t="s">
        <v>29</v>
      </c>
      <c r="F40" t="s">
        <v>5605</v>
      </c>
      <c r="G40" t="s">
        <v>5594</v>
      </c>
      <c r="H40" t="s">
        <v>5590</v>
      </c>
      <c r="I40">
        <v>5</v>
      </c>
      <c r="J40" t="s">
        <v>5591</v>
      </c>
      <c r="K40">
        <v>95.9</v>
      </c>
      <c r="L40">
        <v>32</v>
      </c>
      <c r="M40">
        <v>98.5</v>
      </c>
      <c r="N40">
        <v>15</v>
      </c>
      <c r="O40">
        <v>95.5</v>
      </c>
      <c r="P40">
        <v>60</v>
      </c>
      <c r="Q40">
        <v>26.7</v>
      </c>
      <c r="R40">
        <v>465</v>
      </c>
      <c r="S40">
        <v>26.4</v>
      </c>
      <c r="T40">
        <v>518</v>
      </c>
      <c r="U40">
        <v>95</v>
      </c>
      <c r="V40">
        <v>87</v>
      </c>
      <c r="W40">
        <v>85.4</v>
      </c>
      <c r="X40">
        <v>114</v>
      </c>
      <c r="Y40">
        <v>99.7</v>
      </c>
      <c r="Z40">
        <v>13</v>
      </c>
      <c r="AA40">
        <v>98.3</v>
      </c>
      <c r="AB40">
        <v>20</v>
      </c>
      <c r="AC40">
        <v>79.5</v>
      </c>
    </row>
    <row r="41" spans="1:29">
      <c r="A41">
        <v>40</v>
      </c>
      <c r="B41">
        <v>37</v>
      </c>
      <c r="C41" t="s">
        <v>5642</v>
      </c>
      <c r="D41" t="s">
        <v>5592</v>
      </c>
      <c r="E41" t="s">
        <v>26</v>
      </c>
      <c r="F41" t="s">
        <v>5605</v>
      </c>
      <c r="G41" t="s">
        <v>5594</v>
      </c>
      <c r="H41" t="s">
        <v>5590</v>
      </c>
      <c r="I41">
        <v>5</v>
      </c>
      <c r="J41" t="s">
        <v>5595</v>
      </c>
      <c r="K41">
        <v>89.5</v>
      </c>
      <c r="L41">
        <v>46</v>
      </c>
      <c r="M41">
        <v>82.3</v>
      </c>
      <c r="N41">
        <v>68</v>
      </c>
      <c r="O41">
        <v>64.599999999999994</v>
      </c>
      <c r="P41">
        <v>215</v>
      </c>
      <c r="Q41">
        <v>61.1</v>
      </c>
      <c r="R41">
        <v>201</v>
      </c>
      <c r="S41">
        <v>98.8</v>
      </c>
      <c r="T41">
        <v>99</v>
      </c>
      <c r="U41">
        <v>100</v>
      </c>
      <c r="V41">
        <v>23</v>
      </c>
      <c r="W41">
        <v>99.2</v>
      </c>
      <c r="X41">
        <v>14</v>
      </c>
      <c r="Y41">
        <v>34.4</v>
      </c>
      <c r="Z41">
        <v>223</v>
      </c>
      <c r="AA41">
        <v>81.099999999999994</v>
      </c>
      <c r="AB41" t="s">
        <v>5643</v>
      </c>
      <c r="AC41">
        <v>79.3</v>
      </c>
    </row>
    <row r="42" spans="1:29">
      <c r="A42">
        <v>41</v>
      </c>
      <c r="B42">
        <v>29</v>
      </c>
      <c r="C42" t="s">
        <v>180</v>
      </c>
      <c r="D42" t="s">
        <v>5644</v>
      </c>
      <c r="E42" t="s">
        <v>181</v>
      </c>
      <c r="F42" t="s">
        <v>5593</v>
      </c>
      <c r="G42" t="s">
        <v>5594</v>
      </c>
      <c r="H42" t="s">
        <v>5590</v>
      </c>
      <c r="I42">
        <v>4</v>
      </c>
      <c r="J42" t="s">
        <v>5595</v>
      </c>
      <c r="K42">
        <v>99</v>
      </c>
      <c r="L42">
        <v>18</v>
      </c>
      <c r="M42">
        <v>98.2</v>
      </c>
      <c r="N42">
        <v>17</v>
      </c>
      <c r="O42">
        <v>85.1</v>
      </c>
      <c r="P42">
        <v>105</v>
      </c>
      <c r="Q42">
        <v>64.900000000000006</v>
      </c>
      <c r="R42">
        <v>175</v>
      </c>
      <c r="S42">
        <v>11.5</v>
      </c>
      <c r="T42" t="s">
        <v>5613</v>
      </c>
      <c r="U42">
        <v>14.5</v>
      </c>
      <c r="V42">
        <v>631</v>
      </c>
      <c r="W42">
        <v>36.9</v>
      </c>
      <c r="X42">
        <v>401</v>
      </c>
      <c r="Y42">
        <v>100</v>
      </c>
      <c r="Z42">
        <v>8</v>
      </c>
      <c r="AA42">
        <v>73.8</v>
      </c>
      <c r="AB42">
        <v>181</v>
      </c>
      <c r="AC42">
        <v>78.5</v>
      </c>
    </row>
    <row r="43" spans="1:29">
      <c r="A43">
        <v>42</v>
      </c>
      <c r="B43">
        <v>57</v>
      </c>
      <c r="C43" t="s">
        <v>159</v>
      </c>
      <c r="D43" t="s">
        <v>5612</v>
      </c>
      <c r="E43" t="s">
        <v>116</v>
      </c>
      <c r="F43" t="s">
        <v>5605</v>
      </c>
      <c r="G43" t="s">
        <v>5594</v>
      </c>
      <c r="H43" t="s">
        <v>5590</v>
      </c>
      <c r="I43">
        <v>4</v>
      </c>
      <c r="J43" t="s">
        <v>5595</v>
      </c>
      <c r="K43">
        <v>88.4</v>
      </c>
      <c r="L43">
        <v>49</v>
      </c>
      <c r="M43">
        <v>75.2</v>
      </c>
      <c r="N43">
        <v>84</v>
      </c>
      <c r="O43">
        <v>9.6</v>
      </c>
      <c r="P43" t="s">
        <v>5613</v>
      </c>
      <c r="Q43">
        <v>88.4</v>
      </c>
      <c r="R43">
        <v>81</v>
      </c>
      <c r="S43">
        <v>100</v>
      </c>
      <c r="T43">
        <v>50</v>
      </c>
      <c r="U43">
        <v>100</v>
      </c>
      <c r="V43">
        <v>19</v>
      </c>
      <c r="W43">
        <v>86.8</v>
      </c>
      <c r="X43">
        <v>102</v>
      </c>
      <c r="Y43">
        <v>61</v>
      </c>
      <c r="Z43">
        <v>95</v>
      </c>
      <c r="AA43">
        <v>71.8</v>
      </c>
      <c r="AB43" t="s">
        <v>5645</v>
      </c>
      <c r="AC43">
        <v>78.2</v>
      </c>
    </row>
    <row r="44" spans="1:29">
      <c r="A44">
        <v>43</v>
      </c>
      <c r="B44" t="s">
        <v>5646</v>
      </c>
      <c r="C44" t="s">
        <v>199</v>
      </c>
      <c r="D44" t="s">
        <v>5612</v>
      </c>
      <c r="E44" t="s">
        <v>116</v>
      </c>
      <c r="F44" t="s">
        <v>5605</v>
      </c>
      <c r="G44" t="s">
        <v>5594</v>
      </c>
      <c r="H44" t="s">
        <v>5590</v>
      </c>
      <c r="I44">
        <v>5</v>
      </c>
      <c r="J44" t="s">
        <v>5595</v>
      </c>
      <c r="K44">
        <v>87.1</v>
      </c>
      <c r="L44">
        <v>52</v>
      </c>
      <c r="M44">
        <v>73.7</v>
      </c>
      <c r="N44">
        <v>89</v>
      </c>
      <c r="O44">
        <v>21.6</v>
      </c>
      <c r="P44">
        <v>635</v>
      </c>
      <c r="Q44">
        <v>87</v>
      </c>
      <c r="R44">
        <v>84</v>
      </c>
      <c r="S44">
        <v>100</v>
      </c>
      <c r="T44">
        <v>41</v>
      </c>
      <c r="U44">
        <v>100</v>
      </c>
      <c r="V44">
        <v>22</v>
      </c>
      <c r="W44">
        <v>95</v>
      </c>
      <c r="X44">
        <v>53</v>
      </c>
      <c r="Y44">
        <v>44.4</v>
      </c>
      <c r="Z44">
        <v>163</v>
      </c>
      <c r="AA44">
        <v>73.099999999999994</v>
      </c>
      <c r="AB44" t="s">
        <v>5647</v>
      </c>
      <c r="AC44">
        <v>78.099999999999994</v>
      </c>
    </row>
    <row r="45" spans="1:29">
      <c r="A45">
        <f>44</f>
        <v>44</v>
      </c>
      <c r="B45" t="s">
        <v>5648</v>
      </c>
      <c r="C45" t="s">
        <v>164</v>
      </c>
      <c r="D45" t="s">
        <v>5616</v>
      </c>
      <c r="E45" t="s">
        <v>54</v>
      </c>
      <c r="F45" t="s">
        <v>5605</v>
      </c>
      <c r="G45" t="s">
        <v>5594</v>
      </c>
      <c r="H45" t="s">
        <v>5590</v>
      </c>
      <c r="I45">
        <v>4</v>
      </c>
      <c r="J45" t="s">
        <v>5595</v>
      </c>
      <c r="K45">
        <v>73.8</v>
      </c>
      <c r="L45">
        <v>81</v>
      </c>
      <c r="M45">
        <v>95.7</v>
      </c>
      <c r="N45">
        <v>36</v>
      </c>
      <c r="O45">
        <v>66.5</v>
      </c>
      <c r="P45">
        <v>198</v>
      </c>
      <c r="Q45">
        <v>97.6</v>
      </c>
      <c r="R45">
        <v>37</v>
      </c>
      <c r="S45">
        <v>97.7</v>
      </c>
      <c r="T45">
        <v>120</v>
      </c>
      <c r="U45">
        <v>26.5</v>
      </c>
      <c r="V45">
        <v>456</v>
      </c>
      <c r="W45">
        <v>74.7</v>
      </c>
      <c r="X45">
        <v>174</v>
      </c>
      <c r="Y45">
        <v>37.700000000000003</v>
      </c>
      <c r="Z45">
        <v>194</v>
      </c>
      <c r="AA45">
        <v>51.5</v>
      </c>
      <c r="AB45" t="s">
        <v>5649</v>
      </c>
      <c r="AC45">
        <v>77.8</v>
      </c>
    </row>
    <row r="46" spans="1:29">
      <c r="A46">
        <v>45</v>
      </c>
      <c r="B46">
        <v>56</v>
      </c>
      <c r="C46" t="s">
        <v>5650</v>
      </c>
      <c r="D46" t="s">
        <v>5592</v>
      </c>
      <c r="E46" t="s">
        <v>26</v>
      </c>
      <c r="F46" t="s">
        <v>5588</v>
      </c>
      <c r="G46" t="s">
        <v>5651</v>
      </c>
      <c r="H46" t="s">
        <v>5590</v>
      </c>
      <c r="I46">
        <v>5</v>
      </c>
      <c r="J46" t="s">
        <v>5595</v>
      </c>
      <c r="K46">
        <v>67.7</v>
      </c>
      <c r="L46">
        <v>98</v>
      </c>
      <c r="M46">
        <v>96.1</v>
      </c>
      <c r="N46">
        <v>32</v>
      </c>
      <c r="O46">
        <v>39.6</v>
      </c>
      <c r="P46">
        <v>401</v>
      </c>
      <c r="Q46">
        <v>80.2</v>
      </c>
      <c r="R46">
        <v>110</v>
      </c>
      <c r="S46">
        <v>100</v>
      </c>
      <c r="T46">
        <v>35</v>
      </c>
      <c r="U46">
        <v>100</v>
      </c>
      <c r="V46">
        <v>10</v>
      </c>
      <c r="W46">
        <v>32.4</v>
      </c>
      <c r="X46">
        <v>440</v>
      </c>
      <c r="Y46">
        <v>98.6</v>
      </c>
      <c r="Z46">
        <v>16</v>
      </c>
      <c r="AA46">
        <v>97.8</v>
      </c>
      <c r="AB46">
        <v>28</v>
      </c>
      <c r="AC46">
        <v>76.900000000000006</v>
      </c>
    </row>
    <row r="47" spans="1:29">
      <c r="A47">
        <v>46</v>
      </c>
      <c r="B47">
        <v>36</v>
      </c>
      <c r="C47" t="s">
        <v>161</v>
      </c>
      <c r="D47" t="s">
        <v>5631</v>
      </c>
      <c r="E47" t="s">
        <v>94</v>
      </c>
      <c r="F47" t="s">
        <v>5593</v>
      </c>
      <c r="G47" t="s">
        <v>5594</v>
      </c>
      <c r="H47" t="s">
        <v>5590</v>
      </c>
      <c r="I47">
        <v>5</v>
      </c>
      <c r="J47" t="s">
        <v>5595</v>
      </c>
      <c r="K47">
        <v>98.7</v>
      </c>
      <c r="L47">
        <v>20</v>
      </c>
      <c r="M47">
        <v>99.1</v>
      </c>
      <c r="N47">
        <v>14</v>
      </c>
      <c r="O47">
        <v>94.7</v>
      </c>
      <c r="P47">
        <v>63</v>
      </c>
      <c r="Q47">
        <v>49.3</v>
      </c>
      <c r="R47">
        <v>270</v>
      </c>
      <c r="S47">
        <v>14.9</v>
      </c>
      <c r="T47">
        <v>670</v>
      </c>
      <c r="U47">
        <v>20.8</v>
      </c>
      <c r="V47">
        <v>538</v>
      </c>
      <c r="W47">
        <v>57.3</v>
      </c>
      <c r="X47">
        <v>266</v>
      </c>
      <c r="Y47">
        <v>53.2</v>
      </c>
      <c r="Z47">
        <v>118</v>
      </c>
      <c r="AA47">
        <v>88.4</v>
      </c>
      <c r="AB47" t="s">
        <v>5603</v>
      </c>
      <c r="AC47">
        <v>76.3</v>
      </c>
    </row>
    <row r="48" spans="1:29">
      <c r="A48">
        <f>47</f>
        <v>47</v>
      </c>
      <c r="B48" t="s">
        <v>5599</v>
      </c>
      <c r="C48" t="s">
        <v>143</v>
      </c>
      <c r="D48" t="s">
        <v>5652</v>
      </c>
      <c r="E48" t="s">
        <v>144</v>
      </c>
      <c r="F48" t="s">
        <v>5593</v>
      </c>
      <c r="G48" t="s">
        <v>5589</v>
      </c>
      <c r="H48" t="s">
        <v>5590</v>
      </c>
      <c r="I48">
        <v>5</v>
      </c>
      <c r="J48" t="s">
        <v>5595</v>
      </c>
      <c r="K48">
        <v>73</v>
      </c>
      <c r="L48">
        <v>84</v>
      </c>
      <c r="M48">
        <v>79</v>
      </c>
      <c r="N48">
        <v>73</v>
      </c>
      <c r="O48">
        <v>36.9</v>
      </c>
      <c r="P48">
        <v>428</v>
      </c>
      <c r="Q48">
        <v>84.9</v>
      </c>
      <c r="R48">
        <v>95</v>
      </c>
      <c r="S48">
        <v>100</v>
      </c>
      <c r="T48">
        <v>66</v>
      </c>
      <c r="U48">
        <v>89.3</v>
      </c>
      <c r="V48">
        <v>121</v>
      </c>
      <c r="W48">
        <v>91.4</v>
      </c>
      <c r="X48">
        <v>72</v>
      </c>
      <c r="Y48">
        <v>42.1</v>
      </c>
      <c r="Z48">
        <v>170</v>
      </c>
      <c r="AA48">
        <v>98.4</v>
      </c>
      <c r="AB48" t="s">
        <v>5653</v>
      </c>
      <c r="AC48">
        <v>76.2</v>
      </c>
    </row>
    <row r="49" spans="1:29">
      <c r="A49">
        <f>47</f>
        <v>47</v>
      </c>
      <c r="B49">
        <v>32</v>
      </c>
      <c r="C49" t="s">
        <v>91</v>
      </c>
      <c r="D49" t="s">
        <v>5587</v>
      </c>
      <c r="E49" t="s">
        <v>29</v>
      </c>
      <c r="F49" t="s">
        <v>5593</v>
      </c>
      <c r="G49" t="s">
        <v>5594</v>
      </c>
      <c r="H49" t="s">
        <v>5590</v>
      </c>
      <c r="I49">
        <v>5</v>
      </c>
      <c r="J49" t="s">
        <v>5591</v>
      </c>
      <c r="K49">
        <v>83.8</v>
      </c>
      <c r="L49">
        <v>60</v>
      </c>
      <c r="M49">
        <v>60.2</v>
      </c>
      <c r="N49">
        <v>132</v>
      </c>
      <c r="O49">
        <v>98.9</v>
      </c>
      <c r="P49">
        <v>39</v>
      </c>
      <c r="Q49">
        <v>70.3</v>
      </c>
      <c r="R49">
        <v>147</v>
      </c>
      <c r="S49">
        <v>48.2</v>
      </c>
      <c r="T49">
        <v>364</v>
      </c>
      <c r="U49">
        <v>44.2</v>
      </c>
      <c r="V49">
        <v>327</v>
      </c>
      <c r="W49">
        <v>79.2</v>
      </c>
      <c r="X49">
        <v>152</v>
      </c>
      <c r="Y49">
        <v>97.7</v>
      </c>
      <c r="Z49">
        <v>19</v>
      </c>
      <c r="AA49">
        <v>78</v>
      </c>
      <c r="AB49">
        <v>162</v>
      </c>
      <c r="AC49">
        <v>76.2</v>
      </c>
    </row>
    <row r="50" spans="1:29">
      <c r="A50">
        <f>47</f>
        <v>47</v>
      </c>
      <c r="B50">
        <v>38</v>
      </c>
      <c r="C50" t="s">
        <v>5654</v>
      </c>
      <c r="D50" t="s">
        <v>5629</v>
      </c>
      <c r="E50" t="s">
        <v>5630</v>
      </c>
      <c r="F50" t="s">
        <v>5593</v>
      </c>
      <c r="G50" t="s">
        <v>5594</v>
      </c>
      <c r="H50" t="s">
        <v>5590</v>
      </c>
      <c r="I50">
        <v>4</v>
      </c>
      <c r="J50" t="s">
        <v>5595</v>
      </c>
      <c r="K50">
        <v>88.4</v>
      </c>
      <c r="L50">
        <v>50</v>
      </c>
      <c r="M50">
        <v>46.3</v>
      </c>
      <c r="N50">
        <v>190</v>
      </c>
      <c r="O50">
        <v>60</v>
      </c>
      <c r="P50">
        <v>236</v>
      </c>
      <c r="Q50">
        <v>92.3</v>
      </c>
      <c r="R50">
        <v>67</v>
      </c>
      <c r="S50">
        <v>100</v>
      </c>
      <c r="T50">
        <v>57</v>
      </c>
      <c r="U50">
        <v>77.099999999999994</v>
      </c>
      <c r="V50">
        <v>174</v>
      </c>
      <c r="W50">
        <v>32.700000000000003</v>
      </c>
      <c r="X50">
        <v>438</v>
      </c>
      <c r="Y50">
        <v>78.599999999999994</v>
      </c>
      <c r="Z50">
        <v>53</v>
      </c>
      <c r="AA50">
        <v>61.3</v>
      </c>
      <c r="AB50" t="s">
        <v>5655</v>
      </c>
      <c r="AC50">
        <v>76.2</v>
      </c>
    </row>
    <row r="51" spans="1:29">
      <c r="A51">
        <v>50</v>
      </c>
      <c r="B51" t="s">
        <v>5619</v>
      </c>
      <c r="C51" t="s">
        <v>134</v>
      </c>
      <c r="D51" t="s">
        <v>5616</v>
      </c>
      <c r="E51" t="s">
        <v>54</v>
      </c>
      <c r="F51" t="s">
        <v>5605</v>
      </c>
      <c r="G51" t="s">
        <v>5594</v>
      </c>
      <c r="H51" t="s">
        <v>5590</v>
      </c>
      <c r="I51">
        <v>4</v>
      </c>
      <c r="J51" t="s">
        <v>5595</v>
      </c>
      <c r="K51">
        <v>84.7</v>
      </c>
      <c r="L51">
        <v>55</v>
      </c>
      <c r="M51">
        <v>89.8</v>
      </c>
      <c r="N51">
        <v>49</v>
      </c>
      <c r="O51">
        <v>84.5</v>
      </c>
      <c r="P51">
        <v>108</v>
      </c>
      <c r="Q51">
        <v>72.400000000000006</v>
      </c>
      <c r="R51">
        <v>136</v>
      </c>
      <c r="S51">
        <v>88.3</v>
      </c>
      <c r="T51">
        <v>193</v>
      </c>
      <c r="U51">
        <v>33</v>
      </c>
      <c r="V51">
        <v>393</v>
      </c>
      <c r="W51">
        <v>22.7</v>
      </c>
      <c r="X51">
        <v>522</v>
      </c>
      <c r="Y51">
        <v>49.6</v>
      </c>
      <c r="Z51">
        <v>134</v>
      </c>
      <c r="AA51">
        <v>43.8</v>
      </c>
      <c r="AB51">
        <v>341</v>
      </c>
      <c r="AC51">
        <v>74.400000000000006</v>
      </c>
    </row>
    <row r="52" spans="1:29">
      <c r="A52">
        <v>51</v>
      </c>
      <c r="B52">
        <v>46</v>
      </c>
      <c r="C52" t="s">
        <v>131</v>
      </c>
      <c r="D52" t="s">
        <v>5616</v>
      </c>
      <c r="E52" t="s">
        <v>54</v>
      </c>
      <c r="F52" t="s">
        <v>5605</v>
      </c>
      <c r="G52" t="s">
        <v>5594</v>
      </c>
      <c r="H52" t="s">
        <v>5590</v>
      </c>
      <c r="I52">
        <v>4</v>
      </c>
      <c r="J52" t="s">
        <v>5595</v>
      </c>
      <c r="K52">
        <v>83.7</v>
      </c>
      <c r="L52">
        <v>61</v>
      </c>
      <c r="M52">
        <v>83.3</v>
      </c>
      <c r="N52">
        <v>64</v>
      </c>
      <c r="O52">
        <v>54.7</v>
      </c>
      <c r="P52">
        <v>279</v>
      </c>
      <c r="Q52">
        <v>99.4</v>
      </c>
      <c r="R52">
        <v>15</v>
      </c>
      <c r="S52">
        <v>39.200000000000003</v>
      </c>
      <c r="T52">
        <v>415</v>
      </c>
      <c r="U52">
        <v>35.5</v>
      </c>
      <c r="V52">
        <v>377</v>
      </c>
      <c r="W52">
        <v>38.299999999999997</v>
      </c>
      <c r="X52">
        <v>390</v>
      </c>
      <c r="Y52">
        <v>55.5</v>
      </c>
      <c r="Z52">
        <v>113</v>
      </c>
      <c r="AA52">
        <v>44.1</v>
      </c>
      <c r="AB52" t="s">
        <v>5656</v>
      </c>
      <c r="AC52">
        <v>74.3</v>
      </c>
    </row>
    <row r="53" spans="1:29">
      <c r="A53">
        <v>52</v>
      </c>
      <c r="B53">
        <v>52</v>
      </c>
      <c r="C53" t="s">
        <v>83</v>
      </c>
      <c r="D53" t="s">
        <v>5587</v>
      </c>
      <c r="E53" t="s">
        <v>29</v>
      </c>
      <c r="F53" t="s">
        <v>5593</v>
      </c>
      <c r="G53" t="s">
        <v>5594</v>
      </c>
      <c r="H53" t="s">
        <v>5590</v>
      </c>
      <c r="I53">
        <v>5</v>
      </c>
      <c r="J53" t="s">
        <v>5591</v>
      </c>
      <c r="K53">
        <v>71.2</v>
      </c>
      <c r="L53">
        <v>87</v>
      </c>
      <c r="M53">
        <v>75.3</v>
      </c>
      <c r="N53">
        <v>83</v>
      </c>
      <c r="O53">
        <v>49.1</v>
      </c>
      <c r="P53">
        <v>319</v>
      </c>
      <c r="Q53">
        <v>99.9</v>
      </c>
      <c r="R53">
        <v>10</v>
      </c>
      <c r="S53">
        <v>46.6</v>
      </c>
      <c r="T53">
        <v>371</v>
      </c>
      <c r="U53">
        <v>98.2</v>
      </c>
      <c r="V53">
        <v>59</v>
      </c>
      <c r="W53">
        <v>57.4</v>
      </c>
      <c r="X53">
        <v>264</v>
      </c>
      <c r="Y53">
        <v>60</v>
      </c>
      <c r="Z53">
        <v>100</v>
      </c>
      <c r="AA53">
        <v>47.2</v>
      </c>
      <c r="AB53" t="s">
        <v>5657</v>
      </c>
      <c r="AC53">
        <v>73.7</v>
      </c>
    </row>
    <row r="54" spans="1:29">
      <c r="A54">
        <v>53</v>
      </c>
      <c r="B54">
        <v>58</v>
      </c>
      <c r="C54" t="s">
        <v>177</v>
      </c>
      <c r="D54" t="s">
        <v>5652</v>
      </c>
      <c r="E54" t="s">
        <v>144</v>
      </c>
      <c r="F54" t="s">
        <v>5605</v>
      </c>
      <c r="G54" t="s">
        <v>5594</v>
      </c>
      <c r="H54" t="s">
        <v>5590</v>
      </c>
      <c r="I54">
        <v>5</v>
      </c>
      <c r="J54" t="s">
        <v>5595</v>
      </c>
      <c r="K54">
        <v>83.6</v>
      </c>
      <c r="L54">
        <v>62</v>
      </c>
      <c r="M54">
        <v>44.2</v>
      </c>
      <c r="N54">
        <v>203</v>
      </c>
      <c r="O54">
        <v>21.2</v>
      </c>
      <c r="P54">
        <v>641</v>
      </c>
      <c r="Q54">
        <v>98.1</v>
      </c>
      <c r="R54">
        <v>33</v>
      </c>
      <c r="S54">
        <v>92.4</v>
      </c>
      <c r="T54">
        <v>168</v>
      </c>
      <c r="U54">
        <v>79.900000000000006</v>
      </c>
      <c r="V54">
        <v>163</v>
      </c>
      <c r="W54">
        <v>97.4</v>
      </c>
      <c r="X54">
        <v>28</v>
      </c>
      <c r="Y54">
        <v>49.9</v>
      </c>
      <c r="Z54">
        <v>133</v>
      </c>
      <c r="AA54">
        <v>64.8</v>
      </c>
      <c r="AB54" t="s">
        <v>5658</v>
      </c>
      <c r="AC54">
        <v>73.400000000000006</v>
      </c>
    </row>
    <row r="55" spans="1:29">
      <c r="A55">
        <v>54</v>
      </c>
      <c r="B55">
        <v>59</v>
      </c>
      <c r="C55" t="s">
        <v>5659</v>
      </c>
      <c r="D55" t="s">
        <v>5639</v>
      </c>
      <c r="E55" t="s">
        <v>99</v>
      </c>
      <c r="F55" t="s">
        <v>5605</v>
      </c>
      <c r="G55" t="s">
        <v>5594</v>
      </c>
      <c r="H55" t="s">
        <v>5590</v>
      </c>
      <c r="I55">
        <v>5</v>
      </c>
      <c r="J55" t="s">
        <v>5595</v>
      </c>
      <c r="K55">
        <v>92.7</v>
      </c>
      <c r="L55">
        <v>40</v>
      </c>
      <c r="M55">
        <v>83.5</v>
      </c>
      <c r="N55">
        <v>63</v>
      </c>
      <c r="O55">
        <v>46.7</v>
      </c>
      <c r="P55">
        <v>335</v>
      </c>
      <c r="Q55">
        <v>51.4</v>
      </c>
      <c r="R55">
        <v>254</v>
      </c>
      <c r="S55">
        <v>73.3</v>
      </c>
      <c r="T55">
        <v>260</v>
      </c>
      <c r="U55">
        <v>37.700000000000003</v>
      </c>
      <c r="V55">
        <v>362</v>
      </c>
      <c r="W55">
        <v>94.4</v>
      </c>
      <c r="X55">
        <v>57</v>
      </c>
      <c r="Y55">
        <v>48.5</v>
      </c>
      <c r="Z55">
        <v>140</v>
      </c>
      <c r="AA55">
        <v>77.3</v>
      </c>
      <c r="AB55" t="s">
        <v>5660</v>
      </c>
      <c r="AC55">
        <v>72.5</v>
      </c>
    </row>
    <row r="56" spans="1:29">
      <c r="A56">
        <v>55</v>
      </c>
      <c r="B56" t="s">
        <v>5599</v>
      </c>
      <c r="C56" t="s">
        <v>223</v>
      </c>
      <c r="D56" t="s">
        <v>5592</v>
      </c>
      <c r="E56" t="s">
        <v>26</v>
      </c>
      <c r="F56" t="s">
        <v>5593</v>
      </c>
      <c r="G56" t="s">
        <v>5594</v>
      </c>
      <c r="H56" t="s">
        <v>5590</v>
      </c>
      <c r="I56">
        <v>5</v>
      </c>
      <c r="J56" t="s">
        <v>5595</v>
      </c>
      <c r="K56">
        <v>74.900000000000006</v>
      </c>
      <c r="L56">
        <v>78</v>
      </c>
      <c r="M56">
        <v>84.7</v>
      </c>
      <c r="N56">
        <v>60</v>
      </c>
      <c r="O56">
        <v>47.3</v>
      </c>
      <c r="P56">
        <v>331</v>
      </c>
      <c r="Q56">
        <v>64.7</v>
      </c>
      <c r="R56">
        <v>179</v>
      </c>
      <c r="S56">
        <v>85.5</v>
      </c>
      <c r="T56">
        <v>205</v>
      </c>
      <c r="U56">
        <v>86.8</v>
      </c>
      <c r="V56">
        <v>136</v>
      </c>
      <c r="W56">
        <v>84.4</v>
      </c>
      <c r="X56">
        <v>122</v>
      </c>
      <c r="Y56">
        <v>39.6</v>
      </c>
      <c r="Z56">
        <v>181</v>
      </c>
      <c r="AA56">
        <v>81.3</v>
      </c>
      <c r="AB56">
        <v>141</v>
      </c>
      <c r="AC56">
        <v>72.400000000000006</v>
      </c>
    </row>
    <row r="57" spans="1:29">
      <c r="A57">
        <v>56</v>
      </c>
      <c r="B57" t="s">
        <v>5648</v>
      </c>
      <c r="C57" t="s">
        <v>5661</v>
      </c>
      <c r="D57" t="s">
        <v>5644</v>
      </c>
      <c r="E57" t="s">
        <v>181</v>
      </c>
      <c r="F57" t="s">
        <v>5588</v>
      </c>
      <c r="G57" t="s">
        <v>5589</v>
      </c>
      <c r="H57" t="s">
        <v>5590</v>
      </c>
      <c r="I57">
        <v>4</v>
      </c>
      <c r="J57" t="s">
        <v>5595</v>
      </c>
      <c r="K57">
        <v>89.9</v>
      </c>
      <c r="L57">
        <v>44</v>
      </c>
      <c r="M57">
        <v>88.8</v>
      </c>
      <c r="N57">
        <v>53</v>
      </c>
      <c r="O57">
        <v>66.2</v>
      </c>
      <c r="P57">
        <v>202</v>
      </c>
      <c r="Q57">
        <v>97.7</v>
      </c>
      <c r="R57">
        <v>35</v>
      </c>
      <c r="S57">
        <v>22.3</v>
      </c>
      <c r="T57">
        <v>570</v>
      </c>
      <c r="U57">
        <v>11.6</v>
      </c>
      <c r="V57">
        <v>682</v>
      </c>
      <c r="W57">
        <v>10.6</v>
      </c>
      <c r="X57">
        <v>662</v>
      </c>
      <c r="Y57">
        <v>41.8</v>
      </c>
      <c r="Z57">
        <v>174</v>
      </c>
      <c r="AA57">
        <v>14.2</v>
      </c>
      <c r="AB57" t="s">
        <v>5662</v>
      </c>
      <c r="AC57">
        <v>72.2</v>
      </c>
    </row>
    <row r="58" spans="1:29">
      <c r="A58">
        <v>57</v>
      </c>
      <c r="B58" t="s">
        <v>5646</v>
      </c>
      <c r="C58" t="s">
        <v>87</v>
      </c>
      <c r="D58" t="s">
        <v>5587</v>
      </c>
      <c r="E58" t="s">
        <v>29</v>
      </c>
      <c r="F58" t="s">
        <v>5593</v>
      </c>
      <c r="G58" t="s">
        <v>5594</v>
      </c>
      <c r="H58" t="s">
        <v>5590</v>
      </c>
      <c r="I58">
        <v>5</v>
      </c>
      <c r="J58" t="s">
        <v>5591</v>
      </c>
      <c r="K58">
        <v>85.7</v>
      </c>
      <c r="L58">
        <v>53</v>
      </c>
      <c r="M58">
        <v>69.3</v>
      </c>
      <c r="N58">
        <v>106</v>
      </c>
      <c r="O58">
        <v>100</v>
      </c>
      <c r="P58">
        <v>7</v>
      </c>
      <c r="Q58">
        <v>40.200000000000003</v>
      </c>
      <c r="R58">
        <v>344</v>
      </c>
      <c r="S58">
        <v>16.8</v>
      </c>
      <c r="T58">
        <v>634</v>
      </c>
      <c r="U58">
        <v>52.2</v>
      </c>
      <c r="V58">
        <v>278</v>
      </c>
      <c r="W58">
        <v>90</v>
      </c>
      <c r="X58">
        <v>82</v>
      </c>
      <c r="Y58">
        <v>89.3</v>
      </c>
      <c r="Z58">
        <v>37</v>
      </c>
      <c r="AA58">
        <v>95</v>
      </c>
      <c r="AB58" t="s">
        <v>5663</v>
      </c>
      <c r="AC58">
        <v>72</v>
      </c>
    </row>
    <row r="59" spans="1:29">
      <c r="A59">
        <v>58</v>
      </c>
      <c r="B59">
        <v>72</v>
      </c>
      <c r="C59" t="s">
        <v>154</v>
      </c>
      <c r="D59" t="s">
        <v>5587</v>
      </c>
      <c r="E59" t="s">
        <v>29</v>
      </c>
      <c r="F59" t="s">
        <v>5605</v>
      </c>
      <c r="G59" t="s">
        <v>5594</v>
      </c>
      <c r="H59" t="s">
        <v>5590</v>
      </c>
      <c r="I59">
        <v>5</v>
      </c>
      <c r="J59" t="s">
        <v>5595</v>
      </c>
      <c r="K59">
        <v>93.5</v>
      </c>
      <c r="L59">
        <v>35</v>
      </c>
      <c r="M59">
        <v>83.2</v>
      </c>
      <c r="N59">
        <v>65</v>
      </c>
      <c r="O59">
        <v>8.9</v>
      </c>
      <c r="P59" t="s">
        <v>5613</v>
      </c>
      <c r="Q59">
        <v>86.7</v>
      </c>
      <c r="R59">
        <v>85</v>
      </c>
      <c r="S59">
        <v>9.3000000000000007</v>
      </c>
      <c r="T59" t="s">
        <v>5613</v>
      </c>
      <c r="U59">
        <v>11</v>
      </c>
      <c r="V59">
        <v>691</v>
      </c>
      <c r="W59">
        <v>79.400000000000006</v>
      </c>
      <c r="X59">
        <v>147</v>
      </c>
      <c r="Y59">
        <v>70</v>
      </c>
      <c r="Z59">
        <v>73</v>
      </c>
      <c r="AA59">
        <v>77.7</v>
      </c>
      <c r="AB59" t="s">
        <v>5664</v>
      </c>
      <c r="AC59">
        <v>71.8</v>
      </c>
    </row>
    <row r="60" spans="1:29">
      <c r="A60">
        <v>59</v>
      </c>
      <c r="B60">
        <v>60</v>
      </c>
      <c r="C60" t="s">
        <v>210</v>
      </c>
      <c r="D60" t="s">
        <v>5624</v>
      </c>
      <c r="E60" t="s">
        <v>125</v>
      </c>
      <c r="F60" t="s">
        <v>5605</v>
      </c>
      <c r="G60" t="s">
        <v>5594</v>
      </c>
      <c r="H60" t="s">
        <v>5590</v>
      </c>
      <c r="I60">
        <v>1</v>
      </c>
      <c r="J60" t="s">
        <v>5595</v>
      </c>
      <c r="K60">
        <v>88.6</v>
      </c>
      <c r="L60">
        <v>48</v>
      </c>
      <c r="M60">
        <v>53.2</v>
      </c>
      <c r="N60">
        <v>151</v>
      </c>
      <c r="O60">
        <v>43.3</v>
      </c>
      <c r="P60">
        <v>361</v>
      </c>
      <c r="Q60">
        <v>85.4</v>
      </c>
      <c r="R60">
        <v>93</v>
      </c>
      <c r="S60">
        <v>35.200000000000003</v>
      </c>
      <c r="T60">
        <v>451</v>
      </c>
      <c r="U60">
        <v>49.8</v>
      </c>
      <c r="V60">
        <v>297</v>
      </c>
      <c r="W60">
        <v>100</v>
      </c>
      <c r="X60">
        <v>4</v>
      </c>
      <c r="Y60">
        <v>39.5</v>
      </c>
      <c r="Z60">
        <v>182</v>
      </c>
      <c r="AA60">
        <v>75.8</v>
      </c>
      <c r="AB60" t="s">
        <v>5665</v>
      </c>
      <c r="AC60">
        <v>71.7</v>
      </c>
    </row>
    <row r="61" spans="1:29">
      <c r="A61">
        <v>60</v>
      </c>
      <c r="B61">
        <v>40</v>
      </c>
      <c r="C61" t="s">
        <v>187</v>
      </c>
      <c r="D61" t="s">
        <v>5629</v>
      </c>
      <c r="E61" t="s">
        <v>5630</v>
      </c>
      <c r="F61" t="s">
        <v>5588</v>
      </c>
      <c r="G61" t="s">
        <v>5589</v>
      </c>
      <c r="H61" t="s">
        <v>5590</v>
      </c>
      <c r="I61">
        <v>3</v>
      </c>
      <c r="J61" t="s">
        <v>5595</v>
      </c>
      <c r="K61">
        <v>83.3</v>
      </c>
      <c r="L61">
        <v>63</v>
      </c>
      <c r="M61">
        <v>42.6</v>
      </c>
      <c r="N61">
        <v>216</v>
      </c>
      <c r="O61">
        <v>53.6</v>
      </c>
      <c r="P61">
        <v>289</v>
      </c>
      <c r="Q61">
        <v>99.1</v>
      </c>
      <c r="R61">
        <v>20</v>
      </c>
      <c r="S61">
        <v>100</v>
      </c>
      <c r="T61">
        <v>19</v>
      </c>
      <c r="U61">
        <v>91.4</v>
      </c>
      <c r="V61">
        <v>111</v>
      </c>
      <c r="W61">
        <v>5.3</v>
      </c>
      <c r="X61" t="s">
        <v>5613</v>
      </c>
      <c r="Y61">
        <v>50.3</v>
      </c>
      <c r="Z61">
        <v>131</v>
      </c>
      <c r="AA61">
        <v>31</v>
      </c>
      <c r="AB61" t="s">
        <v>5666</v>
      </c>
      <c r="AC61">
        <v>71.099999999999994</v>
      </c>
    </row>
    <row r="62" spans="1:29">
      <c r="A62">
        <v>61</v>
      </c>
      <c r="B62">
        <v>76</v>
      </c>
      <c r="C62" t="s">
        <v>136</v>
      </c>
      <c r="D62" t="s">
        <v>5667</v>
      </c>
      <c r="E62" t="s">
        <v>137</v>
      </c>
      <c r="F62" t="s">
        <v>5605</v>
      </c>
      <c r="G62" t="s">
        <v>5594</v>
      </c>
      <c r="H62" t="s">
        <v>5590</v>
      </c>
      <c r="I62">
        <v>5</v>
      </c>
      <c r="J62" t="s">
        <v>5595</v>
      </c>
      <c r="K62">
        <v>84.6</v>
      </c>
      <c r="L62">
        <v>56</v>
      </c>
      <c r="M62">
        <v>42.4</v>
      </c>
      <c r="N62">
        <v>220</v>
      </c>
      <c r="O62">
        <v>7</v>
      </c>
      <c r="P62" t="s">
        <v>5613</v>
      </c>
      <c r="Q62">
        <v>92.7</v>
      </c>
      <c r="R62">
        <v>66</v>
      </c>
      <c r="S62">
        <v>93.1</v>
      </c>
      <c r="T62">
        <v>163</v>
      </c>
      <c r="U62">
        <v>45.7</v>
      </c>
      <c r="V62">
        <v>318</v>
      </c>
      <c r="W62">
        <v>99.9</v>
      </c>
      <c r="X62">
        <v>6</v>
      </c>
      <c r="Y62">
        <v>56.1</v>
      </c>
      <c r="Z62">
        <v>111</v>
      </c>
      <c r="AA62">
        <v>75.599999999999994</v>
      </c>
      <c r="AB62" t="s">
        <v>5668</v>
      </c>
      <c r="AC62">
        <v>70.099999999999994</v>
      </c>
    </row>
    <row r="63" spans="1:29">
      <c r="A63">
        <v>62</v>
      </c>
      <c r="B63">
        <v>53</v>
      </c>
      <c r="C63" t="s">
        <v>107</v>
      </c>
      <c r="D63" t="s">
        <v>5587</v>
      </c>
      <c r="E63" t="s">
        <v>29</v>
      </c>
      <c r="F63" t="s">
        <v>5605</v>
      </c>
      <c r="G63" t="s">
        <v>5594</v>
      </c>
      <c r="H63" t="s">
        <v>5590</v>
      </c>
      <c r="I63">
        <v>4</v>
      </c>
      <c r="J63" t="s">
        <v>5595</v>
      </c>
      <c r="K63">
        <v>89.1</v>
      </c>
      <c r="L63">
        <v>47</v>
      </c>
      <c r="M63">
        <v>50.4</v>
      </c>
      <c r="N63">
        <v>167</v>
      </c>
      <c r="O63">
        <v>49.6</v>
      </c>
      <c r="P63">
        <v>313</v>
      </c>
      <c r="Q63">
        <v>74.3</v>
      </c>
      <c r="R63">
        <v>130</v>
      </c>
      <c r="S63">
        <v>68.099999999999994</v>
      </c>
      <c r="T63">
        <v>285</v>
      </c>
      <c r="U63">
        <v>51.3</v>
      </c>
      <c r="V63">
        <v>282</v>
      </c>
      <c r="W63">
        <v>94.9</v>
      </c>
      <c r="X63">
        <v>55</v>
      </c>
      <c r="Y63">
        <v>17.7</v>
      </c>
      <c r="Z63">
        <v>471</v>
      </c>
      <c r="AA63">
        <v>72.5</v>
      </c>
      <c r="AB63" t="s">
        <v>5641</v>
      </c>
      <c r="AC63">
        <v>70</v>
      </c>
    </row>
    <row r="64" spans="1:29">
      <c r="A64">
        <v>63</v>
      </c>
      <c r="B64">
        <v>80</v>
      </c>
      <c r="C64" t="s">
        <v>85</v>
      </c>
      <c r="D64" t="s">
        <v>5587</v>
      </c>
      <c r="E64" t="s">
        <v>29</v>
      </c>
      <c r="F64" t="s">
        <v>5605</v>
      </c>
      <c r="G64" t="s">
        <v>5594</v>
      </c>
      <c r="H64" t="s">
        <v>5590</v>
      </c>
      <c r="I64">
        <v>5</v>
      </c>
      <c r="J64" t="s">
        <v>5595</v>
      </c>
      <c r="K64">
        <v>84</v>
      </c>
      <c r="L64">
        <v>58</v>
      </c>
      <c r="M64">
        <v>50.4</v>
      </c>
      <c r="N64">
        <v>168</v>
      </c>
      <c r="O64">
        <v>19.100000000000001</v>
      </c>
      <c r="P64">
        <v>692</v>
      </c>
      <c r="Q64">
        <v>93.5</v>
      </c>
      <c r="R64">
        <v>62</v>
      </c>
      <c r="S64">
        <v>19</v>
      </c>
      <c r="T64">
        <v>600</v>
      </c>
      <c r="U64">
        <v>33.200000000000003</v>
      </c>
      <c r="V64">
        <v>392</v>
      </c>
      <c r="W64">
        <v>94</v>
      </c>
      <c r="X64">
        <v>59</v>
      </c>
      <c r="Y64">
        <v>70</v>
      </c>
      <c r="Z64">
        <v>74</v>
      </c>
      <c r="AA64">
        <v>88.1</v>
      </c>
      <c r="AB64" t="s">
        <v>5606</v>
      </c>
      <c r="AC64">
        <v>69.2</v>
      </c>
    </row>
    <row r="65" spans="1:29">
      <c r="A65">
        <v>64</v>
      </c>
      <c r="B65">
        <v>85</v>
      </c>
      <c r="C65" t="s">
        <v>129</v>
      </c>
      <c r="D65" t="s">
        <v>5587</v>
      </c>
      <c r="E65" t="s">
        <v>29</v>
      </c>
      <c r="F65" t="s">
        <v>5605</v>
      </c>
      <c r="G65" t="s">
        <v>5594</v>
      </c>
      <c r="H65" t="s">
        <v>5590</v>
      </c>
      <c r="I65">
        <v>5</v>
      </c>
      <c r="J65" t="s">
        <v>5595</v>
      </c>
      <c r="K65">
        <v>85</v>
      </c>
      <c r="L65">
        <v>54</v>
      </c>
      <c r="M65">
        <v>70.8</v>
      </c>
      <c r="N65">
        <v>100</v>
      </c>
      <c r="O65">
        <v>7.5</v>
      </c>
      <c r="P65" t="s">
        <v>5613</v>
      </c>
      <c r="Q65">
        <v>86.5</v>
      </c>
      <c r="R65">
        <v>86</v>
      </c>
      <c r="S65">
        <v>11.1</v>
      </c>
      <c r="T65" t="s">
        <v>5613</v>
      </c>
      <c r="U65">
        <v>49.2</v>
      </c>
      <c r="V65">
        <v>303</v>
      </c>
      <c r="W65">
        <v>76.400000000000006</v>
      </c>
      <c r="X65">
        <v>164</v>
      </c>
      <c r="Y65">
        <v>66</v>
      </c>
      <c r="Z65">
        <v>84</v>
      </c>
      <c r="AA65">
        <v>83.5</v>
      </c>
      <c r="AB65" t="s">
        <v>5669</v>
      </c>
      <c r="AC65">
        <v>69.099999999999994</v>
      </c>
    </row>
    <row r="66" spans="1:29">
      <c r="A66">
        <f>65</f>
        <v>65</v>
      </c>
      <c r="B66" t="s">
        <v>5670</v>
      </c>
      <c r="C66" t="s">
        <v>239</v>
      </c>
      <c r="D66" t="s">
        <v>5629</v>
      </c>
      <c r="E66" t="s">
        <v>5630</v>
      </c>
      <c r="F66" t="s">
        <v>5593</v>
      </c>
      <c r="G66" t="s">
        <v>5589</v>
      </c>
      <c r="H66" t="s">
        <v>5590</v>
      </c>
      <c r="I66">
        <v>3</v>
      </c>
      <c r="J66" t="s">
        <v>5595</v>
      </c>
      <c r="K66">
        <v>68.099999999999994</v>
      </c>
      <c r="L66">
        <v>97</v>
      </c>
      <c r="M66">
        <v>30.2</v>
      </c>
      <c r="N66">
        <v>323</v>
      </c>
      <c r="O66">
        <v>68</v>
      </c>
      <c r="P66">
        <v>192</v>
      </c>
      <c r="Q66">
        <v>88.8</v>
      </c>
      <c r="R66">
        <v>77</v>
      </c>
      <c r="S66">
        <v>100</v>
      </c>
      <c r="T66">
        <v>40</v>
      </c>
      <c r="U66">
        <v>87.4</v>
      </c>
      <c r="V66">
        <v>133</v>
      </c>
      <c r="W66">
        <v>42</v>
      </c>
      <c r="X66">
        <v>362</v>
      </c>
      <c r="Y66">
        <v>49.2</v>
      </c>
      <c r="Z66">
        <v>138</v>
      </c>
      <c r="AA66">
        <v>92.8</v>
      </c>
      <c r="AB66">
        <v>73</v>
      </c>
      <c r="AC66">
        <v>68.7</v>
      </c>
    </row>
    <row r="67" spans="1:29">
      <c r="A67">
        <f>65</f>
        <v>65</v>
      </c>
      <c r="B67">
        <v>70</v>
      </c>
      <c r="C67" t="s">
        <v>5671</v>
      </c>
      <c r="D67" t="s">
        <v>5672</v>
      </c>
      <c r="E67" t="s">
        <v>664</v>
      </c>
      <c r="F67" t="s">
        <v>5593</v>
      </c>
      <c r="G67" t="s">
        <v>5594</v>
      </c>
      <c r="H67" t="s">
        <v>5590</v>
      </c>
      <c r="I67">
        <v>4</v>
      </c>
      <c r="J67" t="s">
        <v>5595</v>
      </c>
      <c r="K67">
        <v>81.2</v>
      </c>
      <c r="L67">
        <v>68</v>
      </c>
      <c r="M67">
        <v>96</v>
      </c>
      <c r="N67">
        <v>34</v>
      </c>
      <c r="O67">
        <v>71.599999999999994</v>
      </c>
      <c r="P67">
        <v>178</v>
      </c>
      <c r="Q67">
        <v>32.700000000000003</v>
      </c>
      <c r="R67">
        <v>416</v>
      </c>
      <c r="S67">
        <v>52.8</v>
      </c>
      <c r="T67">
        <v>346</v>
      </c>
      <c r="U67">
        <v>58.9</v>
      </c>
      <c r="V67">
        <v>254</v>
      </c>
      <c r="W67">
        <v>79.3</v>
      </c>
      <c r="X67">
        <v>148</v>
      </c>
      <c r="Y67">
        <v>28.1</v>
      </c>
      <c r="Z67">
        <v>286</v>
      </c>
      <c r="AA67">
        <v>93.4</v>
      </c>
      <c r="AB67">
        <v>68</v>
      </c>
      <c r="AC67">
        <v>68.7</v>
      </c>
    </row>
    <row r="68" spans="1:29">
      <c r="A68">
        <v>67</v>
      </c>
      <c r="B68">
        <v>64</v>
      </c>
      <c r="C68" t="s">
        <v>5673</v>
      </c>
      <c r="D68" t="s">
        <v>5592</v>
      </c>
      <c r="E68" t="s">
        <v>26</v>
      </c>
      <c r="F68" t="s">
        <v>5593</v>
      </c>
      <c r="G68" t="s">
        <v>5594</v>
      </c>
      <c r="H68" t="s">
        <v>5590</v>
      </c>
      <c r="I68">
        <v>4</v>
      </c>
      <c r="J68" t="s">
        <v>5595</v>
      </c>
      <c r="K68">
        <v>71.3</v>
      </c>
      <c r="L68">
        <v>86</v>
      </c>
      <c r="M68">
        <v>88</v>
      </c>
      <c r="N68">
        <v>56</v>
      </c>
      <c r="O68">
        <v>37.299999999999997</v>
      </c>
      <c r="P68">
        <v>420</v>
      </c>
      <c r="Q68">
        <v>49</v>
      </c>
      <c r="R68">
        <v>275</v>
      </c>
      <c r="S68">
        <v>98.2</v>
      </c>
      <c r="T68">
        <v>109</v>
      </c>
      <c r="U68">
        <v>99.3</v>
      </c>
      <c r="V68">
        <v>47</v>
      </c>
      <c r="W68">
        <v>89.7</v>
      </c>
      <c r="X68">
        <v>87</v>
      </c>
      <c r="Y68">
        <v>47.2</v>
      </c>
      <c r="Z68">
        <v>148</v>
      </c>
      <c r="AA68">
        <v>62.5</v>
      </c>
      <c r="AB68" t="s">
        <v>5674</v>
      </c>
      <c r="AC68">
        <v>68.599999999999994</v>
      </c>
    </row>
    <row r="69" spans="1:29">
      <c r="A69">
        <v>68</v>
      </c>
      <c r="B69">
        <v>87</v>
      </c>
      <c r="C69" t="s">
        <v>5675</v>
      </c>
      <c r="D69" t="s">
        <v>5676</v>
      </c>
      <c r="E69" t="s">
        <v>380</v>
      </c>
      <c r="F69" t="s">
        <v>5593</v>
      </c>
      <c r="G69" t="s">
        <v>5594</v>
      </c>
      <c r="H69" t="s">
        <v>5590</v>
      </c>
      <c r="I69">
        <v>5</v>
      </c>
      <c r="J69" t="s">
        <v>5595</v>
      </c>
      <c r="K69">
        <v>81.599999999999994</v>
      </c>
      <c r="L69">
        <v>65</v>
      </c>
      <c r="M69">
        <v>40.799999999999997</v>
      </c>
      <c r="N69">
        <v>231</v>
      </c>
      <c r="O69">
        <v>19.3</v>
      </c>
      <c r="P69">
        <v>687</v>
      </c>
      <c r="Q69">
        <v>61.7</v>
      </c>
      <c r="R69">
        <v>198</v>
      </c>
      <c r="S69">
        <v>100</v>
      </c>
      <c r="T69">
        <v>68</v>
      </c>
      <c r="U69">
        <v>91.6</v>
      </c>
      <c r="V69">
        <v>108</v>
      </c>
      <c r="W69">
        <v>64.400000000000006</v>
      </c>
      <c r="X69">
        <v>220</v>
      </c>
      <c r="Y69">
        <v>94.3</v>
      </c>
      <c r="Z69">
        <v>28</v>
      </c>
      <c r="AA69">
        <v>99.6</v>
      </c>
      <c r="AB69">
        <v>9</v>
      </c>
      <c r="AC69">
        <v>68</v>
      </c>
    </row>
    <row r="70" spans="1:29">
      <c r="A70">
        <v>69</v>
      </c>
      <c r="B70">
        <v>77</v>
      </c>
      <c r="C70" t="s">
        <v>5677</v>
      </c>
      <c r="D70" t="s">
        <v>5678</v>
      </c>
      <c r="E70" t="s">
        <v>389</v>
      </c>
      <c r="F70" t="s">
        <v>5605</v>
      </c>
      <c r="G70" t="s">
        <v>5594</v>
      </c>
      <c r="H70" t="s">
        <v>5590</v>
      </c>
      <c r="I70">
        <v>4</v>
      </c>
      <c r="J70" t="s">
        <v>5595</v>
      </c>
      <c r="K70">
        <v>92.8</v>
      </c>
      <c r="L70">
        <v>39</v>
      </c>
      <c r="M70">
        <v>91.3</v>
      </c>
      <c r="N70">
        <v>46</v>
      </c>
      <c r="O70">
        <v>30.9</v>
      </c>
      <c r="P70">
        <v>508</v>
      </c>
      <c r="Q70">
        <v>47</v>
      </c>
      <c r="R70">
        <v>288</v>
      </c>
      <c r="S70">
        <v>17.7</v>
      </c>
      <c r="T70">
        <v>619</v>
      </c>
      <c r="U70">
        <v>20</v>
      </c>
      <c r="V70">
        <v>547</v>
      </c>
      <c r="W70">
        <v>33.200000000000003</v>
      </c>
      <c r="X70">
        <v>431</v>
      </c>
      <c r="Y70">
        <v>99.7</v>
      </c>
      <c r="Z70">
        <v>12</v>
      </c>
      <c r="AA70">
        <v>95.6</v>
      </c>
      <c r="AB70">
        <v>49</v>
      </c>
      <c r="AC70">
        <v>67.900000000000006</v>
      </c>
    </row>
    <row r="71" spans="1:29">
      <c r="A71">
        <v>70</v>
      </c>
      <c r="B71">
        <v>54</v>
      </c>
      <c r="C71" t="s">
        <v>225</v>
      </c>
      <c r="D71" t="s">
        <v>5629</v>
      </c>
      <c r="E71" t="s">
        <v>5630</v>
      </c>
      <c r="F71" t="s">
        <v>5588</v>
      </c>
      <c r="G71" t="s">
        <v>5589</v>
      </c>
      <c r="H71" t="s">
        <v>5590</v>
      </c>
      <c r="I71">
        <v>3</v>
      </c>
      <c r="J71" t="s">
        <v>5595</v>
      </c>
      <c r="K71">
        <v>59.6</v>
      </c>
      <c r="L71">
        <v>122</v>
      </c>
      <c r="M71">
        <v>27.3</v>
      </c>
      <c r="N71">
        <v>356</v>
      </c>
      <c r="O71">
        <v>86.6</v>
      </c>
      <c r="P71">
        <v>99</v>
      </c>
      <c r="Q71">
        <v>99.9</v>
      </c>
      <c r="R71">
        <v>9</v>
      </c>
      <c r="S71">
        <v>100</v>
      </c>
      <c r="T71">
        <v>17</v>
      </c>
      <c r="U71">
        <v>100</v>
      </c>
      <c r="V71">
        <v>2</v>
      </c>
      <c r="W71">
        <v>17.399999999999999</v>
      </c>
      <c r="X71">
        <v>570</v>
      </c>
      <c r="Y71">
        <v>29.5</v>
      </c>
      <c r="Z71">
        <v>269</v>
      </c>
      <c r="AA71">
        <v>82.1</v>
      </c>
      <c r="AB71">
        <v>136</v>
      </c>
      <c r="AC71">
        <v>67.7</v>
      </c>
    </row>
    <row r="72" spans="1:29">
      <c r="A72">
        <v>71</v>
      </c>
      <c r="B72">
        <v>69</v>
      </c>
      <c r="C72" t="s">
        <v>5679</v>
      </c>
      <c r="D72" t="s">
        <v>5624</v>
      </c>
      <c r="E72" t="s">
        <v>125</v>
      </c>
      <c r="F72" t="s">
        <v>5605</v>
      </c>
      <c r="G72" t="s">
        <v>5589</v>
      </c>
      <c r="H72" t="s">
        <v>5590</v>
      </c>
      <c r="I72">
        <v>1</v>
      </c>
      <c r="J72" t="s">
        <v>5595</v>
      </c>
      <c r="K72">
        <v>58.9</v>
      </c>
      <c r="L72">
        <v>128</v>
      </c>
      <c r="M72">
        <v>99.1</v>
      </c>
      <c r="N72">
        <v>13</v>
      </c>
      <c r="O72">
        <v>99.8</v>
      </c>
      <c r="P72">
        <v>25</v>
      </c>
      <c r="Q72">
        <v>45.8</v>
      </c>
      <c r="R72">
        <v>294</v>
      </c>
      <c r="S72">
        <v>39.1</v>
      </c>
      <c r="T72">
        <v>416</v>
      </c>
      <c r="U72">
        <v>60.8</v>
      </c>
      <c r="V72">
        <v>244</v>
      </c>
      <c r="W72">
        <v>98.7</v>
      </c>
      <c r="X72">
        <v>17</v>
      </c>
      <c r="Y72">
        <v>34.299999999999997</v>
      </c>
      <c r="Z72">
        <v>224</v>
      </c>
      <c r="AA72">
        <v>73.599999999999994</v>
      </c>
      <c r="AB72" t="s">
        <v>5680</v>
      </c>
      <c r="AC72">
        <v>67.599999999999994</v>
      </c>
    </row>
    <row r="73" spans="1:29">
      <c r="A73">
        <v>72</v>
      </c>
      <c r="B73">
        <v>90</v>
      </c>
      <c r="C73" t="s">
        <v>365</v>
      </c>
      <c r="D73" t="s">
        <v>5612</v>
      </c>
      <c r="E73" t="s">
        <v>116</v>
      </c>
      <c r="F73" t="s">
        <v>5593</v>
      </c>
      <c r="G73" t="s">
        <v>5594</v>
      </c>
      <c r="H73" t="s">
        <v>5590</v>
      </c>
      <c r="I73">
        <v>5</v>
      </c>
      <c r="J73" t="s">
        <v>5595</v>
      </c>
      <c r="K73">
        <v>56.2</v>
      </c>
      <c r="L73">
        <v>138</v>
      </c>
      <c r="M73">
        <v>44.6</v>
      </c>
      <c r="N73">
        <v>200</v>
      </c>
      <c r="O73">
        <v>16.5</v>
      </c>
      <c r="P73" t="s">
        <v>5613</v>
      </c>
      <c r="Q73">
        <v>98.9</v>
      </c>
      <c r="R73">
        <v>23</v>
      </c>
      <c r="S73">
        <v>100</v>
      </c>
      <c r="T73">
        <v>29</v>
      </c>
      <c r="U73">
        <v>99.8</v>
      </c>
      <c r="V73">
        <v>34</v>
      </c>
      <c r="W73">
        <v>90</v>
      </c>
      <c r="X73">
        <v>83</v>
      </c>
      <c r="Y73">
        <v>66</v>
      </c>
      <c r="Z73">
        <v>82</v>
      </c>
      <c r="AA73">
        <v>70.099999999999994</v>
      </c>
      <c r="AB73" t="s">
        <v>5681</v>
      </c>
      <c r="AC73">
        <v>66.900000000000006</v>
      </c>
    </row>
    <row r="74" spans="1:29">
      <c r="A74">
        <f>73</f>
        <v>73</v>
      </c>
      <c r="B74">
        <v>63</v>
      </c>
      <c r="C74" t="s">
        <v>185</v>
      </c>
      <c r="D74" t="s">
        <v>5587</v>
      </c>
      <c r="E74" t="s">
        <v>29</v>
      </c>
      <c r="F74" t="s">
        <v>5588</v>
      </c>
      <c r="G74" t="s">
        <v>5594</v>
      </c>
      <c r="H74" t="s">
        <v>5590</v>
      </c>
      <c r="I74">
        <v>5</v>
      </c>
      <c r="J74" t="s">
        <v>5591</v>
      </c>
      <c r="K74">
        <v>58.3</v>
      </c>
      <c r="L74">
        <v>131</v>
      </c>
      <c r="M74">
        <v>42.4</v>
      </c>
      <c r="N74">
        <v>221</v>
      </c>
      <c r="O74">
        <v>77.8</v>
      </c>
      <c r="P74">
        <v>145</v>
      </c>
      <c r="Q74">
        <v>85.9</v>
      </c>
      <c r="R74">
        <v>89</v>
      </c>
      <c r="S74">
        <v>84.5</v>
      </c>
      <c r="T74">
        <v>212</v>
      </c>
      <c r="U74">
        <v>52</v>
      </c>
      <c r="V74">
        <v>279</v>
      </c>
      <c r="W74">
        <v>58.3</v>
      </c>
      <c r="X74">
        <v>258</v>
      </c>
      <c r="Y74">
        <v>74.8</v>
      </c>
      <c r="Z74">
        <v>59</v>
      </c>
      <c r="AA74">
        <v>70.400000000000006</v>
      </c>
      <c r="AB74" t="s">
        <v>5682</v>
      </c>
      <c r="AC74">
        <v>66.400000000000006</v>
      </c>
    </row>
    <row r="75" spans="1:29">
      <c r="A75">
        <f>73</f>
        <v>73</v>
      </c>
      <c r="B75">
        <v>89</v>
      </c>
      <c r="C75" t="s">
        <v>5683</v>
      </c>
      <c r="D75" t="s">
        <v>5684</v>
      </c>
      <c r="E75" t="s">
        <v>150</v>
      </c>
      <c r="F75" t="s">
        <v>5593</v>
      </c>
      <c r="G75" t="s">
        <v>5589</v>
      </c>
      <c r="H75" t="s">
        <v>5590</v>
      </c>
      <c r="I75">
        <v>5</v>
      </c>
      <c r="J75" t="s">
        <v>5595</v>
      </c>
      <c r="K75">
        <v>45.7</v>
      </c>
      <c r="L75">
        <v>181</v>
      </c>
      <c r="M75">
        <v>51.1</v>
      </c>
      <c r="N75">
        <v>162</v>
      </c>
      <c r="O75">
        <v>66.2</v>
      </c>
      <c r="P75">
        <v>201</v>
      </c>
      <c r="Q75">
        <v>90.2</v>
      </c>
      <c r="R75">
        <v>74</v>
      </c>
      <c r="S75">
        <v>93.2</v>
      </c>
      <c r="T75">
        <v>162</v>
      </c>
      <c r="U75">
        <v>68.099999999999994</v>
      </c>
      <c r="V75">
        <v>217</v>
      </c>
      <c r="W75">
        <v>80.7</v>
      </c>
      <c r="X75">
        <v>142</v>
      </c>
      <c r="Y75">
        <v>56.9</v>
      </c>
      <c r="Z75">
        <v>108</v>
      </c>
      <c r="AA75">
        <v>96.1</v>
      </c>
      <c r="AB75" t="s">
        <v>5685</v>
      </c>
      <c r="AC75">
        <v>66.400000000000006</v>
      </c>
    </row>
    <row r="76" spans="1:29">
      <c r="A76">
        <v>75</v>
      </c>
      <c r="B76">
        <v>86</v>
      </c>
      <c r="C76" t="s">
        <v>331</v>
      </c>
      <c r="D76" t="s">
        <v>5592</v>
      </c>
      <c r="E76" t="s">
        <v>26</v>
      </c>
      <c r="F76" t="s">
        <v>5605</v>
      </c>
      <c r="G76" t="s">
        <v>5594</v>
      </c>
      <c r="H76" t="s">
        <v>5590</v>
      </c>
      <c r="I76">
        <v>5</v>
      </c>
      <c r="J76" t="s">
        <v>5595</v>
      </c>
      <c r="K76">
        <v>70.3</v>
      </c>
      <c r="L76">
        <v>89</v>
      </c>
      <c r="M76">
        <v>76.7</v>
      </c>
      <c r="N76">
        <v>77</v>
      </c>
      <c r="O76">
        <v>37.299999999999997</v>
      </c>
      <c r="P76">
        <v>421</v>
      </c>
      <c r="Q76">
        <v>42.3</v>
      </c>
      <c r="R76">
        <v>320</v>
      </c>
      <c r="S76">
        <v>85.2</v>
      </c>
      <c r="T76">
        <v>208</v>
      </c>
      <c r="U76">
        <v>90</v>
      </c>
      <c r="V76">
        <v>118</v>
      </c>
      <c r="W76">
        <v>98.7</v>
      </c>
      <c r="X76">
        <v>16</v>
      </c>
      <c r="Y76">
        <v>37.799999999999997</v>
      </c>
      <c r="Z76">
        <v>193</v>
      </c>
      <c r="AA76">
        <v>90.9</v>
      </c>
      <c r="AB76">
        <v>88</v>
      </c>
      <c r="AC76">
        <v>65.5</v>
      </c>
    </row>
    <row r="77" spans="1:29">
      <c r="A77">
        <f>76</f>
        <v>76</v>
      </c>
      <c r="B77">
        <v>81</v>
      </c>
      <c r="C77" t="s">
        <v>237</v>
      </c>
      <c r="D77" t="s">
        <v>5592</v>
      </c>
      <c r="E77" t="s">
        <v>26</v>
      </c>
      <c r="F77" t="s">
        <v>5605</v>
      </c>
      <c r="G77" t="s">
        <v>5594</v>
      </c>
      <c r="H77" t="s">
        <v>5590</v>
      </c>
      <c r="I77">
        <v>5</v>
      </c>
      <c r="J77" t="s">
        <v>5595</v>
      </c>
      <c r="K77">
        <v>76.3</v>
      </c>
      <c r="L77">
        <v>77</v>
      </c>
      <c r="M77">
        <v>70.7</v>
      </c>
      <c r="N77">
        <v>101</v>
      </c>
      <c r="O77">
        <v>41.7</v>
      </c>
      <c r="P77">
        <v>377</v>
      </c>
      <c r="Q77">
        <v>31.8</v>
      </c>
      <c r="R77">
        <v>423</v>
      </c>
      <c r="S77">
        <v>96</v>
      </c>
      <c r="T77">
        <v>143</v>
      </c>
      <c r="U77">
        <v>99.5</v>
      </c>
      <c r="V77">
        <v>41</v>
      </c>
      <c r="W77">
        <v>90</v>
      </c>
      <c r="X77">
        <v>80</v>
      </c>
      <c r="Y77">
        <v>26.7</v>
      </c>
      <c r="Z77">
        <v>306</v>
      </c>
      <c r="AA77">
        <v>99.5</v>
      </c>
      <c r="AB77">
        <v>11</v>
      </c>
      <c r="AC77">
        <v>65.2</v>
      </c>
    </row>
    <row r="78" spans="1:29">
      <c r="A78">
        <f>76</f>
        <v>76</v>
      </c>
      <c r="B78">
        <v>73</v>
      </c>
      <c r="C78" t="s">
        <v>5686</v>
      </c>
      <c r="D78" t="s">
        <v>5644</v>
      </c>
      <c r="E78" t="s">
        <v>181</v>
      </c>
      <c r="F78" t="s">
        <v>5593</v>
      </c>
      <c r="G78" t="s">
        <v>5594</v>
      </c>
      <c r="H78" t="s">
        <v>5590</v>
      </c>
      <c r="I78">
        <v>4</v>
      </c>
      <c r="J78" t="s">
        <v>5591</v>
      </c>
      <c r="K78">
        <v>80</v>
      </c>
      <c r="L78">
        <v>72</v>
      </c>
      <c r="M78">
        <v>96.3</v>
      </c>
      <c r="N78">
        <v>31</v>
      </c>
      <c r="O78">
        <v>87.4</v>
      </c>
      <c r="P78">
        <v>97</v>
      </c>
      <c r="Q78">
        <v>36.200000000000003</v>
      </c>
      <c r="R78">
        <v>385</v>
      </c>
      <c r="S78">
        <v>19.600000000000001</v>
      </c>
      <c r="T78">
        <v>594</v>
      </c>
      <c r="U78">
        <v>49.7</v>
      </c>
      <c r="V78">
        <v>298</v>
      </c>
      <c r="W78">
        <v>25</v>
      </c>
      <c r="X78">
        <v>498</v>
      </c>
      <c r="Y78">
        <v>70.900000000000006</v>
      </c>
      <c r="Z78">
        <v>69</v>
      </c>
      <c r="AA78">
        <v>38.1</v>
      </c>
      <c r="AB78" t="s">
        <v>5687</v>
      </c>
      <c r="AC78">
        <v>65.2</v>
      </c>
    </row>
    <row r="79" spans="1:29">
      <c r="A79">
        <v>78</v>
      </c>
      <c r="B79">
        <v>92</v>
      </c>
      <c r="C79" t="s">
        <v>436</v>
      </c>
      <c r="D79" t="s">
        <v>5592</v>
      </c>
      <c r="E79" t="s">
        <v>26</v>
      </c>
      <c r="F79" t="s">
        <v>5593</v>
      </c>
      <c r="G79" t="s">
        <v>5594</v>
      </c>
      <c r="H79" t="s">
        <v>5590</v>
      </c>
      <c r="I79">
        <v>5</v>
      </c>
      <c r="J79" t="s">
        <v>5595</v>
      </c>
      <c r="K79">
        <v>59.5</v>
      </c>
      <c r="L79">
        <v>124</v>
      </c>
      <c r="M79">
        <v>89.3</v>
      </c>
      <c r="N79">
        <v>50</v>
      </c>
      <c r="O79">
        <v>27.8</v>
      </c>
      <c r="P79">
        <v>548</v>
      </c>
      <c r="Q79">
        <v>53.3</v>
      </c>
      <c r="R79">
        <v>241</v>
      </c>
      <c r="S79">
        <v>97.5</v>
      </c>
      <c r="T79">
        <v>125</v>
      </c>
      <c r="U79">
        <v>86.9</v>
      </c>
      <c r="V79">
        <v>135</v>
      </c>
      <c r="W79">
        <v>86.2</v>
      </c>
      <c r="X79">
        <v>108</v>
      </c>
      <c r="Y79">
        <v>29.2</v>
      </c>
      <c r="Z79">
        <v>274</v>
      </c>
      <c r="AA79">
        <v>97.6</v>
      </c>
      <c r="AB79" t="s">
        <v>5688</v>
      </c>
      <c r="AC79">
        <v>65.099999999999994</v>
      </c>
    </row>
    <row r="80" spans="1:29">
      <c r="A80">
        <v>79</v>
      </c>
      <c r="B80">
        <v>74</v>
      </c>
      <c r="C80" t="s">
        <v>536</v>
      </c>
      <c r="D80" t="s">
        <v>5644</v>
      </c>
      <c r="E80" t="s">
        <v>181</v>
      </c>
      <c r="F80" t="s">
        <v>5593</v>
      </c>
      <c r="G80" t="s">
        <v>5594</v>
      </c>
      <c r="H80" t="s">
        <v>5590</v>
      </c>
      <c r="I80">
        <v>4</v>
      </c>
      <c r="J80" t="s">
        <v>5591</v>
      </c>
      <c r="K80">
        <v>82.2</v>
      </c>
      <c r="L80">
        <v>64</v>
      </c>
      <c r="M80">
        <v>94</v>
      </c>
      <c r="N80">
        <v>40</v>
      </c>
      <c r="O80">
        <v>81</v>
      </c>
      <c r="P80">
        <v>137</v>
      </c>
      <c r="Q80">
        <v>36.6</v>
      </c>
      <c r="R80">
        <v>382</v>
      </c>
      <c r="S80">
        <v>13.6</v>
      </c>
      <c r="T80">
        <v>694</v>
      </c>
      <c r="U80">
        <v>36.299999999999997</v>
      </c>
      <c r="V80">
        <v>370</v>
      </c>
      <c r="W80">
        <v>19.600000000000001</v>
      </c>
      <c r="X80">
        <v>546</v>
      </c>
      <c r="Y80">
        <v>70.599999999999994</v>
      </c>
      <c r="Z80">
        <v>71</v>
      </c>
      <c r="AA80">
        <v>58.6</v>
      </c>
      <c r="AB80" t="s">
        <v>5689</v>
      </c>
      <c r="AC80">
        <v>64.7</v>
      </c>
    </row>
    <row r="81" spans="1:29">
      <c r="A81">
        <v>80</v>
      </c>
      <c r="B81">
        <v>68</v>
      </c>
      <c r="C81" t="s">
        <v>439</v>
      </c>
      <c r="D81" t="s">
        <v>5631</v>
      </c>
      <c r="E81" t="s">
        <v>94</v>
      </c>
      <c r="F81" t="s">
        <v>5593</v>
      </c>
      <c r="G81" t="s">
        <v>5594</v>
      </c>
      <c r="H81" t="s">
        <v>5590</v>
      </c>
      <c r="I81">
        <v>4</v>
      </c>
      <c r="J81" t="s">
        <v>5595</v>
      </c>
      <c r="K81">
        <v>81.3</v>
      </c>
      <c r="L81">
        <v>67</v>
      </c>
      <c r="M81">
        <v>89.1</v>
      </c>
      <c r="N81">
        <v>51</v>
      </c>
      <c r="O81">
        <v>55.3</v>
      </c>
      <c r="P81">
        <v>272</v>
      </c>
      <c r="Q81">
        <v>62.7</v>
      </c>
      <c r="R81">
        <v>191</v>
      </c>
      <c r="S81">
        <v>28.6</v>
      </c>
      <c r="T81">
        <v>498</v>
      </c>
      <c r="U81">
        <v>13.2</v>
      </c>
      <c r="V81">
        <v>658</v>
      </c>
      <c r="W81">
        <v>26.7</v>
      </c>
      <c r="X81">
        <v>486</v>
      </c>
      <c r="Y81">
        <v>23.4</v>
      </c>
      <c r="Z81">
        <v>361</v>
      </c>
      <c r="AA81">
        <v>58.6</v>
      </c>
      <c r="AB81" t="s">
        <v>5689</v>
      </c>
      <c r="AC81">
        <v>63.9</v>
      </c>
    </row>
    <row r="82" spans="1:29">
      <c r="A82">
        <f>81</f>
        <v>81</v>
      </c>
      <c r="B82">
        <v>98</v>
      </c>
      <c r="C82" t="s">
        <v>5690</v>
      </c>
      <c r="D82" t="s">
        <v>5691</v>
      </c>
      <c r="E82" t="s">
        <v>343</v>
      </c>
      <c r="F82" t="s">
        <v>5593</v>
      </c>
      <c r="G82" t="s">
        <v>5594</v>
      </c>
      <c r="H82" t="s">
        <v>5590</v>
      </c>
      <c r="I82">
        <v>5</v>
      </c>
      <c r="J82" t="s">
        <v>5595</v>
      </c>
      <c r="K82">
        <v>69.3</v>
      </c>
      <c r="L82">
        <v>92</v>
      </c>
      <c r="M82">
        <v>39.799999999999997</v>
      </c>
      <c r="N82">
        <v>238</v>
      </c>
      <c r="O82">
        <v>23.7</v>
      </c>
      <c r="P82">
        <v>601</v>
      </c>
      <c r="Q82">
        <v>64.099999999999994</v>
      </c>
      <c r="R82">
        <v>184</v>
      </c>
      <c r="S82">
        <v>99.8</v>
      </c>
      <c r="T82">
        <v>79</v>
      </c>
      <c r="U82">
        <v>92.5</v>
      </c>
      <c r="V82">
        <v>104</v>
      </c>
      <c r="W82">
        <v>82.2</v>
      </c>
      <c r="X82">
        <v>132</v>
      </c>
      <c r="Y82">
        <v>70.599999999999994</v>
      </c>
      <c r="Z82">
        <v>70</v>
      </c>
      <c r="AA82">
        <v>75.599999999999994</v>
      </c>
      <c r="AB82" t="s">
        <v>5668</v>
      </c>
      <c r="AC82">
        <v>63.5</v>
      </c>
    </row>
    <row r="83" spans="1:29">
      <c r="A83">
        <f>81</f>
        <v>81</v>
      </c>
      <c r="B83">
        <v>78</v>
      </c>
      <c r="C83" t="s">
        <v>261</v>
      </c>
      <c r="D83" t="s">
        <v>5592</v>
      </c>
      <c r="E83" t="s">
        <v>26</v>
      </c>
      <c r="F83" t="s">
        <v>5593</v>
      </c>
      <c r="G83" t="s">
        <v>5594</v>
      </c>
      <c r="H83" t="s">
        <v>5590</v>
      </c>
      <c r="I83">
        <v>5</v>
      </c>
      <c r="J83" t="s">
        <v>5595</v>
      </c>
      <c r="K83">
        <v>51.5</v>
      </c>
      <c r="L83">
        <v>154</v>
      </c>
      <c r="M83">
        <v>51.2</v>
      </c>
      <c r="N83">
        <v>160</v>
      </c>
      <c r="O83">
        <v>52.8</v>
      </c>
      <c r="P83">
        <v>298</v>
      </c>
      <c r="Q83">
        <v>71.400000000000006</v>
      </c>
      <c r="R83">
        <v>140</v>
      </c>
      <c r="S83">
        <v>96.1</v>
      </c>
      <c r="T83">
        <v>138</v>
      </c>
      <c r="U83">
        <v>97.4</v>
      </c>
      <c r="V83">
        <v>70</v>
      </c>
      <c r="W83">
        <v>97</v>
      </c>
      <c r="X83">
        <v>31</v>
      </c>
      <c r="Y83">
        <v>32.5</v>
      </c>
      <c r="Z83">
        <v>235</v>
      </c>
      <c r="AA83">
        <v>82.7</v>
      </c>
      <c r="AB83" t="s">
        <v>5692</v>
      </c>
      <c r="AC83">
        <v>63.5</v>
      </c>
    </row>
    <row r="84" spans="1:29">
      <c r="A84">
        <v>83</v>
      </c>
      <c r="B84">
        <v>93</v>
      </c>
      <c r="C84" t="s">
        <v>5693</v>
      </c>
      <c r="D84" t="s">
        <v>5587</v>
      </c>
      <c r="E84" t="s">
        <v>29</v>
      </c>
      <c r="F84" t="s">
        <v>5605</v>
      </c>
      <c r="G84" t="s">
        <v>5594</v>
      </c>
      <c r="H84" t="s">
        <v>5590</v>
      </c>
      <c r="I84">
        <v>5</v>
      </c>
      <c r="J84" t="s">
        <v>5595</v>
      </c>
      <c r="K84">
        <v>77.5</v>
      </c>
      <c r="L84">
        <v>76</v>
      </c>
      <c r="M84">
        <v>63</v>
      </c>
      <c r="N84">
        <v>126</v>
      </c>
      <c r="O84">
        <v>28.4</v>
      </c>
      <c r="P84">
        <v>540</v>
      </c>
      <c r="Q84">
        <v>62.9</v>
      </c>
      <c r="R84">
        <v>189</v>
      </c>
      <c r="S84">
        <v>23.4</v>
      </c>
      <c r="T84">
        <v>560</v>
      </c>
      <c r="U84">
        <v>26.8</v>
      </c>
      <c r="V84">
        <v>449</v>
      </c>
      <c r="W84">
        <v>96.6</v>
      </c>
      <c r="X84">
        <v>36</v>
      </c>
      <c r="Y84">
        <v>47.5</v>
      </c>
      <c r="Z84">
        <v>145</v>
      </c>
      <c r="AA84">
        <v>95.1</v>
      </c>
      <c r="AB84">
        <v>52</v>
      </c>
      <c r="AC84">
        <v>63.1</v>
      </c>
    </row>
    <row r="85" spans="1:29">
      <c r="A85">
        <v>84</v>
      </c>
      <c r="B85">
        <v>91</v>
      </c>
      <c r="C85" t="s">
        <v>267</v>
      </c>
      <c r="D85" t="s">
        <v>5592</v>
      </c>
      <c r="E85" t="s">
        <v>26</v>
      </c>
      <c r="F85" t="s">
        <v>5605</v>
      </c>
      <c r="G85" t="s">
        <v>5594</v>
      </c>
      <c r="H85" t="s">
        <v>5590</v>
      </c>
      <c r="I85">
        <v>5</v>
      </c>
      <c r="J85" t="s">
        <v>5595</v>
      </c>
      <c r="K85">
        <v>67.5</v>
      </c>
      <c r="L85">
        <v>99</v>
      </c>
      <c r="M85">
        <v>75.7</v>
      </c>
      <c r="N85">
        <v>81</v>
      </c>
      <c r="O85">
        <v>41.3</v>
      </c>
      <c r="P85">
        <v>379</v>
      </c>
      <c r="Q85">
        <v>38.200000000000003</v>
      </c>
      <c r="R85">
        <v>364</v>
      </c>
      <c r="S85">
        <v>92.3</v>
      </c>
      <c r="T85">
        <v>169</v>
      </c>
      <c r="U85">
        <v>83.9</v>
      </c>
      <c r="V85">
        <v>148</v>
      </c>
      <c r="W85">
        <v>96</v>
      </c>
      <c r="X85">
        <v>41</v>
      </c>
      <c r="Y85">
        <v>29.5</v>
      </c>
      <c r="Z85">
        <v>270</v>
      </c>
      <c r="AA85">
        <v>80.400000000000006</v>
      </c>
      <c r="AB85" t="s">
        <v>5625</v>
      </c>
      <c r="AC85">
        <v>63</v>
      </c>
    </row>
    <row r="86" spans="1:29">
      <c r="A86">
        <f>85</f>
        <v>85</v>
      </c>
      <c r="B86">
        <v>95</v>
      </c>
      <c r="C86" t="s">
        <v>281</v>
      </c>
      <c r="D86" t="s">
        <v>5684</v>
      </c>
      <c r="E86" t="s">
        <v>150</v>
      </c>
      <c r="F86" t="s">
        <v>5593</v>
      </c>
      <c r="G86" t="s">
        <v>5594</v>
      </c>
      <c r="H86" t="s">
        <v>5590</v>
      </c>
      <c r="I86">
        <v>5</v>
      </c>
      <c r="J86" t="s">
        <v>5595</v>
      </c>
      <c r="K86">
        <v>69.3</v>
      </c>
      <c r="L86">
        <v>93</v>
      </c>
      <c r="M86">
        <v>47.5</v>
      </c>
      <c r="N86">
        <v>185</v>
      </c>
      <c r="O86">
        <v>50.2</v>
      </c>
      <c r="P86">
        <v>310</v>
      </c>
      <c r="Q86">
        <v>37.700000000000003</v>
      </c>
      <c r="R86">
        <v>373</v>
      </c>
      <c r="S86">
        <v>98.8</v>
      </c>
      <c r="T86">
        <v>102</v>
      </c>
      <c r="U86">
        <v>77.400000000000006</v>
      </c>
      <c r="V86">
        <v>173</v>
      </c>
      <c r="W86">
        <v>95.2</v>
      </c>
      <c r="X86">
        <v>52</v>
      </c>
      <c r="Y86">
        <v>66</v>
      </c>
      <c r="Z86">
        <v>83</v>
      </c>
      <c r="AA86">
        <v>99.1</v>
      </c>
      <c r="AB86">
        <v>14</v>
      </c>
      <c r="AC86">
        <v>62.8</v>
      </c>
    </row>
    <row r="87" spans="1:29">
      <c r="A87">
        <f>85</f>
        <v>85</v>
      </c>
      <c r="B87">
        <v>115</v>
      </c>
      <c r="C87" t="s">
        <v>5694</v>
      </c>
      <c r="D87" t="s">
        <v>5695</v>
      </c>
      <c r="E87" t="s">
        <v>577</v>
      </c>
      <c r="F87" t="s">
        <v>5605</v>
      </c>
      <c r="G87" t="s">
        <v>5594</v>
      </c>
      <c r="H87" t="s">
        <v>5590</v>
      </c>
      <c r="I87">
        <v>4</v>
      </c>
      <c r="J87" t="s">
        <v>5595</v>
      </c>
      <c r="K87">
        <v>92.4</v>
      </c>
      <c r="L87">
        <v>41</v>
      </c>
      <c r="M87">
        <v>82.9</v>
      </c>
      <c r="N87">
        <v>66</v>
      </c>
      <c r="O87">
        <v>19.2</v>
      </c>
      <c r="P87">
        <v>688</v>
      </c>
      <c r="Q87">
        <v>29.9</v>
      </c>
      <c r="R87">
        <v>434</v>
      </c>
      <c r="S87">
        <v>6</v>
      </c>
      <c r="T87" t="s">
        <v>5613</v>
      </c>
      <c r="U87">
        <v>2.2999999999999998</v>
      </c>
      <c r="V87" t="s">
        <v>5613</v>
      </c>
      <c r="W87">
        <v>90.9</v>
      </c>
      <c r="X87">
        <v>76</v>
      </c>
      <c r="Y87">
        <v>89.7</v>
      </c>
      <c r="Z87">
        <v>36</v>
      </c>
      <c r="AA87">
        <v>96.1</v>
      </c>
      <c r="AB87" t="s">
        <v>5685</v>
      </c>
      <c r="AC87">
        <v>62.8</v>
      </c>
    </row>
    <row r="88" spans="1:29">
      <c r="A88">
        <f>87</f>
        <v>87</v>
      </c>
      <c r="B88">
        <v>75</v>
      </c>
      <c r="C88" t="s">
        <v>254</v>
      </c>
      <c r="D88" t="s">
        <v>5696</v>
      </c>
      <c r="E88" t="s">
        <v>5697</v>
      </c>
      <c r="F88" t="s">
        <v>5605</v>
      </c>
      <c r="G88" t="s">
        <v>5594</v>
      </c>
      <c r="H88" t="s">
        <v>5590</v>
      </c>
      <c r="I88">
        <v>5</v>
      </c>
      <c r="J88" t="s">
        <v>5595</v>
      </c>
      <c r="K88">
        <v>81.2</v>
      </c>
      <c r="L88">
        <v>69</v>
      </c>
      <c r="M88">
        <v>78.3</v>
      </c>
      <c r="N88">
        <v>74</v>
      </c>
      <c r="O88">
        <v>99.8</v>
      </c>
      <c r="P88">
        <v>26</v>
      </c>
      <c r="Q88">
        <v>4.5999999999999996</v>
      </c>
      <c r="R88" t="s">
        <v>5613</v>
      </c>
      <c r="S88">
        <v>20.3</v>
      </c>
      <c r="T88">
        <v>587</v>
      </c>
      <c r="U88">
        <v>92.3</v>
      </c>
      <c r="V88">
        <v>105</v>
      </c>
      <c r="W88">
        <v>85.2</v>
      </c>
      <c r="X88">
        <v>115</v>
      </c>
      <c r="Y88">
        <v>82.2</v>
      </c>
      <c r="Z88">
        <v>48</v>
      </c>
      <c r="AA88">
        <v>13.4</v>
      </c>
      <c r="AB88" t="s">
        <v>5698</v>
      </c>
      <c r="AC88">
        <v>62.2</v>
      </c>
    </row>
    <row r="89" spans="1:29">
      <c r="A89">
        <f>87</f>
        <v>87</v>
      </c>
      <c r="B89" t="s">
        <v>5670</v>
      </c>
      <c r="C89" t="s">
        <v>5699</v>
      </c>
      <c r="D89" t="s">
        <v>5639</v>
      </c>
      <c r="E89" t="s">
        <v>99</v>
      </c>
      <c r="F89" t="s">
        <v>5593</v>
      </c>
      <c r="G89" t="s">
        <v>5602</v>
      </c>
      <c r="H89" t="s">
        <v>5590</v>
      </c>
      <c r="I89">
        <v>5</v>
      </c>
      <c r="J89" t="s">
        <v>5595</v>
      </c>
      <c r="K89">
        <v>78.3</v>
      </c>
      <c r="L89">
        <v>75</v>
      </c>
      <c r="M89">
        <v>52</v>
      </c>
      <c r="N89">
        <v>156</v>
      </c>
      <c r="O89">
        <v>99.7</v>
      </c>
      <c r="P89">
        <v>29</v>
      </c>
      <c r="Q89">
        <v>38.200000000000003</v>
      </c>
      <c r="R89">
        <v>365</v>
      </c>
      <c r="S89">
        <v>52.5</v>
      </c>
      <c r="T89">
        <v>349</v>
      </c>
      <c r="U89">
        <v>50.4</v>
      </c>
      <c r="V89">
        <v>290</v>
      </c>
      <c r="W89">
        <v>89.7</v>
      </c>
      <c r="X89">
        <v>88</v>
      </c>
      <c r="Y89">
        <v>19.8</v>
      </c>
      <c r="Z89">
        <v>423</v>
      </c>
      <c r="AA89">
        <v>42.6</v>
      </c>
      <c r="AB89" t="s">
        <v>5700</v>
      </c>
      <c r="AC89">
        <v>62.2</v>
      </c>
    </row>
    <row r="90" spans="1:29">
      <c r="A90">
        <v>89</v>
      </c>
      <c r="B90">
        <v>109</v>
      </c>
      <c r="C90" t="s">
        <v>5701</v>
      </c>
      <c r="D90" t="s">
        <v>5612</v>
      </c>
      <c r="E90" t="s">
        <v>116</v>
      </c>
      <c r="F90" t="s">
        <v>5593</v>
      </c>
      <c r="G90" t="s">
        <v>5594</v>
      </c>
      <c r="H90" t="s">
        <v>5590</v>
      </c>
      <c r="I90">
        <v>5</v>
      </c>
      <c r="J90" t="s">
        <v>5595</v>
      </c>
      <c r="K90">
        <v>54.2</v>
      </c>
      <c r="L90">
        <v>144</v>
      </c>
      <c r="M90">
        <v>36.5</v>
      </c>
      <c r="N90">
        <v>267</v>
      </c>
      <c r="O90">
        <v>16.2</v>
      </c>
      <c r="P90" t="s">
        <v>5613</v>
      </c>
      <c r="Q90">
        <v>87.1</v>
      </c>
      <c r="R90">
        <v>83</v>
      </c>
      <c r="S90">
        <v>100</v>
      </c>
      <c r="T90">
        <v>69</v>
      </c>
      <c r="U90">
        <v>99.6</v>
      </c>
      <c r="V90">
        <v>40</v>
      </c>
      <c r="W90">
        <v>78.8</v>
      </c>
      <c r="X90">
        <v>154</v>
      </c>
      <c r="Y90">
        <v>38.4</v>
      </c>
      <c r="Z90">
        <v>191</v>
      </c>
      <c r="AA90">
        <v>96.3</v>
      </c>
      <c r="AB90">
        <v>42</v>
      </c>
      <c r="AC90">
        <v>62</v>
      </c>
    </row>
    <row r="91" spans="1:29">
      <c r="A91">
        <v>90</v>
      </c>
      <c r="B91">
        <v>137</v>
      </c>
      <c r="C91" t="s">
        <v>373</v>
      </c>
      <c r="D91" t="s">
        <v>5612</v>
      </c>
      <c r="E91" t="s">
        <v>116</v>
      </c>
      <c r="F91" t="s">
        <v>5593</v>
      </c>
      <c r="G91" t="s">
        <v>5589</v>
      </c>
      <c r="H91" t="s">
        <v>5590</v>
      </c>
      <c r="I91">
        <v>3</v>
      </c>
      <c r="J91" t="s">
        <v>5595</v>
      </c>
      <c r="K91">
        <v>43.4</v>
      </c>
      <c r="L91">
        <v>195</v>
      </c>
      <c r="M91">
        <v>57.8</v>
      </c>
      <c r="N91">
        <v>143</v>
      </c>
      <c r="O91">
        <v>9</v>
      </c>
      <c r="P91" t="s">
        <v>5613</v>
      </c>
      <c r="Q91">
        <v>95.3</v>
      </c>
      <c r="R91">
        <v>52</v>
      </c>
      <c r="S91">
        <v>96.6</v>
      </c>
      <c r="T91">
        <v>132</v>
      </c>
      <c r="U91">
        <v>93.6</v>
      </c>
      <c r="V91">
        <v>95</v>
      </c>
      <c r="W91">
        <v>79.7</v>
      </c>
      <c r="X91">
        <v>146</v>
      </c>
      <c r="Y91">
        <v>30.1</v>
      </c>
      <c r="Z91">
        <v>260</v>
      </c>
      <c r="AA91">
        <v>93.1</v>
      </c>
      <c r="AB91">
        <v>72</v>
      </c>
      <c r="AC91">
        <v>61.8</v>
      </c>
    </row>
    <row r="92" spans="1:29">
      <c r="A92">
        <f>91</f>
        <v>91</v>
      </c>
      <c r="B92">
        <v>55</v>
      </c>
      <c r="C92" t="s">
        <v>472</v>
      </c>
      <c r="D92" t="s">
        <v>5631</v>
      </c>
      <c r="E92" t="s">
        <v>94</v>
      </c>
      <c r="F92" t="s">
        <v>5588</v>
      </c>
      <c r="G92" t="s">
        <v>5589</v>
      </c>
      <c r="H92" t="s">
        <v>5590</v>
      </c>
      <c r="I92">
        <v>4</v>
      </c>
      <c r="J92" t="s">
        <v>5595</v>
      </c>
      <c r="K92">
        <v>74.400000000000006</v>
      </c>
      <c r="L92">
        <v>79</v>
      </c>
      <c r="M92">
        <v>94.8</v>
      </c>
      <c r="N92">
        <v>39</v>
      </c>
      <c r="O92">
        <v>84.4</v>
      </c>
      <c r="P92">
        <v>109</v>
      </c>
      <c r="Q92">
        <v>53</v>
      </c>
      <c r="R92">
        <v>244</v>
      </c>
      <c r="S92">
        <v>31.8</v>
      </c>
      <c r="T92">
        <v>475</v>
      </c>
      <c r="U92">
        <v>31.7</v>
      </c>
      <c r="V92">
        <v>404</v>
      </c>
      <c r="W92">
        <v>8.9</v>
      </c>
      <c r="X92" t="s">
        <v>5613</v>
      </c>
      <c r="Y92">
        <v>19.7</v>
      </c>
      <c r="Z92">
        <v>425</v>
      </c>
      <c r="AA92">
        <v>18</v>
      </c>
      <c r="AB92" t="s">
        <v>5702</v>
      </c>
      <c r="AC92">
        <v>61.6</v>
      </c>
    </row>
    <row r="93" spans="1:29">
      <c r="A93">
        <f>91</f>
        <v>91</v>
      </c>
      <c r="B93" t="s">
        <v>5703</v>
      </c>
      <c r="C93" t="s">
        <v>221</v>
      </c>
      <c r="D93" t="s">
        <v>5601</v>
      </c>
      <c r="E93" t="s">
        <v>50</v>
      </c>
      <c r="F93" t="s">
        <v>5593</v>
      </c>
      <c r="G93" t="s">
        <v>5594</v>
      </c>
      <c r="H93" t="s">
        <v>5590</v>
      </c>
      <c r="I93">
        <v>5</v>
      </c>
      <c r="J93" t="s">
        <v>5595</v>
      </c>
      <c r="K93">
        <v>59.1</v>
      </c>
      <c r="L93">
        <v>126</v>
      </c>
      <c r="M93">
        <v>27.6</v>
      </c>
      <c r="N93">
        <v>352</v>
      </c>
      <c r="O93">
        <v>89.9</v>
      </c>
      <c r="P93">
        <v>88</v>
      </c>
      <c r="Q93">
        <v>52</v>
      </c>
      <c r="R93">
        <v>248</v>
      </c>
      <c r="S93">
        <v>100</v>
      </c>
      <c r="T93">
        <v>60</v>
      </c>
      <c r="U93">
        <v>53</v>
      </c>
      <c r="V93">
        <v>274</v>
      </c>
      <c r="W93">
        <v>87.2</v>
      </c>
      <c r="X93">
        <v>100</v>
      </c>
      <c r="Y93">
        <v>75.2</v>
      </c>
      <c r="Z93">
        <v>58</v>
      </c>
      <c r="AA93">
        <v>80.2</v>
      </c>
      <c r="AB93">
        <v>149</v>
      </c>
      <c r="AC93">
        <v>61.6</v>
      </c>
    </row>
    <row r="94" spans="1:29">
      <c r="A94">
        <f>93</f>
        <v>93</v>
      </c>
      <c r="B94">
        <v>108</v>
      </c>
      <c r="C94" t="s">
        <v>217</v>
      </c>
      <c r="D94" t="s">
        <v>5587</v>
      </c>
      <c r="E94" t="s">
        <v>29</v>
      </c>
      <c r="F94" t="s">
        <v>5593</v>
      </c>
      <c r="G94" t="s">
        <v>5594</v>
      </c>
      <c r="H94" t="s">
        <v>5590</v>
      </c>
      <c r="I94">
        <v>5</v>
      </c>
      <c r="J94" t="s">
        <v>5591</v>
      </c>
      <c r="K94">
        <v>61.7</v>
      </c>
      <c r="L94">
        <v>113</v>
      </c>
      <c r="M94">
        <v>68.3</v>
      </c>
      <c r="N94">
        <v>109</v>
      </c>
      <c r="O94">
        <v>32.700000000000003</v>
      </c>
      <c r="P94">
        <v>485</v>
      </c>
      <c r="Q94">
        <v>60.1</v>
      </c>
      <c r="R94">
        <v>204</v>
      </c>
      <c r="S94">
        <v>21.6</v>
      </c>
      <c r="T94">
        <v>576</v>
      </c>
      <c r="U94">
        <v>87.5</v>
      </c>
      <c r="V94">
        <v>132</v>
      </c>
      <c r="W94">
        <v>72.599999999999994</v>
      </c>
      <c r="X94">
        <v>187</v>
      </c>
      <c r="Y94">
        <v>68.599999999999994</v>
      </c>
      <c r="Z94">
        <v>76</v>
      </c>
      <c r="AA94">
        <v>85.9</v>
      </c>
      <c r="AB94" t="s">
        <v>5704</v>
      </c>
      <c r="AC94">
        <v>61.4</v>
      </c>
    </row>
    <row r="95" spans="1:29">
      <c r="A95">
        <f>93</f>
        <v>93</v>
      </c>
      <c r="B95" t="s">
        <v>5705</v>
      </c>
      <c r="C95" t="s">
        <v>5706</v>
      </c>
      <c r="D95" t="s">
        <v>5707</v>
      </c>
      <c r="E95" t="s">
        <v>1613</v>
      </c>
      <c r="F95" t="s">
        <v>5605</v>
      </c>
      <c r="G95" t="s">
        <v>5594</v>
      </c>
      <c r="H95" t="s">
        <v>5590</v>
      </c>
      <c r="I95">
        <v>5</v>
      </c>
      <c r="J95" t="s">
        <v>5595</v>
      </c>
      <c r="K95">
        <v>96.6</v>
      </c>
      <c r="L95">
        <v>28</v>
      </c>
      <c r="M95">
        <v>98.2</v>
      </c>
      <c r="N95">
        <v>18</v>
      </c>
      <c r="O95">
        <v>39.799999999999997</v>
      </c>
      <c r="P95">
        <v>397</v>
      </c>
      <c r="Q95">
        <v>2.7</v>
      </c>
      <c r="R95" t="s">
        <v>5613</v>
      </c>
      <c r="S95">
        <v>8.3000000000000007</v>
      </c>
      <c r="T95" t="s">
        <v>5613</v>
      </c>
      <c r="U95">
        <v>2.5</v>
      </c>
      <c r="V95" t="s">
        <v>5613</v>
      </c>
      <c r="W95">
        <v>84.5</v>
      </c>
      <c r="X95">
        <v>120</v>
      </c>
      <c r="Y95">
        <v>68.400000000000006</v>
      </c>
      <c r="Z95">
        <v>78</v>
      </c>
      <c r="AA95">
        <v>88.5</v>
      </c>
      <c r="AB95" t="s">
        <v>5708</v>
      </c>
      <c r="AC95">
        <v>61.4</v>
      </c>
    </row>
    <row r="96" spans="1:29">
      <c r="A96">
        <f>95</f>
        <v>95</v>
      </c>
      <c r="B96">
        <v>67</v>
      </c>
      <c r="C96" t="s">
        <v>5709</v>
      </c>
      <c r="D96" t="s">
        <v>5710</v>
      </c>
      <c r="E96" t="s">
        <v>3726</v>
      </c>
      <c r="F96" t="s">
        <v>5605</v>
      </c>
      <c r="G96" t="s">
        <v>5594</v>
      </c>
      <c r="H96" t="s">
        <v>5590</v>
      </c>
      <c r="I96">
        <v>5</v>
      </c>
      <c r="J96" t="s">
        <v>5595</v>
      </c>
      <c r="K96">
        <v>93.3</v>
      </c>
      <c r="L96">
        <v>36</v>
      </c>
      <c r="M96">
        <v>98</v>
      </c>
      <c r="N96">
        <v>20</v>
      </c>
      <c r="O96">
        <v>73.5</v>
      </c>
      <c r="P96">
        <v>170</v>
      </c>
      <c r="Q96">
        <v>1.7</v>
      </c>
      <c r="R96" t="s">
        <v>5613</v>
      </c>
      <c r="S96">
        <v>62.6</v>
      </c>
      <c r="T96">
        <v>309</v>
      </c>
      <c r="U96">
        <v>66.7</v>
      </c>
      <c r="V96">
        <v>224</v>
      </c>
      <c r="W96">
        <v>28.1</v>
      </c>
      <c r="X96">
        <v>470</v>
      </c>
      <c r="Y96">
        <v>26.2</v>
      </c>
      <c r="Z96">
        <v>311</v>
      </c>
      <c r="AA96">
        <v>18.8</v>
      </c>
      <c r="AB96" t="s">
        <v>5711</v>
      </c>
      <c r="AC96">
        <v>61</v>
      </c>
    </row>
    <row r="97" spans="1:29">
      <c r="A97">
        <f>95</f>
        <v>95</v>
      </c>
      <c r="B97" t="s">
        <v>5712</v>
      </c>
      <c r="C97" t="s">
        <v>483</v>
      </c>
      <c r="D97" t="s">
        <v>5592</v>
      </c>
      <c r="E97" t="s">
        <v>26</v>
      </c>
      <c r="F97" t="s">
        <v>5588</v>
      </c>
      <c r="G97" t="s">
        <v>5602</v>
      </c>
      <c r="H97" t="s">
        <v>5590</v>
      </c>
      <c r="I97">
        <v>5</v>
      </c>
      <c r="J97" t="s">
        <v>5595</v>
      </c>
      <c r="K97">
        <v>47.3</v>
      </c>
      <c r="L97">
        <v>173</v>
      </c>
      <c r="M97">
        <v>67.2</v>
      </c>
      <c r="N97">
        <v>114</v>
      </c>
      <c r="O97">
        <v>64.900000000000006</v>
      </c>
      <c r="P97">
        <v>212</v>
      </c>
      <c r="Q97">
        <v>57.7</v>
      </c>
      <c r="R97">
        <v>223</v>
      </c>
      <c r="S97">
        <v>98.7</v>
      </c>
      <c r="T97">
        <v>103</v>
      </c>
      <c r="U97">
        <v>100</v>
      </c>
      <c r="V97">
        <v>29</v>
      </c>
      <c r="W97">
        <v>51.1</v>
      </c>
      <c r="X97">
        <v>306</v>
      </c>
      <c r="Y97">
        <v>22.4</v>
      </c>
      <c r="Z97">
        <v>370</v>
      </c>
      <c r="AA97">
        <v>92.1</v>
      </c>
      <c r="AB97" t="s">
        <v>5713</v>
      </c>
      <c r="AC97">
        <v>61</v>
      </c>
    </row>
    <row r="98" spans="1:29">
      <c r="A98">
        <v>97</v>
      </c>
      <c r="B98">
        <v>88</v>
      </c>
      <c r="C98" t="s">
        <v>112</v>
      </c>
      <c r="D98" t="s">
        <v>5587</v>
      </c>
      <c r="E98" t="s">
        <v>29</v>
      </c>
      <c r="F98" t="s">
        <v>5593</v>
      </c>
      <c r="G98" t="s">
        <v>5589</v>
      </c>
      <c r="H98" t="s">
        <v>5590</v>
      </c>
      <c r="I98">
        <v>5</v>
      </c>
      <c r="J98" t="s">
        <v>5595</v>
      </c>
      <c r="K98">
        <v>67.400000000000006</v>
      </c>
      <c r="L98">
        <v>100</v>
      </c>
      <c r="M98">
        <v>85.1</v>
      </c>
      <c r="N98">
        <v>59</v>
      </c>
      <c r="O98">
        <v>15.3</v>
      </c>
      <c r="P98" t="s">
        <v>5613</v>
      </c>
      <c r="Q98">
        <v>67.099999999999994</v>
      </c>
      <c r="R98">
        <v>163</v>
      </c>
      <c r="S98">
        <v>38.799999999999997</v>
      </c>
      <c r="T98">
        <v>417</v>
      </c>
      <c r="U98">
        <v>65.400000000000006</v>
      </c>
      <c r="V98">
        <v>230</v>
      </c>
      <c r="W98">
        <v>33.200000000000003</v>
      </c>
      <c r="X98">
        <v>432</v>
      </c>
      <c r="Y98">
        <v>41.7</v>
      </c>
      <c r="Z98">
        <v>175</v>
      </c>
      <c r="AA98">
        <v>70.400000000000006</v>
      </c>
      <c r="AB98" t="s">
        <v>5682</v>
      </c>
      <c r="AC98">
        <v>60.9</v>
      </c>
    </row>
    <row r="99" spans="1:29">
      <c r="A99">
        <v>98</v>
      </c>
      <c r="B99" t="s">
        <v>5714</v>
      </c>
      <c r="C99" t="s">
        <v>5715</v>
      </c>
      <c r="D99" t="s">
        <v>5639</v>
      </c>
      <c r="E99" t="s">
        <v>99</v>
      </c>
      <c r="F99" t="s">
        <v>5593</v>
      </c>
      <c r="G99" t="s">
        <v>5594</v>
      </c>
      <c r="H99" t="s">
        <v>5590</v>
      </c>
      <c r="I99">
        <v>4</v>
      </c>
      <c r="J99" t="s">
        <v>5595</v>
      </c>
      <c r="K99">
        <v>80.8</v>
      </c>
      <c r="L99">
        <v>70</v>
      </c>
      <c r="M99">
        <v>51</v>
      </c>
      <c r="N99">
        <v>163</v>
      </c>
      <c r="O99">
        <v>4.4000000000000004</v>
      </c>
      <c r="P99" t="s">
        <v>5613</v>
      </c>
      <c r="Q99">
        <v>71.400000000000006</v>
      </c>
      <c r="R99">
        <v>141</v>
      </c>
      <c r="S99">
        <v>62.8</v>
      </c>
      <c r="T99">
        <v>308</v>
      </c>
      <c r="U99">
        <v>43.6</v>
      </c>
      <c r="V99">
        <v>332</v>
      </c>
      <c r="W99">
        <v>84.9</v>
      </c>
      <c r="X99">
        <v>118</v>
      </c>
      <c r="Y99">
        <v>21.9</v>
      </c>
      <c r="Z99">
        <v>378</v>
      </c>
      <c r="AA99">
        <v>60.1</v>
      </c>
      <c r="AB99">
        <v>251</v>
      </c>
      <c r="AC99">
        <v>60.8</v>
      </c>
    </row>
    <row r="100" spans="1:29">
      <c r="A100">
        <v>99</v>
      </c>
      <c r="B100" t="s">
        <v>5716</v>
      </c>
      <c r="C100" t="s">
        <v>5717</v>
      </c>
      <c r="D100" t="s">
        <v>5587</v>
      </c>
      <c r="E100" t="s">
        <v>29</v>
      </c>
      <c r="F100" t="s">
        <v>5605</v>
      </c>
      <c r="G100" t="s">
        <v>5594</v>
      </c>
      <c r="H100" t="s">
        <v>5590</v>
      </c>
      <c r="I100">
        <v>5</v>
      </c>
      <c r="J100" t="s">
        <v>5595</v>
      </c>
      <c r="K100">
        <v>63.9</v>
      </c>
      <c r="L100">
        <v>108</v>
      </c>
      <c r="M100">
        <v>81.2</v>
      </c>
      <c r="N100">
        <v>71</v>
      </c>
      <c r="O100">
        <v>10.3</v>
      </c>
      <c r="P100" t="s">
        <v>5613</v>
      </c>
      <c r="Q100">
        <v>68.400000000000006</v>
      </c>
      <c r="R100">
        <v>155</v>
      </c>
      <c r="S100">
        <v>41.5</v>
      </c>
      <c r="T100">
        <v>398</v>
      </c>
      <c r="U100">
        <v>45.8</v>
      </c>
      <c r="V100">
        <v>317</v>
      </c>
      <c r="W100">
        <v>75.400000000000006</v>
      </c>
      <c r="X100">
        <v>170</v>
      </c>
      <c r="Y100">
        <v>53.4</v>
      </c>
      <c r="Z100">
        <v>117</v>
      </c>
      <c r="AA100">
        <v>67.400000000000006</v>
      </c>
      <c r="AB100" t="s">
        <v>5718</v>
      </c>
      <c r="AC100">
        <v>60.7</v>
      </c>
    </row>
    <row r="101" spans="1:29">
      <c r="A101">
        <f>100</f>
        <v>100</v>
      </c>
      <c r="B101">
        <v>71</v>
      </c>
      <c r="C101" t="s">
        <v>5719</v>
      </c>
      <c r="D101" t="s">
        <v>5644</v>
      </c>
      <c r="E101" t="s">
        <v>181</v>
      </c>
      <c r="F101" t="s">
        <v>5615</v>
      </c>
      <c r="G101" t="s">
        <v>5602</v>
      </c>
      <c r="H101" t="s">
        <v>5590</v>
      </c>
      <c r="I101">
        <v>3</v>
      </c>
      <c r="J101" t="s">
        <v>5591</v>
      </c>
      <c r="K101">
        <v>51.6</v>
      </c>
      <c r="L101">
        <v>153</v>
      </c>
      <c r="M101">
        <v>75.900000000000006</v>
      </c>
      <c r="N101">
        <v>79</v>
      </c>
      <c r="O101">
        <v>99.9</v>
      </c>
      <c r="P101">
        <v>21</v>
      </c>
      <c r="Q101">
        <v>98.3</v>
      </c>
      <c r="R101">
        <v>29</v>
      </c>
      <c r="S101">
        <v>33.799999999999997</v>
      </c>
      <c r="T101">
        <v>464</v>
      </c>
      <c r="U101">
        <v>2.6</v>
      </c>
      <c r="V101" t="s">
        <v>5613</v>
      </c>
      <c r="W101">
        <v>1.3</v>
      </c>
      <c r="X101" t="s">
        <v>5613</v>
      </c>
      <c r="Y101">
        <v>13.4</v>
      </c>
      <c r="Z101">
        <v>637</v>
      </c>
      <c r="AA101">
        <v>16.899999999999999</v>
      </c>
      <c r="AB101" t="s">
        <v>5720</v>
      </c>
      <c r="AC101">
        <v>60.4</v>
      </c>
    </row>
    <row r="102" spans="1:29">
      <c r="A102">
        <f>100</f>
        <v>100</v>
      </c>
      <c r="B102">
        <v>114</v>
      </c>
      <c r="C102" t="s">
        <v>333</v>
      </c>
      <c r="D102" t="s">
        <v>5592</v>
      </c>
      <c r="E102" t="s">
        <v>26</v>
      </c>
      <c r="F102" t="s">
        <v>5605</v>
      </c>
      <c r="G102" t="s">
        <v>5594</v>
      </c>
      <c r="H102" t="s">
        <v>5590</v>
      </c>
      <c r="I102">
        <v>5</v>
      </c>
      <c r="J102" t="s">
        <v>5595</v>
      </c>
      <c r="K102">
        <v>60.7</v>
      </c>
      <c r="L102">
        <v>116</v>
      </c>
      <c r="M102">
        <v>72.099999999999994</v>
      </c>
      <c r="N102">
        <v>96</v>
      </c>
      <c r="O102">
        <v>32.200000000000003</v>
      </c>
      <c r="P102">
        <v>492</v>
      </c>
      <c r="Q102">
        <v>46.5</v>
      </c>
      <c r="R102">
        <v>290</v>
      </c>
      <c r="S102">
        <v>90</v>
      </c>
      <c r="T102">
        <v>183</v>
      </c>
      <c r="U102">
        <v>75.2</v>
      </c>
      <c r="V102">
        <v>185</v>
      </c>
      <c r="W102">
        <v>98.4</v>
      </c>
      <c r="X102">
        <v>18</v>
      </c>
      <c r="Y102">
        <v>24.4</v>
      </c>
      <c r="Z102">
        <v>342</v>
      </c>
      <c r="AA102">
        <v>80</v>
      </c>
      <c r="AB102" t="s">
        <v>5721</v>
      </c>
      <c r="AC102">
        <v>60.4</v>
      </c>
    </row>
    <row r="103" spans="1:29">
      <c r="A103">
        <v>102</v>
      </c>
      <c r="B103" t="s">
        <v>5703</v>
      </c>
      <c r="C103" t="s">
        <v>183</v>
      </c>
      <c r="D103" t="s">
        <v>5587</v>
      </c>
      <c r="E103" t="s">
        <v>29</v>
      </c>
      <c r="F103" t="s">
        <v>5605</v>
      </c>
      <c r="G103" t="s">
        <v>5594</v>
      </c>
      <c r="H103" t="s">
        <v>5590</v>
      </c>
      <c r="I103">
        <v>5</v>
      </c>
      <c r="J103" t="s">
        <v>5595</v>
      </c>
      <c r="K103">
        <v>80.2</v>
      </c>
      <c r="L103">
        <v>71</v>
      </c>
      <c r="M103">
        <v>47.8</v>
      </c>
      <c r="N103">
        <v>182</v>
      </c>
      <c r="O103">
        <v>61.3</v>
      </c>
      <c r="P103">
        <v>229</v>
      </c>
      <c r="Q103">
        <v>37.4</v>
      </c>
      <c r="R103">
        <v>376</v>
      </c>
      <c r="S103">
        <v>30.9</v>
      </c>
      <c r="T103">
        <v>483</v>
      </c>
      <c r="U103">
        <v>22.8</v>
      </c>
      <c r="V103">
        <v>501</v>
      </c>
      <c r="W103">
        <v>83.6</v>
      </c>
      <c r="X103">
        <v>126</v>
      </c>
      <c r="Y103">
        <v>73.099999999999994</v>
      </c>
      <c r="Z103">
        <v>61</v>
      </c>
      <c r="AA103">
        <v>83.7</v>
      </c>
      <c r="AB103" t="s">
        <v>5634</v>
      </c>
      <c r="AC103">
        <v>60</v>
      </c>
    </row>
    <row r="104" spans="1:29">
      <c r="A104">
        <v>103</v>
      </c>
      <c r="B104">
        <v>121</v>
      </c>
      <c r="C104" t="s">
        <v>5722</v>
      </c>
      <c r="D104" t="s">
        <v>5723</v>
      </c>
      <c r="E104" t="s">
        <v>1093</v>
      </c>
      <c r="F104" t="s">
        <v>5593</v>
      </c>
      <c r="G104" t="s">
        <v>5594</v>
      </c>
      <c r="H104" t="s">
        <v>5590</v>
      </c>
      <c r="I104">
        <v>5</v>
      </c>
      <c r="J104" t="s">
        <v>5591</v>
      </c>
      <c r="K104">
        <v>92.9</v>
      </c>
      <c r="L104">
        <v>38</v>
      </c>
      <c r="M104">
        <v>99.5</v>
      </c>
      <c r="N104">
        <v>11</v>
      </c>
      <c r="O104">
        <v>20.6</v>
      </c>
      <c r="P104">
        <v>654</v>
      </c>
      <c r="Q104">
        <v>11.6</v>
      </c>
      <c r="R104" t="s">
        <v>5613</v>
      </c>
      <c r="S104">
        <v>16.399999999999999</v>
      </c>
      <c r="T104">
        <v>645</v>
      </c>
      <c r="U104">
        <v>3.5</v>
      </c>
      <c r="V104" t="s">
        <v>5613</v>
      </c>
      <c r="W104">
        <v>56.8</v>
      </c>
      <c r="X104">
        <v>270</v>
      </c>
      <c r="Y104">
        <v>76.3</v>
      </c>
      <c r="Z104">
        <v>56</v>
      </c>
      <c r="AA104">
        <v>91.3</v>
      </c>
      <c r="AB104" t="s">
        <v>5724</v>
      </c>
      <c r="AC104">
        <v>59.9</v>
      </c>
    </row>
    <row r="105" spans="1:29">
      <c r="A105">
        <v>104</v>
      </c>
      <c r="B105" t="s">
        <v>5712</v>
      </c>
      <c r="C105" t="s">
        <v>5725</v>
      </c>
      <c r="D105" t="s">
        <v>5592</v>
      </c>
      <c r="E105" t="s">
        <v>26</v>
      </c>
      <c r="F105" t="s">
        <v>5593</v>
      </c>
      <c r="G105" t="s">
        <v>5594</v>
      </c>
      <c r="H105" t="s">
        <v>5590</v>
      </c>
      <c r="I105">
        <v>5</v>
      </c>
      <c r="J105" t="s">
        <v>5595</v>
      </c>
      <c r="K105">
        <v>58.7</v>
      </c>
      <c r="L105">
        <v>130</v>
      </c>
      <c r="M105">
        <v>52.3</v>
      </c>
      <c r="N105">
        <v>153</v>
      </c>
      <c r="O105">
        <v>54.7</v>
      </c>
      <c r="P105">
        <v>278</v>
      </c>
      <c r="Q105">
        <v>46.9</v>
      </c>
      <c r="R105">
        <v>289</v>
      </c>
      <c r="S105">
        <v>84</v>
      </c>
      <c r="T105">
        <v>218</v>
      </c>
      <c r="U105">
        <v>97.5</v>
      </c>
      <c r="V105">
        <v>69</v>
      </c>
      <c r="W105">
        <v>96.1</v>
      </c>
      <c r="X105">
        <v>38</v>
      </c>
      <c r="Y105">
        <v>24.9</v>
      </c>
      <c r="Z105">
        <v>332</v>
      </c>
      <c r="AA105">
        <v>76.3</v>
      </c>
      <c r="AB105">
        <v>169</v>
      </c>
      <c r="AC105">
        <v>59.7</v>
      </c>
    </row>
    <row r="106" spans="1:29">
      <c r="A106">
        <v>105</v>
      </c>
      <c r="B106">
        <v>128</v>
      </c>
      <c r="C106" t="s">
        <v>361</v>
      </c>
      <c r="D106" t="s">
        <v>5684</v>
      </c>
      <c r="E106" t="s">
        <v>150</v>
      </c>
      <c r="F106" t="s">
        <v>5593</v>
      </c>
      <c r="G106" t="s">
        <v>5594</v>
      </c>
      <c r="H106" t="s">
        <v>5590</v>
      </c>
      <c r="I106">
        <v>5</v>
      </c>
      <c r="J106" t="s">
        <v>5595</v>
      </c>
      <c r="K106">
        <v>62.7</v>
      </c>
      <c r="L106">
        <v>111</v>
      </c>
      <c r="M106">
        <v>30.5</v>
      </c>
      <c r="N106">
        <v>320</v>
      </c>
      <c r="O106">
        <v>47.7</v>
      </c>
      <c r="P106">
        <v>330</v>
      </c>
      <c r="Q106">
        <v>45.6</v>
      </c>
      <c r="R106">
        <v>296</v>
      </c>
      <c r="S106">
        <v>98.3</v>
      </c>
      <c r="T106">
        <v>108</v>
      </c>
      <c r="U106">
        <v>82.4</v>
      </c>
      <c r="V106">
        <v>152</v>
      </c>
      <c r="W106">
        <v>95.5</v>
      </c>
      <c r="X106">
        <v>47</v>
      </c>
      <c r="Y106">
        <v>58.2</v>
      </c>
      <c r="Z106">
        <v>105</v>
      </c>
      <c r="AA106">
        <v>99.4</v>
      </c>
      <c r="AB106">
        <v>12</v>
      </c>
      <c r="AC106">
        <v>59.4</v>
      </c>
    </row>
    <row r="107" spans="1:29">
      <c r="A107">
        <v>106</v>
      </c>
      <c r="B107" t="s">
        <v>5726</v>
      </c>
      <c r="C107" t="s">
        <v>244</v>
      </c>
      <c r="D107" t="s">
        <v>5639</v>
      </c>
      <c r="E107" t="s">
        <v>99</v>
      </c>
      <c r="F107" t="s">
        <v>5605</v>
      </c>
      <c r="G107" t="s">
        <v>5594</v>
      </c>
      <c r="H107" t="s">
        <v>5590</v>
      </c>
      <c r="I107">
        <v>5</v>
      </c>
      <c r="J107" t="s">
        <v>5595</v>
      </c>
      <c r="K107">
        <v>49.7</v>
      </c>
      <c r="L107">
        <v>163</v>
      </c>
      <c r="M107">
        <v>93</v>
      </c>
      <c r="N107">
        <v>44</v>
      </c>
      <c r="O107">
        <v>5.5</v>
      </c>
      <c r="P107" t="s">
        <v>5613</v>
      </c>
      <c r="Q107">
        <v>78.7</v>
      </c>
      <c r="R107">
        <v>120</v>
      </c>
      <c r="S107">
        <v>49</v>
      </c>
      <c r="T107">
        <v>362</v>
      </c>
      <c r="U107">
        <v>83</v>
      </c>
      <c r="V107">
        <v>151</v>
      </c>
      <c r="W107">
        <v>63.5</v>
      </c>
      <c r="X107">
        <v>223</v>
      </c>
      <c r="Y107">
        <v>23.9</v>
      </c>
      <c r="Z107">
        <v>354</v>
      </c>
      <c r="AA107">
        <v>53.4</v>
      </c>
      <c r="AB107" t="s">
        <v>5727</v>
      </c>
      <c r="AC107">
        <v>59.3</v>
      </c>
    </row>
    <row r="108" spans="1:29">
      <c r="A108">
        <f>107</f>
        <v>107</v>
      </c>
      <c r="B108">
        <v>82</v>
      </c>
      <c r="C108" t="s">
        <v>271</v>
      </c>
      <c r="D108" t="s">
        <v>5728</v>
      </c>
      <c r="E108" t="s">
        <v>272</v>
      </c>
      <c r="F108" t="s">
        <v>5605</v>
      </c>
      <c r="G108" t="s">
        <v>5594</v>
      </c>
      <c r="H108" t="s">
        <v>5590</v>
      </c>
      <c r="I108">
        <v>5</v>
      </c>
      <c r="J108" t="s">
        <v>5595</v>
      </c>
      <c r="K108">
        <v>74.099999999999994</v>
      </c>
      <c r="L108">
        <v>80</v>
      </c>
      <c r="M108">
        <v>25.8</v>
      </c>
      <c r="N108">
        <v>371</v>
      </c>
      <c r="O108">
        <v>100</v>
      </c>
      <c r="P108">
        <v>19</v>
      </c>
      <c r="Q108">
        <v>21.2</v>
      </c>
      <c r="R108">
        <v>543</v>
      </c>
      <c r="S108">
        <v>91.4</v>
      </c>
      <c r="T108">
        <v>175</v>
      </c>
      <c r="U108">
        <v>22.5</v>
      </c>
      <c r="V108">
        <v>506</v>
      </c>
      <c r="W108">
        <v>98.2</v>
      </c>
      <c r="X108">
        <v>19</v>
      </c>
      <c r="Y108">
        <v>60.1</v>
      </c>
      <c r="Z108">
        <v>98</v>
      </c>
      <c r="AA108">
        <v>87.4</v>
      </c>
      <c r="AB108" t="s">
        <v>5636</v>
      </c>
      <c r="AC108">
        <v>58.8</v>
      </c>
    </row>
    <row r="109" spans="1:29">
      <c r="A109">
        <f>107</f>
        <v>107</v>
      </c>
      <c r="B109" t="s">
        <v>5729</v>
      </c>
      <c r="C109" t="s">
        <v>5730</v>
      </c>
      <c r="D109" t="s">
        <v>5652</v>
      </c>
      <c r="E109" t="s">
        <v>144</v>
      </c>
      <c r="F109" t="s">
        <v>5605</v>
      </c>
      <c r="G109" t="s">
        <v>5594</v>
      </c>
      <c r="H109" t="s">
        <v>5590</v>
      </c>
      <c r="I109">
        <v>5</v>
      </c>
      <c r="J109" t="s">
        <v>5595</v>
      </c>
      <c r="K109">
        <v>66.599999999999994</v>
      </c>
      <c r="L109">
        <v>102</v>
      </c>
      <c r="M109">
        <v>31.6</v>
      </c>
      <c r="N109">
        <v>311</v>
      </c>
      <c r="O109">
        <v>32.6</v>
      </c>
      <c r="P109">
        <v>487</v>
      </c>
      <c r="Q109">
        <v>80.8</v>
      </c>
      <c r="R109">
        <v>108</v>
      </c>
      <c r="S109">
        <v>57.1</v>
      </c>
      <c r="T109">
        <v>323</v>
      </c>
      <c r="U109">
        <v>21.2</v>
      </c>
      <c r="V109">
        <v>531</v>
      </c>
      <c r="W109">
        <v>95</v>
      </c>
      <c r="X109">
        <v>54</v>
      </c>
      <c r="Y109">
        <v>26.5</v>
      </c>
      <c r="Z109">
        <v>309</v>
      </c>
      <c r="AA109">
        <v>83.5</v>
      </c>
      <c r="AB109" t="s">
        <v>5669</v>
      </c>
      <c r="AC109">
        <v>58.8</v>
      </c>
    </row>
    <row r="110" spans="1:29">
      <c r="A110">
        <v>109</v>
      </c>
      <c r="B110" t="s">
        <v>5731</v>
      </c>
      <c r="C110" t="s">
        <v>500</v>
      </c>
      <c r="D110" t="s">
        <v>5732</v>
      </c>
      <c r="E110" t="s">
        <v>313</v>
      </c>
      <c r="F110" t="s">
        <v>5593</v>
      </c>
      <c r="G110" t="s">
        <v>5602</v>
      </c>
      <c r="H110" t="s">
        <v>5590</v>
      </c>
      <c r="I110">
        <v>2</v>
      </c>
      <c r="J110" t="s">
        <v>5595</v>
      </c>
      <c r="K110">
        <v>44.6</v>
      </c>
      <c r="L110">
        <v>187</v>
      </c>
      <c r="M110">
        <v>41.8</v>
      </c>
      <c r="N110">
        <v>223</v>
      </c>
      <c r="O110">
        <v>40.200000000000003</v>
      </c>
      <c r="P110">
        <v>391</v>
      </c>
      <c r="Q110">
        <v>79.400000000000006</v>
      </c>
      <c r="R110">
        <v>112</v>
      </c>
      <c r="S110">
        <v>95.5</v>
      </c>
      <c r="T110">
        <v>147</v>
      </c>
      <c r="U110">
        <v>37.700000000000003</v>
      </c>
      <c r="V110">
        <v>363</v>
      </c>
      <c r="W110">
        <v>56.2</v>
      </c>
      <c r="X110">
        <v>277</v>
      </c>
      <c r="Y110">
        <v>88.9</v>
      </c>
      <c r="Z110">
        <v>39</v>
      </c>
      <c r="AA110">
        <v>95</v>
      </c>
      <c r="AB110" t="s">
        <v>5663</v>
      </c>
      <c r="AC110">
        <v>58.7</v>
      </c>
    </row>
    <row r="111" spans="1:29">
      <c r="A111">
        <v>110</v>
      </c>
      <c r="B111">
        <v>122</v>
      </c>
      <c r="C111" t="s">
        <v>432</v>
      </c>
      <c r="D111" t="s">
        <v>5592</v>
      </c>
      <c r="E111" t="s">
        <v>26</v>
      </c>
      <c r="F111" t="s">
        <v>5593</v>
      </c>
      <c r="G111" t="s">
        <v>5594</v>
      </c>
      <c r="H111" t="s">
        <v>5590</v>
      </c>
      <c r="I111">
        <v>4</v>
      </c>
      <c r="J111" t="s">
        <v>5595</v>
      </c>
      <c r="K111">
        <v>48</v>
      </c>
      <c r="L111">
        <v>170</v>
      </c>
      <c r="M111">
        <v>74.5</v>
      </c>
      <c r="N111">
        <v>87</v>
      </c>
      <c r="O111">
        <v>35.6</v>
      </c>
      <c r="P111">
        <v>445</v>
      </c>
      <c r="Q111">
        <v>50.2</v>
      </c>
      <c r="R111">
        <v>264</v>
      </c>
      <c r="S111">
        <v>90</v>
      </c>
      <c r="T111">
        <v>182</v>
      </c>
      <c r="U111">
        <v>70.900000000000006</v>
      </c>
      <c r="V111">
        <v>203</v>
      </c>
      <c r="W111">
        <v>96.1</v>
      </c>
      <c r="X111">
        <v>39</v>
      </c>
      <c r="Y111">
        <v>24.1</v>
      </c>
      <c r="Z111">
        <v>349</v>
      </c>
      <c r="AA111">
        <v>98.8</v>
      </c>
      <c r="AB111">
        <v>17</v>
      </c>
      <c r="AC111">
        <v>58.6</v>
      </c>
    </row>
    <row r="112" spans="1:29">
      <c r="A112">
        <v>111</v>
      </c>
      <c r="B112">
        <v>110</v>
      </c>
      <c r="C112" t="s">
        <v>287</v>
      </c>
      <c r="D112" t="s">
        <v>5620</v>
      </c>
      <c r="E112" t="s">
        <v>76</v>
      </c>
      <c r="F112" t="s">
        <v>5605</v>
      </c>
      <c r="G112" t="s">
        <v>5594</v>
      </c>
      <c r="H112" t="s">
        <v>5590</v>
      </c>
      <c r="I112">
        <v>5</v>
      </c>
      <c r="J112" t="s">
        <v>5595</v>
      </c>
      <c r="K112">
        <v>56.8</v>
      </c>
      <c r="L112">
        <v>135</v>
      </c>
      <c r="M112">
        <v>36.5</v>
      </c>
      <c r="N112">
        <v>266</v>
      </c>
      <c r="O112">
        <v>42.8</v>
      </c>
      <c r="P112">
        <v>370</v>
      </c>
      <c r="Q112">
        <v>59.1</v>
      </c>
      <c r="R112">
        <v>213</v>
      </c>
      <c r="S112">
        <v>97.9</v>
      </c>
      <c r="T112">
        <v>116</v>
      </c>
      <c r="U112">
        <v>73.2</v>
      </c>
      <c r="V112">
        <v>193</v>
      </c>
      <c r="W112">
        <v>92.1</v>
      </c>
      <c r="X112">
        <v>68</v>
      </c>
      <c r="Y112">
        <v>46</v>
      </c>
      <c r="Z112">
        <v>152</v>
      </c>
      <c r="AA112">
        <v>76.099999999999994</v>
      </c>
      <c r="AB112">
        <v>170</v>
      </c>
      <c r="AC112">
        <v>58.3</v>
      </c>
    </row>
    <row r="113" spans="1:29">
      <c r="A113">
        <v>112</v>
      </c>
      <c r="B113">
        <v>154</v>
      </c>
      <c r="C113" t="s">
        <v>404</v>
      </c>
      <c r="D113" t="s">
        <v>5620</v>
      </c>
      <c r="E113" t="s">
        <v>76</v>
      </c>
      <c r="F113" t="s">
        <v>5605</v>
      </c>
      <c r="G113" t="s">
        <v>5589</v>
      </c>
      <c r="H113" t="s">
        <v>5590</v>
      </c>
      <c r="I113">
        <v>4</v>
      </c>
      <c r="J113" t="s">
        <v>5595</v>
      </c>
      <c r="K113">
        <v>40.700000000000003</v>
      </c>
      <c r="L113">
        <v>208</v>
      </c>
      <c r="M113">
        <v>66.7</v>
      </c>
      <c r="N113">
        <v>117</v>
      </c>
      <c r="O113">
        <v>6.8</v>
      </c>
      <c r="P113" t="s">
        <v>5613</v>
      </c>
      <c r="Q113">
        <v>82.9</v>
      </c>
      <c r="R113">
        <v>100</v>
      </c>
      <c r="S113">
        <v>76.8</v>
      </c>
      <c r="T113">
        <v>241</v>
      </c>
      <c r="U113">
        <v>77.900000000000006</v>
      </c>
      <c r="V113">
        <v>172</v>
      </c>
      <c r="W113">
        <v>55.4</v>
      </c>
      <c r="X113">
        <v>281</v>
      </c>
      <c r="Y113">
        <v>55.9</v>
      </c>
      <c r="Z113">
        <v>112</v>
      </c>
      <c r="AA113">
        <v>97.1</v>
      </c>
      <c r="AB113" t="s">
        <v>5733</v>
      </c>
      <c r="AC113">
        <v>58.1</v>
      </c>
    </row>
    <row r="114" spans="1:29">
      <c r="A114">
        <v>113</v>
      </c>
      <c r="B114">
        <v>79</v>
      </c>
      <c r="C114" t="s">
        <v>335</v>
      </c>
      <c r="D114" t="s">
        <v>5631</v>
      </c>
      <c r="E114" t="s">
        <v>94</v>
      </c>
      <c r="F114" t="s">
        <v>5593</v>
      </c>
      <c r="G114" t="s">
        <v>5594</v>
      </c>
      <c r="H114" t="s">
        <v>5590</v>
      </c>
      <c r="I114">
        <v>5</v>
      </c>
      <c r="J114" t="s">
        <v>5595</v>
      </c>
      <c r="K114">
        <v>72.400000000000006</v>
      </c>
      <c r="L114">
        <v>85</v>
      </c>
      <c r="M114">
        <v>84.2</v>
      </c>
      <c r="N114">
        <v>61</v>
      </c>
      <c r="O114">
        <v>98.5</v>
      </c>
      <c r="P114">
        <v>41</v>
      </c>
      <c r="Q114">
        <v>29.6</v>
      </c>
      <c r="R114">
        <v>436</v>
      </c>
      <c r="S114">
        <v>14.2</v>
      </c>
      <c r="T114">
        <v>683</v>
      </c>
      <c r="U114">
        <v>13.8</v>
      </c>
      <c r="V114">
        <v>647</v>
      </c>
      <c r="W114">
        <v>27.6</v>
      </c>
      <c r="X114">
        <v>474</v>
      </c>
      <c r="Y114">
        <v>17.2</v>
      </c>
      <c r="Z114">
        <v>486</v>
      </c>
      <c r="AA114">
        <v>74.8</v>
      </c>
      <c r="AB114" t="s">
        <v>5734</v>
      </c>
      <c r="AC114">
        <v>58</v>
      </c>
    </row>
    <row r="115" spans="1:29">
      <c r="A115">
        <v>114</v>
      </c>
      <c r="B115" t="s">
        <v>5735</v>
      </c>
      <c r="C115" t="s">
        <v>600</v>
      </c>
      <c r="D115" t="s">
        <v>5620</v>
      </c>
      <c r="E115" t="s">
        <v>76</v>
      </c>
      <c r="F115" t="s">
        <v>5605</v>
      </c>
      <c r="G115" t="s">
        <v>5594</v>
      </c>
      <c r="H115" t="s">
        <v>5590</v>
      </c>
      <c r="I115">
        <v>5</v>
      </c>
      <c r="J115" t="s">
        <v>5595</v>
      </c>
      <c r="K115">
        <v>32.1</v>
      </c>
      <c r="L115">
        <v>273</v>
      </c>
      <c r="M115">
        <v>47.4</v>
      </c>
      <c r="N115">
        <v>186</v>
      </c>
      <c r="O115">
        <v>3.7</v>
      </c>
      <c r="P115" t="s">
        <v>5613</v>
      </c>
      <c r="Q115">
        <v>98.3</v>
      </c>
      <c r="R115">
        <v>30</v>
      </c>
      <c r="S115">
        <v>99.7</v>
      </c>
      <c r="T115">
        <v>86</v>
      </c>
      <c r="U115">
        <v>54.6</v>
      </c>
      <c r="V115">
        <v>268</v>
      </c>
      <c r="W115">
        <v>56.4</v>
      </c>
      <c r="X115">
        <v>274</v>
      </c>
      <c r="Y115">
        <v>93.3</v>
      </c>
      <c r="Z115">
        <v>30</v>
      </c>
      <c r="AA115">
        <v>99.6</v>
      </c>
      <c r="AB115">
        <v>8</v>
      </c>
      <c r="AC115">
        <v>57.4</v>
      </c>
    </row>
    <row r="116" spans="1:29">
      <c r="A116">
        <v>115</v>
      </c>
      <c r="B116" t="s">
        <v>5606</v>
      </c>
      <c r="C116" t="s">
        <v>312</v>
      </c>
      <c r="D116" t="s">
        <v>5732</v>
      </c>
      <c r="E116" t="s">
        <v>313</v>
      </c>
      <c r="F116" t="s">
        <v>5593</v>
      </c>
      <c r="G116" t="s">
        <v>5589</v>
      </c>
      <c r="H116" t="s">
        <v>5590</v>
      </c>
      <c r="I116">
        <v>5</v>
      </c>
      <c r="J116" t="s">
        <v>5595</v>
      </c>
      <c r="K116">
        <v>65.099999999999994</v>
      </c>
      <c r="L116">
        <v>105</v>
      </c>
      <c r="M116">
        <v>32.299999999999997</v>
      </c>
      <c r="N116">
        <v>304</v>
      </c>
      <c r="O116">
        <v>63.4</v>
      </c>
      <c r="P116">
        <v>223</v>
      </c>
      <c r="Q116">
        <v>49.8</v>
      </c>
      <c r="R116">
        <v>265</v>
      </c>
      <c r="S116">
        <v>71.5</v>
      </c>
      <c r="T116">
        <v>268</v>
      </c>
      <c r="U116">
        <v>5.4</v>
      </c>
      <c r="V116" t="s">
        <v>5613</v>
      </c>
      <c r="W116">
        <v>96</v>
      </c>
      <c r="X116">
        <v>40</v>
      </c>
      <c r="Y116">
        <v>65.7</v>
      </c>
      <c r="Z116">
        <v>86</v>
      </c>
      <c r="AA116">
        <v>82.7</v>
      </c>
      <c r="AB116" t="s">
        <v>5692</v>
      </c>
      <c r="AC116">
        <v>57.2</v>
      </c>
    </row>
    <row r="117" spans="1:29">
      <c r="A117">
        <v>116</v>
      </c>
      <c r="B117">
        <v>134</v>
      </c>
      <c r="C117" t="s">
        <v>208</v>
      </c>
      <c r="D117" t="s">
        <v>5587</v>
      </c>
      <c r="E117" t="s">
        <v>29</v>
      </c>
      <c r="F117" t="s">
        <v>5605</v>
      </c>
      <c r="G117" t="s">
        <v>5594</v>
      </c>
      <c r="H117" t="s">
        <v>5590</v>
      </c>
      <c r="I117">
        <v>5</v>
      </c>
      <c r="J117" t="s">
        <v>5591</v>
      </c>
      <c r="K117">
        <v>52.5</v>
      </c>
      <c r="L117">
        <v>150</v>
      </c>
      <c r="M117">
        <v>47.6</v>
      </c>
      <c r="N117">
        <v>183</v>
      </c>
      <c r="O117">
        <v>21.7</v>
      </c>
      <c r="P117">
        <v>634</v>
      </c>
      <c r="Q117">
        <v>68</v>
      </c>
      <c r="R117">
        <v>157</v>
      </c>
      <c r="S117">
        <v>31.8</v>
      </c>
      <c r="T117">
        <v>474</v>
      </c>
      <c r="U117">
        <v>73.5</v>
      </c>
      <c r="V117">
        <v>191</v>
      </c>
      <c r="W117">
        <v>62.8</v>
      </c>
      <c r="X117">
        <v>228</v>
      </c>
      <c r="Y117">
        <v>93.1</v>
      </c>
      <c r="Z117">
        <v>32</v>
      </c>
      <c r="AA117">
        <v>98.9</v>
      </c>
      <c r="AB117">
        <v>15</v>
      </c>
      <c r="AC117">
        <v>57.1</v>
      </c>
    </row>
    <row r="118" spans="1:29">
      <c r="A118">
        <v>117</v>
      </c>
      <c r="B118">
        <v>101</v>
      </c>
      <c r="C118" t="s">
        <v>326</v>
      </c>
      <c r="D118" t="s">
        <v>5736</v>
      </c>
      <c r="E118" t="s">
        <v>327</v>
      </c>
      <c r="F118" t="s">
        <v>5593</v>
      </c>
      <c r="G118" t="s">
        <v>5594</v>
      </c>
      <c r="H118" t="s">
        <v>5590</v>
      </c>
      <c r="I118">
        <v>5</v>
      </c>
      <c r="J118" t="s">
        <v>5595</v>
      </c>
      <c r="K118">
        <v>55.8</v>
      </c>
      <c r="L118">
        <v>139</v>
      </c>
      <c r="M118">
        <v>11.2</v>
      </c>
      <c r="N118" t="s">
        <v>5737</v>
      </c>
      <c r="O118">
        <v>81.7</v>
      </c>
      <c r="P118">
        <v>132</v>
      </c>
      <c r="Q118">
        <v>64.2</v>
      </c>
      <c r="R118">
        <v>183</v>
      </c>
      <c r="S118">
        <v>86.1</v>
      </c>
      <c r="T118">
        <v>202</v>
      </c>
      <c r="U118">
        <v>25.4</v>
      </c>
      <c r="V118">
        <v>472</v>
      </c>
      <c r="W118">
        <v>95.9</v>
      </c>
      <c r="X118">
        <v>43</v>
      </c>
      <c r="Y118">
        <v>41.8</v>
      </c>
      <c r="Z118">
        <v>173</v>
      </c>
      <c r="AA118">
        <v>91.8</v>
      </c>
      <c r="AB118" t="s">
        <v>5738</v>
      </c>
      <c r="AC118">
        <v>56.9</v>
      </c>
    </row>
    <row r="119" spans="1:29">
      <c r="A119">
        <v>118</v>
      </c>
      <c r="B119">
        <v>153</v>
      </c>
      <c r="C119" t="s">
        <v>460</v>
      </c>
      <c r="D119" t="s">
        <v>5684</v>
      </c>
      <c r="E119" t="s">
        <v>150</v>
      </c>
      <c r="F119" t="s">
        <v>5593</v>
      </c>
      <c r="G119" t="s">
        <v>5589</v>
      </c>
      <c r="H119" t="s">
        <v>5590</v>
      </c>
      <c r="I119">
        <v>4</v>
      </c>
      <c r="J119" t="s">
        <v>5595</v>
      </c>
      <c r="K119">
        <v>54.1</v>
      </c>
      <c r="L119">
        <v>145</v>
      </c>
      <c r="M119">
        <v>15.2</v>
      </c>
      <c r="N119">
        <v>543</v>
      </c>
      <c r="O119">
        <v>28.2</v>
      </c>
      <c r="P119">
        <v>543</v>
      </c>
      <c r="Q119">
        <v>71.900000000000006</v>
      </c>
      <c r="R119">
        <v>138</v>
      </c>
      <c r="S119">
        <v>81.5</v>
      </c>
      <c r="T119">
        <v>223</v>
      </c>
      <c r="U119">
        <v>84.1</v>
      </c>
      <c r="V119">
        <v>147</v>
      </c>
      <c r="W119">
        <v>95.3</v>
      </c>
      <c r="X119">
        <v>51</v>
      </c>
      <c r="Y119">
        <v>76.2</v>
      </c>
      <c r="Z119">
        <v>57</v>
      </c>
      <c r="AA119">
        <v>75.099999999999994</v>
      </c>
      <c r="AB119" t="s">
        <v>5739</v>
      </c>
      <c r="AC119">
        <v>56.8</v>
      </c>
    </row>
    <row r="120" spans="1:29">
      <c r="A120">
        <v>119</v>
      </c>
      <c r="B120" t="s">
        <v>5740</v>
      </c>
      <c r="C120" t="s">
        <v>5741</v>
      </c>
      <c r="D120" t="s">
        <v>5639</v>
      </c>
      <c r="E120" t="s">
        <v>99</v>
      </c>
      <c r="F120" t="s">
        <v>5593</v>
      </c>
      <c r="G120" t="s">
        <v>5589</v>
      </c>
      <c r="H120" t="s">
        <v>5590</v>
      </c>
      <c r="I120">
        <v>4</v>
      </c>
      <c r="J120" t="s">
        <v>5595</v>
      </c>
      <c r="K120">
        <v>45.6</v>
      </c>
      <c r="L120">
        <v>182</v>
      </c>
      <c r="M120">
        <v>76.8</v>
      </c>
      <c r="N120">
        <v>76</v>
      </c>
      <c r="O120">
        <v>36</v>
      </c>
      <c r="P120">
        <v>443</v>
      </c>
      <c r="Q120">
        <v>71.900000000000006</v>
      </c>
      <c r="R120">
        <v>139</v>
      </c>
      <c r="S120">
        <v>70.400000000000006</v>
      </c>
      <c r="T120">
        <v>275</v>
      </c>
      <c r="U120">
        <v>46.7</v>
      </c>
      <c r="V120">
        <v>312</v>
      </c>
      <c r="W120">
        <v>76</v>
      </c>
      <c r="X120">
        <v>166</v>
      </c>
      <c r="Y120">
        <v>38.700000000000003</v>
      </c>
      <c r="Z120">
        <v>187</v>
      </c>
      <c r="AA120">
        <v>23.9</v>
      </c>
      <c r="AB120" t="s">
        <v>5742</v>
      </c>
      <c r="AC120">
        <v>56.4</v>
      </c>
    </row>
    <row r="121" spans="1:29">
      <c r="A121">
        <v>120</v>
      </c>
      <c r="B121" t="s">
        <v>5743</v>
      </c>
      <c r="C121" t="s">
        <v>5744</v>
      </c>
      <c r="D121" t="s">
        <v>5639</v>
      </c>
      <c r="E121" t="s">
        <v>99</v>
      </c>
      <c r="F121" t="s">
        <v>5605</v>
      </c>
      <c r="G121" t="s">
        <v>5594</v>
      </c>
      <c r="H121" t="s">
        <v>5590</v>
      </c>
      <c r="I121">
        <v>5</v>
      </c>
      <c r="J121" t="s">
        <v>5595</v>
      </c>
      <c r="K121">
        <v>90.2</v>
      </c>
      <c r="L121">
        <v>43</v>
      </c>
      <c r="M121">
        <v>65.900000000000006</v>
      </c>
      <c r="N121">
        <v>120</v>
      </c>
      <c r="O121">
        <v>7.6</v>
      </c>
      <c r="P121" t="s">
        <v>5613</v>
      </c>
      <c r="Q121">
        <v>31.3</v>
      </c>
      <c r="R121">
        <v>425</v>
      </c>
      <c r="S121">
        <v>68.099999999999994</v>
      </c>
      <c r="T121">
        <v>286</v>
      </c>
      <c r="U121">
        <v>31.5</v>
      </c>
      <c r="V121">
        <v>406</v>
      </c>
      <c r="W121">
        <v>86</v>
      </c>
      <c r="X121">
        <v>110</v>
      </c>
      <c r="Y121">
        <v>14.4</v>
      </c>
      <c r="Z121">
        <v>586</v>
      </c>
      <c r="AA121">
        <v>37.5</v>
      </c>
      <c r="AB121" t="s">
        <v>5745</v>
      </c>
      <c r="AC121">
        <v>56.3</v>
      </c>
    </row>
    <row r="122" spans="1:29">
      <c r="A122">
        <v>121</v>
      </c>
      <c r="B122" t="s">
        <v>5705</v>
      </c>
      <c r="C122" t="s">
        <v>323</v>
      </c>
      <c r="D122" t="s">
        <v>5728</v>
      </c>
      <c r="E122" t="s">
        <v>272</v>
      </c>
      <c r="F122" t="s">
        <v>5588</v>
      </c>
      <c r="G122" t="s">
        <v>5602</v>
      </c>
      <c r="H122" t="s">
        <v>5590</v>
      </c>
      <c r="I122">
        <v>5</v>
      </c>
      <c r="J122" t="s">
        <v>5595</v>
      </c>
      <c r="K122">
        <v>32.5</v>
      </c>
      <c r="L122">
        <v>270</v>
      </c>
      <c r="M122">
        <v>16.3</v>
      </c>
      <c r="N122">
        <v>525</v>
      </c>
      <c r="O122">
        <v>99.8</v>
      </c>
      <c r="P122">
        <v>27</v>
      </c>
      <c r="Q122">
        <v>83.4</v>
      </c>
      <c r="R122">
        <v>99</v>
      </c>
      <c r="S122">
        <v>100</v>
      </c>
      <c r="T122">
        <v>53</v>
      </c>
      <c r="U122">
        <v>82</v>
      </c>
      <c r="V122">
        <v>153</v>
      </c>
      <c r="W122">
        <v>71.599999999999994</v>
      </c>
      <c r="X122">
        <v>189</v>
      </c>
      <c r="Y122">
        <v>28.9</v>
      </c>
      <c r="Z122">
        <v>275</v>
      </c>
      <c r="AA122">
        <v>54.9</v>
      </c>
      <c r="AB122" t="s">
        <v>5746</v>
      </c>
      <c r="AC122">
        <v>56.2</v>
      </c>
    </row>
    <row r="123" spans="1:29">
      <c r="A123">
        <v>122</v>
      </c>
      <c r="B123">
        <v>146</v>
      </c>
      <c r="C123" t="s">
        <v>399</v>
      </c>
      <c r="D123" t="s">
        <v>5592</v>
      </c>
      <c r="E123" t="s">
        <v>26</v>
      </c>
      <c r="F123" t="s">
        <v>5593</v>
      </c>
      <c r="G123" t="s">
        <v>5594</v>
      </c>
      <c r="H123" t="s">
        <v>5590</v>
      </c>
      <c r="I123">
        <v>4</v>
      </c>
      <c r="J123" t="s">
        <v>5595</v>
      </c>
      <c r="K123">
        <v>39.700000000000003</v>
      </c>
      <c r="L123">
        <v>215</v>
      </c>
      <c r="M123">
        <v>40.200000000000003</v>
      </c>
      <c r="N123">
        <v>236</v>
      </c>
      <c r="O123">
        <v>25.2</v>
      </c>
      <c r="P123">
        <v>581</v>
      </c>
      <c r="Q123">
        <v>79.3</v>
      </c>
      <c r="R123">
        <v>115</v>
      </c>
      <c r="S123">
        <v>93.6</v>
      </c>
      <c r="T123">
        <v>157</v>
      </c>
      <c r="U123">
        <v>90.6</v>
      </c>
      <c r="V123">
        <v>116</v>
      </c>
      <c r="W123">
        <v>75.3</v>
      </c>
      <c r="X123">
        <v>171</v>
      </c>
      <c r="Y123">
        <v>20.7</v>
      </c>
      <c r="Z123">
        <v>400</v>
      </c>
      <c r="AA123">
        <v>98</v>
      </c>
      <c r="AB123">
        <v>24</v>
      </c>
      <c r="AC123">
        <v>55.7</v>
      </c>
    </row>
    <row r="124" spans="1:29">
      <c r="A124">
        <v>123</v>
      </c>
      <c r="B124">
        <v>139</v>
      </c>
      <c r="C124" t="s">
        <v>561</v>
      </c>
      <c r="D124" t="s">
        <v>5747</v>
      </c>
      <c r="E124" t="s">
        <v>397</v>
      </c>
      <c r="F124" t="s">
        <v>5605</v>
      </c>
      <c r="G124" t="s">
        <v>5602</v>
      </c>
      <c r="H124" t="s">
        <v>5590</v>
      </c>
      <c r="I124">
        <v>5</v>
      </c>
      <c r="J124" t="s">
        <v>5595</v>
      </c>
      <c r="K124">
        <v>69.3</v>
      </c>
      <c r="L124">
        <v>94</v>
      </c>
      <c r="M124">
        <v>71.2</v>
      </c>
      <c r="N124">
        <v>99</v>
      </c>
      <c r="O124">
        <v>5.2</v>
      </c>
      <c r="P124" t="s">
        <v>5613</v>
      </c>
      <c r="Q124">
        <v>48.3</v>
      </c>
      <c r="R124">
        <v>282</v>
      </c>
      <c r="S124">
        <v>63.8</v>
      </c>
      <c r="T124">
        <v>302</v>
      </c>
      <c r="U124">
        <v>56.6</v>
      </c>
      <c r="V124">
        <v>262</v>
      </c>
      <c r="W124">
        <v>75.099999999999994</v>
      </c>
      <c r="X124">
        <v>173</v>
      </c>
      <c r="Y124">
        <v>36.9</v>
      </c>
      <c r="Z124">
        <v>201</v>
      </c>
      <c r="AA124">
        <v>29.4</v>
      </c>
      <c r="AB124" t="s">
        <v>5748</v>
      </c>
      <c r="AC124">
        <v>55.2</v>
      </c>
    </row>
    <row r="125" spans="1:29">
      <c r="A125">
        <f>124</f>
        <v>124</v>
      </c>
      <c r="B125">
        <v>138</v>
      </c>
      <c r="C125" t="s">
        <v>426</v>
      </c>
      <c r="D125" t="s">
        <v>5652</v>
      </c>
      <c r="E125" t="s">
        <v>144</v>
      </c>
      <c r="F125" t="s">
        <v>5588</v>
      </c>
      <c r="G125" t="s">
        <v>5602</v>
      </c>
      <c r="H125" t="s">
        <v>5590</v>
      </c>
      <c r="I125">
        <v>4</v>
      </c>
      <c r="J125" t="s">
        <v>5595</v>
      </c>
      <c r="K125">
        <v>29.3</v>
      </c>
      <c r="L125">
        <v>295</v>
      </c>
      <c r="M125">
        <v>76.2</v>
      </c>
      <c r="N125">
        <v>78</v>
      </c>
      <c r="O125">
        <v>40.4</v>
      </c>
      <c r="P125">
        <v>390</v>
      </c>
      <c r="Q125">
        <v>89.7</v>
      </c>
      <c r="R125">
        <v>75</v>
      </c>
      <c r="S125">
        <v>100</v>
      </c>
      <c r="T125">
        <v>30</v>
      </c>
      <c r="U125">
        <v>70.8</v>
      </c>
      <c r="V125">
        <v>205</v>
      </c>
      <c r="W125">
        <v>40.1</v>
      </c>
      <c r="X125">
        <v>377</v>
      </c>
      <c r="Y125">
        <v>19.7</v>
      </c>
      <c r="Z125">
        <v>426</v>
      </c>
      <c r="AA125">
        <v>18</v>
      </c>
      <c r="AB125" t="s">
        <v>5702</v>
      </c>
      <c r="AC125">
        <v>55</v>
      </c>
    </row>
    <row r="126" spans="1:29">
      <c r="A126">
        <f>124</f>
        <v>124</v>
      </c>
      <c r="B126">
        <v>136</v>
      </c>
      <c r="C126" t="s">
        <v>317</v>
      </c>
      <c r="D126" t="s">
        <v>5601</v>
      </c>
      <c r="E126" t="s">
        <v>50</v>
      </c>
      <c r="F126" t="s">
        <v>5588</v>
      </c>
      <c r="G126" t="s">
        <v>5594</v>
      </c>
      <c r="H126" t="s">
        <v>5590</v>
      </c>
      <c r="I126">
        <v>5</v>
      </c>
      <c r="J126" t="s">
        <v>5595</v>
      </c>
      <c r="K126">
        <v>27.8</v>
      </c>
      <c r="L126">
        <v>314</v>
      </c>
      <c r="M126">
        <v>17.8</v>
      </c>
      <c r="N126">
        <v>494</v>
      </c>
      <c r="O126">
        <v>57.4</v>
      </c>
      <c r="P126">
        <v>253</v>
      </c>
      <c r="Q126">
        <v>96.5</v>
      </c>
      <c r="R126">
        <v>44</v>
      </c>
      <c r="S126">
        <v>100</v>
      </c>
      <c r="T126">
        <v>34</v>
      </c>
      <c r="U126">
        <v>85</v>
      </c>
      <c r="V126">
        <v>143</v>
      </c>
      <c r="W126">
        <v>74.400000000000006</v>
      </c>
      <c r="X126">
        <v>175</v>
      </c>
      <c r="Y126">
        <v>41.1</v>
      </c>
      <c r="Z126">
        <v>179</v>
      </c>
      <c r="AA126">
        <v>70.400000000000006</v>
      </c>
      <c r="AB126" t="s">
        <v>5682</v>
      </c>
      <c r="AC126">
        <v>55</v>
      </c>
    </row>
    <row r="127" spans="1:29">
      <c r="A127">
        <f>126</f>
        <v>126</v>
      </c>
      <c r="B127" t="s">
        <v>5743</v>
      </c>
      <c r="C127" t="s">
        <v>215</v>
      </c>
      <c r="D127" t="s">
        <v>5652</v>
      </c>
      <c r="E127" t="s">
        <v>144</v>
      </c>
      <c r="F127" t="s">
        <v>5605</v>
      </c>
      <c r="G127" t="s">
        <v>5594</v>
      </c>
      <c r="H127" t="s">
        <v>5590</v>
      </c>
      <c r="I127">
        <v>5</v>
      </c>
      <c r="J127" t="s">
        <v>5595</v>
      </c>
      <c r="K127">
        <v>69.099999999999994</v>
      </c>
      <c r="L127">
        <v>95</v>
      </c>
      <c r="M127">
        <v>26.8</v>
      </c>
      <c r="N127">
        <v>362</v>
      </c>
      <c r="O127">
        <v>20.2</v>
      </c>
      <c r="P127">
        <v>659</v>
      </c>
      <c r="Q127">
        <v>62.7</v>
      </c>
      <c r="R127">
        <v>190</v>
      </c>
      <c r="S127">
        <v>85.5</v>
      </c>
      <c r="T127">
        <v>204</v>
      </c>
      <c r="U127">
        <v>50.2</v>
      </c>
      <c r="V127">
        <v>292</v>
      </c>
      <c r="W127">
        <v>93.7</v>
      </c>
      <c r="X127">
        <v>61</v>
      </c>
      <c r="Y127">
        <v>26.9</v>
      </c>
      <c r="Z127">
        <v>303</v>
      </c>
      <c r="AA127">
        <v>46</v>
      </c>
      <c r="AB127" t="s">
        <v>5749</v>
      </c>
      <c r="AC127">
        <v>54.8</v>
      </c>
    </row>
    <row r="128" spans="1:29">
      <c r="A128">
        <f>126</f>
        <v>126</v>
      </c>
      <c r="B128">
        <v>120</v>
      </c>
      <c r="C128" t="s">
        <v>301</v>
      </c>
      <c r="D128" t="s">
        <v>5601</v>
      </c>
      <c r="E128" t="s">
        <v>50</v>
      </c>
      <c r="F128" t="s">
        <v>5588</v>
      </c>
      <c r="G128" t="s">
        <v>5602</v>
      </c>
      <c r="H128" t="s">
        <v>5590</v>
      </c>
      <c r="I128">
        <v>5</v>
      </c>
      <c r="J128" t="s">
        <v>5595</v>
      </c>
      <c r="K128">
        <v>30.5</v>
      </c>
      <c r="L128">
        <v>284</v>
      </c>
      <c r="M128">
        <v>24.4</v>
      </c>
      <c r="N128">
        <v>396</v>
      </c>
      <c r="O128">
        <v>54.6</v>
      </c>
      <c r="P128">
        <v>280</v>
      </c>
      <c r="Q128">
        <v>99.2</v>
      </c>
      <c r="R128">
        <v>17</v>
      </c>
      <c r="S128">
        <v>100</v>
      </c>
      <c r="T128">
        <v>42</v>
      </c>
      <c r="U128">
        <v>36.9</v>
      </c>
      <c r="V128">
        <v>369</v>
      </c>
      <c r="W128">
        <v>89.1</v>
      </c>
      <c r="X128">
        <v>89</v>
      </c>
      <c r="Y128">
        <v>26.1</v>
      </c>
      <c r="Z128">
        <v>313</v>
      </c>
      <c r="AA128">
        <v>73.599999999999994</v>
      </c>
      <c r="AB128" t="s">
        <v>5680</v>
      </c>
      <c r="AC128">
        <v>54.8</v>
      </c>
    </row>
    <row r="129" spans="1:29">
      <c r="A129">
        <v>128</v>
      </c>
      <c r="B129" t="s">
        <v>5750</v>
      </c>
      <c r="C129" t="s">
        <v>456</v>
      </c>
      <c r="D129" t="s">
        <v>5601</v>
      </c>
      <c r="E129" t="s">
        <v>50</v>
      </c>
      <c r="F129" t="s">
        <v>5593</v>
      </c>
      <c r="G129" t="s">
        <v>5594</v>
      </c>
      <c r="H129" t="s">
        <v>5590</v>
      </c>
      <c r="I129">
        <v>5</v>
      </c>
      <c r="J129" t="s">
        <v>5595</v>
      </c>
      <c r="K129">
        <v>45.1</v>
      </c>
      <c r="L129">
        <v>184</v>
      </c>
      <c r="M129">
        <v>14.1</v>
      </c>
      <c r="N129">
        <v>579</v>
      </c>
      <c r="O129">
        <v>42</v>
      </c>
      <c r="P129">
        <v>374</v>
      </c>
      <c r="Q129">
        <v>75.400000000000006</v>
      </c>
      <c r="R129">
        <v>127</v>
      </c>
      <c r="S129">
        <v>100</v>
      </c>
      <c r="T129">
        <v>45</v>
      </c>
      <c r="U129">
        <v>96.3</v>
      </c>
      <c r="V129">
        <v>81</v>
      </c>
      <c r="W129">
        <v>87.3</v>
      </c>
      <c r="X129">
        <v>99</v>
      </c>
      <c r="Y129">
        <v>31</v>
      </c>
      <c r="Z129">
        <v>246</v>
      </c>
      <c r="AA129">
        <v>63.1</v>
      </c>
      <c r="AB129" t="s">
        <v>5751</v>
      </c>
      <c r="AC129">
        <v>54.2</v>
      </c>
    </row>
    <row r="130" spans="1:29">
      <c r="A130">
        <v>129</v>
      </c>
      <c r="B130" t="s">
        <v>5750</v>
      </c>
      <c r="C130" t="s">
        <v>468</v>
      </c>
      <c r="D130" t="s">
        <v>5684</v>
      </c>
      <c r="E130" t="s">
        <v>150</v>
      </c>
      <c r="F130" t="s">
        <v>5588</v>
      </c>
      <c r="G130" t="s">
        <v>5602</v>
      </c>
      <c r="H130" t="s">
        <v>5590</v>
      </c>
      <c r="I130">
        <v>5</v>
      </c>
      <c r="J130" t="s">
        <v>5591</v>
      </c>
      <c r="K130">
        <v>26.6</v>
      </c>
      <c r="L130">
        <v>326</v>
      </c>
      <c r="M130">
        <v>51.5</v>
      </c>
      <c r="N130">
        <v>158</v>
      </c>
      <c r="O130">
        <v>51.1</v>
      </c>
      <c r="P130">
        <v>306</v>
      </c>
      <c r="Q130">
        <v>80.900000000000006</v>
      </c>
      <c r="R130">
        <v>107</v>
      </c>
      <c r="S130">
        <v>100</v>
      </c>
      <c r="T130">
        <v>49</v>
      </c>
      <c r="U130">
        <v>67.400000000000006</v>
      </c>
      <c r="V130">
        <v>220</v>
      </c>
      <c r="W130">
        <v>52.2</v>
      </c>
      <c r="X130">
        <v>299</v>
      </c>
      <c r="Y130">
        <v>28.7</v>
      </c>
      <c r="Z130">
        <v>278</v>
      </c>
      <c r="AA130">
        <v>82.9</v>
      </c>
      <c r="AB130">
        <v>132</v>
      </c>
      <c r="AC130">
        <v>54</v>
      </c>
    </row>
    <row r="131" spans="1:29">
      <c r="A131">
        <f>130</f>
        <v>130</v>
      </c>
      <c r="B131" t="s">
        <v>5752</v>
      </c>
      <c r="C131" t="s">
        <v>450</v>
      </c>
      <c r="D131" t="s">
        <v>5612</v>
      </c>
      <c r="E131" t="s">
        <v>116</v>
      </c>
      <c r="F131" t="s">
        <v>5593</v>
      </c>
      <c r="G131" t="s">
        <v>5594</v>
      </c>
      <c r="H131" t="s">
        <v>5590</v>
      </c>
      <c r="I131">
        <v>4</v>
      </c>
      <c r="J131" t="s">
        <v>5595</v>
      </c>
      <c r="K131">
        <v>31.6</v>
      </c>
      <c r="L131">
        <v>276</v>
      </c>
      <c r="M131">
        <v>41</v>
      </c>
      <c r="N131">
        <v>228</v>
      </c>
      <c r="O131">
        <v>10.3</v>
      </c>
      <c r="P131" t="s">
        <v>5613</v>
      </c>
      <c r="Q131">
        <v>81.3</v>
      </c>
      <c r="R131">
        <v>105</v>
      </c>
      <c r="S131">
        <v>98.6</v>
      </c>
      <c r="T131">
        <v>104</v>
      </c>
      <c r="U131">
        <v>93.6</v>
      </c>
      <c r="V131">
        <v>94</v>
      </c>
      <c r="W131">
        <v>81.400000000000006</v>
      </c>
      <c r="X131">
        <v>139</v>
      </c>
      <c r="Y131">
        <v>43.2</v>
      </c>
      <c r="Z131">
        <v>167</v>
      </c>
      <c r="AA131">
        <v>91.8</v>
      </c>
      <c r="AB131" t="s">
        <v>5738</v>
      </c>
      <c r="AC131">
        <v>53.7</v>
      </c>
    </row>
    <row r="132" spans="1:29">
      <c r="A132">
        <f>130</f>
        <v>130</v>
      </c>
      <c r="B132">
        <v>151</v>
      </c>
      <c r="C132" t="s">
        <v>309</v>
      </c>
      <c r="D132" t="s">
        <v>5753</v>
      </c>
      <c r="E132" t="s">
        <v>310</v>
      </c>
      <c r="F132" t="s">
        <v>5605</v>
      </c>
      <c r="G132" t="s">
        <v>5594</v>
      </c>
      <c r="H132" t="s">
        <v>5590</v>
      </c>
      <c r="I132">
        <v>5</v>
      </c>
      <c r="J132" t="s">
        <v>5595</v>
      </c>
      <c r="K132">
        <v>70.8</v>
      </c>
      <c r="L132">
        <v>88</v>
      </c>
      <c r="M132">
        <v>42.5</v>
      </c>
      <c r="N132">
        <v>217</v>
      </c>
      <c r="O132">
        <v>22</v>
      </c>
      <c r="P132">
        <v>629</v>
      </c>
      <c r="Q132">
        <v>14.5</v>
      </c>
      <c r="R132">
        <v>646</v>
      </c>
      <c r="S132">
        <v>99.3</v>
      </c>
      <c r="T132">
        <v>92</v>
      </c>
      <c r="U132">
        <v>88.1</v>
      </c>
      <c r="V132">
        <v>129</v>
      </c>
      <c r="W132">
        <v>93.5</v>
      </c>
      <c r="X132">
        <v>62</v>
      </c>
      <c r="Y132">
        <v>56.8</v>
      </c>
      <c r="Z132">
        <v>109</v>
      </c>
      <c r="AA132">
        <v>74.099999999999994</v>
      </c>
      <c r="AB132">
        <v>180</v>
      </c>
      <c r="AC132">
        <v>53.7</v>
      </c>
    </row>
    <row r="133" spans="1:29">
      <c r="A133">
        <f>132</f>
        <v>132</v>
      </c>
      <c r="B133" t="s">
        <v>5754</v>
      </c>
      <c r="C133" t="s">
        <v>172</v>
      </c>
      <c r="D133" t="s">
        <v>5587</v>
      </c>
      <c r="E133" t="s">
        <v>29</v>
      </c>
      <c r="F133" t="s">
        <v>5605</v>
      </c>
      <c r="G133" t="s">
        <v>5594</v>
      </c>
      <c r="H133" t="s">
        <v>5590</v>
      </c>
      <c r="I133">
        <v>5</v>
      </c>
      <c r="J133" t="s">
        <v>5595</v>
      </c>
      <c r="K133">
        <v>63.9</v>
      </c>
      <c r="L133">
        <v>107</v>
      </c>
      <c r="M133">
        <v>44.7</v>
      </c>
      <c r="N133">
        <v>199</v>
      </c>
      <c r="O133">
        <v>30.4</v>
      </c>
      <c r="P133">
        <v>518</v>
      </c>
      <c r="Q133">
        <v>40.700000000000003</v>
      </c>
      <c r="R133">
        <v>338</v>
      </c>
      <c r="S133">
        <v>70.3</v>
      </c>
      <c r="T133">
        <v>276</v>
      </c>
      <c r="U133">
        <v>49.3</v>
      </c>
      <c r="V133">
        <v>301</v>
      </c>
      <c r="W133">
        <v>77.8</v>
      </c>
      <c r="X133">
        <v>159</v>
      </c>
      <c r="Y133">
        <v>19</v>
      </c>
      <c r="Z133">
        <v>439</v>
      </c>
      <c r="AA133">
        <v>98.9</v>
      </c>
      <c r="AB133">
        <v>16</v>
      </c>
      <c r="AC133">
        <v>53.2</v>
      </c>
    </row>
    <row r="134" spans="1:29">
      <c r="A134">
        <f>132</f>
        <v>132</v>
      </c>
      <c r="B134" t="s">
        <v>5754</v>
      </c>
      <c r="C134" t="s">
        <v>5755</v>
      </c>
      <c r="D134" t="s">
        <v>5587</v>
      </c>
      <c r="E134" t="s">
        <v>29</v>
      </c>
      <c r="F134" t="s">
        <v>5605</v>
      </c>
      <c r="G134" t="s">
        <v>5594</v>
      </c>
      <c r="H134" t="s">
        <v>5590</v>
      </c>
      <c r="I134">
        <v>5</v>
      </c>
      <c r="J134" t="s">
        <v>5595</v>
      </c>
      <c r="K134">
        <v>63</v>
      </c>
      <c r="L134">
        <v>110</v>
      </c>
      <c r="M134">
        <v>33.9</v>
      </c>
      <c r="N134">
        <v>290</v>
      </c>
      <c r="O134">
        <v>72.900000000000006</v>
      </c>
      <c r="P134">
        <v>171</v>
      </c>
      <c r="Q134">
        <v>42.5</v>
      </c>
      <c r="R134">
        <v>316</v>
      </c>
      <c r="S134">
        <v>24.7</v>
      </c>
      <c r="T134">
        <v>541</v>
      </c>
      <c r="U134">
        <v>10.1</v>
      </c>
      <c r="V134" t="s">
        <v>5613</v>
      </c>
      <c r="W134">
        <v>82.2</v>
      </c>
      <c r="X134">
        <v>133</v>
      </c>
      <c r="Y134">
        <v>47.9</v>
      </c>
      <c r="Z134">
        <v>142</v>
      </c>
      <c r="AA134">
        <v>96.8</v>
      </c>
      <c r="AB134">
        <v>38</v>
      </c>
      <c r="AC134">
        <v>53.2</v>
      </c>
    </row>
    <row r="135" spans="1:29">
      <c r="A135">
        <f>134</f>
        <v>134</v>
      </c>
      <c r="B135">
        <v>171</v>
      </c>
      <c r="C135" t="s">
        <v>452</v>
      </c>
      <c r="D135" t="s">
        <v>5747</v>
      </c>
      <c r="E135" t="s">
        <v>397</v>
      </c>
      <c r="F135" t="s">
        <v>5605</v>
      </c>
      <c r="G135" t="s">
        <v>5594</v>
      </c>
      <c r="H135" t="s">
        <v>5590</v>
      </c>
      <c r="I135">
        <v>5</v>
      </c>
      <c r="J135" t="s">
        <v>5595</v>
      </c>
      <c r="K135">
        <v>79.2</v>
      </c>
      <c r="L135">
        <v>74</v>
      </c>
      <c r="M135">
        <v>41</v>
      </c>
      <c r="N135">
        <v>229</v>
      </c>
      <c r="O135">
        <v>4.5999999999999996</v>
      </c>
      <c r="P135" t="s">
        <v>5613</v>
      </c>
      <c r="Q135">
        <v>44.9</v>
      </c>
      <c r="R135">
        <v>301</v>
      </c>
      <c r="S135">
        <v>3</v>
      </c>
      <c r="T135" t="s">
        <v>5613</v>
      </c>
      <c r="U135">
        <v>10.8</v>
      </c>
      <c r="V135">
        <v>697</v>
      </c>
      <c r="W135">
        <v>96.9</v>
      </c>
      <c r="X135">
        <v>33</v>
      </c>
      <c r="Y135">
        <v>59.8</v>
      </c>
      <c r="Z135">
        <v>101</v>
      </c>
      <c r="AA135">
        <v>92</v>
      </c>
      <c r="AB135">
        <v>79</v>
      </c>
      <c r="AC135">
        <v>52.9</v>
      </c>
    </row>
    <row r="136" spans="1:29">
      <c r="A136">
        <f>134</f>
        <v>134</v>
      </c>
      <c r="B136" t="s">
        <v>5756</v>
      </c>
      <c r="C136" t="s">
        <v>305</v>
      </c>
      <c r="D136" t="s">
        <v>5587</v>
      </c>
      <c r="E136" t="s">
        <v>29</v>
      </c>
      <c r="F136" t="s">
        <v>5605</v>
      </c>
      <c r="G136" t="s">
        <v>5594</v>
      </c>
      <c r="H136" t="s">
        <v>5590</v>
      </c>
      <c r="I136">
        <v>5</v>
      </c>
      <c r="J136" t="s">
        <v>5595</v>
      </c>
      <c r="K136">
        <v>62</v>
      </c>
      <c r="L136">
        <v>112</v>
      </c>
      <c r="M136">
        <v>59.6</v>
      </c>
      <c r="N136">
        <v>135</v>
      </c>
      <c r="O136">
        <v>4.5</v>
      </c>
      <c r="P136" t="s">
        <v>5613</v>
      </c>
      <c r="Q136">
        <v>68.400000000000006</v>
      </c>
      <c r="R136">
        <v>152</v>
      </c>
      <c r="S136">
        <v>23.1</v>
      </c>
      <c r="T136">
        <v>564</v>
      </c>
      <c r="U136">
        <v>13.3</v>
      </c>
      <c r="V136">
        <v>656</v>
      </c>
      <c r="W136">
        <v>88.4</v>
      </c>
      <c r="X136">
        <v>93</v>
      </c>
      <c r="Y136">
        <v>30.1</v>
      </c>
      <c r="Z136">
        <v>259</v>
      </c>
      <c r="AA136">
        <v>61.3</v>
      </c>
      <c r="AB136" t="s">
        <v>5655</v>
      </c>
      <c r="AC136">
        <v>52.9</v>
      </c>
    </row>
    <row r="137" spans="1:29">
      <c r="A137">
        <v>136</v>
      </c>
      <c r="B137">
        <v>159</v>
      </c>
      <c r="C137" t="s">
        <v>303</v>
      </c>
      <c r="D137" t="s">
        <v>5587</v>
      </c>
      <c r="E137" t="s">
        <v>29</v>
      </c>
      <c r="F137" t="s">
        <v>5605</v>
      </c>
      <c r="G137" t="s">
        <v>5594</v>
      </c>
      <c r="H137" t="s">
        <v>5590</v>
      </c>
      <c r="I137">
        <v>5</v>
      </c>
      <c r="J137" t="s">
        <v>5595</v>
      </c>
      <c r="K137">
        <v>59.9</v>
      </c>
      <c r="L137">
        <v>120</v>
      </c>
      <c r="M137">
        <v>49.4</v>
      </c>
      <c r="N137">
        <v>174</v>
      </c>
      <c r="O137">
        <v>11.3</v>
      </c>
      <c r="P137" t="s">
        <v>5613</v>
      </c>
      <c r="Q137">
        <v>58</v>
      </c>
      <c r="R137">
        <v>221</v>
      </c>
      <c r="S137">
        <v>58.6</v>
      </c>
      <c r="T137">
        <v>320</v>
      </c>
      <c r="U137">
        <v>12.8</v>
      </c>
      <c r="V137">
        <v>665</v>
      </c>
      <c r="W137">
        <v>95.6</v>
      </c>
      <c r="X137">
        <v>45</v>
      </c>
      <c r="Y137">
        <v>45.5</v>
      </c>
      <c r="Z137">
        <v>153</v>
      </c>
      <c r="AA137">
        <v>71.2</v>
      </c>
      <c r="AB137">
        <v>199</v>
      </c>
      <c r="AC137">
        <v>52.7</v>
      </c>
    </row>
    <row r="138" spans="1:29">
      <c r="A138">
        <f>137</f>
        <v>137</v>
      </c>
      <c r="B138" t="s">
        <v>5757</v>
      </c>
      <c r="C138" t="s">
        <v>1110</v>
      </c>
      <c r="D138" t="s">
        <v>5672</v>
      </c>
      <c r="E138" t="s">
        <v>664</v>
      </c>
      <c r="F138" t="s">
        <v>5593</v>
      </c>
      <c r="G138" t="s">
        <v>5594</v>
      </c>
      <c r="H138" t="s">
        <v>5590</v>
      </c>
      <c r="I138">
        <v>4</v>
      </c>
      <c r="J138" t="s">
        <v>5595</v>
      </c>
      <c r="K138">
        <v>61.4</v>
      </c>
      <c r="L138">
        <v>115</v>
      </c>
      <c r="M138">
        <v>74.7</v>
      </c>
      <c r="N138">
        <v>86</v>
      </c>
      <c r="O138">
        <v>55.2</v>
      </c>
      <c r="P138">
        <v>273</v>
      </c>
      <c r="Q138">
        <v>16.2</v>
      </c>
      <c r="R138">
        <v>613</v>
      </c>
      <c r="S138">
        <v>24.9</v>
      </c>
      <c r="T138">
        <v>538</v>
      </c>
      <c r="U138">
        <v>88.9</v>
      </c>
      <c r="V138">
        <v>124</v>
      </c>
      <c r="W138">
        <v>59.6</v>
      </c>
      <c r="X138">
        <v>246</v>
      </c>
      <c r="Y138">
        <v>18.2</v>
      </c>
      <c r="Z138">
        <v>462</v>
      </c>
      <c r="AA138">
        <v>85.5</v>
      </c>
      <c r="AB138">
        <v>116</v>
      </c>
      <c r="AC138">
        <v>52.6</v>
      </c>
    </row>
    <row r="139" spans="1:29">
      <c r="A139">
        <f>137</f>
        <v>137</v>
      </c>
      <c r="B139">
        <v>94</v>
      </c>
      <c r="C139" t="s">
        <v>167</v>
      </c>
      <c r="D139" t="s">
        <v>5616</v>
      </c>
      <c r="E139" t="s">
        <v>54</v>
      </c>
      <c r="F139" t="s">
        <v>5593</v>
      </c>
      <c r="G139" t="s">
        <v>5589</v>
      </c>
      <c r="H139" t="s">
        <v>5590</v>
      </c>
      <c r="I139">
        <v>4</v>
      </c>
      <c r="J139" t="s">
        <v>5595</v>
      </c>
      <c r="K139">
        <v>52.5</v>
      </c>
      <c r="L139">
        <v>149</v>
      </c>
      <c r="M139">
        <v>17.5</v>
      </c>
      <c r="N139">
        <v>500</v>
      </c>
      <c r="O139">
        <v>91.2</v>
      </c>
      <c r="P139">
        <v>80</v>
      </c>
      <c r="Q139">
        <v>98.5</v>
      </c>
      <c r="R139">
        <v>26</v>
      </c>
      <c r="S139">
        <v>16.8</v>
      </c>
      <c r="T139">
        <v>639</v>
      </c>
      <c r="U139">
        <v>5.2</v>
      </c>
      <c r="V139" t="s">
        <v>5613</v>
      </c>
      <c r="W139">
        <v>32.200000000000003</v>
      </c>
      <c r="X139">
        <v>444</v>
      </c>
      <c r="Y139">
        <v>24.8</v>
      </c>
      <c r="Z139">
        <v>335</v>
      </c>
      <c r="AA139">
        <v>21.6</v>
      </c>
      <c r="AB139" t="s">
        <v>5758</v>
      </c>
      <c r="AC139">
        <v>52.6</v>
      </c>
    </row>
    <row r="140" spans="1:29">
      <c r="A140">
        <v>139</v>
      </c>
      <c r="B140">
        <v>145</v>
      </c>
      <c r="C140" t="s">
        <v>219</v>
      </c>
      <c r="D140" t="s">
        <v>5652</v>
      </c>
      <c r="E140" t="s">
        <v>144</v>
      </c>
      <c r="F140" t="s">
        <v>5605</v>
      </c>
      <c r="G140" t="s">
        <v>5594</v>
      </c>
      <c r="H140" t="s">
        <v>5590</v>
      </c>
      <c r="I140">
        <v>5</v>
      </c>
      <c r="J140" t="s">
        <v>5595</v>
      </c>
      <c r="K140">
        <v>52.9</v>
      </c>
      <c r="L140">
        <v>148</v>
      </c>
      <c r="M140">
        <v>29.9</v>
      </c>
      <c r="N140">
        <v>326</v>
      </c>
      <c r="O140">
        <v>51.4</v>
      </c>
      <c r="P140">
        <v>304</v>
      </c>
      <c r="Q140">
        <v>42.9</v>
      </c>
      <c r="R140">
        <v>311</v>
      </c>
      <c r="S140">
        <v>93.5</v>
      </c>
      <c r="T140">
        <v>159</v>
      </c>
      <c r="U140">
        <v>85.6</v>
      </c>
      <c r="V140">
        <v>140</v>
      </c>
      <c r="W140">
        <v>92.1</v>
      </c>
      <c r="X140">
        <v>67</v>
      </c>
      <c r="Y140">
        <v>22.3</v>
      </c>
      <c r="Z140">
        <v>372</v>
      </c>
      <c r="AA140">
        <v>67.7</v>
      </c>
      <c r="AB140">
        <v>214</v>
      </c>
      <c r="AC140">
        <v>52.5</v>
      </c>
    </row>
    <row r="141" spans="1:29">
      <c r="A141">
        <v>140</v>
      </c>
      <c r="B141" t="s">
        <v>5759</v>
      </c>
      <c r="C141" t="s">
        <v>683</v>
      </c>
      <c r="D141" t="s">
        <v>5612</v>
      </c>
      <c r="E141" t="s">
        <v>116</v>
      </c>
      <c r="F141" t="s">
        <v>5605</v>
      </c>
      <c r="G141" t="s">
        <v>5589</v>
      </c>
      <c r="H141" t="s">
        <v>5590</v>
      </c>
      <c r="I141">
        <v>3</v>
      </c>
      <c r="J141" t="s">
        <v>5595</v>
      </c>
      <c r="K141">
        <v>38.6</v>
      </c>
      <c r="L141">
        <v>223</v>
      </c>
      <c r="M141">
        <v>49.6</v>
      </c>
      <c r="N141">
        <v>173</v>
      </c>
      <c r="O141">
        <v>5.4</v>
      </c>
      <c r="P141" t="s">
        <v>5613</v>
      </c>
      <c r="Q141">
        <v>68.599999999999994</v>
      </c>
      <c r="R141">
        <v>151</v>
      </c>
      <c r="S141">
        <v>100</v>
      </c>
      <c r="T141">
        <v>37</v>
      </c>
      <c r="U141">
        <v>92.8</v>
      </c>
      <c r="V141">
        <v>102</v>
      </c>
      <c r="W141">
        <v>57.3</v>
      </c>
      <c r="X141">
        <v>267</v>
      </c>
      <c r="Y141">
        <v>28.8</v>
      </c>
      <c r="Z141">
        <v>277</v>
      </c>
      <c r="AA141">
        <v>96.2</v>
      </c>
      <c r="AB141">
        <v>43</v>
      </c>
      <c r="AC141">
        <v>52.4</v>
      </c>
    </row>
    <row r="142" spans="1:29">
      <c r="A142">
        <f>141</f>
        <v>141</v>
      </c>
      <c r="B142">
        <v>133</v>
      </c>
      <c r="C142" t="s">
        <v>206</v>
      </c>
      <c r="D142" t="s">
        <v>5616</v>
      </c>
      <c r="E142" t="s">
        <v>54</v>
      </c>
      <c r="F142" t="s">
        <v>5605</v>
      </c>
      <c r="G142" t="s">
        <v>5594</v>
      </c>
      <c r="H142" t="s">
        <v>5590</v>
      </c>
      <c r="I142">
        <v>5</v>
      </c>
      <c r="J142" t="s">
        <v>5595</v>
      </c>
      <c r="K142">
        <v>59.6</v>
      </c>
      <c r="L142">
        <v>123</v>
      </c>
      <c r="M142">
        <v>25.4</v>
      </c>
      <c r="N142">
        <v>378</v>
      </c>
      <c r="O142">
        <v>31.3</v>
      </c>
      <c r="P142">
        <v>504</v>
      </c>
      <c r="Q142">
        <v>96.9</v>
      </c>
      <c r="R142">
        <v>42</v>
      </c>
      <c r="S142">
        <v>55.1</v>
      </c>
      <c r="T142">
        <v>334</v>
      </c>
      <c r="U142">
        <v>7.3</v>
      </c>
      <c r="V142" t="s">
        <v>5613</v>
      </c>
      <c r="W142">
        <v>26.4</v>
      </c>
      <c r="X142">
        <v>488</v>
      </c>
      <c r="Y142">
        <v>23.7</v>
      </c>
      <c r="Z142">
        <v>356</v>
      </c>
      <c r="AA142">
        <v>39</v>
      </c>
      <c r="AB142" t="s">
        <v>5760</v>
      </c>
      <c r="AC142">
        <v>52.1</v>
      </c>
    </row>
    <row r="143" spans="1:29">
      <c r="A143">
        <f>141</f>
        <v>141</v>
      </c>
      <c r="B143" t="s">
        <v>5731</v>
      </c>
      <c r="C143" t="s">
        <v>5761</v>
      </c>
      <c r="D143" t="s">
        <v>5620</v>
      </c>
      <c r="E143" t="s">
        <v>76</v>
      </c>
      <c r="F143" t="s">
        <v>5605</v>
      </c>
      <c r="G143" t="s">
        <v>5594</v>
      </c>
      <c r="H143" t="s">
        <v>5590</v>
      </c>
      <c r="I143">
        <v>5</v>
      </c>
      <c r="J143" t="s">
        <v>5595</v>
      </c>
      <c r="K143">
        <v>56.6</v>
      </c>
      <c r="L143">
        <v>136</v>
      </c>
      <c r="M143">
        <v>34.5</v>
      </c>
      <c r="N143">
        <v>283</v>
      </c>
      <c r="O143">
        <v>77</v>
      </c>
      <c r="P143">
        <v>154</v>
      </c>
      <c r="Q143">
        <v>24.9</v>
      </c>
      <c r="R143">
        <v>491</v>
      </c>
      <c r="S143">
        <v>88.4</v>
      </c>
      <c r="T143">
        <v>191</v>
      </c>
      <c r="U143">
        <v>52.2</v>
      </c>
      <c r="V143">
        <v>277</v>
      </c>
      <c r="W143">
        <v>65.2</v>
      </c>
      <c r="X143">
        <v>216</v>
      </c>
      <c r="Y143">
        <v>36</v>
      </c>
      <c r="Z143">
        <v>205</v>
      </c>
      <c r="AA143">
        <v>95.5</v>
      </c>
      <c r="AB143">
        <v>50</v>
      </c>
      <c r="AC143">
        <v>52.1</v>
      </c>
    </row>
    <row r="144" spans="1:29">
      <c r="A144">
        <f>143</f>
        <v>143</v>
      </c>
      <c r="B144">
        <v>161</v>
      </c>
      <c r="C144" t="s">
        <v>285</v>
      </c>
      <c r="D144" t="s">
        <v>5728</v>
      </c>
      <c r="E144" t="s">
        <v>272</v>
      </c>
      <c r="F144" t="s">
        <v>5593</v>
      </c>
      <c r="G144" t="s">
        <v>5594</v>
      </c>
      <c r="H144" t="s">
        <v>5590</v>
      </c>
      <c r="I144">
        <v>4</v>
      </c>
      <c r="J144" t="s">
        <v>5595</v>
      </c>
      <c r="K144">
        <v>55.8</v>
      </c>
      <c r="L144">
        <v>140</v>
      </c>
      <c r="M144">
        <v>24.7</v>
      </c>
      <c r="N144">
        <v>387</v>
      </c>
      <c r="O144">
        <v>32.5</v>
      </c>
      <c r="P144">
        <v>490</v>
      </c>
      <c r="Q144">
        <v>54.1</v>
      </c>
      <c r="R144">
        <v>238</v>
      </c>
      <c r="S144">
        <v>90.3</v>
      </c>
      <c r="T144">
        <v>181</v>
      </c>
      <c r="U144">
        <v>13.1</v>
      </c>
      <c r="V144">
        <v>661</v>
      </c>
      <c r="W144">
        <v>94.8</v>
      </c>
      <c r="X144">
        <v>56</v>
      </c>
      <c r="Y144">
        <v>45.1</v>
      </c>
      <c r="Z144">
        <v>156</v>
      </c>
      <c r="AA144">
        <v>98.4</v>
      </c>
      <c r="AB144" t="s">
        <v>5653</v>
      </c>
      <c r="AC144">
        <v>52</v>
      </c>
    </row>
    <row r="145" spans="1:29">
      <c r="A145">
        <f>143</f>
        <v>143</v>
      </c>
      <c r="B145" t="s">
        <v>5606</v>
      </c>
      <c r="C145" t="s">
        <v>642</v>
      </c>
      <c r="D145" t="s">
        <v>5762</v>
      </c>
      <c r="E145" t="s">
        <v>534</v>
      </c>
      <c r="F145" t="s">
        <v>5605</v>
      </c>
      <c r="G145" t="s">
        <v>5594</v>
      </c>
      <c r="H145" t="s">
        <v>5590</v>
      </c>
      <c r="I145">
        <v>4</v>
      </c>
      <c r="J145" t="s">
        <v>5595</v>
      </c>
      <c r="K145">
        <v>54.5</v>
      </c>
      <c r="L145">
        <v>143</v>
      </c>
      <c r="M145">
        <v>61.6</v>
      </c>
      <c r="N145">
        <v>127</v>
      </c>
      <c r="O145">
        <v>52.5</v>
      </c>
      <c r="P145">
        <v>300</v>
      </c>
      <c r="Q145">
        <v>37.5</v>
      </c>
      <c r="R145">
        <v>374</v>
      </c>
      <c r="S145">
        <v>97.5</v>
      </c>
      <c r="T145">
        <v>124</v>
      </c>
      <c r="U145">
        <v>23.1</v>
      </c>
      <c r="V145">
        <v>500</v>
      </c>
      <c r="W145">
        <v>84.4</v>
      </c>
      <c r="X145">
        <v>121</v>
      </c>
      <c r="Y145">
        <v>17.3</v>
      </c>
      <c r="Z145">
        <v>483</v>
      </c>
      <c r="AA145">
        <v>43.5</v>
      </c>
      <c r="AB145" t="s">
        <v>5763</v>
      </c>
      <c r="AC145">
        <v>52</v>
      </c>
    </row>
    <row r="146" spans="1:29">
      <c r="A146">
        <f>145</f>
        <v>145</v>
      </c>
      <c r="B146" t="s">
        <v>5750</v>
      </c>
      <c r="C146" t="s">
        <v>345</v>
      </c>
      <c r="D146" t="s">
        <v>5592</v>
      </c>
      <c r="E146" t="s">
        <v>26</v>
      </c>
      <c r="F146" t="s">
        <v>5593</v>
      </c>
      <c r="G146" t="s">
        <v>5594</v>
      </c>
      <c r="H146" t="s">
        <v>5590</v>
      </c>
      <c r="I146">
        <v>5</v>
      </c>
      <c r="J146" t="s">
        <v>5595</v>
      </c>
      <c r="K146">
        <v>48.8</v>
      </c>
      <c r="L146">
        <v>168</v>
      </c>
      <c r="M146">
        <v>32.799999999999997</v>
      </c>
      <c r="N146">
        <v>300</v>
      </c>
      <c r="O146">
        <v>38.700000000000003</v>
      </c>
      <c r="P146">
        <v>409</v>
      </c>
      <c r="Q146">
        <v>50.7</v>
      </c>
      <c r="R146">
        <v>260</v>
      </c>
      <c r="S146">
        <v>99.7</v>
      </c>
      <c r="T146">
        <v>85</v>
      </c>
      <c r="U146">
        <v>99.4</v>
      </c>
      <c r="V146">
        <v>43</v>
      </c>
      <c r="W146">
        <v>72.8</v>
      </c>
      <c r="X146">
        <v>184</v>
      </c>
      <c r="Y146">
        <v>16.8</v>
      </c>
      <c r="Z146">
        <v>506</v>
      </c>
      <c r="AA146">
        <v>69.900000000000006</v>
      </c>
      <c r="AB146" t="s">
        <v>5764</v>
      </c>
      <c r="AC146">
        <v>51.9</v>
      </c>
    </row>
    <row r="147" spans="1:29">
      <c r="A147">
        <f>145</f>
        <v>145</v>
      </c>
      <c r="B147">
        <v>100</v>
      </c>
      <c r="C147" t="s">
        <v>307</v>
      </c>
      <c r="D147" t="s">
        <v>5587</v>
      </c>
      <c r="E147" t="s">
        <v>29</v>
      </c>
      <c r="F147" t="s">
        <v>5588</v>
      </c>
      <c r="G147" t="s">
        <v>5594</v>
      </c>
      <c r="H147" t="s">
        <v>5590</v>
      </c>
      <c r="I147">
        <v>5</v>
      </c>
      <c r="J147" t="s">
        <v>5591</v>
      </c>
      <c r="K147">
        <v>38.700000000000003</v>
      </c>
      <c r="L147">
        <v>222</v>
      </c>
      <c r="M147">
        <v>22.9</v>
      </c>
      <c r="N147">
        <v>415</v>
      </c>
      <c r="O147">
        <v>65.900000000000006</v>
      </c>
      <c r="P147">
        <v>205</v>
      </c>
      <c r="Q147">
        <v>82.5</v>
      </c>
      <c r="R147">
        <v>101</v>
      </c>
      <c r="S147">
        <v>91</v>
      </c>
      <c r="T147">
        <v>176</v>
      </c>
      <c r="U147">
        <v>94.8</v>
      </c>
      <c r="V147">
        <v>89</v>
      </c>
      <c r="W147">
        <v>9.8000000000000007</v>
      </c>
      <c r="X147">
        <v>671</v>
      </c>
      <c r="Y147">
        <v>30</v>
      </c>
      <c r="Z147">
        <v>262</v>
      </c>
      <c r="AA147">
        <v>42.6</v>
      </c>
      <c r="AB147" t="s">
        <v>5700</v>
      </c>
      <c r="AC147">
        <v>51.9</v>
      </c>
    </row>
    <row r="148" spans="1:29">
      <c r="A148">
        <f>145</f>
        <v>145</v>
      </c>
      <c r="B148">
        <v>99</v>
      </c>
      <c r="C148" t="s">
        <v>5765</v>
      </c>
      <c r="D148" t="s">
        <v>5644</v>
      </c>
      <c r="E148" t="s">
        <v>181</v>
      </c>
      <c r="F148" t="s">
        <v>5593</v>
      </c>
      <c r="G148" t="s">
        <v>5594</v>
      </c>
      <c r="H148" t="s">
        <v>5590</v>
      </c>
      <c r="I148">
        <v>5</v>
      </c>
      <c r="J148" t="s">
        <v>5591</v>
      </c>
      <c r="K148">
        <v>64.2</v>
      </c>
      <c r="L148">
        <v>106</v>
      </c>
      <c r="M148">
        <v>71.599999999999994</v>
      </c>
      <c r="N148">
        <v>98</v>
      </c>
      <c r="O148">
        <v>81.8</v>
      </c>
      <c r="P148">
        <v>129</v>
      </c>
      <c r="Q148">
        <v>37.9</v>
      </c>
      <c r="R148">
        <v>369</v>
      </c>
      <c r="S148">
        <v>17.8</v>
      </c>
      <c r="T148">
        <v>618</v>
      </c>
      <c r="U148">
        <v>34</v>
      </c>
      <c r="V148">
        <v>387</v>
      </c>
      <c r="W148">
        <v>9.8000000000000007</v>
      </c>
      <c r="X148">
        <v>672</v>
      </c>
      <c r="Y148">
        <v>26.8</v>
      </c>
      <c r="Z148">
        <v>304</v>
      </c>
      <c r="AA148">
        <v>27.6</v>
      </c>
      <c r="AB148" t="s">
        <v>5766</v>
      </c>
      <c r="AC148">
        <v>51.9</v>
      </c>
    </row>
    <row r="149" spans="1:29">
      <c r="A149">
        <v>148</v>
      </c>
      <c r="B149" t="s">
        <v>5767</v>
      </c>
      <c r="C149" t="s">
        <v>610</v>
      </c>
      <c r="D149" t="s">
        <v>5592</v>
      </c>
      <c r="E149" t="s">
        <v>26</v>
      </c>
      <c r="F149" t="s">
        <v>5593</v>
      </c>
      <c r="G149" t="s">
        <v>5589</v>
      </c>
      <c r="H149" t="s">
        <v>5590</v>
      </c>
      <c r="I149">
        <v>4</v>
      </c>
      <c r="J149" t="s">
        <v>5595</v>
      </c>
      <c r="K149">
        <v>35.6</v>
      </c>
      <c r="L149">
        <v>244</v>
      </c>
      <c r="M149">
        <v>74.3</v>
      </c>
      <c r="N149">
        <v>88</v>
      </c>
      <c r="O149">
        <v>16.100000000000001</v>
      </c>
      <c r="P149" t="s">
        <v>5613</v>
      </c>
      <c r="Q149">
        <v>61.9</v>
      </c>
      <c r="R149">
        <v>196</v>
      </c>
      <c r="S149">
        <v>96.3</v>
      </c>
      <c r="T149">
        <v>136</v>
      </c>
      <c r="U149">
        <v>81.599999999999994</v>
      </c>
      <c r="V149">
        <v>155</v>
      </c>
      <c r="W149">
        <v>59.3</v>
      </c>
      <c r="X149">
        <v>251</v>
      </c>
      <c r="Y149">
        <v>26.5</v>
      </c>
      <c r="Z149">
        <v>310</v>
      </c>
      <c r="AA149">
        <v>48.4</v>
      </c>
      <c r="AB149" t="s">
        <v>5768</v>
      </c>
      <c r="AC149">
        <v>51.8</v>
      </c>
    </row>
    <row r="150" spans="1:29">
      <c r="A150">
        <f>149</f>
        <v>149</v>
      </c>
      <c r="B150" t="s">
        <v>5735</v>
      </c>
      <c r="C150" t="s">
        <v>5769</v>
      </c>
      <c r="D150" t="s">
        <v>5770</v>
      </c>
      <c r="E150" t="s">
        <v>528</v>
      </c>
      <c r="F150" t="s">
        <v>5593</v>
      </c>
      <c r="G150" t="s">
        <v>5589</v>
      </c>
      <c r="H150" t="s">
        <v>5590</v>
      </c>
      <c r="I150">
        <v>4</v>
      </c>
      <c r="J150" t="s">
        <v>5595</v>
      </c>
      <c r="K150">
        <v>55.5</v>
      </c>
      <c r="L150">
        <v>141</v>
      </c>
      <c r="M150">
        <v>81.900000000000006</v>
      </c>
      <c r="N150">
        <v>69</v>
      </c>
      <c r="O150">
        <v>18.899999999999999</v>
      </c>
      <c r="P150">
        <v>697</v>
      </c>
      <c r="Q150">
        <v>73.099999999999994</v>
      </c>
      <c r="R150">
        <v>133</v>
      </c>
      <c r="S150">
        <v>4.7</v>
      </c>
      <c r="T150" t="s">
        <v>5613</v>
      </c>
      <c r="U150">
        <v>1.4</v>
      </c>
      <c r="V150" t="s">
        <v>5613</v>
      </c>
      <c r="W150">
        <v>8.5</v>
      </c>
      <c r="X150" t="s">
        <v>5613</v>
      </c>
      <c r="Y150">
        <v>47.4</v>
      </c>
      <c r="Z150">
        <v>146</v>
      </c>
      <c r="AA150">
        <v>54.9</v>
      </c>
      <c r="AB150" t="s">
        <v>5746</v>
      </c>
      <c r="AC150">
        <v>51.7</v>
      </c>
    </row>
    <row r="151" spans="1:29">
      <c r="A151">
        <f>149</f>
        <v>149</v>
      </c>
      <c r="B151">
        <v>178</v>
      </c>
      <c r="C151" t="s">
        <v>5771</v>
      </c>
      <c r="D151" t="s">
        <v>5772</v>
      </c>
      <c r="E151" t="s">
        <v>386</v>
      </c>
      <c r="F151" t="s">
        <v>5605</v>
      </c>
      <c r="G151" t="s">
        <v>5594</v>
      </c>
      <c r="H151" t="s">
        <v>5590</v>
      </c>
      <c r="I151">
        <v>4</v>
      </c>
      <c r="J151" t="s">
        <v>5595</v>
      </c>
      <c r="K151">
        <v>63.2</v>
      </c>
      <c r="L151">
        <v>109</v>
      </c>
      <c r="M151">
        <v>39</v>
      </c>
      <c r="N151">
        <v>246</v>
      </c>
      <c r="O151">
        <v>10.6</v>
      </c>
      <c r="P151" t="s">
        <v>5613</v>
      </c>
      <c r="Q151">
        <v>70.599999999999994</v>
      </c>
      <c r="R151">
        <v>145</v>
      </c>
      <c r="S151">
        <v>18</v>
      </c>
      <c r="T151">
        <v>615</v>
      </c>
      <c r="U151">
        <v>17.399999999999999</v>
      </c>
      <c r="V151">
        <v>582</v>
      </c>
      <c r="W151">
        <v>84.2</v>
      </c>
      <c r="X151">
        <v>123</v>
      </c>
      <c r="Y151">
        <v>13.7</v>
      </c>
      <c r="Z151">
        <v>623</v>
      </c>
      <c r="AA151">
        <v>94.6</v>
      </c>
      <c r="AB151">
        <v>60</v>
      </c>
      <c r="AC151">
        <v>51.7</v>
      </c>
    </row>
    <row r="152" spans="1:29">
      <c r="A152">
        <f>151</f>
        <v>151</v>
      </c>
      <c r="B152">
        <v>140</v>
      </c>
      <c r="C152" t="s">
        <v>5773</v>
      </c>
      <c r="D152" t="s">
        <v>5587</v>
      </c>
      <c r="E152" t="s">
        <v>29</v>
      </c>
      <c r="F152" t="s">
        <v>5605</v>
      </c>
      <c r="G152" t="s">
        <v>5594</v>
      </c>
      <c r="H152" t="s">
        <v>5590</v>
      </c>
      <c r="I152">
        <v>5</v>
      </c>
      <c r="J152" t="s">
        <v>5595</v>
      </c>
      <c r="K152">
        <v>59.4</v>
      </c>
      <c r="L152">
        <v>125</v>
      </c>
      <c r="M152">
        <v>55.8</v>
      </c>
      <c r="N152">
        <v>148</v>
      </c>
      <c r="O152">
        <v>53.8</v>
      </c>
      <c r="P152">
        <v>287</v>
      </c>
      <c r="Q152">
        <v>30.8</v>
      </c>
      <c r="R152">
        <v>429</v>
      </c>
      <c r="S152">
        <v>49.7</v>
      </c>
      <c r="T152">
        <v>359</v>
      </c>
      <c r="U152">
        <v>16.5</v>
      </c>
      <c r="V152">
        <v>590</v>
      </c>
      <c r="W152">
        <v>85</v>
      </c>
      <c r="X152">
        <v>116</v>
      </c>
      <c r="Y152">
        <v>35.200000000000003</v>
      </c>
      <c r="Z152">
        <v>216</v>
      </c>
      <c r="AA152">
        <v>78.400000000000006</v>
      </c>
      <c r="AB152" t="s">
        <v>5774</v>
      </c>
      <c r="AC152">
        <v>51.3</v>
      </c>
    </row>
    <row r="153" spans="1:29">
      <c r="A153">
        <f>151</f>
        <v>151</v>
      </c>
      <c r="B153">
        <v>124</v>
      </c>
      <c r="C153" t="s">
        <v>190</v>
      </c>
      <c r="D153" t="s">
        <v>5652</v>
      </c>
      <c r="E153" t="s">
        <v>144</v>
      </c>
      <c r="F153" t="s">
        <v>5593</v>
      </c>
      <c r="G153" t="s">
        <v>5602</v>
      </c>
      <c r="H153" t="s">
        <v>5590</v>
      </c>
      <c r="I153">
        <v>5</v>
      </c>
      <c r="J153" t="s">
        <v>5595</v>
      </c>
      <c r="K153">
        <v>43.3</v>
      </c>
      <c r="L153">
        <v>196</v>
      </c>
      <c r="M153">
        <v>19</v>
      </c>
      <c r="N153">
        <v>472</v>
      </c>
      <c r="O153">
        <v>97.9</v>
      </c>
      <c r="P153">
        <v>47</v>
      </c>
      <c r="Q153">
        <v>46</v>
      </c>
      <c r="R153">
        <v>292</v>
      </c>
      <c r="S153">
        <v>55</v>
      </c>
      <c r="T153">
        <v>336</v>
      </c>
      <c r="U153">
        <v>78.5</v>
      </c>
      <c r="V153">
        <v>170</v>
      </c>
      <c r="W153">
        <v>97.8</v>
      </c>
      <c r="X153">
        <v>22</v>
      </c>
      <c r="Y153">
        <v>19</v>
      </c>
      <c r="Z153">
        <v>438</v>
      </c>
      <c r="AA153">
        <v>71.5</v>
      </c>
      <c r="AB153" t="s">
        <v>5775</v>
      </c>
      <c r="AC153">
        <v>51.3</v>
      </c>
    </row>
    <row r="154" spans="1:29">
      <c r="A154">
        <v>153</v>
      </c>
      <c r="B154">
        <v>163</v>
      </c>
      <c r="C154" t="s">
        <v>5776</v>
      </c>
      <c r="D154" t="s">
        <v>5592</v>
      </c>
      <c r="E154" t="s">
        <v>26</v>
      </c>
      <c r="F154" t="s">
        <v>5593</v>
      </c>
      <c r="G154" t="s">
        <v>5594</v>
      </c>
      <c r="H154" t="s">
        <v>5590</v>
      </c>
      <c r="I154">
        <v>4</v>
      </c>
      <c r="J154" t="s">
        <v>5595</v>
      </c>
      <c r="K154">
        <v>43</v>
      </c>
      <c r="L154">
        <v>199</v>
      </c>
      <c r="M154">
        <v>51.1</v>
      </c>
      <c r="N154">
        <v>161</v>
      </c>
      <c r="O154">
        <v>27.4</v>
      </c>
      <c r="P154">
        <v>555</v>
      </c>
      <c r="Q154">
        <v>43.3</v>
      </c>
      <c r="R154">
        <v>308</v>
      </c>
      <c r="S154">
        <v>91.6</v>
      </c>
      <c r="T154">
        <v>174</v>
      </c>
      <c r="U154">
        <v>76.2</v>
      </c>
      <c r="V154">
        <v>180</v>
      </c>
      <c r="W154">
        <v>89.8</v>
      </c>
      <c r="X154">
        <v>85</v>
      </c>
      <c r="Y154">
        <v>19.7</v>
      </c>
      <c r="Z154">
        <v>424</v>
      </c>
      <c r="AA154">
        <v>94.8</v>
      </c>
      <c r="AB154">
        <v>57</v>
      </c>
      <c r="AC154">
        <v>50.9</v>
      </c>
    </row>
    <row r="155" spans="1:29">
      <c r="A155">
        <f>154</f>
        <v>154</v>
      </c>
      <c r="B155" t="s">
        <v>5660</v>
      </c>
      <c r="C155" t="s">
        <v>5777</v>
      </c>
      <c r="D155" t="s">
        <v>5747</v>
      </c>
      <c r="E155" t="s">
        <v>397</v>
      </c>
      <c r="F155" t="s">
        <v>5605</v>
      </c>
      <c r="G155" t="s">
        <v>5594</v>
      </c>
      <c r="H155" t="s">
        <v>5590</v>
      </c>
      <c r="I155">
        <v>5</v>
      </c>
      <c r="J155" t="s">
        <v>5595</v>
      </c>
      <c r="K155">
        <v>79.599999999999994</v>
      </c>
      <c r="L155">
        <v>73</v>
      </c>
      <c r="M155">
        <v>40</v>
      </c>
      <c r="N155">
        <v>237</v>
      </c>
      <c r="O155">
        <v>3.4</v>
      </c>
      <c r="P155" t="s">
        <v>5613</v>
      </c>
      <c r="Q155">
        <v>49.5</v>
      </c>
      <c r="R155">
        <v>267</v>
      </c>
      <c r="S155">
        <v>8</v>
      </c>
      <c r="T155" t="s">
        <v>5613</v>
      </c>
      <c r="U155">
        <v>10.9</v>
      </c>
      <c r="V155">
        <v>695</v>
      </c>
      <c r="W155">
        <v>91</v>
      </c>
      <c r="X155">
        <v>75</v>
      </c>
      <c r="Y155">
        <v>34.799999999999997</v>
      </c>
      <c r="Z155">
        <v>219</v>
      </c>
      <c r="AA155">
        <v>56.5</v>
      </c>
      <c r="AB155" t="s">
        <v>5778</v>
      </c>
      <c r="AC155">
        <v>50.5</v>
      </c>
    </row>
    <row r="156" spans="1:29">
      <c r="A156">
        <f>154</f>
        <v>154</v>
      </c>
      <c r="B156">
        <v>166</v>
      </c>
      <c r="C156" t="s">
        <v>470</v>
      </c>
      <c r="D156" t="s">
        <v>5592</v>
      </c>
      <c r="E156" t="s">
        <v>26</v>
      </c>
      <c r="F156" t="s">
        <v>5593</v>
      </c>
      <c r="G156" t="s">
        <v>5594</v>
      </c>
      <c r="H156" t="s">
        <v>5590</v>
      </c>
      <c r="I156">
        <v>5</v>
      </c>
      <c r="J156" t="s">
        <v>5595</v>
      </c>
      <c r="K156">
        <v>46.5</v>
      </c>
      <c r="L156">
        <v>176</v>
      </c>
      <c r="M156">
        <v>48.3</v>
      </c>
      <c r="N156">
        <v>181</v>
      </c>
      <c r="O156">
        <v>33.700000000000003</v>
      </c>
      <c r="P156">
        <v>474</v>
      </c>
      <c r="Q156">
        <v>39.6</v>
      </c>
      <c r="R156">
        <v>347</v>
      </c>
      <c r="S156">
        <v>84</v>
      </c>
      <c r="T156">
        <v>217</v>
      </c>
      <c r="U156">
        <v>70.599999999999994</v>
      </c>
      <c r="V156">
        <v>206</v>
      </c>
      <c r="W156">
        <v>81.599999999999994</v>
      </c>
      <c r="X156">
        <v>138</v>
      </c>
      <c r="Y156">
        <v>18.899999999999999</v>
      </c>
      <c r="Z156">
        <v>442</v>
      </c>
      <c r="AA156">
        <v>97.9</v>
      </c>
      <c r="AB156">
        <v>25</v>
      </c>
      <c r="AC156">
        <v>50.5</v>
      </c>
    </row>
    <row r="157" spans="1:29">
      <c r="A157">
        <f>154</f>
        <v>154</v>
      </c>
      <c r="B157">
        <v>158</v>
      </c>
      <c r="C157" t="s">
        <v>5779</v>
      </c>
      <c r="D157" t="s">
        <v>5639</v>
      </c>
      <c r="E157" t="s">
        <v>99</v>
      </c>
      <c r="F157" t="s">
        <v>5593</v>
      </c>
      <c r="G157" t="s">
        <v>5589</v>
      </c>
      <c r="H157" t="s">
        <v>5590</v>
      </c>
      <c r="I157">
        <v>5</v>
      </c>
      <c r="J157" t="s">
        <v>5595</v>
      </c>
      <c r="K157">
        <v>56.2</v>
      </c>
      <c r="L157">
        <v>137</v>
      </c>
      <c r="M157">
        <v>69.3</v>
      </c>
      <c r="N157">
        <v>107</v>
      </c>
      <c r="O157">
        <v>53</v>
      </c>
      <c r="P157">
        <v>296</v>
      </c>
      <c r="Q157">
        <v>24.9</v>
      </c>
      <c r="R157">
        <v>492</v>
      </c>
      <c r="S157">
        <v>51.3</v>
      </c>
      <c r="T157">
        <v>351</v>
      </c>
      <c r="U157">
        <v>68.8</v>
      </c>
      <c r="V157">
        <v>214</v>
      </c>
      <c r="W157">
        <v>55</v>
      </c>
      <c r="X157">
        <v>284</v>
      </c>
      <c r="Y157">
        <v>25.4</v>
      </c>
      <c r="Z157">
        <v>327</v>
      </c>
      <c r="AA157">
        <v>52.1</v>
      </c>
      <c r="AB157">
        <v>294</v>
      </c>
      <c r="AC157">
        <v>50.5</v>
      </c>
    </row>
    <row r="158" spans="1:29">
      <c r="A158">
        <f>154</f>
        <v>154</v>
      </c>
      <c r="B158" t="s">
        <v>5714</v>
      </c>
      <c r="C158" t="s">
        <v>5780</v>
      </c>
      <c r="D158" t="s">
        <v>5587</v>
      </c>
      <c r="E158" t="s">
        <v>29</v>
      </c>
      <c r="F158" t="s">
        <v>5593</v>
      </c>
      <c r="G158" t="s">
        <v>5594</v>
      </c>
      <c r="H158" t="s">
        <v>5590</v>
      </c>
      <c r="I158">
        <v>5</v>
      </c>
      <c r="J158" t="s">
        <v>5591</v>
      </c>
      <c r="K158">
        <v>38.6</v>
      </c>
      <c r="L158">
        <v>224</v>
      </c>
      <c r="M158">
        <v>10.4</v>
      </c>
      <c r="N158" t="s">
        <v>5737</v>
      </c>
      <c r="O158">
        <v>99.8</v>
      </c>
      <c r="P158">
        <v>28</v>
      </c>
      <c r="Q158">
        <v>50.7</v>
      </c>
      <c r="R158">
        <v>259</v>
      </c>
      <c r="S158">
        <v>84.3</v>
      </c>
      <c r="T158">
        <v>214</v>
      </c>
      <c r="U158">
        <v>68</v>
      </c>
      <c r="V158">
        <v>219</v>
      </c>
      <c r="W158">
        <v>60.5</v>
      </c>
      <c r="X158">
        <v>241</v>
      </c>
      <c r="Y158">
        <v>33.700000000000003</v>
      </c>
      <c r="Z158">
        <v>228</v>
      </c>
      <c r="AA158">
        <v>91.4</v>
      </c>
      <c r="AB158">
        <v>83</v>
      </c>
      <c r="AC158">
        <v>50.5</v>
      </c>
    </row>
    <row r="159" spans="1:29">
      <c r="A159">
        <v>158</v>
      </c>
      <c r="B159">
        <v>123</v>
      </c>
      <c r="C159" t="s">
        <v>1326</v>
      </c>
      <c r="D159" t="s">
        <v>5672</v>
      </c>
      <c r="E159" t="s">
        <v>664</v>
      </c>
      <c r="F159" t="s">
        <v>5593</v>
      </c>
      <c r="G159" t="s">
        <v>5594</v>
      </c>
      <c r="H159" t="s">
        <v>5590</v>
      </c>
      <c r="I159">
        <v>4</v>
      </c>
      <c r="J159" t="s">
        <v>5595</v>
      </c>
      <c r="K159">
        <v>58.8</v>
      </c>
      <c r="L159">
        <v>129</v>
      </c>
      <c r="M159">
        <v>67.5</v>
      </c>
      <c r="N159">
        <v>113</v>
      </c>
      <c r="O159">
        <v>67.599999999999994</v>
      </c>
      <c r="P159">
        <v>194</v>
      </c>
      <c r="Q159">
        <v>22.7</v>
      </c>
      <c r="R159">
        <v>519</v>
      </c>
      <c r="S159">
        <v>44.3</v>
      </c>
      <c r="T159">
        <v>381</v>
      </c>
      <c r="U159">
        <v>97.3</v>
      </c>
      <c r="V159">
        <v>72</v>
      </c>
      <c r="W159">
        <v>45.4</v>
      </c>
      <c r="X159">
        <v>341</v>
      </c>
      <c r="Y159">
        <v>9.6999999999999993</v>
      </c>
      <c r="Z159" t="s">
        <v>5613</v>
      </c>
      <c r="AA159">
        <v>23.2</v>
      </c>
      <c r="AB159" t="s">
        <v>5781</v>
      </c>
      <c r="AC159">
        <v>50.4</v>
      </c>
    </row>
    <row r="160" spans="1:29">
      <c r="A160">
        <f>159</f>
        <v>159</v>
      </c>
      <c r="B160" t="s">
        <v>5757</v>
      </c>
      <c r="C160" t="s">
        <v>299</v>
      </c>
      <c r="D160" t="s">
        <v>5667</v>
      </c>
      <c r="E160" t="s">
        <v>137</v>
      </c>
      <c r="F160" t="s">
        <v>5605</v>
      </c>
      <c r="G160" t="s">
        <v>5594</v>
      </c>
      <c r="H160" t="s">
        <v>5590</v>
      </c>
      <c r="I160">
        <v>5</v>
      </c>
      <c r="J160" t="s">
        <v>5595</v>
      </c>
      <c r="K160">
        <v>53.4</v>
      </c>
      <c r="L160">
        <v>146</v>
      </c>
      <c r="M160">
        <v>25.2</v>
      </c>
      <c r="N160">
        <v>379</v>
      </c>
      <c r="O160">
        <v>78.900000000000006</v>
      </c>
      <c r="P160">
        <v>141</v>
      </c>
      <c r="Q160">
        <v>25.1</v>
      </c>
      <c r="R160">
        <v>486</v>
      </c>
      <c r="S160">
        <v>79.599999999999994</v>
      </c>
      <c r="T160">
        <v>231</v>
      </c>
      <c r="U160">
        <v>21.2</v>
      </c>
      <c r="V160">
        <v>528</v>
      </c>
      <c r="W160">
        <v>99.8</v>
      </c>
      <c r="X160">
        <v>8</v>
      </c>
      <c r="Y160">
        <v>52</v>
      </c>
      <c r="Z160">
        <v>124</v>
      </c>
      <c r="AA160">
        <v>91.3</v>
      </c>
      <c r="AB160" t="s">
        <v>5724</v>
      </c>
      <c r="AC160">
        <v>50.2</v>
      </c>
    </row>
    <row r="161" spans="1:29">
      <c r="A161">
        <f>159</f>
        <v>159</v>
      </c>
      <c r="B161" t="s">
        <v>5660</v>
      </c>
      <c r="C161" t="s">
        <v>5782</v>
      </c>
      <c r="D161" t="s">
        <v>5723</v>
      </c>
      <c r="E161" t="s">
        <v>1093</v>
      </c>
      <c r="F161" t="s">
        <v>5605</v>
      </c>
      <c r="G161" t="s">
        <v>5594</v>
      </c>
      <c r="H161" t="s">
        <v>5590</v>
      </c>
      <c r="I161">
        <v>5</v>
      </c>
      <c r="J161" t="s">
        <v>5595</v>
      </c>
      <c r="K161">
        <v>81.5</v>
      </c>
      <c r="L161">
        <v>66</v>
      </c>
      <c r="M161">
        <v>96.6</v>
      </c>
      <c r="N161">
        <v>30</v>
      </c>
      <c r="O161">
        <v>9.6999999999999993</v>
      </c>
      <c r="P161" t="s">
        <v>5613</v>
      </c>
      <c r="Q161">
        <v>12.5</v>
      </c>
      <c r="R161">
        <v>687</v>
      </c>
      <c r="S161">
        <v>9</v>
      </c>
      <c r="T161" t="s">
        <v>5613</v>
      </c>
      <c r="U161">
        <v>5</v>
      </c>
      <c r="V161" t="s">
        <v>5613</v>
      </c>
      <c r="W161">
        <v>48.6</v>
      </c>
      <c r="X161">
        <v>322</v>
      </c>
      <c r="Y161">
        <v>50.4</v>
      </c>
      <c r="Z161">
        <v>130</v>
      </c>
      <c r="AA161">
        <v>36.299999999999997</v>
      </c>
      <c r="AB161" t="s">
        <v>5783</v>
      </c>
      <c r="AC161">
        <v>50.2</v>
      </c>
    </row>
    <row r="162" spans="1:29">
      <c r="A162">
        <f>159</f>
        <v>159</v>
      </c>
      <c r="B162" t="s">
        <v>5716</v>
      </c>
      <c r="C162" t="s">
        <v>1043</v>
      </c>
      <c r="D162" t="s">
        <v>5672</v>
      </c>
      <c r="E162" t="s">
        <v>664</v>
      </c>
      <c r="F162" t="s">
        <v>5593</v>
      </c>
      <c r="G162" t="s">
        <v>5594</v>
      </c>
      <c r="H162" t="s">
        <v>5590</v>
      </c>
      <c r="I162">
        <v>4</v>
      </c>
      <c r="J162" t="s">
        <v>5595</v>
      </c>
      <c r="K162">
        <v>59.7</v>
      </c>
      <c r="L162">
        <v>121</v>
      </c>
      <c r="M162">
        <v>70.099999999999994</v>
      </c>
      <c r="N162">
        <v>103</v>
      </c>
      <c r="O162">
        <v>87.5</v>
      </c>
      <c r="P162">
        <v>95</v>
      </c>
      <c r="Q162">
        <v>11.7</v>
      </c>
      <c r="R162" t="s">
        <v>5613</v>
      </c>
      <c r="S162">
        <v>52.7</v>
      </c>
      <c r="T162">
        <v>347</v>
      </c>
      <c r="U162">
        <v>61.1</v>
      </c>
      <c r="V162">
        <v>242</v>
      </c>
      <c r="W162">
        <v>56.7</v>
      </c>
      <c r="X162">
        <v>272</v>
      </c>
      <c r="Y162">
        <v>11.2</v>
      </c>
      <c r="Z162" t="s">
        <v>5613</v>
      </c>
      <c r="AA162">
        <v>24.4</v>
      </c>
      <c r="AB162" t="s">
        <v>5784</v>
      </c>
      <c r="AC162">
        <v>50.2</v>
      </c>
    </row>
    <row r="163" spans="1:29">
      <c r="A163">
        <v>162</v>
      </c>
      <c r="B163" t="s">
        <v>5785</v>
      </c>
      <c r="C163" t="s">
        <v>602</v>
      </c>
      <c r="D163" t="s">
        <v>5612</v>
      </c>
      <c r="E163" t="s">
        <v>116</v>
      </c>
      <c r="F163" t="s">
        <v>5593</v>
      </c>
      <c r="G163" t="s">
        <v>5594</v>
      </c>
      <c r="H163" t="s">
        <v>5590</v>
      </c>
      <c r="I163">
        <v>3</v>
      </c>
      <c r="J163" t="s">
        <v>5595</v>
      </c>
      <c r="K163">
        <v>29.7</v>
      </c>
      <c r="L163">
        <v>290</v>
      </c>
      <c r="M163">
        <v>25.1</v>
      </c>
      <c r="N163">
        <v>382</v>
      </c>
      <c r="O163">
        <v>16.3</v>
      </c>
      <c r="P163" t="s">
        <v>5613</v>
      </c>
      <c r="Q163">
        <v>93.8</v>
      </c>
      <c r="R163">
        <v>60</v>
      </c>
      <c r="S163">
        <v>95.6</v>
      </c>
      <c r="T163">
        <v>146</v>
      </c>
      <c r="U163">
        <v>56</v>
      </c>
      <c r="V163">
        <v>265</v>
      </c>
      <c r="W163">
        <v>72.7</v>
      </c>
      <c r="X163">
        <v>186</v>
      </c>
      <c r="Y163">
        <v>17.100000000000001</v>
      </c>
      <c r="Z163">
        <v>492</v>
      </c>
      <c r="AA163">
        <v>92.3</v>
      </c>
      <c r="AB163" t="s">
        <v>5633</v>
      </c>
      <c r="AC163">
        <v>50.1</v>
      </c>
    </row>
    <row r="164" spans="1:29">
      <c r="A164">
        <v>163</v>
      </c>
      <c r="B164">
        <v>149</v>
      </c>
      <c r="C164" t="s">
        <v>197</v>
      </c>
      <c r="D164" t="s">
        <v>5587</v>
      </c>
      <c r="E164" t="s">
        <v>29</v>
      </c>
      <c r="F164" t="s">
        <v>5593</v>
      </c>
      <c r="G164" t="s">
        <v>5589</v>
      </c>
      <c r="H164" t="s">
        <v>5590</v>
      </c>
      <c r="I164">
        <v>5</v>
      </c>
      <c r="J164" t="s">
        <v>5595</v>
      </c>
      <c r="K164">
        <v>54.8</v>
      </c>
      <c r="L164">
        <v>142</v>
      </c>
      <c r="M164">
        <v>19</v>
      </c>
      <c r="N164">
        <v>470</v>
      </c>
      <c r="O164">
        <v>9.5</v>
      </c>
      <c r="P164" t="s">
        <v>5613</v>
      </c>
      <c r="Q164">
        <v>96.9</v>
      </c>
      <c r="R164">
        <v>41</v>
      </c>
      <c r="S164">
        <v>70.400000000000006</v>
      </c>
      <c r="T164">
        <v>274</v>
      </c>
      <c r="U164">
        <v>21.6</v>
      </c>
      <c r="V164">
        <v>522</v>
      </c>
      <c r="W164">
        <v>43.5</v>
      </c>
      <c r="X164">
        <v>352</v>
      </c>
      <c r="Y164">
        <v>10.4</v>
      </c>
      <c r="Z164" t="s">
        <v>5613</v>
      </c>
      <c r="AA164">
        <v>55.8</v>
      </c>
      <c r="AB164" t="s">
        <v>5626</v>
      </c>
      <c r="AC164">
        <v>50</v>
      </c>
    </row>
    <row r="165" spans="1:29">
      <c r="A165">
        <f>164</f>
        <v>164</v>
      </c>
      <c r="B165">
        <v>157</v>
      </c>
      <c r="C165" t="s">
        <v>760</v>
      </c>
      <c r="D165" t="s">
        <v>5644</v>
      </c>
      <c r="E165" t="s">
        <v>181</v>
      </c>
      <c r="F165" t="s">
        <v>5593</v>
      </c>
      <c r="G165" t="s">
        <v>5594</v>
      </c>
      <c r="H165" t="s">
        <v>5590</v>
      </c>
      <c r="I165">
        <v>4</v>
      </c>
      <c r="J165" t="s">
        <v>5591</v>
      </c>
      <c r="K165">
        <v>49</v>
      </c>
      <c r="L165">
        <v>167</v>
      </c>
      <c r="M165">
        <v>81.3</v>
      </c>
      <c r="N165">
        <v>70</v>
      </c>
      <c r="O165">
        <v>83.5</v>
      </c>
      <c r="P165">
        <v>117</v>
      </c>
      <c r="Q165">
        <v>23.3</v>
      </c>
      <c r="R165">
        <v>510</v>
      </c>
      <c r="S165">
        <v>16.899999999999999</v>
      </c>
      <c r="T165">
        <v>632</v>
      </c>
      <c r="U165">
        <v>54.3</v>
      </c>
      <c r="V165">
        <v>269</v>
      </c>
      <c r="W165">
        <v>15.6</v>
      </c>
      <c r="X165">
        <v>587</v>
      </c>
      <c r="Y165">
        <v>24.8</v>
      </c>
      <c r="Z165">
        <v>336</v>
      </c>
      <c r="AA165">
        <v>77.7</v>
      </c>
      <c r="AB165" t="s">
        <v>5664</v>
      </c>
      <c r="AC165">
        <v>49.7</v>
      </c>
    </row>
    <row r="166" spans="1:29">
      <c r="A166">
        <f>164</f>
        <v>164</v>
      </c>
      <c r="B166">
        <v>135</v>
      </c>
      <c r="C166" t="s">
        <v>771</v>
      </c>
      <c r="D166" t="s">
        <v>5631</v>
      </c>
      <c r="E166" t="s">
        <v>94</v>
      </c>
      <c r="F166" t="s">
        <v>5593</v>
      </c>
      <c r="G166" t="s">
        <v>5594</v>
      </c>
      <c r="H166" t="s">
        <v>5590</v>
      </c>
      <c r="I166">
        <v>5</v>
      </c>
      <c r="J166" t="s">
        <v>5595</v>
      </c>
      <c r="K166">
        <v>57.4</v>
      </c>
      <c r="L166">
        <v>132</v>
      </c>
      <c r="M166">
        <v>70</v>
      </c>
      <c r="N166">
        <v>104</v>
      </c>
      <c r="O166">
        <v>85.7</v>
      </c>
      <c r="P166">
        <v>103</v>
      </c>
      <c r="Q166">
        <v>23.9</v>
      </c>
      <c r="R166">
        <v>503</v>
      </c>
      <c r="S166">
        <v>14.7</v>
      </c>
      <c r="T166">
        <v>671</v>
      </c>
      <c r="U166">
        <v>25.6</v>
      </c>
      <c r="V166">
        <v>467</v>
      </c>
      <c r="W166">
        <v>32.799999999999997</v>
      </c>
      <c r="X166">
        <v>436</v>
      </c>
      <c r="Y166">
        <v>15.4</v>
      </c>
      <c r="Z166">
        <v>547</v>
      </c>
      <c r="AA166">
        <v>77.7</v>
      </c>
      <c r="AB166" t="s">
        <v>5664</v>
      </c>
      <c r="AC166">
        <v>49.7</v>
      </c>
    </row>
    <row r="167" spans="1:29">
      <c r="A167">
        <f>164</f>
        <v>164</v>
      </c>
      <c r="B167">
        <v>184</v>
      </c>
      <c r="C167" t="s">
        <v>5786</v>
      </c>
      <c r="D167" t="s">
        <v>5772</v>
      </c>
      <c r="E167" t="s">
        <v>386</v>
      </c>
      <c r="F167" t="s">
        <v>5605</v>
      </c>
      <c r="G167" t="s">
        <v>5594</v>
      </c>
      <c r="H167" t="s">
        <v>5590</v>
      </c>
      <c r="I167">
        <v>5</v>
      </c>
      <c r="J167" t="s">
        <v>5595</v>
      </c>
      <c r="K167">
        <v>73.2</v>
      </c>
      <c r="L167">
        <v>83</v>
      </c>
      <c r="M167">
        <v>23</v>
      </c>
      <c r="N167">
        <v>412</v>
      </c>
      <c r="O167">
        <v>13.1</v>
      </c>
      <c r="P167" t="s">
        <v>5613</v>
      </c>
      <c r="Q167">
        <v>41.8</v>
      </c>
      <c r="R167">
        <v>325</v>
      </c>
      <c r="S167">
        <v>21.8</v>
      </c>
      <c r="T167">
        <v>574</v>
      </c>
      <c r="U167">
        <v>28.5</v>
      </c>
      <c r="V167">
        <v>437</v>
      </c>
      <c r="W167">
        <v>97.8</v>
      </c>
      <c r="X167">
        <v>23</v>
      </c>
      <c r="Y167">
        <v>39.799999999999997</v>
      </c>
      <c r="Z167">
        <v>180</v>
      </c>
      <c r="AA167">
        <v>98.1</v>
      </c>
      <c r="AB167">
        <v>23</v>
      </c>
      <c r="AC167">
        <v>49.7</v>
      </c>
    </row>
    <row r="168" spans="1:29">
      <c r="A168">
        <v>167</v>
      </c>
      <c r="B168">
        <v>162</v>
      </c>
      <c r="C168" t="s">
        <v>371</v>
      </c>
      <c r="D168" t="s">
        <v>5592</v>
      </c>
      <c r="E168" t="s">
        <v>26</v>
      </c>
      <c r="F168" t="s">
        <v>5593</v>
      </c>
      <c r="G168" t="s">
        <v>5594</v>
      </c>
      <c r="H168" t="s">
        <v>5590</v>
      </c>
      <c r="I168">
        <v>4</v>
      </c>
      <c r="J168" t="s">
        <v>5595</v>
      </c>
      <c r="K168">
        <v>43.5</v>
      </c>
      <c r="L168">
        <v>194</v>
      </c>
      <c r="M168">
        <v>35.299999999999997</v>
      </c>
      <c r="N168">
        <v>275</v>
      </c>
      <c r="O168">
        <v>45</v>
      </c>
      <c r="P168">
        <v>351</v>
      </c>
      <c r="Q168">
        <v>40.299999999999997</v>
      </c>
      <c r="R168">
        <v>342</v>
      </c>
      <c r="S168">
        <v>88.3</v>
      </c>
      <c r="T168">
        <v>192</v>
      </c>
      <c r="U168">
        <v>78.2</v>
      </c>
      <c r="V168">
        <v>171</v>
      </c>
      <c r="W168">
        <v>79.2</v>
      </c>
      <c r="X168">
        <v>150</v>
      </c>
      <c r="Y168">
        <v>19.8</v>
      </c>
      <c r="Z168">
        <v>421</v>
      </c>
      <c r="AA168">
        <v>97.8</v>
      </c>
      <c r="AB168" t="s">
        <v>5597</v>
      </c>
      <c r="AC168">
        <v>49.4</v>
      </c>
    </row>
    <row r="169" spans="1:29">
      <c r="A169">
        <v>168</v>
      </c>
      <c r="B169">
        <v>188</v>
      </c>
      <c r="C169" t="s">
        <v>338</v>
      </c>
      <c r="D169" t="s">
        <v>5587</v>
      </c>
      <c r="E169" t="s">
        <v>29</v>
      </c>
      <c r="F169" t="s">
        <v>5605</v>
      </c>
      <c r="G169" t="s">
        <v>5594</v>
      </c>
      <c r="H169" t="s">
        <v>5590</v>
      </c>
      <c r="I169">
        <v>5</v>
      </c>
      <c r="J169" t="s">
        <v>5595</v>
      </c>
      <c r="K169">
        <v>48</v>
      </c>
      <c r="L169">
        <v>171</v>
      </c>
      <c r="M169">
        <v>58.7</v>
      </c>
      <c r="N169">
        <v>137</v>
      </c>
      <c r="O169">
        <v>71.3</v>
      </c>
      <c r="P169">
        <v>180</v>
      </c>
      <c r="Q169">
        <v>26.6</v>
      </c>
      <c r="R169">
        <v>467</v>
      </c>
      <c r="S169">
        <v>18.8</v>
      </c>
      <c r="T169">
        <v>604</v>
      </c>
      <c r="U169">
        <v>10.8</v>
      </c>
      <c r="V169">
        <v>699</v>
      </c>
      <c r="W169">
        <v>97.7</v>
      </c>
      <c r="X169">
        <v>24</v>
      </c>
      <c r="Y169">
        <v>39</v>
      </c>
      <c r="Z169">
        <v>184</v>
      </c>
      <c r="AA169">
        <v>95.7</v>
      </c>
      <c r="AB169">
        <v>48</v>
      </c>
      <c r="AC169">
        <v>49.1</v>
      </c>
    </row>
    <row r="170" spans="1:29">
      <c r="A170">
        <f>169</f>
        <v>169</v>
      </c>
      <c r="B170" t="s">
        <v>5756</v>
      </c>
      <c r="C170" t="s">
        <v>297</v>
      </c>
      <c r="D170" t="s">
        <v>5587</v>
      </c>
      <c r="E170" t="s">
        <v>29</v>
      </c>
      <c r="F170" t="s">
        <v>5605</v>
      </c>
      <c r="G170" t="s">
        <v>5594</v>
      </c>
      <c r="H170" t="s">
        <v>5590</v>
      </c>
      <c r="I170">
        <v>5</v>
      </c>
      <c r="J170" t="s">
        <v>5595</v>
      </c>
      <c r="K170">
        <v>49.2</v>
      </c>
      <c r="L170">
        <v>165</v>
      </c>
      <c r="M170">
        <v>26.1</v>
      </c>
      <c r="N170">
        <v>369</v>
      </c>
      <c r="O170">
        <v>35.1</v>
      </c>
      <c r="P170">
        <v>451</v>
      </c>
      <c r="Q170">
        <v>68.400000000000006</v>
      </c>
      <c r="R170">
        <v>154</v>
      </c>
      <c r="S170">
        <v>31.6</v>
      </c>
      <c r="T170">
        <v>477</v>
      </c>
      <c r="U170">
        <v>14</v>
      </c>
      <c r="V170">
        <v>639</v>
      </c>
      <c r="W170">
        <v>85.5</v>
      </c>
      <c r="X170">
        <v>113</v>
      </c>
      <c r="Y170">
        <v>41.6</v>
      </c>
      <c r="Z170">
        <v>176</v>
      </c>
      <c r="AA170">
        <v>81.7</v>
      </c>
      <c r="AB170" t="s">
        <v>5608</v>
      </c>
      <c r="AC170">
        <v>48.9</v>
      </c>
    </row>
    <row r="171" spans="1:29">
      <c r="A171">
        <f>169</f>
        <v>169</v>
      </c>
      <c r="B171">
        <v>229</v>
      </c>
      <c r="C171" t="s">
        <v>570</v>
      </c>
      <c r="D171" t="s">
        <v>5592</v>
      </c>
      <c r="E171" t="s">
        <v>26</v>
      </c>
      <c r="F171" t="s">
        <v>5593</v>
      </c>
      <c r="G171" t="s">
        <v>5589</v>
      </c>
      <c r="H171" t="s">
        <v>5590</v>
      </c>
      <c r="I171">
        <v>5</v>
      </c>
      <c r="J171" t="s">
        <v>5595</v>
      </c>
      <c r="K171">
        <v>33.200000000000003</v>
      </c>
      <c r="L171">
        <v>263</v>
      </c>
      <c r="M171">
        <v>39.299999999999997</v>
      </c>
      <c r="N171">
        <v>241</v>
      </c>
      <c r="O171">
        <v>16.100000000000001</v>
      </c>
      <c r="P171" t="s">
        <v>5613</v>
      </c>
      <c r="Q171">
        <v>67.400000000000006</v>
      </c>
      <c r="R171">
        <v>161</v>
      </c>
      <c r="S171">
        <v>88.4</v>
      </c>
      <c r="T171">
        <v>189</v>
      </c>
      <c r="U171">
        <v>81</v>
      </c>
      <c r="V171">
        <v>158</v>
      </c>
      <c r="W171">
        <v>77.8</v>
      </c>
      <c r="X171">
        <v>158</v>
      </c>
      <c r="Y171">
        <v>32.299999999999997</v>
      </c>
      <c r="Z171">
        <v>237</v>
      </c>
      <c r="AA171">
        <v>72.5</v>
      </c>
      <c r="AB171" t="s">
        <v>5641</v>
      </c>
      <c r="AC171">
        <v>48.9</v>
      </c>
    </row>
    <row r="172" spans="1:29">
      <c r="A172">
        <f>171</f>
        <v>171</v>
      </c>
      <c r="B172" t="s">
        <v>5658</v>
      </c>
      <c r="C172" t="s">
        <v>1213</v>
      </c>
      <c r="D172" t="s">
        <v>5772</v>
      </c>
      <c r="E172" t="s">
        <v>386</v>
      </c>
      <c r="F172" t="s">
        <v>5605</v>
      </c>
      <c r="G172" t="s">
        <v>5594</v>
      </c>
      <c r="H172" t="s">
        <v>5590</v>
      </c>
      <c r="I172">
        <v>4</v>
      </c>
      <c r="J172" t="s">
        <v>5595</v>
      </c>
      <c r="K172">
        <v>68.2</v>
      </c>
      <c r="L172">
        <v>96</v>
      </c>
      <c r="M172">
        <v>69.3</v>
      </c>
      <c r="N172">
        <v>105</v>
      </c>
      <c r="O172">
        <v>25.8</v>
      </c>
      <c r="P172">
        <v>573</v>
      </c>
      <c r="Q172">
        <v>7</v>
      </c>
      <c r="R172" t="s">
        <v>5613</v>
      </c>
      <c r="S172">
        <v>9</v>
      </c>
      <c r="T172" t="s">
        <v>5613</v>
      </c>
      <c r="U172">
        <v>25.6</v>
      </c>
      <c r="V172">
        <v>469</v>
      </c>
      <c r="W172">
        <v>83.4</v>
      </c>
      <c r="X172">
        <v>127</v>
      </c>
      <c r="Y172">
        <v>57.9</v>
      </c>
      <c r="Z172">
        <v>106</v>
      </c>
      <c r="AA172">
        <v>96.3</v>
      </c>
      <c r="AB172">
        <v>41</v>
      </c>
      <c r="AC172">
        <v>48.8</v>
      </c>
    </row>
    <row r="173" spans="1:29">
      <c r="A173">
        <f>171</f>
        <v>171</v>
      </c>
      <c r="B173" t="s">
        <v>5787</v>
      </c>
      <c r="C173" t="s">
        <v>594</v>
      </c>
      <c r="D173" t="s">
        <v>5691</v>
      </c>
      <c r="E173" t="s">
        <v>343</v>
      </c>
      <c r="F173" t="s">
        <v>5593</v>
      </c>
      <c r="G173" t="s">
        <v>5594</v>
      </c>
      <c r="H173" t="s">
        <v>5590</v>
      </c>
      <c r="I173">
        <v>5</v>
      </c>
      <c r="J173" t="s">
        <v>5595</v>
      </c>
      <c r="K173">
        <v>49.8</v>
      </c>
      <c r="L173">
        <v>162</v>
      </c>
      <c r="M173">
        <v>41.3</v>
      </c>
      <c r="N173">
        <v>226</v>
      </c>
      <c r="O173">
        <v>20.7</v>
      </c>
      <c r="P173">
        <v>652</v>
      </c>
      <c r="Q173">
        <v>38.9</v>
      </c>
      <c r="R173">
        <v>354</v>
      </c>
      <c r="S173">
        <v>98.8</v>
      </c>
      <c r="T173">
        <v>101</v>
      </c>
      <c r="U173">
        <v>60.8</v>
      </c>
      <c r="V173">
        <v>245</v>
      </c>
      <c r="W173">
        <v>50.5</v>
      </c>
      <c r="X173">
        <v>309</v>
      </c>
      <c r="Y173">
        <v>69</v>
      </c>
      <c r="Z173">
        <v>75</v>
      </c>
      <c r="AA173">
        <v>70.099999999999994</v>
      </c>
      <c r="AB173" t="s">
        <v>5681</v>
      </c>
      <c r="AC173">
        <v>48.8</v>
      </c>
    </row>
    <row r="174" spans="1:29">
      <c r="A174">
        <f>173</f>
        <v>173</v>
      </c>
      <c r="B174" t="s">
        <v>5788</v>
      </c>
      <c r="C174" t="s">
        <v>675</v>
      </c>
      <c r="D174" t="s">
        <v>5789</v>
      </c>
      <c r="E174" t="s">
        <v>676</v>
      </c>
      <c r="F174" t="s">
        <v>5588</v>
      </c>
      <c r="G174" t="s">
        <v>5594</v>
      </c>
      <c r="H174" t="s">
        <v>5590</v>
      </c>
      <c r="I174">
        <v>3</v>
      </c>
      <c r="J174" t="s">
        <v>5595</v>
      </c>
      <c r="K174">
        <v>27.1</v>
      </c>
      <c r="L174">
        <v>320</v>
      </c>
      <c r="M174">
        <v>43.9</v>
      </c>
      <c r="N174">
        <v>206</v>
      </c>
      <c r="O174">
        <v>64.8</v>
      </c>
      <c r="P174">
        <v>213</v>
      </c>
      <c r="Q174">
        <v>38.799999999999997</v>
      </c>
      <c r="R174">
        <v>356</v>
      </c>
      <c r="S174">
        <v>100</v>
      </c>
      <c r="T174">
        <v>20</v>
      </c>
      <c r="U174">
        <v>96.8</v>
      </c>
      <c r="V174">
        <v>74</v>
      </c>
      <c r="W174">
        <v>59.8</v>
      </c>
      <c r="X174">
        <v>244</v>
      </c>
      <c r="Y174">
        <v>95.8</v>
      </c>
      <c r="Z174">
        <v>24</v>
      </c>
      <c r="AA174">
        <v>35.5</v>
      </c>
      <c r="AB174" t="s">
        <v>5790</v>
      </c>
      <c r="AC174">
        <v>48.7</v>
      </c>
    </row>
    <row r="175" spans="1:29">
      <c r="A175">
        <f>173</f>
        <v>173</v>
      </c>
      <c r="B175">
        <v>192</v>
      </c>
      <c r="C175" t="s">
        <v>5791</v>
      </c>
      <c r="D175" t="s">
        <v>5612</v>
      </c>
      <c r="E175" t="s">
        <v>116</v>
      </c>
      <c r="F175" t="s">
        <v>5588</v>
      </c>
      <c r="G175" t="s">
        <v>5594</v>
      </c>
      <c r="H175" t="s">
        <v>5590</v>
      </c>
      <c r="I175">
        <v>4</v>
      </c>
      <c r="J175" t="s">
        <v>5595</v>
      </c>
      <c r="K175">
        <v>29.3</v>
      </c>
      <c r="L175">
        <v>296</v>
      </c>
      <c r="M175">
        <v>26.9</v>
      </c>
      <c r="N175">
        <v>361</v>
      </c>
      <c r="O175">
        <v>36.5</v>
      </c>
      <c r="P175">
        <v>436</v>
      </c>
      <c r="Q175">
        <v>91.4</v>
      </c>
      <c r="R175">
        <v>71</v>
      </c>
      <c r="S175">
        <v>100</v>
      </c>
      <c r="T175" t="s">
        <v>5792</v>
      </c>
      <c r="U175">
        <v>17.3</v>
      </c>
      <c r="V175">
        <v>584</v>
      </c>
      <c r="W175">
        <v>49.2</v>
      </c>
      <c r="X175">
        <v>319</v>
      </c>
      <c r="Y175">
        <v>12.5</v>
      </c>
      <c r="Z175">
        <v>696</v>
      </c>
      <c r="AA175">
        <v>93.2</v>
      </c>
      <c r="AB175" t="s">
        <v>5793</v>
      </c>
      <c r="AC175">
        <v>48.7</v>
      </c>
    </row>
    <row r="176" spans="1:29">
      <c r="A176">
        <f>173</f>
        <v>173</v>
      </c>
      <c r="B176" t="s">
        <v>5794</v>
      </c>
      <c r="C176" t="s">
        <v>420</v>
      </c>
      <c r="D176" t="s">
        <v>5795</v>
      </c>
      <c r="E176" t="s">
        <v>421</v>
      </c>
      <c r="F176" t="s">
        <v>5593</v>
      </c>
      <c r="G176" t="s">
        <v>5594</v>
      </c>
      <c r="H176" t="s">
        <v>5590</v>
      </c>
      <c r="I176">
        <v>5</v>
      </c>
      <c r="J176" t="s">
        <v>5595</v>
      </c>
      <c r="K176">
        <v>44.4</v>
      </c>
      <c r="L176">
        <v>190</v>
      </c>
      <c r="M176">
        <v>51</v>
      </c>
      <c r="N176">
        <v>164</v>
      </c>
      <c r="O176">
        <v>12.6</v>
      </c>
      <c r="P176" t="s">
        <v>5613</v>
      </c>
      <c r="Q176">
        <v>45.7</v>
      </c>
      <c r="R176">
        <v>295</v>
      </c>
      <c r="S176">
        <v>59.9</v>
      </c>
      <c r="T176">
        <v>317</v>
      </c>
      <c r="U176">
        <v>21.2</v>
      </c>
      <c r="V176">
        <v>527</v>
      </c>
      <c r="W176">
        <v>95.4</v>
      </c>
      <c r="X176">
        <v>49</v>
      </c>
      <c r="Y176">
        <v>88.9</v>
      </c>
      <c r="Z176">
        <v>38</v>
      </c>
      <c r="AA176">
        <v>75.099999999999994</v>
      </c>
      <c r="AB176" t="s">
        <v>5739</v>
      </c>
      <c r="AC176">
        <v>48.7</v>
      </c>
    </row>
    <row r="177" spans="1:29">
      <c r="A177">
        <f>176</f>
        <v>176</v>
      </c>
      <c r="B177" t="s">
        <v>5788</v>
      </c>
      <c r="C177" t="s">
        <v>5796</v>
      </c>
      <c r="D177" t="s">
        <v>5652</v>
      </c>
      <c r="E177" t="s">
        <v>144</v>
      </c>
      <c r="F177" t="s">
        <v>5605</v>
      </c>
      <c r="G177" t="s">
        <v>5602</v>
      </c>
      <c r="H177" t="s">
        <v>5590</v>
      </c>
      <c r="I177">
        <v>5</v>
      </c>
      <c r="J177" t="s">
        <v>5595</v>
      </c>
      <c r="K177">
        <v>37.299999999999997</v>
      </c>
      <c r="L177">
        <v>232</v>
      </c>
      <c r="M177">
        <v>50.9</v>
      </c>
      <c r="N177">
        <v>165</v>
      </c>
      <c r="O177">
        <v>22.5</v>
      </c>
      <c r="P177">
        <v>624</v>
      </c>
      <c r="Q177">
        <v>53.4</v>
      </c>
      <c r="R177">
        <v>240</v>
      </c>
      <c r="S177">
        <v>83</v>
      </c>
      <c r="T177">
        <v>221</v>
      </c>
      <c r="U177">
        <v>60.1</v>
      </c>
      <c r="V177">
        <v>247</v>
      </c>
      <c r="W177">
        <v>71.599999999999994</v>
      </c>
      <c r="X177">
        <v>190</v>
      </c>
      <c r="Y177">
        <v>63.7</v>
      </c>
      <c r="Z177">
        <v>91</v>
      </c>
      <c r="AA177">
        <v>49.4</v>
      </c>
      <c r="AB177" t="s">
        <v>5797</v>
      </c>
      <c r="AC177">
        <v>48.5</v>
      </c>
    </row>
    <row r="178" spans="1:29">
      <c r="A178">
        <f>176</f>
        <v>176</v>
      </c>
      <c r="B178" t="s">
        <v>5729</v>
      </c>
      <c r="C178" t="s">
        <v>552</v>
      </c>
      <c r="D178" t="s">
        <v>5631</v>
      </c>
      <c r="E178" t="s">
        <v>94</v>
      </c>
      <c r="F178" t="s">
        <v>5593</v>
      </c>
      <c r="G178" t="s">
        <v>5594</v>
      </c>
      <c r="H178" t="s">
        <v>5590</v>
      </c>
      <c r="I178">
        <v>4</v>
      </c>
      <c r="J178" t="s">
        <v>5595</v>
      </c>
      <c r="K178">
        <v>61.5</v>
      </c>
      <c r="L178">
        <v>114</v>
      </c>
      <c r="M178">
        <v>65.099999999999994</v>
      </c>
      <c r="N178">
        <v>123</v>
      </c>
      <c r="O178">
        <v>87.5</v>
      </c>
      <c r="P178">
        <v>96</v>
      </c>
      <c r="Q178">
        <v>33</v>
      </c>
      <c r="R178">
        <v>412</v>
      </c>
      <c r="S178">
        <v>15.4</v>
      </c>
      <c r="T178">
        <v>661</v>
      </c>
      <c r="U178">
        <v>19.100000000000001</v>
      </c>
      <c r="V178">
        <v>558</v>
      </c>
      <c r="W178">
        <v>17.600000000000001</v>
      </c>
      <c r="X178">
        <v>565</v>
      </c>
      <c r="Y178">
        <v>16.600000000000001</v>
      </c>
      <c r="Z178">
        <v>509</v>
      </c>
      <c r="AA178">
        <v>24.1</v>
      </c>
      <c r="AB178" t="s">
        <v>5798</v>
      </c>
      <c r="AC178">
        <v>48.5</v>
      </c>
    </row>
    <row r="179" spans="1:29">
      <c r="A179">
        <f>176</f>
        <v>176</v>
      </c>
      <c r="B179" t="s">
        <v>5759</v>
      </c>
      <c r="C179" t="s">
        <v>430</v>
      </c>
      <c r="D179" t="s">
        <v>5592</v>
      </c>
      <c r="E179" t="s">
        <v>26</v>
      </c>
      <c r="F179" t="s">
        <v>5593</v>
      </c>
      <c r="G179" t="s">
        <v>5594</v>
      </c>
      <c r="H179" t="s">
        <v>5590</v>
      </c>
      <c r="I179">
        <v>5</v>
      </c>
      <c r="J179" t="s">
        <v>5595</v>
      </c>
      <c r="K179">
        <v>44.4</v>
      </c>
      <c r="L179">
        <v>191</v>
      </c>
      <c r="M179">
        <v>35</v>
      </c>
      <c r="N179">
        <v>277</v>
      </c>
      <c r="O179">
        <v>39.700000000000003</v>
      </c>
      <c r="P179">
        <v>401</v>
      </c>
      <c r="Q179">
        <v>37.9</v>
      </c>
      <c r="R179">
        <v>371</v>
      </c>
      <c r="S179">
        <v>87.8</v>
      </c>
      <c r="T179">
        <v>194</v>
      </c>
      <c r="U179">
        <v>79</v>
      </c>
      <c r="V179">
        <v>168</v>
      </c>
      <c r="W179">
        <v>97.2</v>
      </c>
      <c r="X179">
        <v>29</v>
      </c>
      <c r="Y179">
        <v>25.6</v>
      </c>
      <c r="Z179">
        <v>324</v>
      </c>
      <c r="AA179">
        <v>72</v>
      </c>
      <c r="AB179">
        <v>193</v>
      </c>
      <c r="AC179">
        <v>48.5</v>
      </c>
    </row>
    <row r="180" spans="1:29">
      <c r="A180">
        <v>179</v>
      </c>
      <c r="B180">
        <v>219</v>
      </c>
      <c r="C180" t="s">
        <v>5799</v>
      </c>
      <c r="D180" t="s">
        <v>5587</v>
      </c>
      <c r="E180" t="s">
        <v>29</v>
      </c>
      <c r="F180" t="s">
        <v>5605</v>
      </c>
      <c r="G180" t="s">
        <v>5589</v>
      </c>
      <c r="H180" t="s">
        <v>5590</v>
      </c>
      <c r="I180">
        <v>5</v>
      </c>
      <c r="J180" t="s">
        <v>5595</v>
      </c>
      <c r="K180">
        <v>46.7</v>
      </c>
      <c r="L180">
        <v>174</v>
      </c>
      <c r="M180">
        <v>36.700000000000003</v>
      </c>
      <c r="N180">
        <v>265</v>
      </c>
      <c r="O180">
        <v>6.8</v>
      </c>
      <c r="P180" t="s">
        <v>5613</v>
      </c>
      <c r="Q180">
        <v>61.5</v>
      </c>
      <c r="R180">
        <v>199</v>
      </c>
      <c r="S180">
        <v>64.5</v>
      </c>
      <c r="T180">
        <v>299</v>
      </c>
      <c r="U180">
        <v>30.1</v>
      </c>
      <c r="V180">
        <v>422</v>
      </c>
      <c r="W180">
        <v>87.9</v>
      </c>
      <c r="X180">
        <v>97</v>
      </c>
      <c r="Y180">
        <v>26.6</v>
      </c>
      <c r="Z180">
        <v>307</v>
      </c>
      <c r="AA180">
        <v>97.3</v>
      </c>
      <c r="AB180" t="s">
        <v>5596</v>
      </c>
      <c r="AC180">
        <v>48.1</v>
      </c>
    </row>
    <row r="181" spans="1:29">
      <c r="A181">
        <f>180</f>
        <v>180</v>
      </c>
      <c r="B181">
        <v>160</v>
      </c>
      <c r="C181" t="s">
        <v>5800</v>
      </c>
      <c r="D181" t="s">
        <v>5762</v>
      </c>
      <c r="E181" t="s">
        <v>534</v>
      </c>
      <c r="F181" t="s">
        <v>5588</v>
      </c>
      <c r="G181" t="s">
        <v>5594</v>
      </c>
      <c r="H181" t="s">
        <v>5590</v>
      </c>
      <c r="I181">
        <v>4</v>
      </c>
      <c r="J181" t="s">
        <v>5595</v>
      </c>
      <c r="K181">
        <v>32.9</v>
      </c>
      <c r="L181">
        <v>267</v>
      </c>
      <c r="M181">
        <v>36.5</v>
      </c>
      <c r="N181">
        <v>268</v>
      </c>
      <c r="O181">
        <v>82.8</v>
      </c>
      <c r="P181">
        <v>124</v>
      </c>
      <c r="Q181">
        <v>65.8</v>
      </c>
      <c r="R181">
        <v>165</v>
      </c>
      <c r="S181">
        <v>100</v>
      </c>
      <c r="T181">
        <v>24</v>
      </c>
      <c r="U181">
        <v>31.8</v>
      </c>
      <c r="V181">
        <v>402</v>
      </c>
      <c r="W181">
        <v>25.7</v>
      </c>
      <c r="X181">
        <v>492</v>
      </c>
      <c r="Y181">
        <v>38.9</v>
      </c>
      <c r="Z181">
        <v>185</v>
      </c>
      <c r="AA181">
        <v>20.9</v>
      </c>
      <c r="AB181" t="s">
        <v>5801</v>
      </c>
      <c r="AC181">
        <v>48</v>
      </c>
    </row>
    <row r="182" spans="1:29">
      <c r="A182">
        <f>180</f>
        <v>180</v>
      </c>
      <c r="B182" t="s">
        <v>5752</v>
      </c>
      <c r="C182" t="s">
        <v>5802</v>
      </c>
      <c r="D182" t="s">
        <v>5667</v>
      </c>
      <c r="E182" t="s">
        <v>137</v>
      </c>
      <c r="F182" t="s">
        <v>5593</v>
      </c>
      <c r="G182" t="s">
        <v>5594</v>
      </c>
      <c r="H182" t="s">
        <v>5590</v>
      </c>
      <c r="I182">
        <v>5</v>
      </c>
      <c r="J182" t="s">
        <v>5591</v>
      </c>
      <c r="K182">
        <v>49.1</v>
      </c>
      <c r="L182">
        <v>166</v>
      </c>
      <c r="M182">
        <v>30.8</v>
      </c>
      <c r="N182">
        <v>317</v>
      </c>
      <c r="O182">
        <v>4.4000000000000004</v>
      </c>
      <c r="P182" t="s">
        <v>5613</v>
      </c>
      <c r="Q182">
        <v>60.2</v>
      </c>
      <c r="R182">
        <v>203</v>
      </c>
      <c r="S182">
        <v>89.4</v>
      </c>
      <c r="T182">
        <v>186</v>
      </c>
      <c r="U182">
        <v>39.299999999999997</v>
      </c>
      <c r="V182">
        <v>347</v>
      </c>
      <c r="W182">
        <v>83.2</v>
      </c>
      <c r="X182">
        <v>130</v>
      </c>
      <c r="Y182">
        <v>51.7</v>
      </c>
      <c r="Z182">
        <v>125</v>
      </c>
      <c r="AA182">
        <v>54.6</v>
      </c>
      <c r="AB182" t="s">
        <v>5803</v>
      </c>
      <c r="AC182">
        <v>48</v>
      </c>
    </row>
    <row r="183" spans="1:29">
      <c r="A183">
        <v>182</v>
      </c>
      <c r="B183">
        <v>242</v>
      </c>
      <c r="C183" t="s">
        <v>508</v>
      </c>
      <c r="D183" t="s">
        <v>5620</v>
      </c>
      <c r="E183" t="s">
        <v>76</v>
      </c>
      <c r="F183" t="s">
        <v>5605</v>
      </c>
      <c r="G183" t="s">
        <v>5594</v>
      </c>
      <c r="H183" t="s">
        <v>5590</v>
      </c>
      <c r="I183">
        <v>4</v>
      </c>
      <c r="J183" t="s">
        <v>5595</v>
      </c>
      <c r="K183">
        <v>37.700000000000003</v>
      </c>
      <c r="L183">
        <v>229</v>
      </c>
      <c r="M183">
        <v>61.2</v>
      </c>
      <c r="N183">
        <v>129</v>
      </c>
      <c r="O183">
        <v>19.899999999999999</v>
      </c>
      <c r="P183">
        <v>668</v>
      </c>
      <c r="Q183">
        <v>41.5</v>
      </c>
      <c r="R183">
        <v>330</v>
      </c>
      <c r="S183">
        <v>82.8</v>
      </c>
      <c r="T183">
        <v>222</v>
      </c>
      <c r="U183">
        <v>62</v>
      </c>
      <c r="V183">
        <v>241</v>
      </c>
      <c r="W183">
        <v>62.3</v>
      </c>
      <c r="X183">
        <v>232</v>
      </c>
      <c r="Y183">
        <v>38.6</v>
      </c>
      <c r="Z183">
        <v>188</v>
      </c>
      <c r="AA183">
        <v>91.5</v>
      </c>
      <c r="AB183">
        <v>82</v>
      </c>
      <c r="AC183">
        <v>47.9</v>
      </c>
    </row>
    <row r="184" spans="1:29">
      <c r="A184">
        <v>183</v>
      </c>
      <c r="B184">
        <v>193</v>
      </c>
      <c r="C184" t="s">
        <v>512</v>
      </c>
      <c r="D184" t="s">
        <v>5612</v>
      </c>
      <c r="E184" t="s">
        <v>116</v>
      </c>
      <c r="F184" t="s">
        <v>5593</v>
      </c>
      <c r="G184" t="s">
        <v>5589</v>
      </c>
      <c r="H184" t="s">
        <v>5590</v>
      </c>
      <c r="I184">
        <v>3</v>
      </c>
      <c r="J184" t="s">
        <v>5595</v>
      </c>
      <c r="K184">
        <v>32.4</v>
      </c>
      <c r="L184">
        <v>271</v>
      </c>
      <c r="M184">
        <v>31.8</v>
      </c>
      <c r="N184">
        <v>309</v>
      </c>
      <c r="O184">
        <v>14.3</v>
      </c>
      <c r="P184" t="s">
        <v>5613</v>
      </c>
      <c r="Q184">
        <v>86.2</v>
      </c>
      <c r="R184">
        <v>88</v>
      </c>
      <c r="S184">
        <v>100</v>
      </c>
      <c r="T184">
        <v>43</v>
      </c>
      <c r="U184">
        <v>26.4</v>
      </c>
      <c r="V184">
        <v>459</v>
      </c>
      <c r="W184">
        <v>84.9</v>
      </c>
      <c r="X184">
        <v>119</v>
      </c>
      <c r="Y184">
        <v>25.7</v>
      </c>
      <c r="Z184">
        <v>320</v>
      </c>
      <c r="AA184">
        <v>50.6</v>
      </c>
      <c r="AB184" t="s">
        <v>5804</v>
      </c>
      <c r="AC184">
        <v>47.8</v>
      </c>
    </row>
    <row r="185" spans="1:29">
      <c r="A185">
        <f>184</f>
        <v>184</v>
      </c>
      <c r="B185">
        <v>111</v>
      </c>
      <c r="C185" t="s">
        <v>5805</v>
      </c>
      <c r="D185" t="s">
        <v>5624</v>
      </c>
      <c r="E185" t="s">
        <v>125</v>
      </c>
      <c r="F185" t="s">
        <v>5615</v>
      </c>
      <c r="G185" t="s">
        <v>5589</v>
      </c>
      <c r="H185" t="s">
        <v>5590</v>
      </c>
      <c r="I185">
        <v>5</v>
      </c>
      <c r="J185" t="s">
        <v>5595</v>
      </c>
      <c r="K185">
        <v>30.5</v>
      </c>
      <c r="L185">
        <v>285</v>
      </c>
      <c r="M185">
        <v>14.4</v>
      </c>
      <c r="N185">
        <v>570</v>
      </c>
      <c r="O185">
        <v>95.7</v>
      </c>
      <c r="P185">
        <v>59</v>
      </c>
      <c r="Q185">
        <v>98.4</v>
      </c>
      <c r="R185">
        <v>27</v>
      </c>
      <c r="S185">
        <v>70.8</v>
      </c>
      <c r="T185">
        <v>272</v>
      </c>
      <c r="U185">
        <v>14.6</v>
      </c>
      <c r="V185">
        <v>628</v>
      </c>
      <c r="W185">
        <v>34.299999999999997</v>
      </c>
      <c r="X185">
        <v>425</v>
      </c>
      <c r="Y185">
        <v>10</v>
      </c>
      <c r="Z185" t="s">
        <v>5613</v>
      </c>
      <c r="AA185">
        <v>5.9</v>
      </c>
      <c r="AB185" t="s">
        <v>5613</v>
      </c>
      <c r="AC185">
        <v>47.6</v>
      </c>
    </row>
    <row r="186" spans="1:29">
      <c r="A186">
        <f>184</f>
        <v>184</v>
      </c>
      <c r="B186" t="s">
        <v>5767</v>
      </c>
      <c r="C186" t="s">
        <v>5806</v>
      </c>
      <c r="D186" t="s">
        <v>5753</v>
      </c>
      <c r="E186" t="s">
        <v>310</v>
      </c>
      <c r="F186" t="s">
        <v>5588</v>
      </c>
      <c r="G186" t="s">
        <v>5602</v>
      </c>
      <c r="H186" t="s">
        <v>5590</v>
      </c>
      <c r="I186">
        <v>5</v>
      </c>
      <c r="J186" t="s">
        <v>5595</v>
      </c>
      <c r="K186">
        <v>32.9</v>
      </c>
      <c r="L186">
        <v>266</v>
      </c>
      <c r="M186">
        <v>44.4</v>
      </c>
      <c r="N186">
        <v>201</v>
      </c>
      <c r="O186">
        <v>13.1</v>
      </c>
      <c r="P186" t="s">
        <v>5613</v>
      </c>
      <c r="Q186">
        <v>85.7</v>
      </c>
      <c r="R186">
        <v>91</v>
      </c>
      <c r="S186">
        <v>79.3</v>
      </c>
      <c r="T186">
        <v>232</v>
      </c>
      <c r="U186">
        <v>89</v>
      </c>
      <c r="V186">
        <v>123</v>
      </c>
      <c r="W186">
        <v>45.1</v>
      </c>
      <c r="X186">
        <v>347</v>
      </c>
      <c r="Y186">
        <v>13.2</v>
      </c>
      <c r="Z186">
        <v>649</v>
      </c>
      <c r="AA186">
        <v>19</v>
      </c>
      <c r="AB186" t="s">
        <v>5807</v>
      </c>
      <c r="AC186">
        <v>47.6</v>
      </c>
    </row>
    <row r="187" spans="1:29">
      <c r="A187">
        <f>184</f>
        <v>184</v>
      </c>
      <c r="B187">
        <v>170</v>
      </c>
      <c r="C187" t="s">
        <v>5808</v>
      </c>
      <c r="D187" t="s">
        <v>5707</v>
      </c>
      <c r="E187" t="s">
        <v>1613</v>
      </c>
      <c r="F187" t="s">
        <v>5605</v>
      </c>
      <c r="G187" t="s">
        <v>5594</v>
      </c>
      <c r="H187" t="s">
        <v>5809</v>
      </c>
      <c r="I187">
        <v>4</v>
      </c>
      <c r="J187" t="s">
        <v>5591</v>
      </c>
      <c r="K187">
        <v>51.3</v>
      </c>
      <c r="L187">
        <v>157</v>
      </c>
      <c r="M187">
        <v>96.8</v>
      </c>
      <c r="N187">
        <v>28</v>
      </c>
      <c r="O187">
        <v>63.5</v>
      </c>
      <c r="P187">
        <v>222</v>
      </c>
      <c r="Q187">
        <v>2.2999999999999998</v>
      </c>
      <c r="R187" t="s">
        <v>5613</v>
      </c>
      <c r="S187">
        <v>32.700000000000003</v>
      </c>
      <c r="T187">
        <v>469</v>
      </c>
      <c r="U187">
        <v>11.7</v>
      </c>
      <c r="V187">
        <v>681</v>
      </c>
      <c r="W187">
        <v>13.5</v>
      </c>
      <c r="X187">
        <v>618</v>
      </c>
      <c r="Y187">
        <v>88.3</v>
      </c>
      <c r="Z187">
        <v>41</v>
      </c>
      <c r="AA187">
        <v>65.7</v>
      </c>
      <c r="AB187" t="s">
        <v>5810</v>
      </c>
      <c r="AC187">
        <v>47.6</v>
      </c>
    </row>
    <row r="188" spans="1:29">
      <c r="A188">
        <v>187</v>
      </c>
      <c r="B188" t="s">
        <v>5785</v>
      </c>
      <c r="C188" t="s">
        <v>521</v>
      </c>
      <c r="D188" t="s">
        <v>5684</v>
      </c>
      <c r="E188" t="s">
        <v>150</v>
      </c>
      <c r="F188" t="s">
        <v>5593</v>
      </c>
      <c r="G188" t="s">
        <v>5594</v>
      </c>
      <c r="H188" t="s">
        <v>5590</v>
      </c>
      <c r="I188">
        <v>4</v>
      </c>
      <c r="J188" t="s">
        <v>5595</v>
      </c>
      <c r="K188">
        <v>36.200000000000003</v>
      </c>
      <c r="L188">
        <v>239</v>
      </c>
      <c r="M188">
        <v>16.899999999999999</v>
      </c>
      <c r="N188">
        <v>511</v>
      </c>
      <c r="O188">
        <v>56.3</v>
      </c>
      <c r="P188">
        <v>261</v>
      </c>
      <c r="Q188">
        <v>39.4</v>
      </c>
      <c r="R188">
        <v>349</v>
      </c>
      <c r="S188">
        <v>90.6</v>
      </c>
      <c r="T188">
        <v>179</v>
      </c>
      <c r="U188">
        <v>80.8</v>
      </c>
      <c r="V188">
        <v>160</v>
      </c>
      <c r="W188">
        <v>86.4</v>
      </c>
      <c r="X188">
        <v>104</v>
      </c>
      <c r="Y188">
        <v>46.3</v>
      </c>
      <c r="Z188">
        <v>151</v>
      </c>
      <c r="AA188">
        <v>97.6</v>
      </c>
      <c r="AB188" t="s">
        <v>5688</v>
      </c>
      <c r="AC188">
        <v>47.3</v>
      </c>
    </row>
    <row r="189" spans="1:29">
      <c r="A189">
        <v>188</v>
      </c>
      <c r="B189" t="s">
        <v>5811</v>
      </c>
      <c r="C189" t="s">
        <v>5812</v>
      </c>
      <c r="D189" t="s">
        <v>5672</v>
      </c>
      <c r="E189" t="s">
        <v>664</v>
      </c>
      <c r="F189" t="s">
        <v>5593</v>
      </c>
      <c r="G189" t="s">
        <v>5589</v>
      </c>
      <c r="H189" t="s">
        <v>5590</v>
      </c>
      <c r="I189">
        <v>3</v>
      </c>
      <c r="J189" t="s">
        <v>5595</v>
      </c>
      <c r="K189">
        <v>46.6</v>
      </c>
      <c r="L189">
        <v>175</v>
      </c>
      <c r="M189">
        <v>63.8</v>
      </c>
      <c r="N189">
        <v>124</v>
      </c>
      <c r="O189">
        <v>42.5</v>
      </c>
      <c r="P189">
        <v>371</v>
      </c>
      <c r="Q189">
        <v>33.9</v>
      </c>
      <c r="R189">
        <v>403</v>
      </c>
      <c r="S189">
        <v>16</v>
      </c>
      <c r="T189">
        <v>651</v>
      </c>
      <c r="U189">
        <v>85.2</v>
      </c>
      <c r="V189">
        <v>141</v>
      </c>
      <c r="W189">
        <v>58.6</v>
      </c>
      <c r="X189">
        <v>257</v>
      </c>
      <c r="Y189">
        <v>13.6</v>
      </c>
      <c r="Z189">
        <v>631</v>
      </c>
      <c r="AA189">
        <v>66.8</v>
      </c>
      <c r="AB189" t="s">
        <v>5813</v>
      </c>
      <c r="AC189">
        <v>46.9</v>
      </c>
    </row>
    <row r="190" spans="1:29">
      <c r="A190">
        <f>189</f>
        <v>189</v>
      </c>
      <c r="B190">
        <v>152</v>
      </c>
      <c r="C190" t="s">
        <v>274</v>
      </c>
      <c r="D190" t="s">
        <v>5620</v>
      </c>
      <c r="E190" t="s">
        <v>76</v>
      </c>
      <c r="F190" t="s">
        <v>5593</v>
      </c>
      <c r="G190" t="s">
        <v>5594</v>
      </c>
      <c r="H190" t="s">
        <v>5590</v>
      </c>
      <c r="I190">
        <v>5</v>
      </c>
      <c r="J190" t="s">
        <v>5595</v>
      </c>
      <c r="K190">
        <v>40.5</v>
      </c>
      <c r="L190">
        <v>210</v>
      </c>
      <c r="M190">
        <v>38.200000000000003</v>
      </c>
      <c r="N190">
        <v>255</v>
      </c>
      <c r="O190">
        <v>75.099999999999994</v>
      </c>
      <c r="P190">
        <v>166</v>
      </c>
      <c r="Q190">
        <v>29</v>
      </c>
      <c r="R190">
        <v>444</v>
      </c>
      <c r="S190">
        <v>99.3</v>
      </c>
      <c r="T190">
        <v>93</v>
      </c>
      <c r="U190">
        <v>59.5</v>
      </c>
      <c r="V190">
        <v>250</v>
      </c>
      <c r="W190">
        <v>40.200000000000003</v>
      </c>
      <c r="X190">
        <v>376</v>
      </c>
      <c r="Y190">
        <v>37.200000000000003</v>
      </c>
      <c r="Z190">
        <v>197</v>
      </c>
      <c r="AA190">
        <v>70.099999999999994</v>
      </c>
      <c r="AB190" t="s">
        <v>5681</v>
      </c>
      <c r="AC190">
        <v>46.8</v>
      </c>
    </row>
    <row r="191" spans="1:29">
      <c r="A191">
        <f>189</f>
        <v>189</v>
      </c>
      <c r="B191" t="s">
        <v>5814</v>
      </c>
      <c r="C191" t="s">
        <v>491</v>
      </c>
      <c r="D191" t="s">
        <v>5612</v>
      </c>
      <c r="E191" t="s">
        <v>116</v>
      </c>
      <c r="F191" t="s">
        <v>5605</v>
      </c>
      <c r="G191" t="s">
        <v>5589</v>
      </c>
      <c r="H191" t="s">
        <v>5590</v>
      </c>
      <c r="I191">
        <v>3</v>
      </c>
      <c r="J191" t="s">
        <v>5595</v>
      </c>
      <c r="K191">
        <v>40.9</v>
      </c>
      <c r="L191">
        <v>205</v>
      </c>
      <c r="M191">
        <v>37.6</v>
      </c>
      <c r="N191">
        <v>261</v>
      </c>
      <c r="O191">
        <v>7.4</v>
      </c>
      <c r="P191" t="s">
        <v>5613</v>
      </c>
      <c r="Q191">
        <v>64.900000000000006</v>
      </c>
      <c r="R191">
        <v>176</v>
      </c>
      <c r="S191">
        <v>96</v>
      </c>
      <c r="T191">
        <v>141</v>
      </c>
      <c r="U191">
        <v>26.4</v>
      </c>
      <c r="V191">
        <v>458</v>
      </c>
      <c r="W191">
        <v>68.8</v>
      </c>
      <c r="X191">
        <v>202</v>
      </c>
      <c r="Y191">
        <v>16.8</v>
      </c>
      <c r="Z191">
        <v>502</v>
      </c>
      <c r="AA191">
        <v>90.6</v>
      </c>
      <c r="AB191" t="s">
        <v>5815</v>
      </c>
      <c r="AC191">
        <v>46.8</v>
      </c>
    </row>
    <row r="192" spans="1:29">
      <c r="A192">
        <f>189</f>
        <v>189</v>
      </c>
      <c r="B192" t="s">
        <v>5816</v>
      </c>
      <c r="C192" t="s">
        <v>5817</v>
      </c>
      <c r="D192" t="s">
        <v>5667</v>
      </c>
      <c r="E192" t="s">
        <v>137</v>
      </c>
      <c r="F192" t="s">
        <v>5593</v>
      </c>
      <c r="G192" t="s">
        <v>5594</v>
      </c>
      <c r="H192" t="s">
        <v>5590</v>
      </c>
      <c r="I192">
        <v>5</v>
      </c>
      <c r="J192" t="s">
        <v>5595</v>
      </c>
      <c r="K192">
        <v>34.4</v>
      </c>
      <c r="L192">
        <v>249</v>
      </c>
      <c r="M192">
        <v>38.9</v>
      </c>
      <c r="N192">
        <v>247</v>
      </c>
      <c r="O192">
        <v>3.3</v>
      </c>
      <c r="P192" t="s">
        <v>5613</v>
      </c>
      <c r="Q192">
        <v>63.3</v>
      </c>
      <c r="R192">
        <v>186</v>
      </c>
      <c r="S192">
        <v>97.1</v>
      </c>
      <c r="T192">
        <v>126</v>
      </c>
      <c r="U192">
        <v>85</v>
      </c>
      <c r="V192">
        <v>144</v>
      </c>
      <c r="W192">
        <v>69.099999999999994</v>
      </c>
      <c r="X192">
        <v>201</v>
      </c>
      <c r="Y192">
        <v>35.700000000000003</v>
      </c>
      <c r="Z192">
        <v>207</v>
      </c>
      <c r="AA192">
        <v>60.4</v>
      </c>
      <c r="AB192" t="s">
        <v>5818</v>
      </c>
      <c r="AC192">
        <v>46.8</v>
      </c>
    </row>
    <row r="193" spans="1:29">
      <c r="A193">
        <f>192</f>
        <v>192</v>
      </c>
      <c r="B193">
        <v>189</v>
      </c>
      <c r="C193" t="s">
        <v>5819</v>
      </c>
      <c r="D193" t="s">
        <v>5639</v>
      </c>
      <c r="E193" t="s">
        <v>99</v>
      </c>
      <c r="F193" t="s">
        <v>5593</v>
      </c>
      <c r="G193" t="s">
        <v>5594</v>
      </c>
      <c r="H193" t="s">
        <v>5590</v>
      </c>
      <c r="I193">
        <v>5</v>
      </c>
      <c r="J193" t="s">
        <v>5595</v>
      </c>
      <c r="K193">
        <v>46.1</v>
      </c>
      <c r="L193">
        <v>179</v>
      </c>
      <c r="M193">
        <v>19.8</v>
      </c>
      <c r="N193">
        <v>460</v>
      </c>
      <c r="O193">
        <v>29.1</v>
      </c>
      <c r="P193">
        <v>531</v>
      </c>
      <c r="Q193">
        <v>63.3</v>
      </c>
      <c r="R193">
        <v>187</v>
      </c>
      <c r="S193">
        <v>68.8</v>
      </c>
      <c r="T193">
        <v>281</v>
      </c>
      <c r="U193">
        <v>36.299999999999997</v>
      </c>
      <c r="V193">
        <v>371</v>
      </c>
      <c r="W193">
        <v>82.7</v>
      </c>
      <c r="X193">
        <v>131</v>
      </c>
      <c r="Y193">
        <v>25.3</v>
      </c>
      <c r="Z193">
        <v>328</v>
      </c>
      <c r="AA193">
        <v>68.2</v>
      </c>
      <c r="AB193">
        <v>213</v>
      </c>
      <c r="AC193">
        <v>46.7</v>
      </c>
    </row>
    <row r="194" spans="1:29">
      <c r="A194">
        <f>192</f>
        <v>192</v>
      </c>
      <c r="B194" t="s">
        <v>5820</v>
      </c>
      <c r="C194" t="s">
        <v>5821</v>
      </c>
      <c r="D194" t="s">
        <v>5624</v>
      </c>
      <c r="E194" t="s">
        <v>125</v>
      </c>
      <c r="F194" t="s">
        <v>5615</v>
      </c>
      <c r="G194" t="s">
        <v>5602</v>
      </c>
      <c r="H194" t="s">
        <v>5590</v>
      </c>
      <c r="I194">
        <v>5</v>
      </c>
      <c r="J194" t="s">
        <v>5595</v>
      </c>
      <c r="K194">
        <v>8.3000000000000007</v>
      </c>
      <c r="L194" t="s">
        <v>5737</v>
      </c>
      <c r="M194">
        <v>57.9</v>
      </c>
      <c r="N194">
        <v>142</v>
      </c>
      <c r="O194">
        <v>98.2</v>
      </c>
      <c r="P194">
        <v>45</v>
      </c>
      <c r="Q194">
        <v>80.7</v>
      </c>
      <c r="R194">
        <v>109</v>
      </c>
      <c r="S194">
        <v>34.6</v>
      </c>
      <c r="T194">
        <v>458</v>
      </c>
      <c r="U194">
        <v>96.8</v>
      </c>
      <c r="V194">
        <v>75</v>
      </c>
      <c r="W194">
        <v>5.6</v>
      </c>
      <c r="X194" t="s">
        <v>5613</v>
      </c>
      <c r="Y194">
        <v>30</v>
      </c>
      <c r="Z194">
        <v>261</v>
      </c>
      <c r="AA194">
        <v>19.2</v>
      </c>
      <c r="AB194" t="s">
        <v>5822</v>
      </c>
      <c r="AC194">
        <v>46.7</v>
      </c>
    </row>
    <row r="195" spans="1:29">
      <c r="A195">
        <v>194</v>
      </c>
      <c r="B195">
        <v>194</v>
      </c>
      <c r="C195" t="s">
        <v>416</v>
      </c>
      <c r="D195" t="s">
        <v>5616</v>
      </c>
      <c r="E195" t="s">
        <v>54</v>
      </c>
      <c r="F195" t="s">
        <v>5605</v>
      </c>
      <c r="G195" t="s">
        <v>5594</v>
      </c>
      <c r="H195" t="s">
        <v>5590</v>
      </c>
      <c r="I195">
        <v>4</v>
      </c>
      <c r="J195" t="s">
        <v>5595</v>
      </c>
      <c r="K195">
        <v>40.9</v>
      </c>
      <c r="L195">
        <v>204</v>
      </c>
      <c r="M195">
        <v>44</v>
      </c>
      <c r="N195">
        <v>205</v>
      </c>
      <c r="O195">
        <v>12.8</v>
      </c>
      <c r="P195" t="s">
        <v>5613</v>
      </c>
      <c r="Q195">
        <v>87.4</v>
      </c>
      <c r="R195">
        <v>82</v>
      </c>
      <c r="S195">
        <v>40.700000000000003</v>
      </c>
      <c r="T195">
        <v>405</v>
      </c>
      <c r="U195">
        <v>5</v>
      </c>
      <c r="V195" t="s">
        <v>5613</v>
      </c>
      <c r="W195">
        <v>48.4</v>
      </c>
      <c r="X195">
        <v>324</v>
      </c>
      <c r="Y195">
        <v>35</v>
      </c>
      <c r="Z195">
        <v>218</v>
      </c>
      <c r="AA195">
        <v>44.4</v>
      </c>
      <c r="AB195" t="s">
        <v>5823</v>
      </c>
      <c r="AC195">
        <v>46.6</v>
      </c>
    </row>
    <row r="196" spans="1:29">
      <c r="A196">
        <v>195</v>
      </c>
      <c r="B196" t="s">
        <v>5785</v>
      </c>
      <c r="C196" t="s">
        <v>5824</v>
      </c>
      <c r="D196" t="s">
        <v>5587</v>
      </c>
      <c r="E196" t="s">
        <v>29</v>
      </c>
      <c r="F196" t="s">
        <v>5605</v>
      </c>
      <c r="G196" t="s">
        <v>5594</v>
      </c>
      <c r="H196" t="s">
        <v>5590</v>
      </c>
      <c r="I196">
        <v>5</v>
      </c>
      <c r="J196" t="s">
        <v>5595</v>
      </c>
      <c r="K196">
        <v>59</v>
      </c>
      <c r="L196">
        <v>127</v>
      </c>
      <c r="M196">
        <v>30.2</v>
      </c>
      <c r="N196">
        <v>324</v>
      </c>
      <c r="O196">
        <v>30.6</v>
      </c>
      <c r="P196">
        <v>510</v>
      </c>
      <c r="Q196">
        <v>46.4</v>
      </c>
      <c r="R196">
        <v>291</v>
      </c>
      <c r="S196">
        <v>5.5</v>
      </c>
      <c r="T196" t="s">
        <v>5613</v>
      </c>
      <c r="U196">
        <v>9.1</v>
      </c>
      <c r="V196" t="s">
        <v>5613</v>
      </c>
      <c r="W196">
        <v>86.1</v>
      </c>
      <c r="X196">
        <v>109</v>
      </c>
      <c r="Y196">
        <v>41.9</v>
      </c>
      <c r="Z196">
        <v>172</v>
      </c>
      <c r="AA196">
        <v>88.5</v>
      </c>
      <c r="AB196" t="s">
        <v>5708</v>
      </c>
      <c r="AC196">
        <v>46.4</v>
      </c>
    </row>
    <row r="197" spans="1:29">
      <c r="A197">
        <v>196</v>
      </c>
      <c r="B197" t="s">
        <v>5740</v>
      </c>
      <c r="C197" t="s">
        <v>880</v>
      </c>
      <c r="D197" t="s">
        <v>5631</v>
      </c>
      <c r="E197" t="s">
        <v>94</v>
      </c>
      <c r="F197" t="s">
        <v>5593</v>
      </c>
      <c r="G197" t="s">
        <v>5594</v>
      </c>
      <c r="H197" t="s">
        <v>5590</v>
      </c>
      <c r="I197">
        <v>5</v>
      </c>
      <c r="J197" t="s">
        <v>5595</v>
      </c>
      <c r="K197">
        <v>57.3</v>
      </c>
      <c r="L197">
        <v>134</v>
      </c>
      <c r="M197">
        <v>66</v>
      </c>
      <c r="N197">
        <v>119</v>
      </c>
      <c r="O197">
        <v>75.8</v>
      </c>
      <c r="P197">
        <v>162</v>
      </c>
      <c r="Q197">
        <v>27.8</v>
      </c>
      <c r="R197">
        <v>451</v>
      </c>
      <c r="S197">
        <v>17.5</v>
      </c>
      <c r="T197">
        <v>621</v>
      </c>
      <c r="U197">
        <v>14.4</v>
      </c>
      <c r="V197">
        <v>633</v>
      </c>
      <c r="W197">
        <v>38.1</v>
      </c>
      <c r="X197">
        <v>392</v>
      </c>
      <c r="Y197">
        <v>12.9</v>
      </c>
      <c r="Z197">
        <v>665</v>
      </c>
      <c r="AA197">
        <v>30.7</v>
      </c>
      <c r="AB197" t="s">
        <v>5825</v>
      </c>
      <c r="AC197">
        <v>46.2</v>
      </c>
    </row>
    <row r="198" spans="1:29">
      <c r="A198">
        <v>197</v>
      </c>
      <c r="B198" t="s">
        <v>5820</v>
      </c>
      <c r="C198" t="s">
        <v>5826</v>
      </c>
      <c r="D198" t="s">
        <v>5770</v>
      </c>
      <c r="E198" t="s">
        <v>528</v>
      </c>
      <c r="F198" t="s">
        <v>5588</v>
      </c>
      <c r="G198" t="s">
        <v>5589</v>
      </c>
      <c r="H198" t="s">
        <v>5590</v>
      </c>
      <c r="I198">
        <v>4</v>
      </c>
      <c r="J198" t="s">
        <v>5595</v>
      </c>
      <c r="K198">
        <v>51.2</v>
      </c>
      <c r="L198">
        <v>158</v>
      </c>
      <c r="M198">
        <v>75.900000000000006</v>
      </c>
      <c r="N198">
        <v>80</v>
      </c>
      <c r="O198">
        <v>22</v>
      </c>
      <c r="P198">
        <v>630</v>
      </c>
      <c r="Q198">
        <v>64.3</v>
      </c>
      <c r="R198">
        <v>182</v>
      </c>
      <c r="S198">
        <v>2.4</v>
      </c>
      <c r="T198" t="s">
        <v>5613</v>
      </c>
      <c r="U198">
        <v>1.4</v>
      </c>
      <c r="V198" t="s">
        <v>5613</v>
      </c>
      <c r="W198">
        <v>6.6</v>
      </c>
      <c r="X198" t="s">
        <v>5613</v>
      </c>
      <c r="Y198">
        <v>32.799999999999997</v>
      </c>
      <c r="Z198">
        <v>234</v>
      </c>
      <c r="AA198">
        <v>37.5</v>
      </c>
      <c r="AB198" t="s">
        <v>5745</v>
      </c>
      <c r="AC198">
        <v>46.1</v>
      </c>
    </row>
    <row r="199" spans="1:29">
      <c r="A199">
        <v>198</v>
      </c>
      <c r="B199" t="s">
        <v>5827</v>
      </c>
      <c r="C199" t="s">
        <v>5828</v>
      </c>
      <c r="D199" t="s">
        <v>5589</v>
      </c>
      <c r="E199" t="s">
        <v>1820</v>
      </c>
      <c r="F199" t="s">
        <v>5593</v>
      </c>
      <c r="G199" t="s">
        <v>5594</v>
      </c>
      <c r="H199" t="s">
        <v>5809</v>
      </c>
      <c r="I199">
        <v>4</v>
      </c>
      <c r="J199" t="s">
        <v>5591</v>
      </c>
      <c r="K199">
        <v>65.400000000000006</v>
      </c>
      <c r="L199">
        <v>103</v>
      </c>
      <c r="M199">
        <v>95.7</v>
      </c>
      <c r="N199">
        <v>35</v>
      </c>
      <c r="O199">
        <v>17.600000000000001</v>
      </c>
      <c r="P199" t="s">
        <v>5613</v>
      </c>
      <c r="Q199">
        <v>5.9</v>
      </c>
      <c r="R199" t="s">
        <v>5613</v>
      </c>
      <c r="S199">
        <v>26.4</v>
      </c>
      <c r="T199">
        <v>517</v>
      </c>
      <c r="U199">
        <v>2</v>
      </c>
      <c r="V199" t="s">
        <v>5613</v>
      </c>
      <c r="W199">
        <v>11.1</v>
      </c>
      <c r="X199">
        <v>649</v>
      </c>
      <c r="Y199">
        <v>96.2</v>
      </c>
      <c r="Z199">
        <v>23</v>
      </c>
      <c r="AA199">
        <v>40.200000000000003</v>
      </c>
      <c r="AB199" t="s">
        <v>5829</v>
      </c>
      <c r="AC199">
        <v>46</v>
      </c>
    </row>
    <row r="200" spans="1:29">
      <c r="A200">
        <f>199</f>
        <v>199</v>
      </c>
      <c r="B200" t="s">
        <v>5830</v>
      </c>
      <c r="C200" t="s">
        <v>279</v>
      </c>
      <c r="D200" t="s">
        <v>5587</v>
      </c>
      <c r="E200" t="s">
        <v>29</v>
      </c>
      <c r="F200" t="s">
        <v>5593</v>
      </c>
      <c r="G200" t="s">
        <v>5594</v>
      </c>
      <c r="H200" t="s">
        <v>5590</v>
      </c>
      <c r="I200">
        <v>5</v>
      </c>
      <c r="J200" t="s">
        <v>5591</v>
      </c>
      <c r="K200">
        <v>25.6</v>
      </c>
      <c r="L200">
        <v>342</v>
      </c>
      <c r="M200">
        <v>16.399999999999999</v>
      </c>
      <c r="N200">
        <v>522</v>
      </c>
      <c r="O200">
        <v>97.7</v>
      </c>
      <c r="P200">
        <v>50</v>
      </c>
      <c r="Q200">
        <v>69.7</v>
      </c>
      <c r="R200">
        <v>149</v>
      </c>
      <c r="S200">
        <v>37.299999999999997</v>
      </c>
      <c r="T200">
        <v>431</v>
      </c>
      <c r="U200">
        <v>31.1</v>
      </c>
      <c r="V200">
        <v>409</v>
      </c>
      <c r="W200">
        <v>57</v>
      </c>
      <c r="X200">
        <v>268</v>
      </c>
      <c r="Y200">
        <v>23.6</v>
      </c>
      <c r="Z200">
        <v>357</v>
      </c>
      <c r="AA200">
        <v>85.7</v>
      </c>
      <c r="AB200">
        <v>115</v>
      </c>
      <c r="AC200">
        <v>45.9</v>
      </c>
    </row>
    <row r="201" spans="1:29">
      <c r="A201">
        <f>199</f>
        <v>199</v>
      </c>
      <c r="B201" t="s">
        <v>5718</v>
      </c>
      <c r="C201" t="s">
        <v>5831</v>
      </c>
      <c r="D201" t="s">
        <v>5772</v>
      </c>
      <c r="E201" t="s">
        <v>386</v>
      </c>
      <c r="F201" t="s">
        <v>5593</v>
      </c>
      <c r="G201" t="s">
        <v>5594</v>
      </c>
      <c r="H201" t="s">
        <v>5590</v>
      </c>
      <c r="I201">
        <v>4</v>
      </c>
      <c r="J201" t="s">
        <v>5595</v>
      </c>
      <c r="K201">
        <v>60.4</v>
      </c>
      <c r="L201">
        <v>117</v>
      </c>
      <c r="M201">
        <v>57.7</v>
      </c>
      <c r="N201">
        <v>145</v>
      </c>
      <c r="O201">
        <v>34.5</v>
      </c>
      <c r="P201">
        <v>464</v>
      </c>
      <c r="Q201">
        <v>25.1</v>
      </c>
      <c r="R201">
        <v>485</v>
      </c>
      <c r="S201">
        <v>7.8</v>
      </c>
      <c r="T201" t="s">
        <v>5613</v>
      </c>
      <c r="U201">
        <v>12</v>
      </c>
      <c r="V201">
        <v>678</v>
      </c>
      <c r="W201">
        <v>80.400000000000006</v>
      </c>
      <c r="X201">
        <v>143</v>
      </c>
      <c r="Y201">
        <v>19.600000000000001</v>
      </c>
      <c r="Z201">
        <v>428</v>
      </c>
      <c r="AA201">
        <v>88.8</v>
      </c>
      <c r="AB201" t="s">
        <v>5832</v>
      </c>
      <c r="AC201">
        <v>45.9</v>
      </c>
    </row>
    <row r="202" spans="1:29">
      <c r="A202">
        <f>199</f>
        <v>199</v>
      </c>
      <c r="B202" t="s">
        <v>5833</v>
      </c>
      <c r="C202" t="s">
        <v>2183</v>
      </c>
      <c r="D202" t="s">
        <v>5631</v>
      </c>
      <c r="E202" t="s">
        <v>94</v>
      </c>
      <c r="F202" t="s">
        <v>5605</v>
      </c>
      <c r="G202" t="s">
        <v>5589</v>
      </c>
      <c r="H202" t="s">
        <v>5590</v>
      </c>
      <c r="I202">
        <v>5</v>
      </c>
      <c r="J202" t="s">
        <v>5591</v>
      </c>
      <c r="K202">
        <v>60.2</v>
      </c>
      <c r="L202">
        <v>118</v>
      </c>
      <c r="M202">
        <v>97.3</v>
      </c>
      <c r="N202">
        <v>24</v>
      </c>
      <c r="O202">
        <v>23.7</v>
      </c>
      <c r="P202">
        <v>602</v>
      </c>
      <c r="Q202">
        <v>4.3</v>
      </c>
      <c r="R202" t="s">
        <v>5613</v>
      </c>
      <c r="S202">
        <v>27.6</v>
      </c>
      <c r="T202">
        <v>503</v>
      </c>
      <c r="U202">
        <v>28.6</v>
      </c>
      <c r="V202">
        <v>436</v>
      </c>
      <c r="W202">
        <v>17.5</v>
      </c>
      <c r="X202">
        <v>569</v>
      </c>
      <c r="Y202">
        <v>65.599999999999994</v>
      </c>
      <c r="Z202">
        <v>87</v>
      </c>
      <c r="AA202">
        <v>56.5</v>
      </c>
      <c r="AB202" t="s">
        <v>5778</v>
      </c>
      <c r="AC202">
        <v>45.9</v>
      </c>
    </row>
    <row r="203" spans="1:29">
      <c r="A203">
        <v>202</v>
      </c>
      <c r="B203" t="s">
        <v>5834</v>
      </c>
      <c r="C203" t="s">
        <v>5835</v>
      </c>
      <c r="D203" t="s">
        <v>5592</v>
      </c>
      <c r="E203" t="s">
        <v>26</v>
      </c>
      <c r="F203" t="s">
        <v>5593</v>
      </c>
      <c r="G203" t="s">
        <v>5594</v>
      </c>
      <c r="H203" t="s">
        <v>5590</v>
      </c>
      <c r="I203">
        <v>5</v>
      </c>
      <c r="J203" t="s">
        <v>5595</v>
      </c>
      <c r="K203">
        <v>33.6</v>
      </c>
      <c r="L203">
        <v>258</v>
      </c>
      <c r="M203">
        <v>30.3</v>
      </c>
      <c r="N203">
        <v>321</v>
      </c>
      <c r="O203">
        <v>27.5</v>
      </c>
      <c r="P203">
        <v>554</v>
      </c>
      <c r="Q203">
        <v>43.5</v>
      </c>
      <c r="R203">
        <v>307</v>
      </c>
      <c r="S203">
        <v>100</v>
      </c>
      <c r="T203">
        <v>75</v>
      </c>
      <c r="U203">
        <v>98.9</v>
      </c>
      <c r="V203">
        <v>54</v>
      </c>
      <c r="W203">
        <v>84.1</v>
      </c>
      <c r="X203">
        <v>124</v>
      </c>
      <c r="Y203">
        <v>14.3</v>
      </c>
      <c r="Z203">
        <v>589</v>
      </c>
      <c r="AA203">
        <v>91</v>
      </c>
      <c r="AB203">
        <v>87</v>
      </c>
      <c r="AC203">
        <v>45.8</v>
      </c>
    </row>
    <row r="204" spans="1:29">
      <c r="A204">
        <f>203</f>
        <v>203</v>
      </c>
      <c r="B204" t="s">
        <v>5794</v>
      </c>
      <c r="C204" t="s">
        <v>1049</v>
      </c>
      <c r="D204" t="s">
        <v>5762</v>
      </c>
      <c r="E204" t="s">
        <v>534</v>
      </c>
      <c r="F204" t="s">
        <v>5605</v>
      </c>
      <c r="G204" t="s">
        <v>5594</v>
      </c>
      <c r="H204" t="s">
        <v>5590</v>
      </c>
      <c r="I204">
        <v>4</v>
      </c>
      <c r="J204" t="s">
        <v>5595</v>
      </c>
      <c r="K204">
        <v>36.9</v>
      </c>
      <c r="L204">
        <v>236</v>
      </c>
      <c r="M204">
        <v>21.3</v>
      </c>
      <c r="N204">
        <v>435</v>
      </c>
      <c r="O204">
        <v>64.2</v>
      </c>
      <c r="P204">
        <v>218</v>
      </c>
      <c r="Q204">
        <v>32.200000000000003</v>
      </c>
      <c r="R204">
        <v>419</v>
      </c>
      <c r="S204">
        <v>99.7</v>
      </c>
      <c r="T204">
        <v>83</v>
      </c>
      <c r="U204">
        <v>21.3</v>
      </c>
      <c r="V204">
        <v>525</v>
      </c>
      <c r="W204">
        <v>88.6</v>
      </c>
      <c r="X204">
        <v>92</v>
      </c>
      <c r="Y204">
        <v>71.7</v>
      </c>
      <c r="Z204">
        <v>67</v>
      </c>
      <c r="AA204">
        <v>75.8</v>
      </c>
      <c r="AB204" t="s">
        <v>5665</v>
      </c>
      <c r="AC204">
        <v>45.2</v>
      </c>
    </row>
    <row r="205" spans="1:29">
      <c r="A205">
        <f>203</f>
        <v>203</v>
      </c>
      <c r="B205" t="s">
        <v>5794</v>
      </c>
      <c r="C205" t="s">
        <v>448</v>
      </c>
      <c r="D205" t="s">
        <v>5620</v>
      </c>
      <c r="E205" t="s">
        <v>76</v>
      </c>
      <c r="F205" t="s">
        <v>5605</v>
      </c>
      <c r="G205" t="s">
        <v>5594</v>
      </c>
      <c r="H205" t="s">
        <v>5590</v>
      </c>
      <c r="I205">
        <v>5</v>
      </c>
      <c r="J205" t="s">
        <v>5595</v>
      </c>
      <c r="K205">
        <v>26.5</v>
      </c>
      <c r="L205">
        <v>329</v>
      </c>
      <c r="M205">
        <v>29.7</v>
      </c>
      <c r="N205">
        <v>328</v>
      </c>
      <c r="O205">
        <v>3.8</v>
      </c>
      <c r="P205" t="s">
        <v>5613</v>
      </c>
      <c r="Q205">
        <v>79.099999999999994</v>
      </c>
      <c r="R205">
        <v>116</v>
      </c>
      <c r="S205">
        <v>85.9</v>
      </c>
      <c r="T205">
        <v>203</v>
      </c>
      <c r="U205">
        <v>75.900000000000006</v>
      </c>
      <c r="V205">
        <v>182</v>
      </c>
      <c r="W205">
        <v>85.8</v>
      </c>
      <c r="X205">
        <v>111</v>
      </c>
      <c r="Y205">
        <v>24.3</v>
      </c>
      <c r="Z205">
        <v>344</v>
      </c>
      <c r="AA205">
        <v>54.6</v>
      </c>
      <c r="AB205" t="s">
        <v>5803</v>
      </c>
      <c r="AC205">
        <v>45.2</v>
      </c>
    </row>
    <row r="206" spans="1:29">
      <c r="A206">
        <v>205</v>
      </c>
      <c r="B206">
        <v>228</v>
      </c>
      <c r="C206" t="s">
        <v>5836</v>
      </c>
      <c r="D206" t="s">
        <v>5639</v>
      </c>
      <c r="E206" t="s">
        <v>99</v>
      </c>
      <c r="F206" t="s">
        <v>5593</v>
      </c>
      <c r="G206" t="s">
        <v>5594</v>
      </c>
      <c r="H206" t="s">
        <v>5590</v>
      </c>
      <c r="I206">
        <v>5</v>
      </c>
      <c r="J206" t="s">
        <v>5595</v>
      </c>
      <c r="K206">
        <v>51</v>
      </c>
      <c r="L206">
        <v>160</v>
      </c>
      <c r="M206">
        <v>28.7</v>
      </c>
      <c r="N206">
        <v>340</v>
      </c>
      <c r="O206">
        <v>16.899999999999999</v>
      </c>
      <c r="P206" t="s">
        <v>5613</v>
      </c>
      <c r="Q206">
        <v>60</v>
      </c>
      <c r="R206">
        <v>205</v>
      </c>
      <c r="S206">
        <v>41.6</v>
      </c>
      <c r="T206">
        <v>395</v>
      </c>
      <c r="U206">
        <v>22.3</v>
      </c>
      <c r="V206">
        <v>512</v>
      </c>
      <c r="W206">
        <v>87.2</v>
      </c>
      <c r="X206">
        <v>101</v>
      </c>
      <c r="Y206">
        <v>26.8</v>
      </c>
      <c r="Z206">
        <v>305</v>
      </c>
      <c r="AA206">
        <v>52.8</v>
      </c>
      <c r="AB206" t="s">
        <v>5837</v>
      </c>
      <c r="AC206">
        <v>45.1</v>
      </c>
    </row>
    <row r="207" spans="1:29">
      <c r="A207">
        <v>206</v>
      </c>
      <c r="B207" t="s">
        <v>5813</v>
      </c>
      <c r="C207" t="s">
        <v>785</v>
      </c>
      <c r="D207" t="s">
        <v>5676</v>
      </c>
      <c r="E207" t="s">
        <v>380</v>
      </c>
      <c r="F207" t="s">
        <v>5593</v>
      </c>
      <c r="G207" t="s">
        <v>5594</v>
      </c>
      <c r="H207" t="s">
        <v>5590</v>
      </c>
      <c r="I207">
        <v>5</v>
      </c>
      <c r="J207" t="s">
        <v>5595</v>
      </c>
      <c r="K207">
        <v>46.3</v>
      </c>
      <c r="L207">
        <v>178</v>
      </c>
      <c r="M207">
        <v>27.1</v>
      </c>
      <c r="N207">
        <v>359</v>
      </c>
      <c r="O207">
        <v>11</v>
      </c>
      <c r="P207" t="s">
        <v>5613</v>
      </c>
      <c r="Q207">
        <v>51</v>
      </c>
      <c r="R207">
        <v>256</v>
      </c>
      <c r="S207">
        <v>100</v>
      </c>
      <c r="T207">
        <v>44</v>
      </c>
      <c r="U207">
        <v>29.2</v>
      </c>
      <c r="V207">
        <v>428</v>
      </c>
      <c r="W207">
        <v>38.1</v>
      </c>
      <c r="X207">
        <v>391</v>
      </c>
      <c r="Y207">
        <v>44.7</v>
      </c>
      <c r="Z207">
        <v>159</v>
      </c>
      <c r="AA207">
        <v>98.1</v>
      </c>
      <c r="AB207">
        <v>22</v>
      </c>
      <c r="AC207">
        <v>45</v>
      </c>
    </row>
    <row r="208" spans="1:29">
      <c r="A208">
        <v>207</v>
      </c>
      <c r="B208">
        <v>214</v>
      </c>
      <c r="C208" t="s">
        <v>321</v>
      </c>
      <c r="D208" t="s">
        <v>5652</v>
      </c>
      <c r="E208" t="s">
        <v>144</v>
      </c>
      <c r="F208" t="s">
        <v>5605</v>
      </c>
      <c r="G208" t="s">
        <v>5594</v>
      </c>
      <c r="H208" t="s">
        <v>5590</v>
      </c>
      <c r="I208">
        <v>5</v>
      </c>
      <c r="J208" t="s">
        <v>5595</v>
      </c>
      <c r="K208">
        <v>39.6</v>
      </c>
      <c r="L208">
        <v>217</v>
      </c>
      <c r="M208">
        <v>15.7</v>
      </c>
      <c r="N208">
        <v>531</v>
      </c>
      <c r="O208">
        <v>23.6</v>
      </c>
      <c r="P208">
        <v>607</v>
      </c>
      <c r="Q208">
        <v>68.099999999999994</v>
      </c>
      <c r="R208">
        <v>156</v>
      </c>
      <c r="S208">
        <v>68.5</v>
      </c>
      <c r="T208">
        <v>284</v>
      </c>
      <c r="U208">
        <v>40.200000000000003</v>
      </c>
      <c r="V208">
        <v>340</v>
      </c>
      <c r="W208">
        <v>70.099999999999994</v>
      </c>
      <c r="X208">
        <v>195</v>
      </c>
      <c r="Y208">
        <v>20.2</v>
      </c>
      <c r="Z208">
        <v>414</v>
      </c>
      <c r="AA208">
        <v>89.1</v>
      </c>
      <c r="AB208" t="s">
        <v>5838</v>
      </c>
      <c r="AC208">
        <v>44.9</v>
      </c>
    </row>
    <row r="209" spans="1:29">
      <c r="A209">
        <v>208</v>
      </c>
      <c r="B209" t="s">
        <v>5827</v>
      </c>
      <c r="C209" t="s">
        <v>503</v>
      </c>
      <c r="D209" t="s">
        <v>5592</v>
      </c>
      <c r="E209" t="s">
        <v>26</v>
      </c>
      <c r="F209" t="s">
        <v>5593</v>
      </c>
      <c r="G209" t="s">
        <v>5594</v>
      </c>
      <c r="H209" t="s">
        <v>5590</v>
      </c>
      <c r="I209">
        <v>5</v>
      </c>
      <c r="J209" t="s">
        <v>5595</v>
      </c>
      <c r="K209">
        <v>29.6</v>
      </c>
      <c r="L209">
        <v>292</v>
      </c>
      <c r="M209">
        <v>32.5</v>
      </c>
      <c r="N209">
        <v>302</v>
      </c>
      <c r="O209">
        <v>29.6</v>
      </c>
      <c r="P209">
        <v>525</v>
      </c>
      <c r="Q209">
        <v>42.1</v>
      </c>
      <c r="R209">
        <v>322</v>
      </c>
      <c r="S209">
        <v>95.8</v>
      </c>
      <c r="T209">
        <v>144</v>
      </c>
      <c r="U209">
        <v>96.7</v>
      </c>
      <c r="V209">
        <v>77</v>
      </c>
      <c r="W209">
        <v>73.3</v>
      </c>
      <c r="X209">
        <v>180</v>
      </c>
      <c r="Y209">
        <v>20.5</v>
      </c>
      <c r="Z209">
        <v>408</v>
      </c>
      <c r="AA209">
        <v>98.1</v>
      </c>
      <c r="AB209">
        <v>21</v>
      </c>
      <c r="AC209">
        <v>44.6</v>
      </c>
    </row>
    <row r="210" spans="1:29">
      <c r="A210">
        <v>209</v>
      </c>
      <c r="B210" t="s">
        <v>5655</v>
      </c>
      <c r="C210" t="s">
        <v>5839</v>
      </c>
      <c r="D210" t="s">
        <v>5620</v>
      </c>
      <c r="E210" t="s">
        <v>76</v>
      </c>
      <c r="F210" t="s">
        <v>5593</v>
      </c>
      <c r="G210" t="s">
        <v>5594</v>
      </c>
      <c r="H210" t="s">
        <v>5590</v>
      </c>
      <c r="I210">
        <v>5</v>
      </c>
      <c r="J210" t="s">
        <v>5595</v>
      </c>
      <c r="K210">
        <v>40.5</v>
      </c>
      <c r="L210">
        <v>209</v>
      </c>
      <c r="M210">
        <v>56.7</v>
      </c>
      <c r="N210">
        <v>146</v>
      </c>
      <c r="O210">
        <v>5.3</v>
      </c>
      <c r="P210" t="s">
        <v>5613</v>
      </c>
      <c r="Q210">
        <v>45.1</v>
      </c>
      <c r="R210">
        <v>300</v>
      </c>
      <c r="S210">
        <v>70.099999999999994</v>
      </c>
      <c r="T210">
        <v>278</v>
      </c>
      <c r="U210">
        <v>30.6</v>
      </c>
      <c r="V210">
        <v>417</v>
      </c>
      <c r="W210">
        <v>22.5</v>
      </c>
      <c r="X210">
        <v>523</v>
      </c>
      <c r="Y210">
        <v>71.5</v>
      </c>
      <c r="Z210">
        <v>68</v>
      </c>
      <c r="AA210">
        <v>85.4</v>
      </c>
      <c r="AB210">
        <v>117</v>
      </c>
      <c r="AC210">
        <v>44.5</v>
      </c>
    </row>
    <row r="211" spans="1:29">
      <c r="A211">
        <v>210</v>
      </c>
      <c r="B211" t="s">
        <v>5840</v>
      </c>
      <c r="C211" t="s">
        <v>458</v>
      </c>
      <c r="D211" t="s">
        <v>5652</v>
      </c>
      <c r="E211" t="s">
        <v>144</v>
      </c>
      <c r="F211" t="s">
        <v>5588</v>
      </c>
      <c r="G211" t="s">
        <v>5602</v>
      </c>
      <c r="H211" t="s">
        <v>5590</v>
      </c>
      <c r="I211">
        <v>4</v>
      </c>
      <c r="J211" t="s">
        <v>5595</v>
      </c>
      <c r="K211">
        <v>20.6</v>
      </c>
      <c r="L211">
        <v>422</v>
      </c>
      <c r="M211">
        <v>38.299999999999997</v>
      </c>
      <c r="N211">
        <v>254</v>
      </c>
      <c r="O211">
        <v>39.4</v>
      </c>
      <c r="P211">
        <v>404</v>
      </c>
      <c r="Q211">
        <v>65.3</v>
      </c>
      <c r="R211">
        <v>171</v>
      </c>
      <c r="S211">
        <v>99.3</v>
      </c>
      <c r="T211">
        <v>94</v>
      </c>
      <c r="U211">
        <v>91.1</v>
      </c>
      <c r="V211">
        <v>112</v>
      </c>
      <c r="W211">
        <v>67.599999999999994</v>
      </c>
      <c r="X211">
        <v>208</v>
      </c>
      <c r="Y211">
        <v>12.6</v>
      </c>
      <c r="Z211">
        <v>687</v>
      </c>
      <c r="AA211">
        <v>33.200000000000003</v>
      </c>
      <c r="AB211" t="s">
        <v>5841</v>
      </c>
      <c r="AC211">
        <v>44.4</v>
      </c>
    </row>
    <row r="212" spans="1:29">
      <c r="A212">
        <v>211</v>
      </c>
      <c r="B212" t="s">
        <v>5842</v>
      </c>
      <c r="C212" t="s">
        <v>1447</v>
      </c>
      <c r="D212" t="s">
        <v>5843</v>
      </c>
      <c r="E212" t="s">
        <v>1448</v>
      </c>
      <c r="F212" t="s">
        <v>5605</v>
      </c>
      <c r="G212" t="s">
        <v>5594</v>
      </c>
      <c r="H212" t="s">
        <v>5590</v>
      </c>
      <c r="I212">
        <v>5</v>
      </c>
      <c r="J212" t="s">
        <v>5595</v>
      </c>
      <c r="K212">
        <v>66.599999999999994</v>
      </c>
      <c r="L212">
        <v>101</v>
      </c>
      <c r="M212">
        <v>50.1</v>
      </c>
      <c r="N212">
        <v>170</v>
      </c>
      <c r="O212">
        <v>31.5</v>
      </c>
      <c r="P212">
        <v>498</v>
      </c>
      <c r="Q212">
        <v>7</v>
      </c>
      <c r="R212" t="s">
        <v>5613</v>
      </c>
      <c r="S212">
        <v>15</v>
      </c>
      <c r="T212">
        <v>668</v>
      </c>
      <c r="U212">
        <v>2.9</v>
      </c>
      <c r="V212" t="s">
        <v>5613</v>
      </c>
      <c r="W212">
        <v>49.4</v>
      </c>
      <c r="X212">
        <v>318</v>
      </c>
      <c r="Y212">
        <v>87.2</v>
      </c>
      <c r="Z212">
        <v>44</v>
      </c>
      <c r="AA212">
        <v>85.9</v>
      </c>
      <c r="AB212" t="s">
        <v>5704</v>
      </c>
      <c r="AC212">
        <v>44.3</v>
      </c>
    </row>
    <row r="213" spans="1:29">
      <c r="A213">
        <v>212</v>
      </c>
      <c r="B213" t="s">
        <v>5844</v>
      </c>
      <c r="C213" t="s">
        <v>657</v>
      </c>
      <c r="D213" t="s">
        <v>5592</v>
      </c>
      <c r="E213" t="s">
        <v>26</v>
      </c>
      <c r="F213" t="s">
        <v>5593</v>
      </c>
      <c r="G213" t="s">
        <v>5589</v>
      </c>
      <c r="H213" t="s">
        <v>5590</v>
      </c>
      <c r="I213">
        <v>4</v>
      </c>
      <c r="J213" t="s">
        <v>5595</v>
      </c>
      <c r="K213">
        <v>30.5</v>
      </c>
      <c r="L213">
        <v>283</v>
      </c>
      <c r="M213">
        <v>66.8</v>
      </c>
      <c r="N213">
        <v>116</v>
      </c>
      <c r="O213">
        <v>23.6</v>
      </c>
      <c r="P213">
        <v>604</v>
      </c>
      <c r="Q213">
        <v>34.6</v>
      </c>
      <c r="R213">
        <v>392</v>
      </c>
      <c r="S213">
        <v>87.3</v>
      </c>
      <c r="T213">
        <v>198</v>
      </c>
      <c r="U213">
        <v>63.5</v>
      </c>
      <c r="V213">
        <v>237</v>
      </c>
      <c r="W213">
        <v>77.099999999999994</v>
      </c>
      <c r="X213">
        <v>162</v>
      </c>
      <c r="Y213">
        <v>18.8</v>
      </c>
      <c r="Z213">
        <v>446</v>
      </c>
      <c r="AA213">
        <v>63.4</v>
      </c>
      <c r="AB213">
        <v>231</v>
      </c>
      <c r="AC213">
        <v>44.2</v>
      </c>
    </row>
    <row r="214" spans="1:29">
      <c r="A214">
        <v>213</v>
      </c>
      <c r="B214">
        <v>169</v>
      </c>
      <c r="C214" t="s">
        <v>5845</v>
      </c>
      <c r="D214" t="s">
        <v>5639</v>
      </c>
      <c r="E214" t="s">
        <v>99</v>
      </c>
      <c r="F214" t="s">
        <v>5593</v>
      </c>
      <c r="G214" t="s">
        <v>5594</v>
      </c>
      <c r="H214" t="s">
        <v>5590</v>
      </c>
      <c r="I214">
        <v>5</v>
      </c>
      <c r="J214" t="s">
        <v>5595</v>
      </c>
      <c r="K214">
        <v>45.8</v>
      </c>
      <c r="L214">
        <v>180</v>
      </c>
      <c r="M214">
        <v>29.9</v>
      </c>
      <c r="N214">
        <v>325</v>
      </c>
      <c r="O214">
        <v>92.9</v>
      </c>
      <c r="P214">
        <v>71</v>
      </c>
      <c r="Q214">
        <v>19.7</v>
      </c>
      <c r="R214">
        <v>560</v>
      </c>
      <c r="S214">
        <v>67.599999999999994</v>
      </c>
      <c r="T214">
        <v>289</v>
      </c>
      <c r="U214">
        <v>26.7</v>
      </c>
      <c r="V214">
        <v>454</v>
      </c>
      <c r="W214">
        <v>89.9</v>
      </c>
      <c r="X214">
        <v>84</v>
      </c>
      <c r="Y214">
        <v>21.1</v>
      </c>
      <c r="Z214">
        <v>393</v>
      </c>
      <c r="AA214">
        <v>42.3</v>
      </c>
      <c r="AB214" t="s">
        <v>5638</v>
      </c>
      <c r="AC214">
        <v>44.1</v>
      </c>
    </row>
    <row r="215" spans="1:29">
      <c r="A215">
        <v>214</v>
      </c>
      <c r="B215" t="s">
        <v>5846</v>
      </c>
      <c r="C215" t="s">
        <v>1568</v>
      </c>
      <c r="D215" t="s">
        <v>5631</v>
      </c>
      <c r="E215" t="s">
        <v>94</v>
      </c>
      <c r="F215" t="s">
        <v>5605</v>
      </c>
      <c r="G215" t="s">
        <v>5594</v>
      </c>
      <c r="H215" t="s">
        <v>5590</v>
      </c>
      <c r="I215">
        <v>5</v>
      </c>
      <c r="J215" t="s">
        <v>5591</v>
      </c>
      <c r="K215">
        <v>51.4</v>
      </c>
      <c r="L215">
        <v>156</v>
      </c>
      <c r="M215">
        <v>93.5</v>
      </c>
      <c r="N215">
        <v>42</v>
      </c>
      <c r="O215">
        <v>58</v>
      </c>
      <c r="P215">
        <v>246</v>
      </c>
      <c r="Q215">
        <v>6</v>
      </c>
      <c r="R215" t="s">
        <v>5613</v>
      </c>
      <c r="S215">
        <v>9.6</v>
      </c>
      <c r="T215" t="s">
        <v>5613</v>
      </c>
      <c r="U215">
        <v>9.1999999999999993</v>
      </c>
      <c r="V215" t="s">
        <v>5613</v>
      </c>
      <c r="W215">
        <v>9.1999999999999993</v>
      </c>
      <c r="X215">
        <v>689</v>
      </c>
      <c r="Y215">
        <v>79.8</v>
      </c>
      <c r="Z215">
        <v>50</v>
      </c>
      <c r="AA215">
        <v>39.299999999999997</v>
      </c>
      <c r="AB215">
        <v>366</v>
      </c>
      <c r="AC215">
        <v>44</v>
      </c>
    </row>
    <row r="216" spans="1:29">
      <c r="A216">
        <v>215</v>
      </c>
      <c r="B216" t="s">
        <v>5847</v>
      </c>
      <c r="C216" t="s">
        <v>587</v>
      </c>
      <c r="D216" t="s">
        <v>5848</v>
      </c>
      <c r="E216" t="s">
        <v>588</v>
      </c>
      <c r="F216" t="s">
        <v>5593</v>
      </c>
      <c r="G216" t="s">
        <v>5594</v>
      </c>
      <c r="H216" t="s">
        <v>5590</v>
      </c>
      <c r="I216">
        <v>4</v>
      </c>
      <c r="J216" t="s">
        <v>5595</v>
      </c>
      <c r="K216">
        <v>33.200000000000003</v>
      </c>
      <c r="L216">
        <v>264</v>
      </c>
      <c r="M216">
        <v>23.6</v>
      </c>
      <c r="N216">
        <v>407</v>
      </c>
      <c r="O216">
        <v>3.8</v>
      </c>
      <c r="P216" t="s">
        <v>5613</v>
      </c>
      <c r="Q216">
        <v>99.9</v>
      </c>
      <c r="R216">
        <v>11</v>
      </c>
      <c r="S216">
        <v>40.4</v>
      </c>
      <c r="T216">
        <v>410</v>
      </c>
      <c r="U216">
        <v>4.5999999999999996</v>
      </c>
      <c r="V216" t="s">
        <v>5613</v>
      </c>
      <c r="W216">
        <v>39.5</v>
      </c>
      <c r="X216">
        <v>382</v>
      </c>
      <c r="Y216">
        <v>72.900000000000006</v>
      </c>
      <c r="Z216">
        <v>62</v>
      </c>
      <c r="AA216">
        <v>38.4</v>
      </c>
      <c r="AB216" t="s">
        <v>5849</v>
      </c>
      <c r="AC216">
        <v>43.9</v>
      </c>
    </row>
    <row r="217" spans="1:29">
      <c r="A217">
        <v>216</v>
      </c>
      <c r="B217" t="s">
        <v>5840</v>
      </c>
      <c r="C217" t="s">
        <v>462</v>
      </c>
      <c r="D217" t="s">
        <v>5616</v>
      </c>
      <c r="E217" t="s">
        <v>54</v>
      </c>
      <c r="F217" t="s">
        <v>5605</v>
      </c>
      <c r="G217" t="s">
        <v>5594</v>
      </c>
      <c r="H217" t="s">
        <v>5590</v>
      </c>
      <c r="I217">
        <v>5</v>
      </c>
      <c r="J217" t="s">
        <v>5595</v>
      </c>
      <c r="K217">
        <v>34.4</v>
      </c>
      <c r="L217">
        <v>251</v>
      </c>
      <c r="M217">
        <v>13.1</v>
      </c>
      <c r="N217" t="s">
        <v>5737</v>
      </c>
      <c r="O217">
        <v>28.8</v>
      </c>
      <c r="P217">
        <v>534</v>
      </c>
      <c r="Q217">
        <v>91.8</v>
      </c>
      <c r="R217">
        <v>70</v>
      </c>
      <c r="S217">
        <v>56.7</v>
      </c>
      <c r="T217">
        <v>327</v>
      </c>
      <c r="U217">
        <v>32.6</v>
      </c>
      <c r="V217">
        <v>396</v>
      </c>
      <c r="W217">
        <v>21.3</v>
      </c>
      <c r="X217">
        <v>534</v>
      </c>
      <c r="Y217">
        <v>18</v>
      </c>
      <c r="Z217">
        <v>464</v>
      </c>
      <c r="AA217">
        <v>65.400000000000006</v>
      </c>
      <c r="AB217">
        <v>225</v>
      </c>
      <c r="AC217">
        <v>43.5</v>
      </c>
    </row>
    <row r="218" spans="1:29">
      <c r="A218">
        <v>217</v>
      </c>
      <c r="B218">
        <v>202</v>
      </c>
      <c r="C218" t="s">
        <v>1074</v>
      </c>
      <c r="D218" t="s">
        <v>5678</v>
      </c>
      <c r="E218" t="s">
        <v>389</v>
      </c>
      <c r="F218" t="s">
        <v>5593</v>
      </c>
      <c r="G218" t="s">
        <v>5594</v>
      </c>
      <c r="H218" t="s">
        <v>5590</v>
      </c>
      <c r="I218">
        <v>1</v>
      </c>
      <c r="J218" t="s">
        <v>5595</v>
      </c>
      <c r="K218">
        <v>33.299999999999997</v>
      </c>
      <c r="L218">
        <v>262</v>
      </c>
      <c r="M218">
        <v>67.900000000000006</v>
      </c>
      <c r="N218">
        <v>110</v>
      </c>
      <c r="O218">
        <v>53.9</v>
      </c>
      <c r="P218">
        <v>286</v>
      </c>
      <c r="Q218">
        <v>52.1</v>
      </c>
      <c r="R218">
        <v>247</v>
      </c>
      <c r="S218">
        <v>19</v>
      </c>
      <c r="T218">
        <v>601</v>
      </c>
      <c r="U218">
        <v>18.5</v>
      </c>
      <c r="V218">
        <v>566</v>
      </c>
      <c r="W218">
        <v>4.4000000000000004</v>
      </c>
      <c r="X218" t="s">
        <v>5613</v>
      </c>
      <c r="Y218">
        <v>44.6</v>
      </c>
      <c r="Z218">
        <v>160</v>
      </c>
      <c r="AA218">
        <v>54.3</v>
      </c>
      <c r="AB218" t="s">
        <v>5850</v>
      </c>
      <c r="AC218">
        <v>43.3</v>
      </c>
    </row>
    <row r="219" spans="1:29">
      <c r="A219">
        <v>218</v>
      </c>
      <c r="B219" t="s">
        <v>5851</v>
      </c>
      <c r="C219" t="s">
        <v>583</v>
      </c>
      <c r="D219" t="s">
        <v>5592</v>
      </c>
      <c r="E219" t="s">
        <v>26</v>
      </c>
      <c r="F219" t="s">
        <v>5593</v>
      </c>
      <c r="G219" t="s">
        <v>5594</v>
      </c>
      <c r="H219" t="s">
        <v>5590</v>
      </c>
      <c r="I219">
        <v>4</v>
      </c>
      <c r="J219" t="s">
        <v>5595</v>
      </c>
      <c r="K219">
        <v>22.9</v>
      </c>
      <c r="L219">
        <v>380</v>
      </c>
      <c r="M219">
        <v>8.9</v>
      </c>
      <c r="N219" t="s">
        <v>5737</v>
      </c>
      <c r="O219">
        <v>14.6</v>
      </c>
      <c r="P219" t="s">
        <v>5613</v>
      </c>
      <c r="Q219">
        <v>70.900000000000006</v>
      </c>
      <c r="R219">
        <v>142</v>
      </c>
      <c r="S219">
        <v>96.1</v>
      </c>
      <c r="T219">
        <v>137</v>
      </c>
      <c r="U219">
        <v>93</v>
      </c>
      <c r="V219">
        <v>100</v>
      </c>
      <c r="W219">
        <v>62.9</v>
      </c>
      <c r="X219">
        <v>226</v>
      </c>
      <c r="Y219">
        <v>30.6</v>
      </c>
      <c r="Z219">
        <v>251</v>
      </c>
      <c r="AA219">
        <v>97.2</v>
      </c>
      <c r="AB219">
        <v>35</v>
      </c>
      <c r="AC219">
        <v>43.1</v>
      </c>
    </row>
    <row r="220" spans="1:29">
      <c r="A220">
        <v>219</v>
      </c>
      <c r="B220" t="s">
        <v>5852</v>
      </c>
      <c r="C220" t="s">
        <v>5853</v>
      </c>
      <c r="D220" t="s">
        <v>5747</v>
      </c>
      <c r="E220" t="s">
        <v>397</v>
      </c>
      <c r="F220" t="s">
        <v>5605</v>
      </c>
      <c r="G220" t="s">
        <v>5594</v>
      </c>
      <c r="H220" t="s">
        <v>5590</v>
      </c>
      <c r="I220">
        <v>5</v>
      </c>
      <c r="J220" t="s">
        <v>5595</v>
      </c>
      <c r="K220">
        <v>57.3</v>
      </c>
      <c r="L220">
        <v>133</v>
      </c>
      <c r="M220">
        <v>22</v>
      </c>
      <c r="N220">
        <v>428</v>
      </c>
      <c r="O220">
        <v>7.8</v>
      </c>
      <c r="P220" t="s">
        <v>5613</v>
      </c>
      <c r="Q220">
        <v>51.8</v>
      </c>
      <c r="R220">
        <v>250</v>
      </c>
      <c r="S220">
        <v>12.9</v>
      </c>
      <c r="T220" t="s">
        <v>5613</v>
      </c>
      <c r="U220">
        <v>9.4</v>
      </c>
      <c r="V220" t="s">
        <v>5613</v>
      </c>
      <c r="W220">
        <v>91.3</v>
      </c>
      <c r="X220">
        <v>73</v>
      </c>
      <c r="Y220">
        <v>13.8</v>
      </c>
      <c r="Z220">
        <v>620</v>
      </c>
      <c r="AA220">
        <v>95</v>
      </c>
      <c r="AB220">
        <v>55</v>
      </c>
      <c r="AC220">
        <v>43</v>
      </c>
    </row>
    <row r="221" spans="1:29">
      <c r="A221">
        <f>220</f>
        <v>220</v>
      </c>
      <c r="B221" t="s">
        <v>5816</v>
      </c>
      <c r="C221" t="s">
        <v>5854</v>
      </c>
      <c r="D221" t="s">
        <v>5695</v>
      </c>
      <c r="E221" t="s">
        <v>577</v>
      </c>
      <c r="F221" t="s">
        <v>5605</v>
      </c>
      <c r="G221" t="s">
        <v>5594</v>
      </c>
      <c r="H221" t="s">
        <v>5590</v>
      </c>
      <c r="I221">
        <v>4</v>
      </c>
      <c r="J221" t="s">
        <v>5595</v>
      </c>
      <c r="K221">
        <v>70.3</v>
      </c>
      <c r="L221">
        <v>90</v>
      </c>
      <c r="M221">
        <v>50.1</v>
      </c>
      <c r="N221">
        <v>169</v>
      </c>
      <c r="O221">
        <v>13</v>
      </c>
      <c r="P221" t="s">
        <v>5613</v>
      </c>
      <c r="Q221">
        <v>24.9</v>
      </c>
      <c r="R221">
        <v>489</v>
      </c>
      <c r="S221">
        <v>11.7</v>
      </c>
      <c r="T221" t="s">
        <v>5613</v>
      </c>
      <c r="U221">
        <v>2.9</v>
      </c>
      <c r="V221" t="s">
        <v>5613</v>
      </c>
      <c r="W221">
        <v>53.7</v>
      </c>
      <c r="X221">
        <v>294</v>
      </c>
      <c r="Y221">
        <v>9.6</v>
      </c>
      <c r="Z221" t="s">
        <v>5613</v>
      </c>
      <c r="AA221">
        <v>74.8</v>
      </c>
      <c r="AB221" t="s">
        <v>5734</v>
      </c>
      <c r="AC221">
        <v>42.7</v>
      </c>
    </row>
    <row r="222" spans="1:29">
      <c r="A222">
        <f>220</f>
        <v>220</v>
      </c>
      <c r="B222" t="s">
        <v>5811</v>
      </c>
      <c r="C222" t="s">
        <v>363</v>
      </c>
      <c r="D222" t="s">
        <v>5601</v>
      </c>
      <c r="E222" t="s">
        <v>50</v>
      </c>
      <c r="F222" t="s">
        <v>5593</v>
      </c>
      <c r="G222" t="s">
        <v>5602</v>
      </c>
      <c r="H222" t="s">
        <v>5590</v>
      </c>
      <c r="I222">
        <v>5</v>
      </c>
      <c r="J222" t="s">
        <v>5595</v>
      </c>
      <c r="K222">
        <v>29.4</v>
      </c>
      <c r="L222">
        <v>294</v>
      </c>
      <c r="M222">
        <v>15.1</v>
      </c>
      <c r="N222">
        <v>545</v>
      </c>
      <c r="O222">
        <v>36.6</v>
      </c>
      <c r="P222">
        <v>434</v>
      </c>
      <c r="Q222">
        <v>65.099999999999994</v>
      </c>
      <c r="R222">
        <v>173</v>
      </c>
      <c r="S222">
        <v>99.9</v>
      </c>
      <c r="T222">
        <v>77</v>
      </c>
      <c r="U222">
        <v>56.6</v>
      </c>
      <c r="V222">
        <v>263</v>
      </c>
      <c r="W222">
        <v>48</v>
      </c>
      <c r="X222">
        <v>327</v>
      </c>
      <c r="Y222">
        <v>27.9</v>
      </c>
      <c r="Z222">
        <v>290</v>
      </c>
      <c r="AA222">
        <v>61.6</v>
      </c>
      <c r="AB222">
        <v>245</v>
      </c>
      <c r="AC222">
        <v>42.7</v>
      </c>
    </row>
    <row r="223" spans="1:29">
      <c r="A223">
        <f>222</f>
        <v>222</v>
      </c>
      <c r="B223">
        <v>232</v>
      </c>
      <c r="C223" t="s">
        <v>5855</v>
      </c>
      <c r="D223" t="s">
        <v>5652</v>
      </c>
      <c r="E223" t="s">
        <v>144</v>
      </c>
      <c r="F223" t="s">
        <v>5593</v>
      </c>
      <c r="G223" t="s">
        <v>5594</v>
      </c>
      <c r="H223" t="s">
        <v>5590</v>
      </c>
      <c r="I223">
        <v>5</v>
      </c>
      <c r="J223" t="s">
        <v>5595</v>
      </c>
      <c r="K223">
        <v>28.9</v>
      </c>
      <c r="L223">
        <v>302</v>
      </c>
      <c r="M223">
        <v>13.9</v>
      </c>
      <c r="N223">
        <v>585</v>
      </c>
      <c r="O223">
        <v>27.6</v>
      </c>
      <c r="P223">
        <v>551</v>
      </c>
      <c r="Q223">
        <v>74.900000000000006</v>
      </c>
      <c r="R223">
        <v>129</v>
      </c>
      <c r="S223">
        <v>78.3</v>
      </c>
      <c r="T223">
        <v>236</v>
      </c>
      <c r="U223">
        <v>20.2</v>
      </c>
      <c r="V223">
        <v>544</v>
      </c>
      <c r="W223">
        <v>78.8</v>
      </c>
      <c r="X223">
        <v>155</v>
      </c>
      <c r="Y223">
        <v>15.7</v>
      </c>
      <c r="Z223">
        <v>533</v>
      </c>
      <c r="AA223">
        <v>82.7</v>
      </c>
      <c r="AB223" t="s">
        <v>5692</v>
      </c>
      <c r="AC223">
        <v>42.5</v>
      </c>
    </row>
    <row r="224" spans="1:29">
      <c r="A224">
        <f>222</f>
        <v>222</v>
      </c>
      <c r="B224" t="s">
        <v>5787</v>
      </c>
      <c r="C224" t="s">
        <v>5856</v>
      </c>
      <c r="D224" t="s">
        <v>5587</v>
      </c>
      <c r="E224" t="s">
        <v>29</v>
      </c>
      <c r="F224" t="s">
        <v>5593</v>
      </c>
      <c r="G224" t="s">
        <v>5594</v>
      </c>
      <c r="H224" t="s">
        <v>5590</v>
      </c>
      <c r="I224">
        <v>5</v>
      </c>
      <c r="J224" t="s">
        <v>5595</v>
      </c>
      <c r="K224">
        <v>37.9</v>
      </c>
      <c r="L224">
        <v>228</v>
      </c>
      <c r="M224">
        <v>15.2</v>
      </c>
      <c r="N224">
        <v>541</v>
      </c>
      <c r="O224">
        <v>96.1</v>
      </c>
      <c r="P224">
        <v>56</v>
      </c>
      <c r="Q224">
        <v>38.700000000000003</v>
      </c>
      <c r="R224">
        <v>357</v>
      </c>
      <c r="S224">
        <v>7</v>
      </c>
      <c r="T224" t="s">
        <v>5613</v>
      </c>
      <c r="U224">
        <v>14.9</v>
      </c>
      <c r="V224">
        <v>621</v>
      </c>
      <c r="W224">
        <v>81.099999999999994</v>
      </c>
      <c r="X224">
        <v>140</v>
      </c>
      <c r="Y224">
        <v>33.1</v>
      </c>
      <c r="Z224">
        <v>232</v>
      </c>
      <c r="AA224">
        <v>90.5</v>
      </c>
      <c r="AB224">
        <v>91</v>
      </c>
      <c r="AC224">
        <v>42.5</v>
      </c>
    </row>
    <row r="225" spans="1:29">
      <c r="A225">
        <v>224</v>
      </c>
      <c r="B225" t="s">
        <v>5726</v>
      </c>
      <c r="C225" t="s">
        <v>340</v>
      </c>
      <c r="D225" t="s">
        <v>5587</v>
      </c>
      <c r="E225" t="s">
        <v>29</v>
      </c>
      <c r="F225" t="s">
        <v>5588</v>
      </c>
      <c r="G225" t="s">
        <v>5594</v>
      </c>
      <c r="H225" t="s">
        <v>5590</v>
      </c>
      <c r="I225">
        <v>5</v>
      </c>
      <c r="J225" t="s">
        <v>5591</v>
      </c>
      <c r="K225">
        <v>22.1</v>
      </c>
      <c r="L225">
        <v>398</v>
      </c>
      <c r="M225">
        <v>18.399999999999999</v>
      </c>
      <c r="N225">
        <v>477</v>
      </c>
      <c r="O225">
        <v>97.9</v>
      </c>
      <c r="P225">
        <v>48</v>
      </c>
      <c r="Q225">
        <v>51.6</v>
      </c>
      <c r="R225">
        <v>252</v>
      </c>
      <c r="S225">
        <v>71.400000000000006</v>
      </c>
      <c r="T225">
        <v>269</v>
      </c>
      <c r="U225">
        <v>91.7</v>
      </c>
      <c r="V225">
        <v>106</v>
      </c>
      <c r="W225">
        <v>31.3</v>
      </c>
      <c r="X225">
        <v>451</v>
      </c>
      <c r="Y225">
        <v>26.6</v>
      </c>
      <c r="Z225">
        <v>308</v>
      </c>
      <c r="AA225">
        <v>33.200000000000003</v>
      </c>
      <c r="AB225" t="s">
        <v>5841</v>
      </c>
      <c r="AC225">
        <v>42.4</v>
      </c>
    </row>
    <row r="226" spans="1:29">
      <c r="A226">
        <v>225</v>
      </c>
      <c r="B226" t="s">
        <v>5830</v>
      </c>
      <c r="C226" t="s">
        <v>527</v>
      </c>
      <c r="D226" t="s">
        <v>5770</v>
      </c>
      <c r="E226" t="s">
        <v>528</v>
      </c>
      <c r="F226" t="s">
        <v>5615</v>
      </c>
      <c r="G226" t="s">
        <v>5651</v>
      </c>
      <c r="I226">
        <v>5</v>
      </c>
      <c r="J226" t="s">
        <v>5595</v>
      </c>
      <c r="K226">
        <v>41.5</v>
      </c>
      <c r="L226">
        <v>202</v>
      </c>
      <c r="M226">
        <v>20</v>
      </c>
      <c r="N226">
        <v>454</v>
      </c>
      <c r="O226">
        <v>46.4</v>
      </c>
      <c r="P226">
        <v>340</v>
      </c>
      <c r="Q226">
        <v>100</v>
      </c>
      <c r="R226">
        <v>6</v>
      </c>
      <c r="S226">
        <v>4.8</v>
      </c>
      <c r="T226" t="s">
        <v>5613</v>
      </c>
      <c r="U226">
        <v>1.7</v>
      </c>
      <c r="V226" t="s">
        <v>5613</v>
      </c>
      <c r="W226">
        <v>4.4000000000000004</v>
      </c>
      <c r="X226" t="s">
        <v>5613</v>
      </c>
      <c r="Y226">
        <v>13.8</v>
      </c>
      <c r="Z226">
        <v>621</v>
      </c>
      <c r="AA226">
        <v>10.7</v>
      </c>
      <c r="AB226">
        <v>660</v>
      </c>
      <c r="AC226">
        <v>42.1</v>
      </c>
    </row>
    <row r="227" spans="1:29">
      <c r="A227">
        <f>226</f>
        <v>226</v>
      </c>
      <c r="B227">
        <v>252</v>
      </c>
      <c r="C227" t="s">
        <v>1177</v>
      </c>
      <c r="D227" t="s">
        <v>5857</v>
      </c>
      <c r="E227" t="s">
        <v>1178</v>
      </c>
      <c r="F227" t="s">
        <v>5588</v>
      </c>
      <c r="G227" t="s">
        <v>5594</v>
      </c>
      <c r="H227" t="s">
        <v>5590</v>
      </c>
      <c r="I227">
        <v>5</v>
      </c>
      <c r="J227" t="s">
        <v>5591</v>
      </c>
      <c r="K227">
        <v>27.6</v>
      </c>
      <c r="L227">
        <v>316</v>
      </c>
      <c r="M227">
        <v>41.6</v>
      </c>
      <c r="N227">
        <v>225</v>
      </c>
      <c r="O227">
        <v>57.3</v>
      </c>
      <c r="P227">
        <v>254</v>
      </c>
      <c r="Q227">
        <v>24.2</v>
      </c>
      <c r="R227">
        <v>499</v>
      </c>
      <c r="S227">
        <v>67.8</v>
      </c>
      <c r="T227">
        <v>288</v>
      </c>
      <c r="U227">
        <v>46.8</v>
      </c>
      <c r="V227">
        <v>310</v>
      </c>
      <c r="W227">
        <v>35.6</v>
      </c>
      <c r="X227">
        <v>415</v>
      </c>
      <c r="Y227">
        <v>88.5</v>
      </c>
      <c r="Z227">
        <v>40</v>
      </c>
      <c r="AA227">
        <v>93.2</v>
      </c>
      <c r="AB227" t="s">
        <v>5793</v>
      </c>
      <c r="AC227">
        <v>41.9</v>
      </c>
    </row>
    <row r="228" spans="1:29">
      <c r="A228">
        <f>226</f>
        <v>226</v>
      </c>
      <c r="B228" t="s">
        <v>5852</v>
      </c>
      <c r="C228" t="s">
        <v>5858</v>
      </c>
      <c r="D228" t="s">
        <v>5589</v>
      </c>
      <c r="E228" t="s">
        <v>1820</v>
      </c>
      <c r="F228" t="s">
        <v>5605</v>
      </c>
      <c r="G228" t="s">
        <v>5594</v>
      </c>
      <c r="H228" t="s">
        <v>5809</v>
      </c>
      <c r="I228">
        <v>5</v>
      </c>
      <c r="J228" t="s">
        <v>5595</v>
      </c>
      <c r="K228">
        <v>69.5</v>
      </c>
      <c r="L228">
        <v>91</v>
      </c>
      <c r="M228">
        <v>96.8</v>
      </c>
      <c r="N228">
        <v>29</v>
      </c>
      <c r="O228">
        <v>6.1</v>
      </c>
      <c r="P228" t="s">
        <v>5613</v>
      </c>
      <c r="Q228">
        <v>3.5</v>
      </c>
      <c r="R228" t="s">
        <v>5613</v>
      </c>
      <c r="S228">
        <v>6.4</v>
      </c>
      <c r="T228" t="s">
        <v>5613</v>
      </c>
      <c r="U228">
        <v>1.5</v>
      </c>
      <c r="V228" t="s">
        <v>5613</v>
      </c>
      <c r="W228">
        <v>13.3</v>
      </c>
      <c r="X228">
        <v>620</v>
      </c>
      <c r="Y228">
        <v>29.9</v>
      </c>
      <c r="Z228">
        <v>263</v>
      </c>
      <c r="AA228">
        <v>49.7</v>
      </c>
      <c r="AB228" t="s">
        <v>5859</v>
      </c>
      <c r="AC228">
        <v>41.9</v>
      </c>
    </row>
    <row r="229" spans="1:29">
      <c r="A229">
        <v>228</v>
      </c>
      <c r="B229" t="s">
        <v>5842</v>
      </c>
      <c r="C229" t="s">
        <v>5860</v>
      </c>
      <c r="D229" t="s">
        <v>5678</v>
      </c>
      <c r="E229" t="s">
        <v>389</v>
      </c>
      <c r="F229" t="s">
        <v>5593</v>
      </c>
      <c r="G229" t="s">
        <v>5594</v>
      </c>
      <c r="H229" t="s">
        <v>5590</v>
      </c>
      <c r="I229">
        <v>4</v>
      </c>
      <c r="J229" t="s">
        <v>5595</v>
      </c>
      <c r="K229">
        <v>49.4</v>
      </c>
      <c r="L229">
        <v>164</v>
      </c>
      <c r="M229">
        <v>75.599999999999994</v>
      </c>
      <c r="N229">
        <v>82</v>
      </c>
      <c r="O229">
        <v>32.9</v>
      </c>
      <c r="P229">
        <v>482</v>
      </c>
      <c r="Q229">
        <v>21.2</v>
      </c>
      <c r="R229">
        <v>544</v>
      </c>
      <c r="S229">
        <v>23.7</v>
      </c>
      <c r="T229">
        <v>557</v>
      </c>
      <c r="U229">
        <v>15.7</v>
      </c>
      <c r="V229">
        <v>605</v>
      </c>
      <c r="W229">
        <v>10.9</v>
      </c>
      <c r="X229">
        <v>653</v>
      </c>
      <c r="Y229">
        <v>30.2</v>
      </c>
      <c r="Z229">
        <v>257</v>
      </c>
      <c r="AA229">
        <v>78.2</v>
      </c>
      <c r="AB229" t="s">
        <v>5627</v>
      </c>
      <c r="AC229">
        <v>41.8</v>
      </c>
    </row>
    <row r="230" spans="1:29">
      <c r="A230">
        <v>229</v>
      </c>
      <c r="B230" t="s">
        <v>5861</v>
      </c>
      <c r="C230" t="s">
        <v>5862</v>
      </c>
      <c r="D230" t="s">
        <v>5639</v>
      </c>
      <c r="E230" t="s">
        <v>99</v>
      </c>
      <c r="F230" t="s">
        <v>5593</v>
      </c>
      <c r="G230" t="s">
        <v>5594</v>
      </c>
      <c r="H230" t="s">
        <v>5590</v>
      </c>
      <c r="I230">
        <v>5</v>
      </c>
      <c r="J230" t="s">
        <v>5595</v>
      </c>
      <c r="K230">
        <v>25.2</v>
      </c>
      <c r="L230">
        <v>347</v>
      </c>
      <c r="M230">
        <v>20.9</v>
      </c>
      <c r="N230">
        <v>446</v>
      </c>
      <c r="O230">
        <v>2.8</v>
      </c>
      <c r="P230" t="s">
        <v>5613</v>
      </c>
      <c r="Q230">
        <v>95.8</v>
      </c>
      <c r="R230">
        <v>48</v>
      </c>
      <c r="S230">
        <v>26.8</v>
      </c>
      <c r="T230">
        <v>511</v>
      </c>
      <c r="U230">
        <v>39.9</v>
      </c>
      <c r="V230">
        <v>342</v>
      </c>
      <c r="W230">
        <v>75.099999999999994</v>
      </c>
      <c r="X230">
        <v>172</v>
      </c>
      <c r="Y230">
        <v>15.5</v>
      </c>
      <c r="Z230">
        <v>541</v>
      </c>
      <c r="AA230">
        <v>69.900000000000006</v>
      </c>
      <c r="AB230" t="s">
        <v>5764</v>
      </c>
      <c r="AC230">
        <v>41.7</v>
      </c>
    </row>
    <row r="231" spans="1:29">
      <c r="A231">
        <f>230</f>
        <v>230</v>
      </c>
      <c r="B231">
        <v>150</v>
      </c>
      <c r="C231" t="s">
        <v>2631</v>
      </c>
      <c r="D231" t="s">
        <v>5863</v>
      </c>
      <c r="E231" t="s">
        <v>1306</v>
      </c>
      <c r="F231" t="s">
        <v>5593</v>
      </c>
      <c r="G231" t="s">
        <v>5594</v>
      </c>
      <c r="H231" t="s">
        <v>5809</v>
      </c>
      <c r="I231">
        <v>4</v>
      </c>
      <c r="J231" t="s">
        <v>5595</v>
      </c>
      <c r="K231">
        <v>51.4</v>
      </c>
      <c r="L231">
        <v>155</v>
      </c>
      <c r="M231">
        <v>74.900000000000006</v>
      </c>
      <c r="N231">
        <v>85</v>
      </c>
      <c r="O231">
        <v>98.9</v>
      </c>
      <c r="P231">
        <v>38</v>
      </c>
      <c r="Q231">
        <v>1.4</v>
      </c>
      <c r="R231" t="s">
        <v>5613</v>
      </c>
      <c r="S231">
        <v>28.8</v>
      </c>
      <c r="T231">
        <v>497</v>
      </c>
      <c r="U231">
        <v>34</v>
      </c>
      <c r="V231">
        <v>386</v>
      </c>
      <c r="W231">
        <v>12</v>
      </c>
      <c r="X231">
        <v>634</v>
      </c>
      <c r="Y231">
        <v>11.5</v>
      </c>
      <c r="Z231" t="s">
        <v>5613</v>
      </c>
      <c r="AA231">
        <v>5.0999999999999996</v>
      </c>
      <c r="AB231" t="s">
        <v>5613</v>
      </c>
      <c r="AC231">
        <v>41.6</v>
      </c>
    </row>
    <row r="232" spans="1:29">
      <c r="A232">
        <f>230</f>
        <v>230</v>
      </c>
      <c r="B232" t="s">
        <v>5787</v>
      </c>
      <c r="C232" t="s">
        <v>5864</v>
      </c>
      <c r="D232" t="s">
        <v>5865</v>
      </c>
      <c r="E232" t="s">
        <v>608</v>
      </c>
      <c r="F232" t="s">
        <v>5615</v>
      </c>
      <c r="G232" t="s">
        <v>5651</v>
      </c>
      <c r="I232">
        <v>2</v>
      </c>
      <c r="J232" t="s">
        <v>5595</v>
      </c>
      <c r="K232">
        <v>19.7</v>
      </c>
      <c r="L232">
        <v>448</v>
      </c>
      <c r="M232">
        <v>20.399999999999999</v>
      </c>
      <c r="N232">
        <v>451</v>
      </c>
      <c r="O232">
        <v>87.2</v>
      </c>
      <c r="P232">
        <v>98</v>
      </c>
      <c r="Q232">
        <v>48.3</v>
      </c>
      <c r="R232">
        <v>281</v>
      </c>
      <c r="S232">
        <v>100</v>
      </c>
      <c r="T232">
        <v>10</v>
      </c>
      <c r="U232">
        <v>75.3</v>
      </c>
      <c r="V232">
        <v>184</v>
      </c>
      <c r="W232">
        <v>29.6</v>
      </c>
      <c r="X232">
        <v>459</v>
      </c>
      <c r="Y232">
        <v>9</v>
      </c>
      <c r="Z232" t="s">
        <v>5613</v>
      </c>
      <c r="AA232">
        <v>66.5</v>
      </c>
      <c r="AB232" t="s">
        <v>5827</v>
      </c>
      <c r="AC232">
        <v>41.6</v>
      </c>
    </row>
    <row r="233" spans="1:29">
      <c r="A233">
        <v>232</v>
      </c>
      <c r="B233" t="s">
        <v>5718</v>
      </c>
      <c r="C233" t="s">
        <v>5866</v>
      </c>
      <c r="D233" t="s">
        <v>5639</v>
      </c>
      <c r="E233" t="s">
        <v>99</v>
      </c>
      <c r="F233" t="s">
        <v>5593</v>
      </c>
      <c r="G233" t="s">
        <v>5594</v>
      </c>
      <c r="H233" t="s">
        <v>5590</v>
      </c>
      <c r="I233">
        <v>5</v>
      </c>
      <c r="J233" t="s">
        <v>5595</v>
      </c>
      <c r="K233">
        <v>47.4</v>
      </c>
      <c r="L233">
        <v>172</v>
      </c>
      <c r="M233">
        <v>29</v>
      </c>
      <c r="N233">
        <v>338</v>
      </c>
      <c r="O233">
        <v>70.099999999999994</v>
      </c>
      <c r="P233">
        <v>183</v>
      </c>
      <c r="Q233">
        <v>17.7</v>
      </c>
      <c r="R233">
        <v>587</v>
      </c>
      <c r="S233">
        <v>49.5</v>
      </c>
      <c r="T233">
        <v>361</v>
      </c>
      <c r="U233">
        <v>22.5</v>
      </c>
      <c r="V233">
        <v>505</v>
      </c>
      <c r="W233">
        <v>91.8</v>
      </c>
      <c r="X233">
        <v>71</v>
      </c>
      <c r="Y233">
        <v>21.9</v>
      </c>
      <c r="Z233">
        <v>379</v>
      </c>
      <c r="AA233">
        <v>55.5</v>
      </c>
      <c r="AB233">
        <v>274</v>
      </c>
      <c r="AC233">
        <v>41.4</v>
      </c>
    </row>
    <row r="234" spans="1:29">
      <c r="A234">
        <f>233</f>
        <v>233</v>
      </c>
      <c r="B234">
        <v>266</v>
      </c>
      <c r="C234" t="s">
        <v>622</v>
      </c>
      <c r="D234" t="s">
        <v>5612</v>
      </c>
      <c r="E234" t="s">
        <v>116</v>
      </c>
      <c r="F234" t="s">
        <v>5605</v>
      </c>
      <c r="G234" t="s">
        <v>5594</v>
      </c>
      <c r="H234" t="s">
        <v>5590</v>
      </c>
      <c r="I234">
        <v>3</v>
      </c>
      <c r="J234" t="s">
        <v>5595</v>
      </c>
      <c r="K234">
        <v>29.6</v>
      </c>
      <c r="L234">
        <v>291</v>
      </c>
      <c r="M234">
        <v>25.8</v>
      </c>
      <c r="N234">
        <v>373</v>
      </c>
      <c r="O234">
        <v>4.8</v>
      </c>
      <c r="P234" t="s">
        <v>5613</v>
      </c>
      <c r="Q234">
        <v>67.400000000000006</v>
      </c>
      <c r="R234">
        <v>160</v>
      </c>
      <c r="S234">
        <v>96.7</v>
      </c>
      <c r="T234">
        <v>130</v>
      </c>
      <c r="U234">
        <v>59.9</v>
      </c>
      <c r="V234">
        <v>249</v>
      </c>
      <c r="W234">
        <v>51.4</v>
      </c>
      <c r="X234">
        <v>303</v>
      </c>
      <c r="Y234">
        <v>26.2</v>
      </c>
      <c r="Z234">
        <v>312</v>
      </c>
      <c r="AA234">
        <v>54.3</v>
      </c>
      <c r="AB234" t="s">
        <v>5850</v>
      </c>
      <c r="AC234">
        <v>41.3</v>
      </c>
    </row>
    <row r="235" spans="1:29">
      <c r="A235">
        <f>233</f>
        <v>233</v>
      </c>
      <c r="B235">
        <v>177</v>
      </c>
      <c r="C235" t="s">
        <v>1072</v>
      </c>
      <c r="D235" t="s">
        <v>5678</v>
      </c>
      <c r="E235" t="s">
        <v>389</v>
      </c>
      <c r="F235" t="s">
        <v>5593</v>
      </c>
      <c r="G235" t="s">
        <v>5589</v>
      </c>
      <c r="H235" t="s">
        <v>5590</v>
      </c>
      <c r="I235">
        <v>4</v>
      </c>
      <c r="J235" t="s">
        <v>5595</v>
      </c>
      <c r="K235">
        <v>53.1</v>
      </c>
      <c r="L235">
        <v>147</v>
      </c>
      <c r="M235">
        <v>67.7</v>
      </c>
      <c r="N235">
        <v>111</v>
      </c>
      <c r="O235">
        <v>28.3</v>
      </c>
      <c r="P235">
        <v>542</v>
      </c>
      <c r="Q235">
        <v>38.299999999999997</v>
      </c>
      <c r="R235">
        <v>363</v>
      </c>
      <c r="S235">
        <v>16.8</v>
      </c>
      <c r="T235">
        <v>635</v>
      </c>
      <c r="U235">
        <v>20.100000000000001</v>
      </c>
      <c r="V235">
        <v>546</v>
      </c>
      <c r="W235">
        <v>6.7</v>
      </c>
      <c r="X235" t="s">
        <v>5613</v>
      </c>
      <c r="Y235">
        <v>15.9</v>
      </c>
      <c r="Z235">
        <v>525</v>
      </c>
      <c r="AA235">
        <v>30.5</v>
      </c>
      <c r="AB235" t="s">
        <v>5867</v>
      </c>
      <c r="AC235">
        <v>41.3</v>
      </c>
    </row>
    <row r="236" spans="1:29">
      <c r="A236">
        <v>235</v>
      </c>
      <c r="B236" t="s">
        <v>5868</v>
      </c>
      <c r="C236" t="s">
        <v>878</v>
      </c>
      <c r="D236" t="s">
        <v>5592</v>
      </c>
      <c r="E236" t="s">
        <v>26</v>
      </c>
      <c r="F236" t="s">
        <v>5588</v>
      </c>
      <c r="G236" t="s">
        <v>5589</v>
      </c>
      <c r="H236" t="s">
        <v>5590</v>
      </c>
      <c r="I236">
        <v>4</v>
      </c>
      <c r="J236" t="s">
        <v>5595</v>
      </c>
      <c r="K236">
        <v>16.399999999999999</v>
      </c>
      <c r="L236">
        <v>537</v>
      </c>
      <c r="M236">
        <v>21.1</v>
      </c>
      <c r="N236">
        <v>438</v>
      </c>
      <c r="O236">
        <v>18.600000000000001</v>
      </c>
      <c r="P236" t="s">
        <v>5613</v>
      </c>
      <c r="Q236">
        <v>79.400000000000006</v>
      </c>
      <c r="R236">
        <v>113</v>
      </c>
      <c r="S236">
        <v>100</v>
      </c>
      <c r="T236">
        <v>67</v>
      </c>
      <c r="U236">
        <v>97.6</v>
      </c>
      <c r="V236">
        <v>66</v>
      </c>
      <c r="W236">
        <v>40.200000000000003</v>
      </c>
      <c r="X236">
        <v>375</v>
      </c>
      <c r="Y236">
        <v>21.3</v>
      </c>
      <c r="Z236">
        <v>392</v>
      </c>
      <c r="AA236">
        <v>43.5</v>
      </c>
      <c r="AB236" t="s">
        <v>5763</v>
      </c>
      <c r="AC236">
        <v>41.2</v>
      </c>
    </row>
    <row r="237" spans="1:29">
      <c r="A237">
        <v>236</v>
      </c>
      <c r="B237" t="s">
        <v>5869</v>
      </c>
      <c r="C237" t="s">
        <v>5870</v>
      </c>
      <c r="D237" t="s">
        <v>5624</v>
      </c>
      <c r="E237" t="s">
        <v>125</v>
      </c>
      <c r="F237" t="s">
        <v>5605</v>
      </c>
      <c r="G237" t="s">
        <v>5602</v>
      </c>
      <c r="H237" t="s">
        <v>5590</v>
      </c>
      <c r="I237">
        <v>1</v>
      </c>
      <c r="J237" t="s">
        <v>5595</v>
      </c>
      <c r="K237">
        <v>31.6</v>
      </c>
      <c r="L237">
        <v>275</v>
      </c>
      <c r="M237">
        <v>5.9</v>
      </c>
      <c r="N237" t="s">
        <v>5737</v>
      </c>
      <c r="O237">
        <v>9.1999999999999993</v>
      </c>
      <c r="P237" t="s">
        <v>5613</v>
      </c>
      <c r="Q237">
        <v>93.7</v>
      </c>
      <c r="R237">
        <v>61</v>
      </c>
      <c r="S237">
        <v>19.3</v>
      </c>
      <c r="T237">
        <v>598</v>
      </c>
      <c r="U237">
        <v>41.5</v>
      </c>
      <c r="V237">
        <v>336</v>
      </c>
      <c r="W237">
        <v>99.6</v>
      </c>
      <c r="X237">
        <v>11</v>
      </c>
      <c r="Y237">
        <v>11.6</v>
      </c>
      <c r="Z237" t="s">
        <v>5613</v>
      </c>
      <c r="AA237">
        <v>46</v>
      </c>
      <c r="AB237" t="s">
        <v>5749</v>
      </c>
      <c r="AC237">
        <v>41.1</v>
      </c>
    </row>
    <row r="238" spans="1:29">
      <c r="A238">
        <f>237</f>
        <v>237</v>
      </c>
      <c r="B238" t="s">
        <v>5833</v>
      </c>
      <c r="C238" t="s">
        <v>410</v>
      </c>
      <c r="D238" t="s">
        <v>5587</v>
      </c>
      <c r="E238" t="s">
        <v>29</v>
      </c>
      <c r="F238" t="s">
        <v>5588</v>
      </c>
      <c r="G238" t="s">
        <v>5594</v>
      </c>
      <c r="H238" t="s">
        <v>5590</v>
      </c>
      <c r="I238">
        <v>5</v>
      </c>
      <c r="J238" t="s">
        <v>5591</v>
      </c>
      <c r="K238">
        <v>21.1</v>
      </c>
      <c r="L238">
        <v>415</v>
      </c>
      <c r="M238">
        <v>24.2</v>
      </c>
      <c r="N238">
        <v>398</v>
      </c>
      <c r="O238">
        <v>57.9</v>
      </c>
      <c r="P238">
        <v>248</v>
      </c>
      <c r="Q238">
        <v>78.599999999999994</v>
      </c>
      <c r="R238">
        <v>121</v>
      </c>
      <c r="S238">
        <v>5.3</v>
      </c>
      <c r="T238" t="s">
        <v>5613</v>
      </c>
      <c r="U238">
        <v>33.9</v>
      </c>
      <c r="V238">
        <v>388</v>
      </c>
      <c r="W238">
        <v>6.6</v>
      </c>
      <c r="X238" t="s">
        <v>5613</v>
      </c>
      <c r="Y238">
        <v>72.099999999999994</v>
      </c>
      <c r="Z238">
        <v>65</v>
      </c>
      <c r="AA238">
        <v>66.8</v>
      </c>
      <c r="AB238" t="s">
        <v>5813</v>
      </c>
      <c r="AC238">
        <v>40.9</v>
      </c>
    </row>
    <row r="239" spans="1:29">
      <c r="A239">
        <f>237</f>
        <v>237</v>
      </c>
      <c r="B239" t="s">
        <v>5869</v>
      </c>
      <c r="C239" t="s">
        <v>5871</v>
      </c>
      <c r="D239" t="s">
        <v>5872</v>
      </c>
      <c r="E239" t="s">
        <v>1955</v>
      </c>
      <c r="F239" t="s">
        <v>5605</v>
      </c>
      <c r="G239" t="s">
        <v>5594</v>
      </c>
      <c r="H239" t="s">
        <v>5590</v>
      </c>
      <c r="I239">
        <v>4</v>
      </c>
      <c r="J239" t="s">
        <v>5595</v>
      </c>
      <c r="K239">
        <v>50.5</v>
      </c>
      <c r="L239">
        <v>161</v>
      </c>
      <c r="M239">
        <v>73</v>
      </c>
      <c r="N239">
        <v>91</v>
      </c>
      <c r="O239">
        <v>50.4</v>
      </c>
      <c r="P239">
        <v>309</v>
      </c>
      <c r="Q239">
        <v>2</v>
      </c>
      <c r="R239" t="s">
        <v>5613</v>
      </c>
      <c r="S239">
        <v>75.8</v>
      </c>
      <c r="T239">
        <v>249</v>
      </c>
      <c r="U239">
        <v>4.8</v>
      </c>
      <c r="V239" t="s">
        <v>5613</v>
      </c>
      <c r="W239">
        <v>2</v>
      </c>
      <c r="X239" t="s">
        <v>5613</v>
      </c>
      <c r="Y239">
        <v>58.7</v>
      </c>
      <c r="Z239">
        <v>103</v>
      </c>
      <c r="AA239">
        <v>42.3</v>
      </c>
      <c r="AB239" t="s">
        <v>5638</v>
      </c>
      <c r="AC239">
        <v>40.9</v>
      </c>
    </row>
    <row r="240" spans="1:29">
      <c r="A240">
        <f>239</f>
        <v>239</v>
      </c>
      <c r="B240">
        <v>292</v>
      </c>
      <c r="C240" t="s">
        <v>1283</v>
      </c>
      <c r="D240" t="s">
        <v>5676</v>
      </c>
      <c r="E240" t="s">
        <v>380</v>
      </c>
      <c r="F240" t="s">
        <v>5588</v>
      </c>
      <c r="G240" t="s">
        <v>5589</v>
      </c>
      <c r="H240" t="s">
        <v>5590</v>
      </c>
      <c r="I240">
        <v>4</v>
      </c>
      <c r="J240" t="s">
        <v>5595</v>
      </c>
      <c r="K240">
        <v>30.4</v>
      </c>
      <c r="L240">
        <v>286</v>
      </c>
      <c r="M240">
        <v>16</v>
      </c>
      <c r="N240">
        <v>528</v>
      </c>
      <c r="O240">
        <v>43.2</v>
      </c>
      <c r="P240">
        <v>364</v>
      </c>
      <c r="Q240">
        <v>22.7</v>
      </c>
      <c r="R240">
        <v>520</v>
      </c>
      <c r="S240">
        <v>98.2</v>
      </c>
      <c r="T240">
        <v>111</v>
      </c>
      <c r="U240">
        <v>97.9</v>
      </c>
      <c r="V240">
        <v>64</v>
      </c>
      <c r="W240">
        <v>65.2</v>
      </c>
      <c r="X240">
        <v>215</v>
      </c>
      <c r="Y240">
        <v>44.9</v>
      </c>
      <c r="Z240">
        <v>157</v>
      </c>
      <c r="AA240">
        <v>94.7</v>
      </c>
      <c r="AB240" t="s">
        <v>5610</v>
      </c>
      <c r="AC240">
        <v>40.6</v>
      </c>
    </row>
    <row r="241" spans="1:29">
      <c r="A241">
        <f>239</f>
        <v>239</v>
      </c>
      <c r="B241">
        <v>201</v>
      </c>
      <c r="C241" t="s">
        <v>5873</v>
      </c>
      <c r="D241" t="s">
        <v>5639</v>
      </c>
      <c r="E241" t="s">
        <v>99</v>
      </c>
      <c r="F241" t="s">
        <v>5593</v>
      </c>
      <c r="G241" t="s">
        <v>5594</v>
      </c>
      <c r="H241" t="s">
        <v>5590</v>
      </c>
      <c r="I241">
        <v>5</v>
      </c>
      <c r="J241" t="s">
        <v>5595</v>
      </c>
      <c r="K241">
        <v>52.4</v>
      </c>
      <c r="L241">
        <v>151</v>
      </c>
      <c r="M241">
        <v>19.8</v>
      </c>
      <c r="N241">
        <v>458</v>
      </c>
      <c r="O241">
        <v>58</v>
      </c>
      <c r="P241">
        <v>247</v>
      </c>
      <c r="Q241">
        <v>22.1</v>
      </c>
      <c r="R241">
        <v>526</v>
      </c>
      <c r="S241">
        <v>41.5</v>
      </c>
      <c r="T241">
        <v>397</v>
      </c>
      <c r="U241">
        <v>37.5</v>
      </c>
      <c r="V241">
        <v>365</v>
      </c>
      <c r="W241">
        <v>90.7</v>
      </c>
      <c r="X241">
        <v>79</v>
      </c>
      <c r="Y241">
        <v>25.9</v>
      </c>
      <c r="Z241">
        <v>319</v>
      </c>
      <c r="AA241">
        <v>35.200000000000003</v>
      </c>
      <c r="AB241">
        <v>399</v>
      </c>
      <c r="AC241">
        <v>40.6</v>
      </c>
    </row>
    <row r="242" spans="1:29">
      <c r="A242">
        <v>241</v>
      </c>
      <c r="B242" t="s">
        <v>5874</v>
      </c>
      <c r="C242" t="s">
        <v>1154</v>
      </c>
      <c r="D242" t="s">
        <v>5676</v>
      </c>
      <c r="E242" t="s">
        <v>380</v>
      </c>
      <c r="F242" t="s">
        <v>5593</v>
      </c>
      <c r="G242" t="s">
        <v>5589</v>
      </c>
      <c r="H242" t="s">
        <v>5590</v>
      </c>
      <c r="I242">
        <v>4</v>
      </c>
      <c r="J242" t="s">
        <v>5595</v>
      </c>
      <c r="K242">
        <v>44.8</v>
      </c>
      <c r="L242">
        <v>186</v>
      </c>
      <c r="M242">
        <v>25.5</v>
      </c>
      <c r="N242">
        <v>375</v>
      </c>
      <c r="O242">
        <v>9.1</v>
      </c>
      <c r="P242" t="s">
        <v>5613</v>
      </c>
      <c r="Q242">
        <v>32.299999999999997</v>
      </c>
      <c r="R242">
        <v>418</v>
      </c>
      <c r="S242">
        <v>99.5</v>
      </c>
      <c r="T242">
        <v>88</v>
      </c>
      <c r="U242">
        <v>34.6</v>
      </c>
      <c r="V242">
        <v>382</v>
      </c>
      <c r="W242">
        <v>38.1</v>
      </c>
      <c r="X242">
        <v>393</v>
      </c>
      <c r="Y242">
        <v>47</v>
      </c>
      <c r="Z242">
        <v>149</v>
      </c>
      <c r="AA242">
        <v>93.6</v>
      </c>
      <c r="AB242">
        <v>66</v>
      </c>
      <c r="AC242">
        <v>40.5</v>
      </c>
    </row>
    <row r="243" spans="1:29">
      <c r="A243">
        <v>242</v>
      </c>
      <c r="B243">
        <v>316</v>
      </c>
      <c r="C243" t="s">
        <v>651</v>
      </c>
      <c r="D243" t="s">
        <v>5612</v>
      </c>
      <c r="E243" t="s">
        <v>116</v>
      </c>
      <c r="F243" t="s">
        <v>5593</v>
      </c>
      <c r="G243" t="s">
        <v>5589</v>
      </c>
      <c r="H243" t="s">
        <v>5590</v>
      </c>
      <c r="I243">
        <v>4</v>
      </c>
      <c r="J243" t="s">
        <v>5595</v>
      </c>
      <c r="K243">
        <v>22.6</v>
      </c>
      <c r="L243">
        <v>388</v>
      </c>
      <c r="M243">
        <v>20.2</v>
      </c>
      <c r="N243">
        <v>453</v>
      </c>
      <c r="O243">
        <v>6.9</v>
      </c>
      <c r="P243" t="s">
        <v>5613</v>
      </c>
      <c r="Q243">
        <v>77.5</v>
      </c>
      <c r="R243">
        <v>124</v>
      </c>
      <c r="S243">
        <v>94.4</v>
      </c>
      <c r="T243">
        <v>156</v>
      </c>
      <c r="U243">
        <v>98.4</v>
      </c>
      <c r="V243">
        <v>57</v>
      </c>
      <c r="W243">
        <v>45.8</v>
      </c>
      <c r="X243">
        <v>337</v>
      </c>
      <c r="Y243">
        <v>14.3</v>
      </c>
      <c r="Z243">
        <v>591</v>
      </c>
      <c r="AA243">
        <v>28.9</v>
      </c>
      <c r="AB243" t="s">
        <v>5875</v>
      </c>
      <c r="AC243">
        <v>40.299999999999997</v>
      </c>
    </row>
    <row r="244" spans="1:29">
      <c r="A244">
        <v>243</v>
      </c>
      <c r="B244" t="s">
        <v>5876</v>
      </c>
      <c r="C244" t="s">
        <v>630</v>
      </c>
      <c r="D244" t="s">
        <v>5612</v>
      </c>
      <c r="E244" t="s">
        <v>116</v>
      </c>
      <c r="F244" t="s">
        <v>5605</v>
      </c>
      <c r="G244" t="s">
        <v>5594</v>
      </c>
      <c r="H244" t="s">
        <v>5590</v>
      </c>
      <c r="I244">
        <v>4</v>
      </c>
      <c r="J244" t="s">
        <v>5595</v>
      </c>
      <c r="K244">
        <v>26.5</v>
      </c>
      <c r="L244">
        <v>332</v>
      </c>
      <c r="M244">
        <v>16.2</v>
      </c>
      <c r="N244">
        <v>526</v>
      </c>
      <c r="O244">
        <v>7.5</v>
      </c>
      <c r="P244" t="s">
        <v>5613</v>
      </c>
      <c r="Q244">
        <v>65.8</v>
      </c>
      <c r="R244">
        <v>166</v>
      </c>
      <c r="S244">
        <v>100</v>
      </c>
      <c r="T244">
        <v>70</v>
      </c>
      <c r="U244">
        <v>31.7</v>
      </c>
      <c r="V244">
        <v>403</v>
      </c>
      <c r="W244">
        <v>72.7</v>
      </c>
      <c r="X244">
        <v>185</v>
      </c>
      <c r="Y244">
        <v>15.5</v>
      </c>
      <c r="Z244">
        <v>539</v>
      </c>
      <c r="AA244">
        <v>93.3</v>
      </c>
      <c r="AB244">
        <v>69</v>
      </c>
      <c r="AC244">
        <v>40.1</v>
      </c>
    </row>
    <row r="245" spans="1:29">
      <c r="A245">
        <v>244</v>
      </c>
      <c r="B245">
        <v>305</v>
      </c>
      <c r="C245" t="s">
        <v>706</v>
      </c>
      <c r="D245" t="s">
        <v>5592</v>
      </c>
      <c r="E245" t="s">
        <v>26</v>
      </c>
      <c r="F245" t="s">
        <v>5593</v>
      </c>
      <c r="G245" t="s">
        <v>5589</v>
      </c>
      <c r="H245" t="s">
        <v>5590</v>
      </c>
      <c r="I245">
        <v>4</v>
      </c>
      <c r="J245" t="s">
        <v>5595</v>
      </c>
      <c r="K245">
        <v>20.399999999999999</v>
      </c>
      <c r="L245">
        <v>428</v>
      </c>
      <c r="M245">
        <v>23.4</v>
      </c>
      <c r="N245">
        <v>409</v>
      </c>
      <c r="O245">
        <v>23.2</v>
      </c>
      <c r="P245">
        <v>613</v>
      </c>
      <c r="Q245">
        <v>56.2</v>
      </c>
      <c r="R245">
        <v>230</v>
      </c>
      <c r="S245">
        <v>96.8</v>
      </c>
      <c r="T245">
        <v>129</v>
      </c>
      <c r="U245">
        <v>88.3</v>
      </c>
      <c r="V245">
        <v>127</v>
      </c>
      <c r="W245">
        <v>71.099999999999994</v>
      </c>
      <c r="X245">
        <v>192</v>
      </c>
      <c r="Y245">
        <v>16.8</v>
      </c>
      <c r="Z245">
        <v>503</v>
      </c>
      <c r="AA245">
        <v>57.7</v>
      </c>
      <c r="AB245" t="s">
        <v>5877</v>
      </c>
      <c r="AC245">
        <v>39.9</v>
      </c>
    </row>
    <row r="246" spans="1:29">
      <c r="A246">
        <v>245</v>
      </c>
      <c r="B246" t="s">
        <v>5878</v>
      </c>
      <c r="C246" t="s">
        <v>5879</v>
      </c>
      <c r="D246" t="s">
        <v>5587</v>
      </c>
      <c r="E246" t="s">
        <v>29</v>
      </c>
      <c r="F246" t="s">
        <v>5593</v>
      </c>
      <c r="G246" t="s">
        <v>5589</v>
      </c>
      <c r="H246" t="s">
        <v>5590</v>
      </c>
      <c r="I246">
        <v>5</v>
      </c>
      <c r="J246" t="s">
        <v>5595</v>
      </c>
      <c r="K246">
        <v>39.5</v>
      </c>
      <c r="L246">
        <v>218</v>
      </c>
      <c r="M246">
        <v>11.9</v>
      </c>
      <c r="N246" t="s">
        <v>5737</v>
      </c>
      <c r="O246">
        <v>10.7</v>
      </c>
      <c r="P246" t="s">
        <v>5613</v>
      </c>
      <c r="Q246">
        <v>57.6</v>
      </c>
      <c r="R246">
        <v>225</v>
      </c>
      <c r="S246">
        <v>71</v>
      </c>
      <c r="T246">
        <v>271</v>
      </c>
      <c r="U246">
        <v>23.8</v>
      </c>
      <c r="V246">
        <v>490</v>
      </c>
      <c r="W246">
        <v>52</v>
      </c>
      <c r="X246">
        <v>301</v>
      </c>
      <c r="Y246">
        <v>27.7</v>
      </c>
      <c r="Z246">
        <v>292</v>
      </c>
      <c r="AA246">
        <v>93.5</v>
      </c>
      <c r="AB246">
        <v>67</v>
      </c>
      <c r="AC246">
        <v>39.799999999999997</v>
      </c>
    </row>
    <row r="247" spans="1:29">
      <c r="A247">
        <f>246</f>
        <v>246</v>
      </c>
      <c r="B247" t="s">
        <v>5874</v>
      </c>
      <c r="C247" t="s">
        <v>714</v>
      </c>
      <c r="D247" t="s">
        <v>5639</v>
      </c>
      <c r="E247" t="s">
        <v>99</v>
      </c>
      <c r="F247" t="s">
        <v>5593</v>
      </c>
      <c r="G247" t="s">
        <v>5602</v>
      </c>
      <c r="H247" t="s">
        <v>5590</v>
      </c>
      <c r="I247">
        <v>5</v>
      </c>
      <c r="J247" t="s">
        <v>5595</v>
      </c>
      <c r="K247">
        <v>21</v>
      </c>
      <c r="L247">
        <v>417</v>
      </c>
      <c r="M247">
        <v>37.5</v>
      </c>
      <c r="N247">
        <v>263</v>
      </c>
      <c r="O247">
        <v>6.2</v>
      </c>
      <c r="P247" t="s">
        <v>5613</v>
      </c>
      <c r="Q247">
        <v>79</v>
      </c>
      <c r="R247">
        <v>117</v>
      </c>
      <c r="S247">
        <v>62.6</v>
      </c>
      <c r="T247">
        <v>310</v>
      </c>
      <c r="U247">
        <v>74.599999999999994</v>
      </c>
      <c r="V247">
        <v>188</v>
      </c>
      <c r="W247">
        <v>32.5</v>
      </c>
      <c r="X247">
        <v>439</v>
      </c>
      <c r="Y247">
        <v>33.5</v>
      </c>
      <c r="Z247">
        <v>229</v>
      </c>
      <c r="AA247">
        <v>19.899999999999999</v>
      </c>
      <c r="AB247" t="s">
        <v>5880</v>
      </c>
      <c r="AC247">
        <v>39.700000000000003</v>
      </c>
    </row>
    <row r="248" spans="1:29">
      <c r="A248">
        <f>246</f>
        <v>246</v>
      </c>
      <c r="B248">
        <v>200</v>
      </c>
      <c r="C248" t="s">
        <v>5881</v>
      </c>
      <c r="D248" t="s">
        <v>5639</v>
      </c>
      <c r="E248" t="s">
        <v>99</v>
      </c>
      <c r="F248" t="s">
        <v>5593</v>
      </c>
      <c r="G248" t="s">
        <v>5594</v>
      </c>
      <c r="H248" t="s">
        <v>5590</v>
      </c>
      <c r="I248">
        <v>5</v>
      </c>
      <c r="J248" t="s">
        <v>5595</v>
      </c>
      <c r="K248">
        <v>37.5</v>
      </c>
      <c r="L248">
        <v>231</v>
      </c>
      <c r="M248">
        <v>37.700000000000003</v>
      </c>
      <c r="N248">
        <v>258</v>
      </c>
      <c r="O248">
        <v>91.2</v>
      </c>
      <c r="P248">
        <v>79</v>
      </c>
      <c r="Q248">
        <v>14.8</v>
      </c>
      <c r="R248">
        <v>639</v>
      </c>
      <c r="S248">
        <v>46.2</v>
      </c>
      <c r="T248">
        <v>373</v>
      </c>
      <c r="U248">
        <v>35.200000000000003</v>
      </c>
      <c r="V248">
        <v>379</v>
      </c>
      <c r="W248">
        <v>87.4</v>
      </c>
      <c r="X248">
        <v>98</v>
      </c>
      <c r="Y248">
        <v>11.2</v>
      </c>
      <c r="Z248" t="s">
        <v>5613</v>
      </c>
      <c r="AA248">
        <v>30.7</v>
      </c>
      <c r="AB248" t="s">
        <v>5825</v>
      </c>
      <c r="AC248">
        <v>39.700000000000003</v>
      </c>
    </row>
    <row r="249" spans="1:29">
      <c r="A249">
        <f>248</f>
        <v>248</v>
      </c>
      <c r="B249" t="s">
        <v>5727</v>
      </c>
      <c r="C249" t="s">
        <v>983</v>
      </c>
      <c r="D249" t="s">
        <v>5882</v>
      </c>
      <c r="E249" t="s">
        <v>984</v>
      </c>
      <c r="F249" t="s">
        <v>5605</v>
      </c>
      <c r="G249" t="s">
        <v>5594</v>
      </c>
      <c r="H249" t="s">
        <v>5590</v>
      </c>
      <c r="I249">
        <v>5</v>
      </c>
      <c r="J249" t="s">
        <v>5595</v>
      </c>
      <c r="K249">
        <v>45.5</v>
      </c>
      <c r="L249">
        <v>183</v>
      </c>
      <c r="M249">
        <v>43.5</v>
      </c>
      <c r="N249">
        <v>210</v>
      </c>
      <c r="O249">
        <v>34.799999999999997</v>
      </c>
      <c r="P249">
        <v>456</v>
      </c>
      <c r="Q249">
        <v>9.4</v>
      </c>
      <c r="R249" t="s">
        <v>5613</v>
      </c>
      <c r="S249">
        <v>24.8</v>
      </c>
      <c r="T249">
        <v>539</v>
      </c>
      <c r="U249">
        <v>51.2</v>
      </c>
      <c r="V249">
        <v>283</v>
      </c>
      <c r="W249">
        <v>90.9</v>
      </c>
      <c r="X249">
        <v>77</v>
      </c>
      <c r="Y249">
        <v>27.6</v>
      </c>
      <c r="Z249">
        <v>294</v>
      </c>
      <c r="AA249">
        <v>83.9</v>
      </c>
      <c r="AB249">
        <v>125</v>
      </c>
      <c r="AC249">
        <v>39.6</v>
      </c>
    </row>
    <row r="250" spans="1:29">
      <c r="A250">
        <f>248</f>
        <v>248</v>
      </c>
      <c r="B250">
        <v>280</v>
      </c>
      <c r="C250" t="s">
        <v>408</v>
      </c>
      <c r="D250" t="s">
        <v>5667</v>
      </c>
      <c r="E250" t="s">
        <v>137</v>
      </c>
      <c r="F250" t="s">
        <v>5593</v>
      </c>
      <c r="G250" t="s">
        <v>5594</v>
      </c>
      <c r="H250" t="s">
        <v>5590</v>
      </c>
      <c r="I250">
        <v>2</v>
      </c>
      <c r="J250" t="s">
        <v>5595</v>
      </c>
      <c r="K250">
        <v>23.7</v>
      </c>
      <c r="L250">
        <v>362</v>
      </c>
      <c r="M250">
        <v>11.8</v>
      </c>
      <c r="N250" t="s">
        <v>5737</v>
      </c>
      <c r="O250">
        <v>45.3</v>
      </c>
      <c r="P250">
        <v>349</v>
      </c>
      <c r="Q250">
        <v>49.2</v>
      </c>
      <c r="R250">
        <v>272</v>
      </c>
      <c r="S250">
        <v>90.9</v>
      </c>
      <c r="T250">
        <v>177</v>
      </c>
      <c r="U250">
        <v>32.299999999999997</v>
      </c>
      <c r="V250">
        <v>397</v>
      </c>
      <c r="W250">
        <v>90</v>
      </c>
      <c r="X250">
        <v>81</v>
      </c>
      <c r="Y250">
        <v>29.6</v>
      </c>
      <c r="Z250">
        <v>268</v>
      </c>
      <c r="AA250">
        <v>80.400000000000006</v>
      </c>
      <c r="AB250" t="s">
        <v>5625</v>
      </c>
      <c r="AC250">
        <v>39.6</v>
      </c>
    </row>
    <row r="251" spans="1:29">
      <c r="A251">
        <v>250</v>
      </c>
      <c r="B251">
        <v>331</v>
      </c>
      <c r="C251" t="s">
        <v>1158</v>
      </c>
      <c r="D251" t="s">
        <v>5676</v>
      </c>
      <c r="E251" t="s">
        <v>380</v>
      </c>
      <c r="F251" t="s">
        <v>5588</v>
      </c>
      <c r="G251" t="s">
        <v>5589</v>
      </c>
      <c r="H251" t="s">
        <v>5590</v>
      </c>
      <c r="I251">
        <v>4</v>
      </c>
      <c r="J251" t="s">
        <v>5595</v>
      </c>
      <c r="K251">
        <v>18.399999999999999</v>
      </c>
      <c r="L251">
        <v>484</v>
      </c>
      <c r="M251">
        <v>13.2</v>
      </c>
      <c r="N251" t="s">
        <v>5737</v>
      </c>
      <c r="O251">
        <v>11.3</v>
      </c>
      <c r="P251" t="s">
        <v>5613</v>
      </c>
      <c r="Q251">
        <v>75</v>
      </c>
      <c r="R251">
        <v>128</v>
      </c>
      <c r="S251">
        <v>99.3</v>
      </c>
      <c r="T251">
        <v>91</v>
      </c>
      <c r="U251">
        <v>73.3</v>
      </c>
      <c r="V251">
        <v>192</v>
      </c>
      <c r="W251">
        <v>17.5</v>
      </c>
      <c r="X251">
        <v>568</v>
      </c>
      <c r="Y251">
        <v>44.5</v>
      </c>
      <c r="Z251">
        <v>162</v>
      </c>
      <c r="AA251">
        <v>79.8</v>
      </c>
      <c r="AB251" t="s">
        <v>5883</v>
      </c>
      <c r="AC251">
        <v>39.5</v>
      </c>
    </row>
    <row r="252" spans="1:29">
      <c r="A252">
        <v>251</v>
      </c>
      <c r="B252" t="s">
        <v>5814</v>
      </c>
      <c r="C252" t="s">
        <v>5884</v>
      </c>
      <c r="D252" t="s">
        <v>5848</v>
      </c>
      <c r="E252" t="s">
        <v>588</v>
      </c>
      <c r="F252" t="s">
        <v>5593</v>
      </c>
      <c r="G252" t="s">
        <v>5594</v>
      </c>
      <c r="H252" t="s">
        <v>5590</v>
      </c>
      <c r="I252">
        <v>5</v>
      </c>
      <c r="J252" t="s">
        <v>5595</v>
      </c>
      <c r="K252">
        <v>34.299999999999997</v>
      </c>
      <c r="L252">
        <v>252</v>
      </c>
      <c r="M252">
        <v>29.1</v>
      </c>
      <c r="N252">
        <v>334</v>
      </c>
      <c r="O252">
        <v>81.2</v>
      </c>
      <c r="P252">
        <v>135</v>
      </c>
      <c r="Q252">
        <v>22.5</v>
      </c>
      <c r="R252">
        <v>521</v>
      </c>
      <c r="S252">
        <v>54.7</v>
      </c>
      <c r="T252">
        <v>338</v>
      </c>
      <c r="U252">
        <v>16</v>
      </c>
      <c r="V252">
        <v>600</v>
      </c>
      <c r="W252">
        <v>37.1</v>
      </c>
      <c r="X252">
        <v>400</v>
      </c>
      <c r="Y252">
        <v>77.7</v>
      </c>
      <c r="Z252">
        <v>54</v>
      </c>
      <c r="AA252">
        <v>50.9</v>
      </c>
      <c r="AB252" t="s">
        <v>5885</v>
      </c>
      <c r="AC252">
        <v>39.299999999999997</v>
      </c>
    </row>
    <row r="253" spans="1:29">
      <c r="A253">
        <v>252</v>
      </c>
      <c r="B253" t="s">
        <v>5886</v>
      </c>
      <c r="C253" t="s">
        <v>5887</v>
      </c>
      <c r="D253" t="s">
        <v>5747</v>
      </c>
      <c r="E253" t="s">
        <v>397</v>
      </c>
      <c r="F253" t="s">
        <v>5605</v>
      </c>
      <c r="G253" t="s">
        <v>5602</v>
      </c>
      <c r="H253" t="s">
        <v>5590</v>
      </c>
      <c r="I253">
        <v>5</v>
      </c>
      <c r="J253" t="s">
        <v>5595</v>
      </c>
      <c r="K253">
        <v>38.5</v>
      </c>
      <c r="L253">
        <v>225</v>
      </c>
      <c r="M253">
        <v>44.9</v>
      </c>
      <c r="N253">
        <v>194</v>
      </c>
      <c r="O253">
        <v>2.4</v>
      </c>
      <c r="P253" t="s">
        <v>5613</v>
      </c>
      <c r="Q253">
        <v>57.9</v>
      </c>
      <c r="R253">
        <v>222</v>
      </c>
      <c r="S253">
        <v>4.0999999999999996</v>
      </c>
      <c r="T253" t="s">
        <v>5613</v>
      </c>
      <c r="U253">
        <v>46.7</v>
      </c>
      <c r="V253">
        <v>313</v>
      </c>
      <c r="W253">
        <v>49.9</v>
      </c>
      <c r="X253">
        <v>313</v>
      </c>
      <c r="Y253">
        <v>21.3</v>
      </c>
      <c r="Z253">
        <v>391</v>
      </c>
      <c r="AA253">
        <v>57.4</v>
      </c>
      <c r="AB253" t="s">
        <v>5888</v>
      </c>
      <c r="AC253">
        <v>39.200000000000003</v>
      </c>
    </row>
    <row r="254" spans="1:29">
      <c r="A254">
        <v>253</v>
      </c>
      <c r="B254">
        <v>274</v>
      </c>
      <c r="C254" t="s">
        <v>1095</v>
      </c>
      <c r="D254" t="s">
        <v>5889</v>
      </c>
      <c r="E254" t="s">
        <v>992</v>
      </c>
      <c r="F254" t="s">
        <v>5605</v>
      </c>
      <c r="G254" t="s">
        <v>5594</v>
      </c>
      <c r="H254" t="s">
        <v>5590</v>
      </c>
      <c r="I254">
        <v>5</v>
      </c>
      <c r="J254" t="s">
        <v>5595</v>
      </c>
      <c r="K254">
        <v>39.799999999999997</v>
      </c>
      <c r="L254">
        <v>214</v>
      </c>
      <c r="M254">
        <v>22.9</v>
      </c>
      <c r="N254">
        <v>414</v>
      </c>
      <c r="O254">
        <v>11.1</v>
      </c>
      <c r="P254" t="s">
        <v>5613</v>
      </c>
      <c r="Q254">
        <v>58.1</v>
      </c>
      <c r="R254">
        <v>219</v>
      </c>
      <c r="S254">
        <v>7.3</v>
      </c>
      <c r="T254" t="s">
        <v>5613</v>
      </c>
      <c r="U254">
        <v>18.7</v>
      </c>
      <c r="V254">
        <v>564</v>
      </c>
      <c r="W254">
        <v>93.8</v>
      </c>
      <c r="X254">
        <v>60</v>
      </c>
      <c r="Y254">
        <v>17.600000000000001</v>
      </c>
      <c r="Z254">
        <v>473</v>
      </c>
      <c r="AA254">
        <v>77.3</v>
      </c>
      <c r="AB254" t="s">
        <v>5660</v>
      </c>
      <c r="AC254">
        <v>39</v>
      </c>
    </row>
    <row r="255" spans="1:29">
      <c r="A255">
        <v>254</v>
      </c>
      <c r="B255">
        <v>304</v>
      </c>
      <c r="C255" t="s">
        <v>478</v>
      </c>
      <c r="D255" t="s">
        <v>5890</v>
      </c>
      <c r="E255" t="s">
        <v>5891</v>
      </c>
      <c r="F255" t="s">
        <v>5588</v>
      </c>
      <c r="G255" t="s">
        <v>5602</v>
      </c>
      <c r="H255" t="s">
        <v>5590</v>
      </c>
      <c r="I255">
        <v>3</v>
      </c>
      <c r="J255" t="s">
        <v>5595</v>
      </c>
      <c r="K255">
        <v>10.6</v>
      </c>
      <c r="L255" t="s">
        <v>5737</v>
      </c>
      <c r="M255">
        <v>14.2</v>
      </c>
      <c r="N255">
        <v>575</v>
      </c>
      <c r="O255">
        <v>12.2</v>
      </c>
      <c r="P255" t="s">
        <v>5613</v>
      </c>
      <c r="Q255">
        <v>96.9</v>
      </c>
      <c r="R255">
        <v>43</v>
      </c>
      <c r="S255">
        <v>100</v>
      </c>
      <c r="T255">
        <v>18</v>
      </c>
      <c r="U255">
        <v>99.3</v>
      </c>
      <c r="V255">
        <v>49</v>
      </c>
      <c r="W255">
        <v>11.4</v>
      </c>
      <c r="X255">
        <v>646</v>
      </c>
      <c r="Y255">
        <v>41.6</v>
      </c>
      <c r="Z255">
        <v>177</v>
      </c>
      <c r="AA255">
        <v>4.3</v>
      </c>
      <c r="AB255" t="s">
        <v>5613</v>
      </c>
      <c r="AC255">
        <v>38.9</v>
      </c>
    </row>
    <row r="256" spans="1:29">
      <c r="A256">
        <v>255</v>
      </c>
      <c r="B256">
        <v>176</v>
      </c>
      <c r="C256" t="s">
        <v>414</v>
      </c>
      <c r="D256" t="s">
        <v>5587</v>
      </c>
      <c r="E256" t="s">
        <v>29</v>
      </c>
      <c r="F256" t="s">
        <v>5588</v>
      </c>
      <c r="G256" t="s">
        <v>5594</v>
      </c>
      <c r="H256" t="s">
        <v>5590</v>
      </c>
      <c r="I256">
        <v>4</v>
      </c>
      <c r="J256" t="s">
        <v>5591</v>
      </c>
      <c r="K256">
        <v>18.399999999999999</v>
      </c>
      <c r="L256">
        <v>486</v>
      </c>
      <c r="M256">
        <v>17.100000000000001</v>
      </c>
      <c r="N256">
        <v>507</v>
      </c>
      <c r="O256">
        <v>83</v>
      </c>
      <c r="P256">
        <v>118</v>
      </c>
      <c r="Q256">
        <v>63.9</v>
      </c>
      <c r="R256">
        <v>185</v>
      </c>
      <c r="S256">
        <v>38.200000000000003</v>
      </c>
      <c r="T256">
        <v>420</v>
      </c>
      <c r="U256">
        <v>68.3</v>
      </c>
      <c r="V256">
        <v>216</v>
      </c>
      <c r="W256">
        <v>21</v>
      </c>
      <c r="X256">
        <v>537</v>
      </c>
      <c r="Y256">
        <v>27</v>
      </c>
      <c r="Z256">
        <v>301</v>
      </c>
      <c r="AA256">
        <v>34.6</v>
      </c>
      <c r="AB256" t="s">
        <v>5892</v>
      </c>
      <c r="AC256">
        <v>38.799999999999997</v>
      </c>
    </row>
    <row r="257" spans="1:29">
      <c r="A257">
        <f>256</f>
        <v>256</v>
      </c>
      <c r="B257" t="s">
        <v>5813</v>
      </c>
      <c r="C257" t="s">
        <v>428</v>
      </c>
      <c r="D257" t="s">
        <v>5616</v>
      </c>
      <c r="E257" t="s">
        <v>54</v>
      </c>
      <c r="F257" t="s">
        <v>5593</v>
      </c>
      <c r="G257" t="s">
        <v>5602</v>
      </c>
      <c r="H257" t="s">
        <v>5590</v>
      </c>
      <c r="I257">
        <v>4</v>
      </c>
      <c r="J257" t="s">
        <v>5595</v>
      </c>
      <c r="K257">
        <v>28.6</v>
      </c>
      <c r="L257">
        <v>306</v>
      </c>
      <c r="M257">
        <v>14.9</v>
      </c>
      <c r="N257">
        <v>552</v>
      </c>
      <c r="O257">
        <v>41.6</v>
      </c>
      <c r="P257">
        <v>378</v>
      </c>
      <c r="Q257">
        <v>98.8</v>
      </c>
      <c r="R257">
        <v>24</v>
      </c>
      <c r="S257">
        <v>8.6</v>
      </c>
      <c r="T257" t="s">
        <v>5613</v>
      </c>
      <c r="U257">
        <v>8.4</v>
      </c>
      <c r="V257" t="s">
        <v>5613</v>
      </c>
      <c r="W257">
        <v>23.2</v>
      </c>
      <c r="X257">
        <v>517</v>
      </c>
      <c r="Y257">
        <v>20.3</v>
      </c>
      <c r="Z257">
        <v>412</v>
      </c>
      <c r="AA257">
        <v>15.4</v>
      </c>
      <c r="AB257" t="s">
        <v>5893</v>
      </c>
      <c r="AC257">
        <v>38.700000000000003</v>
      </c>
    </row>
    <row r="258" spans="1:29">
      <c r="A258">
        <f>256</f>
        <v>256</v>
      </c>
      <c r="B258">
        <v>278</v>
      </c>
      <c r="C258" t="s">
        <v>5894</v>
      </c>
      <c r="D258" t="s">
        <v>5652</v>
      </c>
      <c r="E258" t="s">
        <v>144</v>
      </c>
      <c r="F258" t="s">
        <v>5593</v>
      </c>
      <c r="G258" t="s">
        <v>5602</v>
      </c>
      <c r="H258" t="s">
        <v>5590</v>
      </c>
      <c r="I258">
        <v>3</v>
      </c>
      <c r="J258" t="s">
        <v>5595</v>
      </c>
      <c r="K258">
        <v>23.4</v>
      </c>
      <c r="L258">
        <v>369</v>
      </c>
      <c r="M258">
        <v>22.3</v>
      </c>
      <c r="N258">
        <v>422</v>
      </c>
      <c r="O258">
        <v>12.8</v>
      </c>
      <c r="P258" t="s">
        <v>5613</v>
      </c>
      <c r="Q258">
        <v>62.7</v>
      </c>
      <c r="R258">
        <v>193</v>
      </c>
      <c r="S258">
        <v>99.5</v>
      </c>
      <c r="T258">
        <v>90</v>
      </c>
      <c r="U258">
        <v>100</v>
      </c>
      <c r="V258">
        <v>17</v>
      </c>
      <c r="W258">
        <v>46.5</v>
      </c>
      <c r="X258">
        <v>333</v>
      </c>
      <c r="Y258">
        <v>27</v>
      </c>
      <c r="Z258">
        <v>302</v>
      </c>
      <c r="AA258">
        <v>13.7</v>
      </c>
      <c r="AB258" t="s">
        <v>5895</v>
      </c>
      <c r="AC258">
        <v>38.700000000000003</v>
      </c>
    </row>
    <row r="259" spans="1:29">
      <c r="A259">
        <f>256</f>
        <v>256</v>
      </c>
      <c r="B259">
        <v>284</v>
      </c>
      <c r="C259" t="s">
        <v>5896</v>
      </c>
      <c r="D259" t="s">
        <v>5676</v>
      </c>
      <c r="E259" t="s">
        <v>380</v>
      </c>
      <c r="F259" t="s">
        <v>5593</v>
      </c>
      <c r="G259" t="s">
        <v>5589</v>
      </c>
      <c r="H259" t="s">
        <v>5590</v>
      </c>
      <c r="I259">
        <v>4</v>
      </c>
      <c r="J259" t="s">
        <v>5595</v>
      </c>
      <c r="K259">
        <v>33.799999999999997</v>
      </c>
      <c r="L259">
        <v>257</v>
      </c>
      <c r="M259">
        <v>33.1</v>
      </c>
      <c r="N259">
        <v>299</v>
      </c>
      <c r="O259">
        <v>10.9</v>
      </c>
      <c r="P259" t="s">
        <v>5613</v>
      </c>
      <c r="Q259">
        <v>32.799999999999997</v>
      </c>
      <c r="R259">
        <v>414</v>
      </c>
      <c r="S259">
        <v>99.8</v>
      </c>
      <c r="T259">
        <v>81</v>
      </c>
      <c r="U259">
        <v>35.299999999999997</v>
      </c>
      <c r="V259">
        <v>378</v>
      </c>
      <c r="W259">
        <v>21.9</v>
      </c>
      <c r="X259">
        <v>529</v>
      </c>
      <c r="Y259">
        <v>62.6</v>
      </c>
      <c r="Z259">
        <v>93</v>
      </c>
      <c r="AA259">
        <v>97.1</v>
      </c>
      <c r="AB259" t="s">
        <v>5733</v>
      </c>
      <c r="AC259">
        <v>38.700000000000003</v>
      </c>
    </row>
    <row r="260" spans="1:29">
      <c r="A260">
        <v>259</v>
      </c>
      <c r="B260">
        <v>251</v>
      </c>
      <c r="C260" t="s">
        <v>598</v>
      </c>
      <c r="D260" t="s">
        <v>5667</v>
      </c>
      <c r="E260" t="s">
        <v>137</v>
      </c>
      <c r="F260" t="s">
        <v>5593</v>
      </c>
      <c r="G260" t="s">
        <v>5594</v>
      </c>
      <c r="H260" t="s">
        <v>5590</v>
      </c>
      <c r="I260">
        <v>4</v>
      </c>
      <c r="J260" t="s">
        <v>5595</v>
      </c>
      <c r="K260">
        <v>23.1</v>
      </c>
      <c r="L260">
        <v>373</v>
      </c>
      <c r="M260">
        <v>16.8</v>
      </c>
      <c r="N260">
        <v>512</v>
      </c>
      <c r="O260">
        <v>75.900000000000006</v>
      </c>
      <c r="P260">
        <v>160</v>
      </c>
      <c r="Q260">
        <v>22</v>
      </c>
      <c r="R260">
        <v>527</v>
      </c>
      <c r="S260">
        <v>93.6</v>
      </c>
      <c r="T260">
        <v>158</v>
      </c>
      <c r="U260">
        <v>59.2</v>
      </c>
      <c r="V260">
        <v>252</v>
      </c>
      <c r="W260">
        <v>88.4</v>
      </c>
      <c r="X260">
        <v>94</v>
      </c>
      <c r="Y260">
        <v>31.1</v>
      </c>
      <c r="Z260">
        <v>244</v>
      </c>
      <c r="AA260">
        <v>67.400000000000006</v>
      </c>
      <c r="AB260" t="s">
        <v>5718</v>
      </c>
      <c r="AC260">
        <v>38.6</v>
      </c>
    </row>
    <row r="261" spans="1:29">
      <c r="A261">
        <v>260</v>
      </c>
      <c r="B261" t="s">
        <v>5878</v>
      </c>
      <c r="C261" t="s">
        <v>5897</v>
      </c>
      <c r="D261" t="s">
        <v>5587</v>
      </c>
      <c r="E261" t="s">
        <v>29</v>
      </c>
      <c r="F261" t="s">
        <v>5593</v>
      </c>
      <c r="G261" t="s">
        <v>5594</v>
      </c>
      <c r="H261" t="s">
        <v>5590</v>
      </c>
      <c r="I261">
        <v>5</v>
      </c>
      <c r="J261" t="s">
        <v>5595</v>
      </c>
      <c r="K261">
        <v>35.6</v>
      </c>
      <c r="L261">
        <v>243</v>
      </c>
      <c r="M261">
        <v>32</v>
      </c>
      <c r="N261">
        <v>307</v>
      </c>
      <c r="O261">
        <v>56.9</v>
      </c>
      <c r="P261">
        <v>257</v>
      </c>
      <c r="Q261">
        <v>34.1</v>
      </c>
      <c r="R261">
        <v>401</v>
      </c>
      <c r="S261">
        <v>7.9</v>
      </c>
      <c r="T261" t="s">
        <v>5613</v>
      </c>
      <c r="U261">
        <v>10.8</v>
      </c>
      <c r="V261">
        <v>700</v>
      </c>
      <c r="W261">
        <v>57.7</v>
      </c>
      <c r="X261">
        <v>262</v>
      </c>
      <c r="Y261">
        <v>68.5</v>
      </c>
      <c r="Z261">
        <v>77</v>
      </c>
      <c r="AA261">
        <v>63.1</v>
      </c>
      <c r="AB261" t="s">
        <v>5751</v>
      </c>
      <c r="AC261">
        <v>38.5</v>
      </c>
    </row>
    <row r="262" spans="1:29">
      <c r="A262">
        <v>261</v>
      </c>
      <c r="B262">
        <v>199</v>
      </c>
      <c r="C262" t="s">
        <v>250</v>
      </c>
      <c r="D262" t="s">
        <v>5587</v>
      </c>
      <c r="E262" t="s">
        <v>29</v>
      </c>
      <c r="F262" t="s">
        <v>5593</v>
      </c>
      <c r="G262" t="s">
        <v>5594</v>
      </c>
      <c r="H262" t="s">
        <v>5590</v>
      </c>
      <c r="I262">
        <v>5</v>
      </c>
      <c r="J262" t="s">
        <v>5591</v>
      </c>
      <c r="K262">
        <v>25.2</v>
      </c>
      <c r="L262">
        <v>348</v>
      </c>
      <c r="M262">
        <v>19.8</v>
      </c>
      <c r="N262">
        <v>459</v>
      </c>
      <c r="O262">
        <v>100</v>
      </c>
      <c r="P262">
        <v>9</v>
      </c>
      <c r="Q262">
        <v>37.200000000000003</v>
      </c>
      <c r="R262">
        <v>377</v>
      </c>
      <c r="S262">
        <v>36.4</v>
      </c>
      <c r="T262">
        <v>442</v>
      </c>
      <c r="U262">
        <v>34.6</v>
      </c>
      <c r="V262">
        <v>383</v>
      </c>
      <c r="W262">
        <v>47.1</v>
      </c>
      <c r="X262">
        <v>332</v>
      </c>
      <c r="Y262">
        <v>35.700000000000003</v>
      </c>
      <c r="Z262">
        <v>206</v>
      </c>
      <c r="AA262">
        <v>51.2</v>
      </c>
      <c r="AB262" t="s">
        <v>5898</v>
      </c>
      <c r="AC262">
        <v>38.4</v>
      </c>
    </row>
    <row r="263" spans="1:29">
      <c r="A263">
        <v>262</v>
      </c>
      <c r="B263" t="s">
        <v>5899</v>
      </c>
      <c r="C263" t="s">
        <v>5900</v>
      </c>
      <c r="D263" t="s">
        <v>5901</v>
      </c>
      <c r="E263" t="s">
        <v>1543</v>
      </c>
      <c r="F263" t="s">
        <v>5605</v>
      </c>
      <c r="G263" t="s">
        <v>5589</v>
      </c>
      <c r="H263" t="s">
        <v>5590</v>
      </c>
      <c r="I263">
        <v>5</v>
      </c>
      <c r="J263" t="s">
        <v>5595</v>
      </c>
      <c r="K263">
        <v>48.7</v>
      </c>
      <c r="L263">
        <v>169</v>
      </c>
      <c r="M263">
        <v>53.4</v>
      </c>
      <c r="N263">
        <v>150</v>
      </c>
      <c r="O263">
        <v>41.9</v>
      </c>
      <c r="P263">
        <v>375</v>
      </c>
      <c r="Q263">
        <v>6.3</v>
      </c>
      <c r="R263" t="s">
        <v>5613</v>
      </c>
      <c r="S263">
        <v>9.8000000000000007</v>
      </c>
      <c r="T263" t="s">
        <v>5613</v>
      </c>
      <c r="U263">
        <v>8.6</v>
      </c>
      <c r="V263" t="s">
        <v>5613</v>
      </c>
      <c r="W263">
        <v>62.1</v>
      </c>
      <c r="X263">
        <v>233</v>
      </c>
      <c r="Y263">
        <v>36.700000000000003</v>
      </c>
      <c r="Z263">
        <v>204</v>
      </c>
      <c r="AA263">
        <v>80</v>
      </c>
      <c r="AB263" t="s">
        <v>5721</v>
      </c>
      <c r="AC263">
        <v>38.1</v>
      </c>
    </row>
    <row r="264" spans="1:29">
      <c r="A264">
        <v>263</v>
      </c>
      <c r="B264">
        <v>231</v>
      </c>
      <c r="C264" t="s">
        <v>5902</v>
      </c>
      <c r="D264" t="s">
        <v>5872</v>
      </c>
      <c r="E264" t="s">
        <v>1955</v>
      </c>
      <c r="F264" t="s">
        <v>5605</v>
      </c>
      <c r="G264" t="s">
        <v>5594</v>
      </c>
      <c r="H264" t="s">
        <v>5809</v>
      </c>
      <c r="I264">
        <v>4</v>
      </c>
      <c r="J264" t="s">
        <v>5595</v>
      </c>
      <c r="K264">
        <v>51.7</v>
      </c>
      <c r="L264">
        <v>152</v>
      </c>
      <c r="M264">
        <v>66.5</v>
      </c>
      <c r="N264">
        <v>118</v>
      </c>
      <c r="O264">
        <v>54.4</v>
      </c>
      <c r="P264">
        <v>282</v>
      </c>
      <c r="Q264">
        <v>1.7</v>
      </c>
      <c r="R264" t="s">
        <v>5613</v>
      </c>
      <c r="S264">
        <v>38.5</v>
      </c>
      <c r="T264">
        <v>419</v>
      </c>
      <c r="U264">
        <v>1.6</v>
      </c>
      <c r="V264" t="s">
        <v>5613</v>
      </c>
      <c r="W264">
        <v>2.1</v>
      </c>
      <c r="X264" t="s">
        <v>5613</v>
      </c>
      <c r="Y264">
        <v>42.6</v>
      </c>
      <c r="Z264">
        <v>169</v>
      </c>
      <c r="AA264">
        <v>47.2</v>
      </c>
      <c r="AB264" t="s">
        <v>5657</v>
      </c>
      <c r="AC264">
        <v>38</v>
      </c>
    </row>
    <row r="265" spans="1:29">
      <c r="A265">
        <f>264</f>
        <v>264</v>
      </c>
      <c r="B265" t="s">
        <v>5903</v>
      </c>
      <c r="C265" t="s">
        <v>352</v>
      </c>
      <c r="D265" t="s">
        <v>5587</v>
      </c>
      <c r="E265" t="s">
        <v>29</v>
      </c>
      <c r="F265" t="s">
        <v>5605</v>
      </c>
      <c r="G265" t="s">
        <v>5589</v>
      </c>
      <c r="H265" t="s">
        <v>5590</v>
      </c>
      <c r="I265">
        <v>5</v>
      </c>
      <c r="J265" t="s">
        <v>5595</v>
      </c>
      <c r="K265">
        <v>36.9</v>
      </c>
      <c r="L265">
        <v>237</v>
      </c>
      <c r="M265">
        <v>13.5</v>
      </c>
      <c r="N265">
        <v>596</v>
      </c>
      <c r="O265">
        <v>33.200000000000003</v>
      </c>
      <c r="P265">
        <v>480</v>
      </c>
      <c r="Q265">
        <v>49.4</v>
      </c>
      <c r="R265">
        <v>269</v>
      </c>
      <c r="S265">
        <v>27.1</v>
      </c>
      <c r="T265">
        <v>508</v>
      </c>
      <c r="U265">
        <v>5.5</v>
      </c>
      <c r="V265" t="s">
        <v>5613</v>
      </c>
      <c r="W265">
        <v>68.599999999999994</v>
      </c>
      <c r="X265">
        <v>204</v>
      </c>
      <c r="Y265">
        <v>30.8</v>
      </c>
      <c r="Z265">
        <v>247</v>
      </c>
      <c r="AA265">
        <v>96.4</v>
      </c>
      <c r="AB265">
        <v>40</v>
      </c>
      <c r="AC265">
        <v>37.9</v>
      </c>
    </row>
    <row r="266" spans="1:29">
      <c r="A266">
        <f>264</f>
        <v>264</v>
      </c>
      <c r="B266" t="s">
        <v>5904</v>
      </c>
      <c r="C266" t="s">
        <v>5905</v>
      </c>
      <c r="D266" t="s">
        <v>5795</v>
      </c>
      <c r="E266" t="s">
        <v>421</v>
      </c>
      <c r="F266" t="s">
        <v>5593</v>
      </c>
      <c r="G266" t="s">
        <v>5594</v>
      </c>
      <c r="H266" t="s">
        <v>5590</v>
      </c>
      <c r="I266">
        <v>5</v>
      </c>
      <c r="J266" t="s">
        <v>5595</v>
      </c>
      <c r="K266">
        <v>25.7</v>
      </c>
      <c r="L266">
        <v>341</v>
      </c>
      <c r="M266">
        <v>43</v>
      </c>
      <c r="N266">
        <v>214</v>
      </c>
      <c r="O266">
        <v>10.9</v>
      </c>
      <c r="P266" t="s">
        <v>5613</v>
      </c>
      <c r="Q266">
        <v>27.7</v>
      </c>
      <c r="R266">
        <v>453</v>
      </c>
      <c r="S266">
        <v>79.900000000000006</v>
      </c>
      <c r="T266">
        <v>229</v>
      </c>
      <c r="U266">
        <v>7.5</v>
      </c>
      <c r="V266" t="s">
        <v>5613</v>
      </c>
      <c r="W266">
        <v>92.4</v>
      </c>
      <c r="X266">
        <v>65</v>
      </c>
      <c r="Y266">
        <v>96.7</v>
      </c>
      <c r="Z266">
        <v>21</v>
      </c>
      <c r="AA266">
        <v>62.5</v>
      </c>
      <c r="AB266" t="s">
        <v>5674</v>
      </c>
      <c r="AC266">
        <v>37.9</v>
      </c>
    </row>
    <row r="267" spans="1:29">
      <c r="A267">
        <f>266</f>
        <v>266</v>
      </c>
      <c r="B267" t="s">
        <v>5846</v>
      </c>
      <c r="C267" t="s">
        <v>5906</v>
      </c>
      <c r="D267" t="s">
        <v>5644</v>
      </c>
      <c r="E267" t="s">
        <v>181</v>
      </c>
      <c r="F267" t="s">
        <v>5615</v>
      </c>
      <c r="G267" t="s">
        <v>5602</v>
      </c>
      <c r="H267" t="s">
        <v>5590</v>
      </c>
      <c r="I267">
        <v>2</v>
      </c>
      <c r="J267" t="s">
        <v>5595</v>
      </c>
      <c r="K267">
        <v>15</v>
      </c>
      <c r="L267">
        <v>579</v>
      </c>
      <c r="M267">
        <v>11.9</v>
      </c>
      <c r="N267" t="s">
        <v>5737</v>
      </c>
      <c r="O267">
        <v>84.1</v>
      </c>
      <c r="P267">
        <v>114</v>
      </c>
      <c r="Q267">
        <v>98.6</v>
      </c>
      <c r="R267">
        <v>25</v>
      </c>
      <c r="S267">
        <v>41.5</v>
      </c>
      <c r="T267">
        <v>399</v>
      </c>
      <c r="U267">
        <v>10.9</v>
      </c>
      <c r="V267">
        <v>692</v>
      </c>
      <c r="W267">
        <v>1.2</v>
      </c>
      <c r="X267" t="s">
        <v>5613</v>
      </c>
      <c r="Y267">
        <v>8.4</v>
      </c>
      <c r="Z267" t="s">
        <v>5613</v>
      </c>
      <c r="AA267">
        <v>1.8</v>
      </c>
      <c r="AB267" t="s">
        <v>5613</v>
      </c>
      <c r="AC267">
        <v>37.700000000000003</v>
      </c>
    </row>
    <row r="268" spans="1:29">
      <c r="A268">
        <f>266</f>
        <v>266</v>
      </c>
      <c r="B268" t="s">
        <v>5907</v>
      </c>
      <c r="C268" t="s">
        <v>5908</v>
      </c>
      <c r="D268" t="s">
        <v>5889</v>
      </c>
      <c r="E268" t="s">
        <v>992</v>
      </c>
      <c r="F268" t="s">
        <v>5605</v>
      </c>
      <c r="G268" t="s">
        <v>5594</v>
      </c>
      <c r="H268" t="s">
        <v>5590</v>
      </c>
      <c r="I268">
        <v>5</v>
      </c>
      <c r="J268" t="s">
        <v>5595</v>
      </c>
      <c r="K268">
        <v>42.2</v>
      </c>
      <c r="L268">
        <v>201</v>
      </c>
      <c r="M268">
        <v>21</v>
      </c>
      <c r="N268">
        <v>442</v>
      </c>
      <c r="O268">
        <v>12.7</v>
      </c>
      <c r="P268" t="s">
        <v>5613</v>
      </c>
      <c r="Q268">
        <v>35.1</v>
      </c>
      <c r="R268">
        <v>387</v>
      </c>
      <c r="S268">
        <v>9.3000000000000007</v>
      </c>
      <c r="T268" t="s">
        <v>5613</v>
      </c>
      <c r="U268">
        <v>30.7</v>
      </c>
      <c r="V268">
        <v>415</v>
      </c>
      <c r="W268">
        <v>97.4</v>
      </c>
      <c r="X268">
        <v>27</v>
      </c>
      <c r="Y268">
        <v>65.8</v>
      </c>
      <c r="Z268">
        <v>85</v>
      </c>
      <c r="AA268">
        <v>66.5</v>
      </c>
      <c r="AB268" t="s">
        <v>5827</v>
      </c>
      <c r="AC268">
        <v>37.700000000000003</v>
      </c>
    </row>
    <row r="269" spans="1:29">
      <c r="A269">
        <f>268</f>
        <v>268</v>
      </c>
      <c r="B269" t="s">
        <v>5909</v>
      </c>
      <c r="C269" t="s">
        <v>5910</v>
      </c>
      <c r="D269" t="s">
        <v>5684</v>
      </c>
      <c r="E269" t="s">
        <v>150</v>
      </c>
      <c r="F269" t="s">
        <v>5593</v>
      </c>
      <c r="G269" t="s">
        <v>5589</v>
      </c>
      <c r="H269" t="s">
        <v>5590</v>
      </c>
      <c r="I269">
        <v>3</v>
      </c>
      <c r="J269" t="s">
        <v>5595</v>
      </c>
      <c r="K269">
        <v>19</v>
      </c>
      <c r="L269">
        <v>470</v>
      </c>
      <c r="M269">
        <v>26.6</v>
      </c>
      <c r="N269">
        <v>363</v>
      </c>
      <c r="O269">
        <v>34.799999999999997</v>
      </c>
      <c r="P269">
        <v>457</v>
      </c>
      <c r="Q269">
        <v>48.8</v>
      </c>
      <c r="R269">
        <v>277</v>
      </c>
      <c r="S269">
        <v>77.8</v>
      </c>
      <c r="T269">
        <v>239</v>
      </c>
      <c r="U269">
        <v>30.3</v>
      </c>
      <c r="V269">
        <v>420</v>
      </c>
      <c r="W269">
        <v>57.9</v>
      </c>
      <c r="X269">
        <v>260</v>
      </c>
      <c r="Y269">
        <v>34.700000000000003</v>
      </c>
      <c r="Z269">
        <v>221</v>
      </c>
      <c r="AA269">
        <v>87.4</v>
      </c>
      <c r="AB269" t="s">
        <v>5636</v>
      </c>
      <c r="AC269">
        <v>37.5</v>
      </c>
    </row>
    <row r="270" spans="1:29">
      <c r="A270">
        <f>268</f>
        <v>268</v>
      </c>
      <c r="B270" t="s">
        <v>5911</v>
      </c>
      <c r="C270" t="s">
        <v>248</v>
      </c>
      <c r="D270" t="s">
        <v>5587</v>
      </c>
      <c r="E270" t="s">
        <v>29</v>
      </c>
      <c r="F270" t="s">
        <v>5605</v>
      </c>
      <c r="G270" t="s">
        <v>5594</v>
      </c>
      <c r="H270" t="s">
        <v>5590</v>
      </c>
      <c r="I270">
        <v>4</v>
      </c>
      <c r="J270" t="s">
        <v>5595</v>
      </c>
      <c r="K270">
        <v>37.6</v>
      </c>
      <c r="L270">
        <v>230</v>
      </c>
      <c r="M270">
        <v>16.600000000000001</v>
      </c>
      <c r="N270">
        <v>517</v>
      </c>
      <c r="O270">
        <v>14.6</v>
      </c>
      <c r="P270" t="s">
        <v>5613</v>
      </c>
      <c r="Q270">
        <v>50.3</v>
      </c>
      <c r="R270">
        <v>263</v>
      </c>
      <c r="S270">
        <v>56.9</v>
      </c>
      <c r="T270">
        <v>325</v>
      </c>
      <c r="U270">
        <v>49.6</v>
      </c>
      <c r="V270">
        <v>299</v>
      </c>
      <c r="W270">
        <v>65.3</v>
      </c>
      <c r="X270">
        <v>214</v>
      </c>
      <c r="Y270">
        <v>11.4</v>
      </c>
      <c r="Z270" t="s">
        <v>5613</v>
      </c>
      <c r="AA270">
        <v>58.6</v>
      </c>
      <c r="AB270" t="s">
        <v>5689</v>
      </c>
      <c r="AC270">
        <v>37.5</v>
      </c>
    </row>
    <row r="271" spans="1:29">
      <c r="A271">
        <f>268</f>
        <v>268</v>
      </c>
      <c r="B271" t="s">
        <v>5907</v>
      </c>
      <c r="C271" t="s">
        <v>406</v>
      </c>
      <c r="D271" t="s">
        <v>5639</v>
      </c>
      <c r="E271" t="s">
        <v>99</v>
      </c>
      <c r="F271" t="s">
        <v>5593</v>
      </c>
      <c r="G271" t="s">
        <v>5602</v>
      </c>
      <c r="H271" t="s">
        <v>5590</v>
      </c>
      <c r="I271">
        <v>5</v>
      </c>
      <c r="J271" t="s">
        <v>5595</v>
      </c>
      <c r="K271">
        <v>36.9</v>
      </c>
      <c r="L271">
        <v>235</v>
      </c>
      <c r="M271">
        <v>38.5</v>
      </c>
      <c r="N271">
        <v>253</v>
      </c>
      <c r="O271">
        <v>19.3</v>
      </c>
      <c r="P271">
        <v>686</v>
      </c>
      <c r="Q271">
        <v>31.2</v>
      </c>
      <c r="R271">
        <v>427</v>
      </c>
      <c r="S271">
        <v>40.5</v>
      </c>
      <c r="T271">
        <v>406</v>
      </c>
      <c r="U271">
        <v>30.9</v>
      </c>
      <c r="V271">
        <v>413</v>
      </c>
      <c r="W271">
        <v>80.900000000000006</v>
      </c>
      <c r="X271">
        <v>141</v>
      </c>
      <c r="Y271">
        <v>37</v>
      </c>
      <c r="Z271">
        <v>199</v>
      </c>
      <c r="AA271">
        <v>57.4</v>
      </c>
      <c r="AB271" t="s">
        <v>5888</v>
      </c>
      <c r="AC271">
        <v>37.5</v>
      </c>
    </row>
    <row r="272" spans="1:29">
      <c r="A272">
        <v>271</v>
      </c>
      <c r="B272" t="s">
        <v>5912</v>
      </c>
      <c r="C272" t="s">
        <v>5913</v>
      </c>
      <c r="D272" t="s">
        <v>5770</v>
      </c>
      <c r="E272" t="s">
        <v>528</v>
      </c>
      <c r="F272" t="s">
        <v>5593</v>
      </c>
      <c r="G272" t="s">
        <v>5602</v>
      </c>
      <c r="H272" t="s">
        <v>5590</v>
      </c>
      <c r="I272">
        <v>4</v>
      </c>
      <c r="J272" t="s">
        <v>5595</v>
      </c>
      <c r="K272">
        <v>32.200000000000003</v>
      </c>
      <c r="L272">
        <v>272</v>
      </c>
      <c r="M272">
        <v>43.5</v>
      </c>
      <c r="N272">
        <v>211</v>
      </c>
      <c r="O272">
        <v>11.8</v>
      </c>
      <c r="P272" t="s">
        <v>5613</v>
      </c>
      <c r="Q272">
        <v>85.8</v>
      </c>
      <c r="R272">
        <v>90</v>
      </c>
      <c r="S272">
        <v>3.1</v>
      </c>
      <c r="T272" t="s">
        <v>5613</v>
      </c>
      <c r="U272">
        <v>1.3</v>
      </c>
      <c r="V272" t="s">
        <v>5613</v>
      </c>
      <c r="W272">
        <v>10.7</v>
      </c>
      <c r="X272">
        <v>659</v>
      </c>
      <c r="Y272">
        <v>21.5</v>
      </c>
      <c r="Z272">
        <v>388</v>
      </c>
      <c r="AA272">
        <v>18</v>
      </c>
      <c r="AB272" t="s">
        <v>5702</v>
      </c>
      <c r="AC272">
        <v>37.4</v>
      </c>
    </row>
    <row r="273" spans="1:29">
      <c r="A273">
        <f>272</f>
        <v>272</v>
      </c>
      <c r="B273" t="s">
        <v>5914</v>
      </c>
      <c r="C273" t="s">
        <v>5915</v>
      </c>
      <c r="D273" t="s">
        <v>5616</v>
      </c>
      <c r="E273" t="s">
        <v>54</v>
      </c>
      <c r="F273" t="s">
        <v>5593</v>
      </c>
      <c r="G273" t="s">
        <v>5589</v>
      </c>
      <c r="H273" t="s">
        <v>5590</v>
      </c>
      <c r="I273">
        <v>5</v>
      </c>
      <c r="J273" t="s">
        <v>5595</v>
      </c>
      <c r="K273">
        <v>38.4</v>
      </c>
      <c r="L273">
        <v>227</v>
      </c>
      <c r="M273">
        <v>6.8</v>
      </c>
      <c r="N273" t="s">
        <v>5737</v>
      </c>
      <c r="O273">
        <v>25.6</v>
      </c>
      <c r="P273">
        <v>576</v>
      </c>
      <c r="Q273">
        <v>86.4</v>
      </c>
      <c r="R273">
        <v>87</v>
      </c>
      <c r="S273">
        <v>7.1</v>
      </c>
      <c r="T273" t="s">
        <v>5613</v>
      </c>
      <c r="U273">
        <v>23.3</v>
      </c>
      <c r="V273">
        <v>496</v>
      </c>
      <c r="W273">
        <v>22.8</v>
      </c>
      <c r="X273">
        <v>520</v>
      </c>
      <c r="Y273">
        <v>12.2</v>
      </c>
      <c r="Z273" t="s">
        <v>5613</v>
      </c>
      <c r="AA273">
        <v>30.5</v>
      </c>
      <c r="AB273" t="s">
        <v>5867</v>
      </c>
      <c r="AC273">
        <v>37.299999999999997</v>
      </c>
    </row>
    <row r="274" spans="1:29">
      <c r="A274">
        <f>272</f>
        <v>272</v>
      </c>
      <c r="B274">
        <v>279</v>
      </c>
      <c r="C274" t="s">
        <v>538</v>
      </c>
      <c r="D274" t="s">
        <v>5592</v>
      </c>
      <c r="E274" t="s">
        <v>26</v>
      </c>
      <c r="F274" t="s">
        <v>5593</v>
      </c>
      <c r="G274" t="s">
        <v>5594</v>
      </c>
      <c r="H274" t="s">
        <v>5590</v>
      </c>
      <c r="I274">
        <v>5</v>
      </c>
      <c r="J274" t="s">
        <v>5595</v>
      </c>
      <c r="K274">
        <v>21.2</v>
      </c>
      <c r="L274">
        <v>412</v>
      </c>
      <c r="M274">
        <v>14.2</v>
      </c>
      <c r="N274">
        <v>576</v>
      </c>
      <c r="O274">
        <v>36.1</v>
      </c>
      <c r="P274">
        <v>441</v>
      </c>
      <c r="Q274">
        <v>45.3</v>
      </c>
      <c r="R274">
        <v>298</v>
      </c>
      <c r="S274">
        <v>80.8</v>
      </c>
      <c r="T274">
        <v>226</v>
      </c>
      <c r="U274">
        <v>94.1</v>
      </c>
      <c r="V274">
        <v>91</v>
      </c>
      <c r="W274">
        <v>75.7</v>
      </c>
      <c r="X274">
        <v>167</v>
      </c>
      <c r="Y274">
        <v>17.8</v>
      </c>
      <c r="Z274">
        <v>468</v>
      </c>
      <c r="AA274">
        <v>50.9</v>
      </c>
      <c r="AB274" t="s">
        <v>5885</v>
      </c>
      <c r="AC274">
        <v>37.299999999999997</v>
      </c>
    </row>
    <row r="275" spans="1:29">
      <c r="A275">
        <v>274</v>
      </c>
      <c r="B275" t="s">
        <v>5797</v>
      </c>
      <c r="C275" t="s">
        <v>671</v>
      </c>
      <c r="D275" t="s">
        <v>5587</v>
      </c>
      <c r="E275" t="s">
        <v>29</v>
      </c>
      <c r="F275" t="s">
        <v>5605</v>
      </c>
      <c r="G275" t="s">
        <v>5589</v>
      </c>
      <c r="H275" t="s">
        <v>5590</v>
      </c>
      <c r="I275">
        <v>5</v>
      </c>
      <c r="J275" t="s">
        <v>5595</v>
      </c>
      <c r="K275">
        <v>27.8</v>
      </c>
      <c r="L275">
        <v>315</v>
      </c>
      <c r="M275">
        <v>25</v>
      </c>
      <c r="N275">
        <v>384</v>
      </c>
      <c r="O275">
        <v>8.9</v>
      </c>
      <c r="P275" t="s">
        <v>5613</v>
      </c>
      <c r="Q275">
        <v>67.3</v>
      </c>
      <c r="R275">
        <v>162</v>
      </c>
      <c r="S275">
        <v>63</v>
      </c>
      <c r="T275">
        <v>306</v>
      </c>
      <c r="U275">
        <v>15.3</v>
      </c>
      <c r="V275">
        <v>613</v>
      </c>
      <c r="W275">
        <v>49.6</v>
      </c>
      <c r="X275">
        <v>317</v>
      </c>
      <c r="Y275">
        <v>20.8</v>
      </c>
      <c r="Z275">
        <v>398</v>
      </c>
      <c r="AA275">
        <v>64.5</v>
      </c>
      <c r="AB275" t="s">
        <v>5916</v>
      </c>
      <c r="AC275">
        <v>37.200000000000003</v>
      </c>
    </row>
    <row r="276" spans="1:29">
      <c r="A276">
        <v>275</v>
      </c>
      <c r="B276">
        <v>306</v>
      </c>
      <c r="C276" t="s">
        <v>401</v>
      </c>
      <c r="D276" t="s">
        <v>5616</v>
      </c>
      <c r="E276" t="s">
        <v>54</v>
      </c>
      <c r="F276" t="s">
        <v>5605</v>
      </c>
      <c r="G276" t="s">
        <v>5594</v>
      </c>
      <c r="H276" t="s">
        <v>5590</v>
      </c>
      <c r="I276">
        <v>4</v>
      </c>
      <c r="J276" t="s">
        <v>5595</v>
      </c>
      <c r="K276">
        <v>22.7</v>
      </c>
      <c r="L276">
        <v>384</v>
      </c>
      <c r="M276">
        <v>29.2</v>
      </c>
      <c r="N276">
        <v>332</v>
      </c>
      <c r="O276">
        <v>10</v>
      </c>
      <c r="P276" t="s">
        <v>5613</v>
      </c>
      <c r="Q276">
        <v>99.3</v>
      </c>
      <c r="R276">
        <v>16</v>
      </c>
      <c r="S276">
        <v>5.5</v>
      </c>
      <c r="T276" t="s">
        <v>5613</v>
      </c>
      <c r="U276">
        <v>3.2</v>
      </c>
      <c r="V276" t="s">
        <v>5613</v>
      </c>
      <c r="W276">
        <v>45.4</v>
      </c>
      <c r="X276">
        <v>340</v>
      </c>
      <c r="Y276">
        <v>16.8</v>
      </c>
      <c r="Z276">
        <v>504</v>
      </c>
      <c r="AA276">
        <v>27.1</v>
      </c>
      <c r="AB276">
        <v>480</v>
      </c>
      <c r="AC276">
        <v>37.1</v>
      </c>
    </row>
    <row r="277" spans="1:29">
      <c r="A277">
        <f>276</f>
        <v>276</v>
      </c>
      <c r="B277">
        <v>324</v>
      </c>
      <c r="C277" t="s">
        <v>904</v>
      </c>
      <c r="D277" t="s">
        <v>5747</v>
      </c>
      <c r="E277" t="s">
        <v>397</v>
      </c>
      <c r="F277" t="s">
        <v>5605</v>
      </c>
      <c r="G277" t="s">
        <v>5594</v>
      </c>
      <c r="H277" t="s">
        <v>5590</v>
      </c>
      <c r="I277">
        <v>4</v>
      </c>
      <c r="J277" t="s">
        <v>5595</v>
      </c>
      <c r="K277">
        <v>51.2</v>
      </c>
      <c r="L277">
        <v>159</v>
      </c>
      <c r="M277">
        <v>12.7</v>
      </c>
      <c r="N277" t="s">
        <v>5737</v>
      </c>
      <c r="O277">
        <v>5.6</v>
      </c>
      <c r="P277" t="s">
        <v>5613</v>
      </c>
      <c r="Q277">
        <v>47.8</v>
      </c>
      <c r="R277">
        <v>284</v>
      </c>
      <c r="S277">
        <v>7.5</v>
      </c>
      <c r="T277" t="s">
        <v>5613</v>
      </c>
      <c r="U277">
        <v>6.8</v>
      </c>
      <c r="V277" t="s">
        <v>5613</v>
      </c>
      <c r="W277">
        <v>59</v>
      </c>
      <c r="X277">
        <v>255</v>
      </c>
      <c r="Y277">
        <v>24.2</v>
      </c>
      <c r="Z277">
        <v>345</v>
      </c>
      <c r="AA277">
        <v>92.1</v>
      </c>
      <c r="AB277" t="s">
        <v>5713</v>
      </c>
      <c r="AC277">
        <v>37</v>
      </c>
    </row>
    <row r="278" spans="1:29">
      <c r="A278">
        <f>276</f>
        <v>276</v>
      </c>
      <c r="B278" t="s">
        <v>5886</v>
      </c>
      <c r="C278" t="s">
        <v>806</v>
      </c>
      <c r="D278" t="s">
        <v>5592</v>
      </c>
      <c r="E278" t="s">
        <v>26</v>
      </c>
      <c r="F278" t="s">
        <v>5593</v>
      </c>
      <c r="G278" t="s">
        <v>5589</v>
      </c>
      <c r="H278" t="s">
        <v>5590</v>
      </c>
      <c r="I278">
        <v>4</v>
      </c>
      <c r="J278" t="s">
        <v>5595</v>
      </c>
      <c r="K278">
        <v>26.3</v>
      </c>
      <c r="L278">
        <v>334</v>
      </c>
      <c r="M278">
        <v>34.6</v>
      </c>
      <c r="N278">
        <v>281</v>
      </c>
      <c r="O278">
        <v>17.7</v>
      </c>
      <c r="P278" t="s">
        <v>5613</v>
      </c>
      <c r="Q278">
        <v>33.700000000000003</v>
      </c>
      <c r="R278">
        <v>405</v>
      </c>
      <c r="S278">
        <v>93.3</v>
      </c>
      <c r="T278">
        <v>161</v>
      </c>
      <c r="U278">
        <v>67</v>
      </c>
      <c r="V278">
        <v>222</v>
      </c>
      <c r="W278">
        <v>61.6</v>
      </c>
      <c r="X278">
        <v>235</v>
      </c>
      <c r="Y278">
        <v>24</v>
      </c>
      <c r="Z278">
        <v>353</v>
      </c>
      <c r="AA278">
        <v>59.2</v>
      </c>
      <c r="AB278" t="s">
        <v>5917</v>
      </c>
      <c r="AC278">
        <v>37</v>
      </c>
    </row>
    <row r="279" spans="1:29">
      <c r="A279">
        <f>278</f>
        <v>278</v>
      </c>
      <c r="B279" t="s">
        <v>5918</v>
      </c>
      <c r="C279" t="s">
        <v>5919</v>
      </c>
      <c r="D279" t="s">
        <v>5770</v>
      </c>
      <c r="E279" t="s">
        <v>528</v>
      </c>
      <c r="F279" t="s">
        <v>5588</v>
      </c>
      <c r="G279" t="s">
        <v>5589</v>
      </c>
      <c r="H279" t="s">
        <v>5590</v>
      </c>
      <c r="I279">
        <v>4</v>
      </c>
      <c r="J279" t="s">
        <v>5595</v>
      </c>
      <c r="K279">
        <v>34.700000000000003</v>
      </c>
      <c r="L279">
        <v>247</v>
      </c>
      <c r="M279">
        <v>49.3</v>
      </c>
      <c r="N279">
        <v>175</v>
      </c>
      <c r="O279">
        <v>14.2</v>
      </c>
      <c r="P279" t="s">
        <v>5613</v>
      </c>
      <c r="Q279">
        <v>75.5</v>
      </c>
      <c r="R279">
        <v>126</v>
      </c>
      <c r="S279">
        <v>2.1</v>
      </c>
      <c r="T279" t="s">
        <v>5613</v>
      </c>
      <c r="U279">
        <v>1.1000000000000001</v>
      </c>
      <c r="V279" t="s">
        <v>5613</v>
      </c>
      <c r="W279">
        <v>3.3</v>
      </c>
      <c r="X279" t="s">
        <v>5613</v>
      </c>
      <c r="Y279">
        <v>20.6</v>
      </c>
      <c r="Z279">
        <v>404</v>
      </c>
      <c r="AA279">
        <v>21.8</v>
      </c>
      <c r="AB279" t="s">
        <v>5920</v>
      </c>
      <c r="AC279">
        <v>36.9</v>
      </c>
    </row>
    <row r="280" spans="1:29">
      <c r="A280">
        <f>278</f>
        <v>278</v>
      </c>
      <c r="B280" t="s">
        <v>5921</v>
      </c>
      <c r="C280" t="s">
        <v>548</v>
      </c>
      <c r="D280" t="s">
        <v>5587</v>
      </c>
      <c r="E280" t="s">
        <v>29</v>
      </c>
      <c r="F280" t="s">
        <v>5593</v>
      </c>
      <c r="G280" t="s">
        <v>5594</v>
      </c>
      <c r="H280" t="s">
        <v>5590</v>
      </c>
      <c r="I280">
        <v>4</v>
      </c>
      <c r="J280" t="s">
        <v>5591</v>
      </c>
      <c r="K280">
        <v>20.100000000000001</v>
      </c>
      <c r="L280">
        <v>435</v>
      </c>
      <c r="M280">
        <v>44.7</v>
      </c>
      <c r="N280">
        <v>198</v>
      </c>
      <c r="O280">
        <v>76.8</v>
      </c>
      <c r="P280">
        <v>155</v>
      </c>
      <c r="Q280">
        <v>19.2</v>
      </c>
      <c r="R280">
        <v>565</v>
      </c>
      <c r="S280">
        <v>84.2</v>
      </c>
      <c r="T280">
        <v>215</v>
      </c>
      <c r="U280">
        <v>22.8</v>
      </c>
      <c r="V280">
        <v>502</v>
      </c>
      <c r="W280">
        <v>55</v>
      </c>
      <c r="X280">
        <v>283</v>
      </c>
      <c r="Y280">
        <v>37</v>
      </c>
      <c r="Z280">
        <v>198</v>
      </c>
      <c r="AA280">
        <v>50.6</v>
      </c>
      <c r="AB280" t="s">
        <v>5804</v>
      </c>
      <c r="AC280">
        <v>36.9</v>
      </c>
    </row>
    <row r="281" spans="1:29">
      <c r="A281">
        <v>280</v>
      </c>
      <c r="B281" t="s">
        <v>5878</v>
      </c>
      <c r="C281" t="s">
        <v>777</v>
      </c>
      <c r="D281" t="s">
        <v>5772</v>
      </c>
      <c r="E281" t="s">
        <v>386</v>
      </c>
      <c r="F281" t="s">
        <v>5593</v>
      </c>
      <c r="G281" t="s">
        <v>5594</v>
      </c>
      <c r="H281" t="s">
        <v>5809</v>
      </c>
      <c r="I281">
        <v>4</v>
      </c>
      <c r="J281" t="s">
        <v>5591</v>
      </c>
      <c r="K281">
        <v>29</v>
      </c>
      <c r="L281">
        <v>300</v>
      </c>
      <c r="M281">
        <v>61.2</v>
      </c>
      <c r="N281">
        <v>130</v>
      </c>
      <c r="O281">
        <v>56.5</v>
      </c>
      <c r="P281">
        <v>260</v>
      </c>
      <c r="Q281">
        <v>15.1</v>
      </c>
      <c r="R281">
        <v>635</v>
      </c>
      <c r="S281">
        <v>25.2</v>
      </c>
      <c r="T281">
        <v>531</v>
      </c>
      <c r="U281">
        <v>74.8</v>
      </c>
      <c r="V281">
        <v>186</v>
      </c>
      <c r="W281">
        <v>28.9</v>
      </c>
      <c r="X281">
        <v>464</v>
      </c>
      <c r="Y281">
        <v>28.4</v>
      </c>
      <c r="Z281">
        <v>282</v>
      </c>
      <c r="AA281">
        <v>45.6</v>
      </c>
      <c r="AB281">
        <v>333</v>
      </c>
      <c r="AC281">
        <v>36.799999999999997</v>
      </c>
    </row>
    <row r="282" spans="1:29">
      <c r="A282">
        <f>281</f>
        <v>281</v>
      </c>
      <c r="B282" t="s">
        <v>5911</v>
      </c>
      <c r="C282" t="s">
        <v>5922</v>
      </c>
      <c r="D282" t="s">
        <v>5872</v>
      </c>
      <c r="E282" t="s">
        <v>1955</v>
      </c>
      <c r="F282" t="s">
        <v>5593</v>
      </c>
      <c r="G282" t="s">
        <v>5589</v>
      </c>
      <c r="H282" t="s">
        <v>5590</v>
      </c>
      <c r="I282">
        <v>5</v>
      </c>
      <c r="J282" t="s">
        <v>5595</v>
      </c>
      <c r="K282">
        <v>41</v>
      </c>
      <c r="L282">
        <v>203</v>
      </c>
      <c r="M282">
        <v>65.599999999999994</v>
      </c>
      <c r="N282">
        <v>122</v>
      </c>
      <c r="O282">
        <v>65.599999999999994</v>
      </c>
      <c r="P282">
        <v>208</v>
      </c>
      <c r="Q282">
        <v>2.5</v>
      </c>
      <c r="R282" t="s">
        <v>5613</v>
      </c>
      <c r="S282">
        <v>84.4</v>
      </c>
      <c r="T282">
        <v>213</v>
      </c>
      <c r="U282">
        <v>2.2999999999999998</v>
      </c>
      <c r="V282" t="s">
        <v>5613</v>
      </c>
      <c r="W282">
        <v>1.2</v>
      </c>
      <c r="X282" t="s">
        <v>5613</v>
      </c>
      <c r="Y282">
        <v>35.700000000000003</v>
      </c>
      <c r="Z282">
        <v>209</v>
      </c>
      <c r="AA282">
        <v>21.2</v>
      </c>
      <c r="AB282" t="s">
        <v>5923</v>
      </c>
      <c r="AC282">
        <v>36.6</v>
      </c>
    </row>
    <row r="283" spans="1:29">
      <c r="A283">
        <f>281</f>
        <v>281</v>
      </c>
      <c r="B283">
        <v>207</v>
      </c>
      <c r="C283" t="s">
        <v>614</v>
      </c>
      <c r="D283" t="s">
        <v>5736</v>
      </c>
      <c r="E283" t="s">
        <v>327</v>
      </c>
      <c r="F283" t="s">
        <v>5593</v>
      </c>
      <c r="G283" t="s">
        <v>5594</v>
      </c>
      <c r="H283" t="s">
        <v>5590</v>
      </c>
      <c r="I283">
        <v>3</v>
      </c>
      <c r="J283" t="s">
        <v>5595</v>
      </c>
      <c r="K283">
        <v>32.700000000000003</v>
      </c>
      <c r="L283">
        <v>269</v>
      </c>
      <c r="M283">
        <v>5.4</v>
      </c>
      <c r="N283" t="s">
        <v>5737</v>
      </c>
      <c r="O283">
        <v>67.099999999999994</v>
      </c>
      <c r="P283">
        <v>197</v>
      </c>
      <c r="Q283">
        <v>31.2</v>
      </c>
      <c r="R283">
        <v>426</v>
      </c>
      <c r="S283">
        <v>92.3</v>
      </c>
      <c r="T283">
        <v>171</v>
      </c>
      <c r="U283">
        <v>14.3</v>
      </c>
      <c r="V283">
        <v>635</v>
      </c>
      <c r="W283">
        <v>69.3</v>
      </c>
      <c r="X283">
        <v>200</v>
      </c>
      <c r="Y283">
        <v>23.6</v>
      </c>
      <c r="Z283">
        <v>358</v>
      </c>
      <c r="AA283">
        <v>57.7</v>
      </c>
      <c r="AB283" t="s">
        <v>5877</v>
      </c>
      <c r="AC283">
        <v>36.6</v>
      </c>
    </row>
    <row r="284" spans="1:29">
      <c r="A284">
        <v>283</v>
      </c>
      <c r="B284" t="s">
        <v>5924</v>
      </c>
      <c r="C284" t="s">
        <v>803</v>
      </c>
      <c r="D284" t="s">
        <v>5795</v>
      </c>
      <c r="E284" t="s">
        <v>421</v>
      </c>
      <c r="F284" t="s">
        <v>5593</v>
      </c>
      <c r="G284" t="s">
        <v>5594</v>
      </c>
      <c r="H284" t="s">
        <v>5590</v>
      </c>
      <c r="I284">
        <v>5</v>
      </c>
      <c r="J284" t="s">
        <v>5595</v>
      </c>
      <c r="K284">
        <v>25</v>
      </c>
      <c r="L284">
        <v>351</v>
      </c>
      <c r="M284">
        <v>39.4</v>
      </c>
      <c r="N284">
        <v>240</v>
      </c>
      <c r="O284">
        <v>3.1</v>
      </c>
      <c r="P284" t="s">
        <v>5613</v>
      </c>
      <c r="Q284">
        <v>59.9</v>
      </c>
      <c r="R284">
        <v>206</v>
      </c>
      <c r="S284">
        <v>20</v>
      </c>
      <c r="T284">
        <v>591</v>
      </c>
      <c r="U284">
        <v>7.8</v>
      </c>
      <c r="V284" t="s">
        <v>5613</v>
      </c>
      <c r="W284">
        <v>92</v>
      </c>
      <c r="X284">
        <v>69</v>
      </c>
      <c r="Y284">
        <v>50.1</v>
      </c>
      <c r="Z284">
        <v>132</v>
      </c>
      <c r="AA284">
        <v>44.1</v>
      </c>
      <c r="AB284" t="s">
        <v>5656</v>
      </c>
      <c r="AC284">
        <v>36.5</v>
      </c>
    </row>
    <row r="285" spans="1:29">
      <c r="A285">
        <v>284</v>
      </c>
      <c r="B285" t="s">
        <v>5899</v>
      </c>
      <c r="C285" t="s">
        <v>5925</v>
      </c>
      <c r="D285" t="s">
        <v>5672</v>
      </c>
      <c r="E285" t="s">
        <v>664</v>
      </c>
      <c r="F285" t="s">
        <v>5615</v>
      </c>
      <c r="G285" t="s">
        <v>5602</v>
      </c>
      <c r="H285" t="s">
        <v>5590</v>
      </c>
      <c r="I285">
        <v>2</v>
      </c>
      <c r="J285" t="s">
        <v>5926</v>
      </c>
      <c r="K285">
        <v>24</v>
      </c>
      <c r="L285">
        <v>358</v>
      </c>
      <c r="M285">
        <v>82.8</v>
      </c>
      <c r="N285">
        <v>67</v>
      </c>
      <c r="O285">
        <v>63.3</v>
      </c>
      <c r="P285">
        <v>225</v>
      </c>
      <c r="Q285">
        <v>8.5</v>
      </c>
      <c r="R285" t="s">
        <v>5613</v>
      </c>
      <c r="S285">
        <v>54.1</v>
      </c>
      <c r="T285">
        <v>342</v>
      </c>
      <c r="U285">
        <v>98.8</v>
      </c>
      <c r="V285">
        <v>55</v>
      </c>
      <c r="W285">
        <v>3.8</v>
      </c>
      <c r="X285" t="s">
        <v>5613</v>
      </c>
      <c r="Y285">
        <v>10.5</v>
      </c>
      <c r="Z285" t="s">
        <v>5613</v>
      </c>
      <c r="AA285">
        <v>2.2999999999999998</v>
      </c>
      <c r="AB285" t="s">
        <v>5613</v>
      </c>
      <c r="AC285">
        <v>36.200000000000003</v>
      </c>
    </row>
    <row r="286" spans="1:29">
      <c r="A286">
        <f>285</f>
        <v>285</v>
      </c>
      <c r="B286">
        <v>250</v>
      </c>
      <c r="C286" t="s">
        <v>5927</v>
      </c>
      <c r="D286" t="s">
        <v>5770</v>
      </c>
      <c r="E286" t="s">
        <v>528</v>
      </c>
      <c r="F286" t="s">
        <v>5588</v>
      </c>
      <c r="G286" t="s">
        <v>5589</v>
      </c>
      <c r="H286" t="s">
        <v>5590</v>
      </c>
      <c r="I286">
        <v>4</v>
      </c>
      <c r="J286" t="s">
        <v>5595</v>
      </c>
      <c r="K286">
        <v>40.1</v>
      </c>
      <c r="L286">
        <v>212</v>
      </c>
      <c r="M286">
        <v>55.9</v>
      </c>
      <c r="N286">
        <v>147</v>
      </c>
      <c r="O286">
        <v>26.6</v>
      </c>
      <c r="P286">
        <v>563</v>
      </c>
      <c r="Q286">
        <v>54.7</v>
      </c>
      <c r="R286">
        <v>235</v>
      </c>
      <c r="S286">
        <v>2.6</v>
      </c>
      <c r="T286" t="s">
        <v>5613</v>
      </c>
      <c r="U286">
        <v>1.4</v>
      </c>
      <c r="V286" t="s">
        <v>5613</v>
      </c>
      <c r="W286">
        <v>2.7</v>
      </c>
      <c r="X286" t="s">
        <v>5613</v>
      </c>
      <c r="Y286">
        <v>26</v>
      </c>
      <c r="Z286">
        <v>317</v>
      </c>
      <c r="AA286">
        <v>6.5</v>
      </c>
      <c r="AB286" t="s">
        <v>5613</v>
      </c>
      <c r="AC286">
        <v>36.1</v>
      </c>
    </row>
    <row r="287" spans="1:29">
      <c r="A287">
        <f>285</f>
        <v>285</v>
      </c>
      <c r="B287" t="s">
        <v>5921</v>
      </c>
      <c r="C287" t="s">
        <v>585</v>
      </c>
      <c r="D287" t="s">
        <v>5612</v>
      </c>
      <c r="E287" t="s">
        <v>116</v>
      </c>
      <c r="F287" t="s">
        <v>5593</v>
      </c>
      <c r="G287" t="s">
        <v>5589</v>
      </c>
      <c r="H287" t="s">
        <v>5590</v>
      </c>
      <c r="I287">
        <v>3</v>
      </c>
      <c r="J287" t="s">
        <v>5595</v>
      </c>
      <c r="K287">
        <v>13.4</v>
      </c>
      <c r="L287" t="s">
        <v>5737</v>
      </c>
      <c r="M287">
        <v>12</v>
      </c>
      <c r="N287" t="s">
        <v>5737</v>
      </c>
      <c r="O287">
        <v>11</v>
      </c>
      <c r="P287" t="s">
        <v>5613</v>
      </c>
      <c r="Q287">
        <v>89.5</v>
      </c>
      <c r="R287">
        <v>76</v>
      </c>
      <c r="S287">
        <v>97.9</v>
      </c>
      <c r="T287">
        <v>114</v>
      </c>
      <c r="U287">
        <v>65.5</v>
      </c>
      <c r="V287">
        <v>229</v>
      </c>
      <c r="W287">
        <v>23.9</v>
      </c>
      <c r="X287">
        <v>507</v>
      </c>
      <c r="Y287">
        <v>10.8</v>
      </c>
      <c r="Z287" t="s">
        <v>5613</v>
      </c>
      <c r="AA287">
        <v>25.8</v>
      </c>
      <c r="AB287">
        <v>487</v>
      </c>
      <c r="AC287">
        <v>36.1</v>
      </c>
    </row>
    <row r="288" spans="1:29">
      <c r="A288">
        <f>285</f>
        <v>285</v>
      </c>
      <c r="B288" t="s">
        <v>5914</v>
      </c>
      <c r="C288" t="s">
        <v>5928</v>
      </c>
      <c r="D288" t="s">
        <v>5587</v>
      </c>
      <c r="E288" t="s">
        <v>29</v>
      </c>
      <c r="F288" t="s">
        <v>5605</v>
      </c>
      <c r="G288" t="s">
        <v>5594</v>
      </c>
      <c r="H288" t="s">
        <v>5590</v>
      </c>
      <c r="I288">
        <v>5</v>
      </c>
      <c r="J288" t="s">
        <v>5595</v>
      </c>
      <c r="K288">
        <v>38.5</v>
      </c>
      <c r="L288">
        <v>226</v>
      </c>
      <c r="M288">
        <v>18.399999999999999</v>
      </c>
      <c r="N288">
        <v>476</v>
      </c>
      <c r="O288">
        <v>72.5</v>
      </c>
      <c r="P288">
        <v>175</v>
      </c>
      <c r="Q288">
        <v>19.5</v>
      </c>
      <c r="R288">
        <v>562</v>
      </c>
      <c r="S288">
        <v>11</v>
      </c>
      <c r="T288" t="s">
        <v>5613</v>
      </c>
      <c r="U288">
        <v>9.3000000000000007</v>
      </c>
      <c r="V288" t="s">
        <v>5613</v>
      </c>
      <c r="W288">
        <v>88</v>
      </c>
      <c r="X288">
        <v>96</v>
      </c>
      <c r="Y288">
        <v>31</v>
      </c>
      <c r="Z288">
        <v>245</v>
      </c>
      <c r="AA288">
        <v>71.5</v>
      </c>
      <c r="AB288" t="s">
        <v>5775</v>
      </c>
      <c r="AC288">
        <v>36.1</v>
      </c>
    </row>
    <row r="289" spans="1:29">
      <c r="A289">
        <f>285</f>
        <v>285</v>
      </c>
      <c r="B289">
        <v>307</v>
      </c>
      <c r="C289" t="s">
        <v>590</v>
      </c>
      <c r="D289" t="s">
        <v>5616</v>
      </c>
      <c r="E289" t="s">
        <v>54</v>
      </c>
      <c r="F289" t="s">
        <v>5593</v>
      </c>
      <c r="G289" t="s">
        <v>5589</v>
      </c>
      <c r="H289" t="s">
        <v>5590</v>
      </c>
      <c r="I289">
        <v>4</v>
      </c>
      <c r="J289" t="s">
        <v>5595</v>
      </c>
      <c r="K289">
        <v>18.7</v>
      </c>
      <c r="L289">
        <v>477</v>
      </c>
      <c r="M289">
        <v>8.6</v>
      </c>
      <c r="N289" t="s">
        <v>5737</v>
      </c>
      <c r="O289">
        <v>34.700000000000003</v>
      </c>
      <c r="P289">
        <v>461</v>
      </c>
      <c r="Q289">
        <v>98.2</v>
      </c>
      <c r="R289">
        <v>31</v>
      </c>
      <c r="S289">
        <v>24.3</v>
      </c>
      <c r="T289">
        <v>544</v>
      </c>
      <c r="U289">
        <v>27.4</v>
      </c>
      <c r="V289">
        <v>446</v>
      </c>
      <c r="W289">
        <v>18.600000000000001</v>
      </c>
      <c r="X289">
        <v>555</v>
      </c>
      <c r="Y289">
        <v>24</v>
      </c>
      <c r="Z289">
        <v>351</v>
      </c>
      <c r="AA289">
        <v>25.6</v>
      </c>
      <c r="AB289">
        <v>488</v>
      </c>
      <c r="AC289">
        <v>36.1</v>
      </c>
    </row>
    <row r="290" spans="1:29">
      <c r="A290">
        <v>289</v>
      </c>
      <c r="B290" t="s">
        <v>5912</v>
      </c>
      <c r="C290" t="s">
        <v>755</v>
      </c>
      <c r="D290" t="s">
        <v>5691</v>
      </c>
      <c r="E290" t="s">
        <v>343</v>
      </c>
      <c r="F290" t="s">
        <v>5593</v>
      </c>
      <c r="G290" t="s">
        <v>5594</v>
      </c>
      <c r="H290" t="s">
        <v>5809</v>
      </c>
      <c r="I290">
        <v>5</v>
      </c>
      <c r="J290" t="s">
        <v>5595</v>
      </c>
      <c r="K290">
        <v>26.3</v>
      </c>
      <c r="L290">
        <v>335</v>
      </c>
      <c r="M290">
        <v>28.2</v>
      </c>
      <c r="N290">
        <v>341</v>
      </c>
      <c r="O290">
        <v>61.2</v>
      </c>
      <c r="P290">
        <v>230</v>
      </c>
      <c r="Q290">
        <v>13.5</v>
      </c>
      <c r="R290">
        <v>666</v>
      </c>
      <c r="S290">
        <v>92.3</v>
      </c>
      <c r="T290">
        <v>170</v>
      </c>
      <c r="U290">
        <v>39.299999999999997</v>
      </c>
      <c r="V290">
        <v>348</v>
      </c>
      <c r="W290">
        <v>45.7</v>
      </c>
      <c r="X290">
        <v>338</v>
      </c>
      <c r="Y290">
        <v>30.7</v>
      </c>
      <c r="Z290">
        <v>249</v>
      </c>
      <c r="AA290">
        <v>90.6</v>
      </c>
      <c r="AB290" t="s">
        <v>5815</v>
      </c>
      <c r="AC290">
        <v>36</v>
      </c>
    </row>
    <row r="291" spans="1:29">
      <c r="A291">
        <v>290</v>
      </c>
      <c r="B291" t="s">
        <v>5921</v>
      </c>
      <c r="C291" t="s">
        <v>822</v>
      </c>
      <c r="D291" t="s">
        <v>5865</v>
      </c>
      <c r="E291" t="s">
        <v>608</v>
      </c>
      <c r="F291" t="s">
        <v>5588</v>
      </c>
      <c r="G291" t="s">
        <v>5594</v>
      </c>
      <c r="H291" t="s">
        <v>5590</v>
      </c>
      <c r="I291">
        <v>3</v>
      </c>
      <c r="J291" t="s">
        <v>5595</v>
      </c>
      <c r="K291">
        <v>28.3</v>
      </c>
      <c r="L291">
        <v>310</v>
      </c>
      <c r="M291">
        <v>37.799999999999997</v>
      </c>
      <c r="N291">
        <v>257</v>
      </c>
      <c r="O291">
        <v>52.6</v>
      </c>
      <c r="P291">
        <v>299</v>
      </c>
      <c r="Q291">
        <v>13.8</v>
      </c>
      <c r="R291">
        <v>659</v>
      </c>
      <c r="S291">
        <v>100</v>
      </c>
      <c r="T291">
        <v>16</v>
      </c>
      <c r="U291">
        <v>38.700000000000003</v>
      </c>
      <c r="V291">
        <v>356</v>
      </c>
      <c r="W291">
        <v>56.5</v>
      </c>
      <c r="X291">
        <v>273</v>
      </c>
      <c r="Y291">
        <v>60.9</v>
      </c>
      <c r="Z291">
        <v>96</v>
      </c>
      <c r="AA291">
        <v>16.3</v>
      </c>
      <c r="AB291" t="s">
        <v>5929</v>
      </c>
      <c r="AC291">
        <v>35.9</v>
      </c>
    </row>
    <row r="292" spans="1:29">
      <c r="A292">
        <v>291</v>
      </c>
      <c r="B292">
        <v>302</v>
      </c>
      <c r="C292" t="s">
        <v>5930</v>
      </c>
      <c r="D292" t="s">
        <v>5616</v>
      </c>
      <c r="E292" t="s">
        <v>54</v>
      </c>
      <c r="F292" t="s">
        <v>5605</v>
      </c>
      <c r="G292" t="s">
        <v>5594</v>
      </c>
      <c r="H292" t="s">
        <v>5590</v>
      </c>
      <c r="I292">
        <v>4</v>
      </c>
      <c r="J292" t="s">
        <v>5595</v>
      </c>
      <c r="K292">
        <v>21.4</v>
      </c>
      <c r="L292">
        <v>406</v>
      </c>
      <c r="M292">
        <v>42.2</v>
      </c>
      <c r="N292">
        <v>222</v>
      </c>
      <c r="O292">
        <v>17.399999999999999</v>
      </c>
      <c r="P292" t="s">
        <v>5613</v>
      </c>
      <c r="Q292">
        <v>80.900000000000006</v>
      </c>
      <c r="R292">
        <v>106</v>
      </c>
      <c r="S292">
        <v>4.4000000000000004</v>
      </c>
      <c r="T292" t="s">
        <v>5613</v>
      </c>
      <c r="U292">
        <v>4.0999999999999996</v>
      </c>
      <c r="V292" t="s">
        <v>5613</v>
      </c>
      <c r="W292">
        <v>36.799999999999997</v>
      </c>
      <c r="X292">
        <v>403</v>
      </c>
      <c r="Y292">
        <v>20.8</v>
      </c>
      <c r="Z292">
        <v>397</v>
      </c>
      <c r="AA292">
        <v>34.6</v>
      </c>
      <c r="AB292" t="s">
        <v>5892</v>
      </c>
      <c r="AC292">
        <v>35.799999999999997</v>
      </c>
    </row>
    <row r="293" spans="1:29">
      <c r="A293">
        <f>292</f>
        <v>292</v>
      </c>
      <c r="B293" t="s">
        <v>5931</v>
      </c>
      <c r="C293" t="s">
        <v>5932</v>
      </c>
      <c r="D293" t="s">
        <v>5736</v>
      </c>
      <c r="E293" t="s">
        <v>327</v>
      </c>
      <c r="F293" t="s">
        <v>5605</v>
      </c>
      <c r="G293" t="s">
        <v>5594</v>
      </c>
      <c r="H293" t="s">
        <v>5590</v>
      </c>
      <c r="I293">
        <v>5</v>
      </c>
      <c r="J293" t="s">
        <v>5595</v>
      </c>
      <c r="K293">
        <v>34</v>
      </c>
      <c r="L293">
        <v>253</v>
      </c>
      <c r="M293">
        <v>19.399999999999999</v>
      </c>
      <c r="N293">
        <v>465</v>
      </c>
      <c r="O293">
        <v>23.6</v>
      </c>
      <c r="P293">
        <v>609</v>
      </c>
      <c r="Q293">
        <v>27.5</v>
      </c>
      <c r="R293">
        <v>456</v>
      </c>
      <c r="S293">
        <v>76.099999999999994</v>
      </c>
      <c r="T293">
        <v>246</v>
      </c>
      <c r="U293">
        <v>10.3</v>
      </c>
      <c r="V293" t="s">
        <v>5613</v>
      </c>
      <c r="W293">
        <v>88.9</v>
      </c>
      <c r="X293">
        <v>91</v>
      </c>
      <c r="Y293">
        <v>51</v>
      </c>
      <c r="Z293">
        <v>129</v>
      </c>
      <c r="AA293">
        <v>65.7</v>
      </c>
      <c r="AB293" t="s">
        <v>5810</v>
      </c>
      <c r="AC293">
        <v>35.700000000000003</v>
      </c>
    </row>
    <row r="294" spans="1:29">
      <c r="A294">
        <f>292</f>
        <v>292</v>
      </c>
      <c r="B294">
        <v>303</v>
      </c>
      <c r="C294" t="s">
        <v>824</v>
      </c>
      <c r="D294" t="s">
        <v>5691</v>
      </c>
      <c r="E294" t="s">
        <v>343</v>
      </c>
      <c r="F294" t="s">
        <v>5593</v>
      </c>
      <c r="G294" t="s">
        <v>5594</v>
      </c>
      <c r="H294" t="s">
        <v>5590</v>
      </c>
      <c r="I294">
        <v>5</v>
      </c>
      <c r="J294" t="s">
        <v>5595</v>
      </c>
      <c r="K294">
        <v>28.4</v>
      </c>
      <c r="L294">
        <v>309</v>
      </c>
      <c r="M294">
        <v>36.299999999999997</v>
      </c>
      <c r="N294">
        <v>270</v>
      </c>
      <c r="O294">
        <v>29.4</v>
      </c>
      <c r="P294">
        <v>528</v>
      </c>
      <c r="Q294">
        <v>21.6</v>
      </c>
      <c r="R294">
        <v>534</v>
      </c>
      <c r="S294">
        <v>94.8</v>
      </c>
      <c r="T294">
        <v>152</v>
      </c>
      <c r="U294">
        <v>47.1</v>
      </c>
      <c r="V294">
        <v>308</v>
      </c>
      <c r="W294">
        <v>25.1</v>
      </c>
      <c r="X294">
        <v>496</v>
      </c>
      <c r="Y294">
        <v>23.5</v>
      </c>
      <c r="Z294">
        <v>360</v>
      </c>
      <c r="AA294">
        <v>96.1</v>
      </c>
      <c r="AB294">
        <v>46</v>
      </c>
      <c r="AC294">
        <v>35.700000000000003</v>
      </c>
    </row>
    <row r="295" spans="1:29">
      <c r="A295">
        <v>294</v>
      </c>
      <c r="B295" t="s">
        <v>5903</v>
      </c>
      <c r="C295" t="s">
        <v>5933</v>
      </c>
      <c r="D295" t="s">
        <v>5624</v>
      </c>
      <c r="E295" t="s">
        <v>125</v>
      </c>
      <c r="F295" t="s">
        <v>5605</v>
      </c>
      <c r="G295" t="s">
        <v>5594</v>
      </c>
      <c r="H295" t="s">
        <v>5590</v>
      </c>
      <c r="I295">
        <v>1</v>
      </c>
      <c r="J295" t="s">
        <v>5595</v>
      </c>
      <c r="K295">
        <v>44.5</v>
      </c>
      <c r="L295">
        <v>188</v>
      </c>
      <c r="M295">
        <v>10.1</v>
      </c>
      <c r="N295" t="s">
        <v>5737</v>
      </c>
      <c r="O295">
        <v>7.8</v>
      </c>
      <c r="P295" t="s">
        <v>5613</v>
      </c>
      <c r="Q295">
        <v>48.8</v>
      </c>
      <c r="R295">
        <v>276</v>
      </c>
      <c r="S295">
        <v>18.399999999999999</v>
      </c>
      <c r="T295">
        <v>611</v>
      </c>
      <c r="U295">
        <v>34.9</v>
      </c>
      <c r="V295">
        <v>380</v>
      </c>
      <c r="W295">
        <v>92.6</v>
      </c>
      <c r="X295">
        <v>64</v>
      </c>
      <c r="Y295">
        <v>14.2</v>
      </c>
      <c r="Z295">
        <v>596</v>
      </c>
      <c r="AA295">
        <v>40.799999999999997</v>
      </c>
      <c r="AB295" t="s">
        <v>5934</v>
      </c>
      <c r="AC295">
        <v>35.6</v>
      </c>
    </row>
    <row r="296" spans="1:29">
      <c r="A296">
        <f>295</f>
        <v>295</v>
      </c>
      <c r="B296" t="s">
        <v>5868</v>
      </c>
      <c r="C296" t="s">
        <v>764</v>
      </c>
      <c r="D296" t="s">
        <v>5629</v>
      </c>
      <c r="E296" t="s">
        <v>5630</v>
      </c>
      <c r="F296" t="s">
        <v>5588</v>
      </c>
      <c r="G296" t="s">
        <v>5589</v>
      </c>
      <c r="H296" t="s">
        <v>5590</v>
      </c>
      <c r="I296">
        <v>3</v>
      </c>
      <c r="J296" t="s">
        <v>5595</v>
      </c>
      <c r="K296">
        <v>19.399999999999999</v>
      </c>
      <c r="L296">
        <v>458</v>
      </c>
      <c r="M296">
        <v>12.6</v>
      </c>
      <c r="N296" t="s">
        <v>5737</v>
      </c>
      <c r="O296">
        <v>56</v>
      </c>
      <c r="P296">
        <v>265</v>
      </c>
      <c r="Q296">
        <v>51.9</v>
      </c>
      <c r="R296">
        <v>249</v>
      </c>
      <c r="S296">
        <v>97.8</v>
      </c>
      <c r="T296">
        <v>118</v>
      </c>
      <c r="U296">
        <v>100</v>
      </c>
      <c r="V296">
        <v>20</v>
      </c>
      <c r="W296">
        <v>2.6</v>
      </c>
      <c r="X296" t="s">
        <v>5613</v>
      </c>
      <c r="Y296">
        <v>15.1</v>
      </c>
      <c r="Z296">
        <v>557</v>
      </c>
      <c r="AA296">
        <v>17.2</v>
      </c>
      <c r="AB296" t="s">
        <v>5935</v>
      </c>
      <c r="AC296">
        <v>35.4</v>
      </c>
    </row>
    <row r="297" spans="1:29">
      <c r="A297">
        <f>295</f>
        <v>295</v>
      </c>
      <c r="B297">
        <v>342</v>
      </c>
      <c r="C297" t="s">
        <v>624</v>
      </c>
      <c r="D297" t="s">
        <v>5592</v>
      </c>
      <c r="E297" t="s">
        <v>26</v>
      </c>
      <c r="F297" t="s">
        <v>5593</v>
      </c>
      <c r="G297" t="s">
        <v>5594</v>
      </c>
      <c r="H297" t="s">
        <v>5590</v>
      </c>
      <c r="I297">
        <v>4</v>
      </c>
      <c r="J297" t="s">
        <v>5595</v>
      </c>
      <c r="K297">
        <v>19.2</v>
      </c>
      <c r="L297">
        <v>466</v>
      </c>
      <c r="M297">
        <v>8.5</v>
      </c>
      <c r="N297" t="s">
        <v>5737</v>
      </c>
      <c r="O297">
        <v>16.8</v>
      </c>
      <c r="P297" t="s">
        <v>5613</v>
      </c>
      <c r="Q297">
        <v>66</v>
      </c>
      <c r="R297">
        <v>164</v>
      </c>
      <c r="S297">
        <v>68</v>
      </c>
      <c r="T297">
        <v>287</v>
      </c>
      <c r="U297">
        <v>38.200000000000003</v>
      </c>
      <c r="V297">
        <v>360</v>
      </c>
      <c r="W297">
        <v>64.8</v>
      </c>
      <c r="X297">
        <v>218</v>
      </c>
      <c r="Y297">
        <v>12.7</v>
      </c>
      <c r="Z297">
        <v>678</v>
      </c>
      <c r="AA297">
        <v>84.3</v>
      </c>
      <c r="AB297" t="s">
        <v>5936</v>
      </c>
      <c r="AC297">
        <v>35.4</v>
      </c>
    </row>
    <row r="298" spans="1:29">
      <c r="A298">
        <v>297</v>
      </c>
      <c r="B298" t="s">
        <v>5868</v>
      </c>
      <c r="C298" t="s">
        <v>464</v>
      </c>
      <c r="D298" t="s">
        <v>5587</v>
      </c>
      <c r="E298" t="s">
        <v>29</v>
      </c>
      <c r="F298" t="s">
        <v>5593</v>
      </c>
      <c r="G298" t="s">
        <v>5594</v>
      </c>
      <c r="H298" t="s">
        <v>5590</v>
      </c>
      <c r="I298">
        <v>5</v>
      </c>
      <c r="J298" t="s">
        <v>5591</v>
      </c>
      <c r="K298">
        <v>30.3</v>
      </c>
      <c r="L298">
        <v>288</v>
      </c>
      <c r="M298">
        <v>34.4</v>
      </c>
      <c r="N298">
        <v>285</v>
      </c>
      <c r="O298">
        <v>59</v>
      </c>
      <c r="P298">
        <v>242</v>
      </c>
      <c r="Q298">
        <v>18.600000000000001</v>
      </c>
      <c r="R298">
        <v>574</v>
      </c>
      <c r="S298">
        <v>17</v>
      </c>
      <c r="T298">
        <v>629</v>
      </c>
      <c r="U298">
        <v>39.799999999999997</v>
      </c>
      <c r="V298">
        <v>344</v>
      </c>
      <c r="W298">
        <v>14.4</v>
      </c>
      <c r="X298">
        <v>606</v>
      </c>
      <c r="Y298">
        <v>87.8</v>
      </c>
      <c r="Z298">
        <v>43</v>
      </c>
      <c r="AA298">
        <v>66.8</v>
      </c>
      <c r="AB298" t="s">
        <v>5813</v>
      </c>
      <c r="AC298">
        <v>35.299999999999997</v>
      </c>
    </row>
    <row r="299" spans="1:29">
      <c r="A299">
        <v>298</v>
      </c>
      <c r="B299" t="s">
        <v>5937</v>
      </c>
      <c r="C299" t="s">
        <v>742</v>
      </c>
      <c r="D299" t="s">
        <v>5620</v>
      </c>
      <c r="E299" t="s">
        <v>76</v>
      </c>
      <c r="F299" t="s">
        <v>5593</v>
      </c>
      <c r="G299" t="s">
        <v>5594</v>
      </c>
      <c r="H299" t="s">
        <v>5590</v>
      </c>
      <c r="I299">
        <v>5</v>
      </c>
      <c r="J299" t="s">
        <v>5595</v>
      </c>
      <c r="K299">
        <v>19.2</v>
      </c>
      <c r="L299">
        <v>465</v>
      </c>
      <c r="M299">
        <v>18</v>
      </c>
      <c r="N299">
        <v>488</v>
      </c>
      <c r="O299">
        <v>16</v>
      </c>
      <c r="P299" t="s">
        <v>5613</v>
      </c>
      <c r="Q299">
        <v>41.8</v>
      </c>
      <c r="R299">
        <v>323</v>
      </c>
      <c r="S299">
        <v>99</v>
      </c>
      <c r="T299">
        <v>97</v>
      </c>
      <c r="U299">
        <v>74.7</v>
      </c>
      <c r="V299">
        <v>187</v>
      </c>
      <c r="W299">
        <v>37.200000000000003</v>
      </c>
      <c r="X299">
        <v>399</v>
      </c>
      <c r="Y299">
        <v>21.6</v>
      </c>
      <c r="Z299">
        <v>385</v>
      </c>
      <c r="AA299">
        <v>94.4</v>
      </c>
      <c r="AB299" t="s">
        <v>5599</v>
      </c>
      <c r="AC299">
        <v>34.9</v>
      </c>
    </row>
    <row r="300" spans="1:29">
      <c r="A300">
        <v>299</v>
      </c>
      <c r="B300" t="s">
        <v>5938</v>
      </c>
      <c r="C300" t="s">
        <v>5939</v>
      </c>
      <c r="D300" t="s">
        <v>5587</v>
      </c>
      <c r="E300" t="s">
        <v>29</v>
      </c>
      <c r="F300" t="s">
        <v>5605</v>
      </c>
      <c r="G300" t="s">
        <v>5589</v>
      </c>
      <c r="H300" t="s">
        <v>5590</v>
      </c>
      <c r="I300">
        <v>5</v>
      </c>
      <c r="J300" t="s">
        <v>5595</v>
      </c>
      <c r="K300">
        <v>36.9</v>
      </c>
      <c r="L300">
        <v>234</v>
      </c>
      <c r="M300">
        <v>24.7</v>
      </c>
      <c r="N300">
        <v>386</v>
      </c>
      <c r="O300">
        <v>48.7</v>
      </c>
      <c r="P300">
        <v>324</v>
      </c>
      <c r="Q300">
        <v>18.100000000000001</v>
      </c>
      <c r="R300">
        <v>583</v>
      </c>
      <c r="S300">
        <v>18.899999999999999</v>
      </c>
      <c r="T300">
        <v>602</v>
      </c>
      <c r="U300">
        <v>32.799999999999997</v>
      </c>
      <c r="V300">
        <v>395</v>
      </c>
      <c r="W300">
        <v>59.7</v>
      </c>
      <c r="X300">
        <v>245</v>
      </c>
      <c r="Y300">
        <v>20.7</v>
      </c>
      <c r="Z300">
        <v>403</v>
      </c>
      <c r="AA300">
        <v>95.9</v>
      </c>
      <c r="AB300">
        <v>47</v>
      </c>
      <c r="AC300">
        <v>34.799999999999997</v>
      </c>
    </row>
    <row r="301" spans="1:29">
      <c r="A301">
        <v>300</v>
      </c>
      <c r="B301" t="s">
        <v>5899</v>
      </c>
      <c r="C301" t="s">
        <v>5940</v>
      </c>
      <c r="D301" t="s">
        <v>5672</v>
      </c>
      <c r="E301" t="s">
        <v>664</v>
      </c>
      <c r="F301" t="s">
        <v>5588</v>
      </c>
      <c r="G301" t="s">
        <v>5589</v>
      </c>
      <c r="H301" t="s">
        <v>5809</v>
      </c>
      <c r="I301">
        <v>2</v>
      </c>
      <c r="J301" t="s">
        <v>5926</v>
      </c>
      <c r="K301">
        <v>22.5</v>
      </c>
      <c r="L301">
        <v>392</v>
      </c>
      <c r="M301">
        <v>58.4</v>
      </c>
      <c r="N301">
        <v>140</v>
      </c>
      <c r="O301">
        <v>72.599999999999994</v>
      </c>
      <c r="P301">
        <v>174</v>
      </c>
      <c r="Q301">
        <v>3.2</v>
      </c>
      <c r="R301" t="s">
        <v>5613</v>
      </c>
      <c r="S301">
        <v>83.7</v>
      </c>
      <c r="T301">
        <v>219</v>
      </c>
      <c r="U301">
        <v>98</v>
      </c>
      <c r="V301">
        <v>63</v>
      </c>
      <c r="W301">
        <v>1.3</v>
      </c>
      <c r="X301" t="s">
        <v>5613</v>
      </c>
      <c r="Y301">
        <v>15.8</v>
      </c>
      <c r="Z301">
        <v>528</v>
      </c>
      <c r="AA301">
        <v>24.6</v>
      </c>
      <c r="AB301" t="s">
        <v>5941</v>
      </c>
      <c r="AC301">
        <v>34.700000000000003</v>
      </c>
    </row>
    <row r="302" spans="1:29">
      <c r="A302">
        <v>301</v>
      </c>
      <c r="B302" t="s">
        <v>5658</v>
      </c>
      <c r="C302" t="s">
        <v>5942</v>
      </c>
      <c r="D302" t="s">
        <v>5616</v>
      </c>
      <c r="E302" t="s">
        <v>54</v>
      </c>
      <c r="F302" t="s">
        <v>5588</v>
      </c>
      <c r="G302" t="s">
        <v>5602</v>
      </c>
      <c r="H302" t="s">
        <v>5590</v>
      </c>
      <c r="I302">
        <v>2</v>
      </c>
      <c r="J302" t="s">
        <v>5595</v>
      </c>
      <c r="K302">
        <v>9.1</v>
      </c>
      <c r="L302" t="s">
        <v>5737</v>
      </c>
      <c r="M302">
        <v>2.1</v>
      </c>
      <c r="N302" t="s">
        <v>5737</v>
      </c>
      <c r="O302">
        <v>94.6</v>
      </c>
      <c r="P302">
        <v>64</v>
      </c>
      <c r="Q302">
        <v>95</v>
      </c>
      <c r="R302">
        <v>53</v>
      </c>
      <c r="S302">
        <v>37.200000000000003</v>
      </c>
      <c r="T302">
        <v>434</v>
      </c>
      <c r="U302">
        <v>1.5</v>
      </c>
      <c r="V302" t="s">
        <v>5613</v>
      </c>
      <c r="W302">
        <v>6.8</v>
      </c>
      <c r="X302" t="s">
        <v>5613</v>
      </c>
      <c r="Y302">
        <v>7.4</v>
      </c>
      <c r="Z302" t="s">
        <v>5613</v>
      </c>
      <c r="AA302">
        <v>6.9</v>
      </c>
      <c r="AB302" t="s">
        <v>5613</v>
      </c>
      <c r="AC302">
        <v>34.6</v>
      </c>
    </row>
    <row r="303" spans="1:29">
      <c r="A303">
        <f>302</f>
        <v>302</v>
      </c>
      <c r="B303" t="s">
        <v>5943</v>
      </c>
      <c r="C303" t="s">
        <v>5944</v>
      </c>
      <c r="D303" t="s">
        <v>5639</v>
      </c>
      <c r="E303" t="s">
        <v>99</v>
      </c>
      <c r="F303" t="s">
        <v>5605</v>
      </c>
      <c r="G303" t="s">
        <v>5594</v>
      </c>
      <c r="H303" t="s">
        <v>5590</v>
      </c>
      <c r="I303">
        <v>5</v>
      </c>
      <c r="J303" t="s">
        <v>5595</v>
      </c>
      <c r="K303">
        <v>44.4</v>
      </c>
      <c r="L303">
        <v>189</v>
      </c>
      <c r="M303">
        <v>29.1</v>
      </c>
      <c r="N303">
        <v>335</v>
      </c>
      <c r="O303">
        <v>21.4</v>
      </c>
      <c r="P303">
        <v>638</v>
      </c>
      <c r="Q303">
        <v>21.3</v>
      </c>
      <c r="R303">
        <v>539</v>
      </c>
      <c r="S303">
        <v>41.3</v>
      </c>
      <c r="T303">
        <v>402</v>
      </c>
      <c r="U303">
        <v>25.6</v>
      </c>
      <c r="V303">
        <v>468</v>
      </c>
      <c r="W303">
        <v>82.1</v>
      </c>
      <c r="X303">
        <v>134</v>
      </c>
      <c r="Y303">
        <v>11.5</v>
      </c>
      <c r="Z303" t="s">
        <v>5613</v>
      </c>
      <c r="AA303">
        <v>46.6</v>
      </c>
      <c r="AB303" t="s">
        <v>5945</v>
      </c>
      <c r="AC303">
        <v>34.5</v>
      </c>
    </row>
    <row r="304" spans="1:29">
      <c r="A304">
        <f>302</f>
        <v>302</v>
      </c>
      <c r="B304" t="s">
        <v>5946</v>
      </c>
      <c r="C304" t="s">
        <v>719</v>
      </c>
      <c r="D304" t="s">
        <v>5587</v>
      </c>
      <c r="E304" t="s">
        <v>29</v>
      </c>
      <c r="F304" t="s">
        <v>5605</v>
      </c>
      <c r="G304" t="s">
        <v>5594</v>
      </c>
      <c r="H304" t="s">
        <v>5590</v>
      </c>
      <c r="I304">
        <v>5</v>
      </c>
      <c r="J304" t="s">
        <v>5595</v>
      </c>
      <c r="K304">
        <v>26.2</v>
      </c>
      <c r="L304">
        <v>337</v>
      </c>
      <c r="M304">
        <v>40.4</v>
      </c>
      <c r="N304">
        <v>232</v>
      </c>
      <c r="O304">
        <v>18.7</v>
      </c>
      <c r="P304" t="s">
        <v>5613</v>
      </c>
      <c r="Q304">
        <v>34.799999999999997</v>
      </c>
      <c r="R304">
        <v>389</v>
      </c>
      <c r="S304">
        <v>71.7</v>
      </c>
      <c r="T304">
        <v>267</v>
      </c>
      <c r="U304">
        <v>17.899999999999999</v>
      </c>
      <c r="V304">
        <v>577</v>
      </c>
      <c r="W304">
        <v>70</v>
      </c>
      <c r="X304">
        <v>197</v>
      </c>
      <c r="Y304">
        <v>20.7</v>
      </c>
      <c r="Z304">
        <v>402</v>
      </c>
      <c r="AA304">
        <v>52.8</v>
      </c>
      <c r="AB304" t="s">
        <v>5837</v>
      </c>
      <c r="AC304">
        <v>34.5</v>
      </c>
    </row>
    <row r="305" spans="1:29">
      <c r="A305">
        <f>304</f>
        <v>304</v>
      </c>
      <c r="B305" t="s">
        <v>5947</v>
      </c>
      <c r="C305" t="s">
        <v>1542</v>
      </c>
      <c r="D305" t="s">
        <v>5901</v>
      </c>
      <c r="E305" t="s">
        <v>1543</v>
      </c>
      <c r="F305" t="s">
        <v>5605</v>
      </c>
      <c r="G305" t="s">
        <v>5594</v>
      </c>
      <c r="H305" t="s">
        <v>5590</v>
      </c>
      <c r="I305">
        <v>5</v>
      </c>
      <c r="J305" t="s">
        <v>5595</v>
      </c>
      <c r="K305">
        <v>37.299999999999997</v>
      </c>
      <c r="L305">
        <v>233</v>
      </c>
      <c r="M305">
        <v>47.2</v>
      </c>
      <c r="N305">
        <v>188</v>
      </c>
      <c r="O305">
        <v>65.099999999999994</v>
      </c>
      <c r="P305">
        <v>210</v>
      </c>
      <c r="Q305">
        <v>6.2</v>
      </c>
      <c r="R305" t="s">
        <v>5613</v>
      </c>
      <c r="S305">
        <v>4.9000000000000004</v>
      </c>
      <c r="T305" t="s">
        <v>5613</v>
      </c>
      <c r="U305">
        <v>13.4</v>
      </c>
      <c r="V305">
        <v>655</v>
      </c>
      <c r="W305">
        <v>59.4</v>
      </c>
      <c r="X305">
        <v>248</v>
      </c>
      <c r="Y305">
        <v>27.9</v>
      </c>
      <c r="Z305">
        <v>289</v>
      </c>
      <c r="AA305">
        <v>57.7</v>
      </c>
      <c r="AB305" t="s">
        <v>5877</v>
      </c>
      <c r="AC305">
        <v>34.299999999999997</v>
      </c>
    </row>
    <row r="306" spans="1:29">
      <c r="A306">
        <f>304</f>
        <v>304</v>
      </c>
      <c r="B306" t="s">
        <v>5852</v>
      </c>
      <c r="C306" t="s">
        <v>489</v>
      </c>
      <c r="D306" t="s">
        <v>5587</v>
      </c>
      <c r="E306" t="s">
        <v>29</v>
      </c>
      <c r="F306" t="s">
        <v>5593</v>
      </c>
      <c r="G306" t="s">
        <v>5589</v>
      </c>
      <c r="H306" t="s">
        <v>5590</v>
      </c>
      <c r="I306">
        <v>5</v>
      </c>
      <c r="J306" t="s">
        <v>5591</v>
      </c>
      <c r="K306">
        <v>26.5</v>
      </c>
      <c r="L306">
        <v>331</v>
      </c>
      <c r="M306">
        <v>32.200000000000003</v>
      </c>
      <c r="N306">
        <v>306</v>
      </c>
      <c r="O306">
        <v>59.7</v>
      </c>
      <c r="P306">
        <v>238</v>
      </c>
      <c r="Q306">
        <v>39.1</v>
      </c>
      <c r="R306">
        <v>350</v>
      </c>
      <c r="S306">
        <v>23.3</v>
      </c>
      <c r="T306">
        <v>561</v>
      </c>
      <c r="U306">
        <v>17.7</v>
      </c>
      <c r="V306">
        <v>578</v>
      </c>
      <c r="W306">
        <v>32</v>
      </c>
      <c r="X306">
        <v>449</v>
      </c>
      <c r="Y306">
        <v>45.2</v>
      </c>
      <c r="Z306">
        <v>155</v>
      </c>
      <c r="AA306">
        <v>34.6</v>
      </c>
      <c r="AB306" t="s">
        <v>5892</v>
      </c>
      <c r="AC306">
        <v>34.299999999999997</v>
      </c>
    </row>
    <row r="307" spans="1:29">
      <c r="A307">
        <v>306</v>
      </c>
      <c r="B307" t="s">
        <v>5948</v>
      </c>
      <c r="C307" t="s">
        <v>1036</v>
      </c>
      <c r="D307" t="s">
        <v>5795</v>
      </c>
      <c r="E307" t="s">
        <v>421</v>
      </c>
      <c r="F307" t="s">
        <v>5593</v>
      </c>
      <c r="G307" t="s">
        <v>5589</v>
      </c>
      <c r="H307" t="s">
        <v>5590</v>
      </c>
      <c r="I307">
        <v>2</v>
      </c>
      <c r="J307" t="s">
        <v>5595</v>
      </c>
      <c r="K307">
        <v>16.2</v>
      </c>
      <c r="L307">
        <v>540</v>
      </c>
      <c r="M307">
        <v>21.4</v>
      </c>
      <c r="N307">
        <v>434</v>
      </c>
      <c r="O307">
        <v>36.799999999999997</v>
      </c>
      <c r="P307">
        <v>430</v>
      </c>
      <c r="Q307">
        <v>20.7</v>
      </c>
      <c r="R307">
        <v>549</v>
      </c>
      <c r="S307">
        <v>96.3</v>
      </c>
      <c r="T307">
        <v>135</v>
      </c>
      <c r="U307">
        <v>50.6</v>
      </c>
      <c r="V307">
        <v>286</v>
      </c>
      <c r="W307">
        <v>96.9</v>
      </c>
      <c r="X307">
        <v>32</v>
      </c>
      <c r="Y307">
        <v>43.6</v>
      </c>
      <c r="Z307">
        <v>165</v>
      </c>
      <c r="AA307">
        <v>73.599999999999994</v>
      </c>
      <c r="AB307" t="s">
        <v>5680</v>
      </c>
      <c r="AC307">
        <v>34</v>
      </c>
    </row>
    <row r="308" spans="1:29">
      <c r="A308">
        <v>307</v>
      </c>
      <c r="C308" t="s">
        <v>5949</v>
      </c>
      <c r="D308" t="s">
        <v>5644</v>
      </c>
      <c r="E308" t="s">
        <v>181</v>
      </c>
      <c r="F308" t="s">
        <v>5615</v>
      </c>
      <c r="G308" t="s">
        <v>5602</v>
      </c>
      <c r="H308" t="s">
        <v>5590</v>
      </c>
      <c r="I308">
        <v>2</v>
      </c>
      <c r="J308" t="s">
        <v>5595</v>
      </c>
      <c r="K308">
        <v>10.4</v>
      </c>
      <c r="L308" t="s">
        <v>5737</v>
      </c>
      <c r="M308">
        <v>7.5</v>
      </c>
      <c r="N308" t="s">
        <v>5737</v>
      </c>
      <c r="O308">
        <v>89</v>
      </c>
      <c r="P308">
        <v>90</v>
      </c>
      <c r="Q308">
        <v>100</v>
      </c>
      <c r="R308">
        <v>7</v>
      </c>
      <c r="S308">
        <v>5.3</v>
      </c>
      <c r="T308" t="s">
        <v>5613</v>
      </c>
      <c r="U308">
        <v>3.7</v>
      </c>
      <c r="V308" t="s">
        <v>5613</v>
      </c>
      <c r="W308">
        <v>1</v>
      </c>
      <c r="X308" t="s">
        <v>5613</v>
      </c>
      <c r="Y308">
        <v>4.7</v>
      </c>
      <c r="Z308" t="s">
        <v>5613</v>
      </c>
      <c r="AC308">
        <v>34</v>
      </c>
    </row>
    <row r="309" spans="1:29">
      <c r="A309">
        <f>307</f>
        <v>307</v>
      </c>
      <c r="B309" t="s">
        <v>5950</v>
      </c>
      <c r="C309" t="s">
        <v>710</v>
      </c>
      <c r="D309" t="s">
        <v>5592</v>
      </c>
      <c r="E309" t="s">
        <v>26</v>
      </c>
      <c r="F309" t="s">
        <v>5593</v>
      </c>
      <c r="G309" t="s">
        <v>5594</v>
      </c>
      <c r="H309" t="s">
        <v>5809</v>
      </c>
      <c r="I309">
        <v>5</v>
      </c>
      <c r="J309" t="s">
        <v>5595</v>
      </c>
      <c r="K309">
        <v>21</v>
      </c>
      <c r="L309">
        <v>418</v>
      </c>
      <c r="M309">
        <v>45</v>
      </c>
      <c r="N309">
        <v>193</v>
      </c>
      <c r="O309">
        <v>23.6</v>
      </c>
      <c r="P309">
        <v>608</v>
      </c>
      <c r="Q309">
        <v>27.4</v>
      </c>
      <c r="R309">
        <v>460</v>
      </c>
      <c r="S309">
        <v>73.099999999999994</v>
      </c>
      <c r="T309">
        <v>261</v>
      </c>
      <c r="U309">
        <v>54.1</v>
      </c>
      <c r="V309">
        <v>271</v>
      </c>
      <c r="W309">
        <v>59</v>
      </c>
      <c r="X309">
        <v>254</v>
      </c>
      <c r="Y309">
        <v>10.6</v>
      </c>
      <c r="Z309" t="s">
        <v>5613</v>
      </c>
      <c r="AA309">
        <v>61</v>
      </c>
      <c r="AB309">
        <v>248</v>
      </c>
      <c r="AC309">
        <v>33.9</v>
      </c>
    </row>
    <row r="310" spans="1:29">
      <c r="A310">
        <f>307</f>
        <v>307</v>
      </c>
      <c r="B310">
        <v>361</v>
      </c>
      <c r="C310" t="s">
        <v>5951</v>
      </c>
      <c r="D310" t="s">
        <v>5672</v>
      </c>
      <c r="E310" t="s">
        <v>664</v>
      </c>
      <c r="F310" t="s">
        <v>5615</v>
      </c>
      <c r="G310" t="s">
        <v>5651</v>
      </c>
      <c r="I310">
        <v>3</v>
      </c>
      <c r="J310" t="s">
        <v>5591</v>
      </c>
      <c r="K310">
        <v>18.2</v>
      </c>
      <c r="L310">
        <v>491</v>
      </c>
      <c r="M310">
        <v>31.6</v>
      </c>
      <c r="N310">
        <v>313</v>
      </c>
      <c r="O310">
        <v>34.6</v>
      </c>
      <c r="P310">
        <v>463</v>
      </c>
      <c r="Q310">
        <v>65.7</v>
      </c>
      <c r="R310">
        <v>167</v>
      </c>
      <c r="S310">
        <v>85.2</v>
      </c>
      <c r="T310">
        <v>207</v>
      </c>
      <c r="U310">
        <v>18.5</v>
      </c>
      <c r="V310">
        <v>567</v>
      </c>
      <c r="W310">
        <v>24.2</v>
      </c>
      <c r="X310">
        <v>505</v>
      </c>
      <c r="Y310">
        <v>9.9</v>
      </c>
      <c r="Z310" t="s">
        <v>5613</v>
      </c>
      <c r="AA310">
        <v>2.9</v>
      </c>
      <c r="AB310" t="s">
        <v>5613</v>
      </c>
      <c r="AC310">
        <v>33.9</v>
      </c>
    </row>
    <row r="311" spans="1:29">
      <c r="A311">
        <f>307</f>
        <v>307</v>
      </c>
      <c r="B311" t="s">
        <v>5947</v>
      </c>
      <c r="C311" t="s">
        <v>712</v>
      </c>
      <c r="D311" t="s">
        <v>5612</v>
      </c>
      <c r="E311" t="s">
        <v>116</v>
      </c>
      <c r="F311" t="s">
        <v>5588</v>
      </c>
      <c r="G311" t="s">
        <v>5589</v>
      </c>
      <c r="H311" t="s">
        <v>5590</v>
      </c>
      <c r="I311">
        <v>5</v>
      </c>
      <c r="J311" t="s">
        <v>5595</v>
      </c>
      <c r="K311">
        <v>17.2</v>
      </c>
      <c r="L311">
        <v>520</v>
      </c>
      <c r="M311">
        <v>7.8</v>
      </c>
      <c r="N311" t="s">
        <v>5737</v>
      </c>
      <c r="O311">
        <v>17.7</v>
      </c>
      <c r="P311" t="s">
        <v>5613</v>
      </c>
      <c r="Q311">
        <v>58.1</v>
      </c>
      <c r="R311">
        <v>220</v>
      </c>
      <c r="S311">
        <v>75.099999999999994</v>
      </c>
      <c r="T311">
        <v>254</v>
      </c>
      <c r="U311">
        <v>95.8</v>
      </c>
      <c r="V311">
        <v>84</v>
      </c>
      <c r="W311">
        <v>48.8</v>
      </c>
      <c r="X311">
        <v>320</v>
      </c>
      <c r="Y311">
        <v>14.8</v>
      </c>
      <c r="Z311">
        <v>562</v>
      </c>
      <c r="AA311">
        <v>47.2</v>
      </c>
      <c r="AB311" t="s">
        <v>5657</v>
      </c>
      <c r="AC311">
        <v>33.9</v>
      </c>
    </row>
    <row r="312" spans="1:29">
      <c r="A312">
        <f>310</f>
        <v>310</v>
      </c>
      <c r="C312" t="s">
        <v>5952</v>
      </c>
      <c r="D312" t="s">
        <v>5789</v>
      </c>
      <c r="E312" t="s">
        <v>676</v>
      </c>
      <c r="F312" t="s">
        <v>5615</v>
      </c>
      <c r="G312" t="s">
        <v>5602</v>
      </c>
      <c r="H312" t="s">
        <v>5590</v>
      </c>
      <c r="I312">
        <v>3</v>
      </c>
      <c r="J312" t="s">
        <v>5595</v>
      </c>
      <c r="K312">
        <v>11.5</v>
      </c>
      <c r="L312" t="s">
        <v>5737</v>
      </c>
      <c r="M312">
        <v>3.9</v>
      </c>
      <c r="N312" t="s">
        <v>5737</v>
      </c>
      <c r="O312">
        <v>100</v>
      </c>
      <c r="P312">
        <v>4</v>
      </c>
      <c r="Q312">
        <v>88.6</v>
      </c>
      <c r="R312">
        <v>79</v>
      </c>
      <c r="W312">
        <v>28.1</v>
      </c>
      <c r="X312">
        <v>469</v>
      </c>
      <c r="Y312">
        <v>10.3</v>
      </c>
      <c r="Z312" t="s">
        <v>5613</v>
      </c>
      <c r="AC312">
        <v>33.799999999999997</v>
      </c>
    </row>
    <row r="313" spans="1:29">
      <c r="A313">
        <f>310</f>
        <v>310</v>
      </c>
      <c r="B313" t="s">
        <v>5834</v>
      </c>
      <c r="C313" t="s">
        <v>5953</v>
      </c>
      <c r="D313" t="s">
        <v>5772</v>
      </c>
      <c r="E313" t="s">
        <v>386</v>
      </c>
      <c r="F313" t="s">
        <v>5588</v>
      </c>
      <c r="G313" t="s">
        <v>5602</v>
      </c>
      <c r="H313" t="s">
        <v>5590</v>
      </c>
      <c r="I313">
        <v>3</v>
      </c>
      <c r="J313" t="s">
        <v>5595</v>
      </c>
      <c r="K313">
        <v>30.9</v>
      </c>
      <c r="L313">
        <v>282</v>
      </c>
      <c r="M313">
        <v>22.8</v>
      </c>
      <c r="N313">
        <v>417</v>
      </c>
      <c r="O313">
        <v>13.1</v>
      </c>
      <c r="P313" t="s">
        <v>5613</v>
      </c>
      <c r="Q313">
        <v>55.6</v>
      </c>
      <c r="R313">
        <v>232</v>
      </c>
      <c r="S313">
        <v>77.900000000000006</v>
      </c>
      <c r="T313">
        <v>238</v>
      </c>
      <c r="U313">
        <v>26.6</v>
      </c>
      <c r="V313">
        <v>455</v>
      </c>
      <c r="W313">
        <v>38.4</v>
      </c>
      <c r="X313">
        <v>389</v>
      </c>
      <c r="Y313">
        <v>15.3</v>
      </c>
      <c r="Z313">
        <v>551</v>
      </c>
      <c r="AA313">
        <v>13.2</v>
      </c>
      <c r="AB313">
        <v>633</v>
      </c>
      <c r="AC313">
        <v>33.799999999999997</v>
      </c>
    </row>
    <row r="314" spans="1:29">
      <c r="A314">
        <v>312</v>
      </c>
      <c r="B314" t="s">
        <v>5954</v>
      </c>
      <c r="C314" t="s">
        <v>5955</v>
      </c>
      <c r="D314" t="s">
        <v>5639</v>
      </c>
      <c r="E314" t="s">
        <v>99</v>
      </c>
      <c r="F314" t="s">
        <v>5593</v>
      </c>
      <c r="G314" t="s">
        <v>5589</v>
      </c>
      <c r="H314" t="s">
        <v>5590</v>
      </c>
      <c r="I314">
        <v>5</v>
      </c>
      <c r="J314" t="s">
        <v>5595</v>
      </c>
      <c r="K314">
        <v>23.7</v>
      </c>
      <c r="L314">
        <v>361</v>
      </c>
      <c r="M314">
        <v>27.2</v>
      </c>
      <c r="N314">
        <v>357</v>
      </c>
      <c r="O314">
        <v>6.1</v>
      </c>
      <c r="P314" t="s">
        <v>5613</v>
      </c>
      <c r="Q314">
        <v>64.8</v>
      </c>
      <c r="R314">
        <v>177</v>
      </c>
      <c r="S314">
        <v>37.4</v>
      </c>
      <c r="T314">
        <v>430</v>
      </c>
      <c r="U314">
        <v>49.8</v>
      </c>
      <c r="V314">
        <v>296</v>
      </c>
      <c r="W314">
        <v>36.5</v>
      </c>
      <c r="X314">
        <v>405</v>
      </c>
      <c r="Y314">
        <v>19.399999999999999</v>
      </c>
      <c r="Z314">
        <v>430</v>
      </c>
      <c r="AA314">
        <v>33.799999999999997</v>
      </c>
      <c r="AB314" t="s">
        <v>5956</v>
      </c>
      <c r="AC314">
        <v>33.700000000000003</v>
      </c>
    </row>
    <row r="315" spans="1:29">
      <c r="A315">
        <f>313</f>
        <v>313</v>
      </c>
      <c r="B315">
        <v>339</v>
      </c>
      <c r="C315" t="s">
        <v>5957</v>
      </c>
      <c r="D315" t="s">
        <v>5587</v>
      </c>
      <c r="E315" t="s">
        <v>29</v>
      </c>
      <c r="F315" t="s">
        <v>5605</v>
      </c>
      <c r="G315" t="s">
        <v>5594</v>
      </c>
      <c r="H315" t="s">
        <v>5590</v>
      </c>
      <c r="I315">
        <v>5</v>
      </c>
      <c r="J315" t="s">
        <v>5595</v>
      </c>
      <c r="K315">
        <v>35.1</v>
      </c>
      <c r="L315">
        <v>246</v>
      </c>
      <c r="M315">
        <v>24.4</v>
      </c>
      <c r="N315">
        <v>397</v>
      </c>
      <c r="O315">
        <v>30.5</v>
      </c>
      <c r="P315">
        <v>514</v>
      </c>
      <c r="Q315">
        <v>21.6</v>
      </c>
      <c r="R315">
        <v>533</v>
      </c>
      <c r="S315">
        <v>40.5</v>
      </c>
      <c r="T315">
        <v>409</v>
      </c>
      <c r="U315">
        <v>12.7</v>
      </c>
      <c r="V315">
        <v>667</v>
      </c>
      <c r="W315">
        <v>68.5</v>
      </c>
      <c r="X315">
        <v>205</v>
      </c>
      <c r="Y315">
        <v>52.2</v>
      </c>
      <c r="Z315">
        <v>122</v>
      </c>
      <c r="AA315">
        <v>62.5</v>
      </c>
      <c r="AB315" t="s">
        <v>5674</v>
      </c>
      <c r="AC315">
        <v>33.5</v>
      </c>
    </row>
    <row r="316" spans="1:29">
      <c r="A316">
        <f>313</f>
        <v>313</v>
      </c>
      <c r="B316" t="s">
        <v>5958</v>
      </c>
      <c r="C316" t="s">
        <v>673</v>
      </c>
      <c r="D316" t="s">
        <v>5732</v>
      </c>
      <c r="E316" t="s">
        <v>313</v>
      </c>
      <c r="F316" t="s">
        <v>5588</v>
      </c>
      <c r="G316" t="s">
        <v>5594</v>
      </c>
      <c r="H316" t="s">
        <v>5590</v>
      </c>
      <c r="I316">
        <v>4</v>
      </c>
      <c r="J316" t="s">
        <v>5595</v>
      </c>
      <c r="K316">
        <v>15.8</v>
      </c>
      <c r="L316">
        <v>553</v>
      </c>
      <c r="M316">
        <v>17.3</v>
      </c>
      <c r="N316">
        <v>502</v>
      </c>
      <c r="O316">
        <v>26.4</v>
      </c>
      <c r="P316">
        <v>564</v>
      </c>
      <c r="Q316">
        <v>56.9</v>
      </c>
      <c r="R316">
        <v>228</v>
      </c>
      <c r="S316">
        <v>52.5</v>
      </c>
      <c r="T316">
        <v>348</v>
      </c>
      <c r="U316">
        <v>9.4</v>
      </c>
      <c r="V316" t="s">
        <v>5613</v>
      </c>
      <c r="W316">
        <v>75.400000000000006</v>
      </c>
      <c r="X316">
        <v>168</v>
      </c>
      <c r="Y316">
        <v>16.600000000000001</v>
      </c>
      <c r="Z316">
        <v>511</v>
      </c>
      <c r="AA316">
        <v>88.4</v>
      </c>
      <c r="AB316" t="s">
        <v>5603</v>
      </c>
      <c r="AC316">
        <v>33.5</v>
      </c>
    </row>
    <row r="317" spans="1:29">
      <c r="A317">
        <f>315</f>
        <v>315</v>
      </c>
      <c r="B317" t="s">
        <v>5946</v>
      </c>
      <c r="C317" t="s">
        <v>1101</v>
      </c>
      <c r="D317" t="s">
        <v>5959</v>
      </c>
      <c r="E317" t="s">
        <v>1102</v>
      </c>
      <c r="F317" t="s">
        <v>5588</v>
      </c>
      <c r="G317" t="s">
        <v>5589</v>
      </c>
      <c r="H317" t="s">
        <v>5590</v>
      </c>
      <c r="I317">
        <v>4</v>
      </c>
      <c r="J317" t="s">
        <v>5595</v>
      </c>
      <c r="K317">
        <v>15.8</v>
      </c>
      <c r="L317">
        <v>552</v>
      </c>
      <c r="M317">
        <v>40.299999999999997</v>
      </c>
      <c r="N317">
        <v>234</v>
      </c>
      <c r="O317">
        <v>2.8</v>
      </c>
      <c r="P317" t="s">
        <v>5613</v>
      </c>
      <c r="Q317">
        <v>97</v>
      </c>
      <c r="R317">
        <v>40</v>
      </c>
      <c r="S317">
        <v>3.4</v>
      </c>
      <c r="T317" t="s">
        <v>5613</v>
      </c>
      <c r="U317">
        <v>1.4</v>
      </c>
      <c r="V317" t="s">
        <v>5613</v>
      </c>
      <c r="W317">
        <v>23</v>
      </c>
      <c r="X317">
        <v>519</v>
      </c>
      <c r="Y317">
        <v>5.8</v>
      </c>
      <c r="Z317" t="s">
        <v>5613</v>
      </c>
      <c r="AA317">
        <v>23</v>
      </c>
      <c r="AB317" t="s">
        <v>5960</v>
      </c>
      <c r="AC317">
        <v>33.4</v>
      </c>
    </row>
    <row r="318" spans="1:29">
      <c r="A318">
        <f>315</f>
        <v>315</v>
      </c>
      <c r="B318" t="s">
        <v>5912</v>
      </c>
      <c r="C318" t="s">
        <v>5961</v>
      </c>
      <c r="D318" t="s">
        <v>5696</v>
      </c>
      <c r="E318" t="s">
        <v>5697</v>
      </c>
      <c r="F318" t="s">
        <v>5593</v>
      </c>
      <c r="G318" t="s">
        <v>5594</v>
      </c>
      <c r="H318" t="s">
        <v>5590</v>
      </c>
      <c r="I318">
        <v>5</v>
      </c>
      <c r="J318" t="s">
        <v>5595</v>
      </c>
      <c r="K318">
        <v>40.799999999999997</v>
      </c>
      <c r="L318">
        <v>207</v>
      </c>
      <c r="M318">
        <v>24</v>
      </c>
      <c r="N318">
        <v>403</v>
      </c>
      <c r="O318">
        <v>61.6</v>
      </c>
      <c r="P318">
        <v>228</v>
      </c>
      <c r="Q318">
        <v>5.0999999999999996</v>
      </c>
      <c r="R318" t="s">
        <v>5613</v>
      </c>
      <c r="S318">
        <v>5.2</v>
      </c>
      <c r="T318" t="s">
        <v>5613</v>
      </c>
      <c r="U318">
        <v>41.7</v>
      </c>
      <c r="V318">
        <v>335</v>
      </c>
      <c r="W318">
        <v>69.5</v>
      </c>
      <c r="X318">
        <v>198</v>
      </c>
      <c r="Y318">
        <v>52.8</v>
      </c>
      <c r="Z318">
        <v>120</v>
      </c>
      <c r="AA318">
        <v>36.1</v>
      </c>
      <c r="AB318" t="s">
        <v>5962</v>
      </c>
      <c r="AC318">
        <v>33.4</v>
      </c>
    </row>
    <row r="319" spans="1:29">
      <c r="A319">
        <f>315</f>
        <v>315</v>
      </c>
      <c r="B319">
        <v>291</v>
      </c>
      <c r="C319" t="s">
        <v>820</v>
      </c>
      <c r="D319" t="s">
        <v>5732</v>
      </c>
      <c r="E319" t="s">
        <v>313</v>
      </c>
      <c r="F319" t="s">
        <v>5593</v>
      </c>
      <c r="G319" t="s">
        <v>5594</v>
      </c>
      <c r="H319" t="s">
        <v>5590</v>
      </c>
      <c r="I319">
        <v>5</v>
      </c>
      <c r="J319" t="s">
        <v>5595</v>
      </c>
      <c r="K319">
        <v>28.3</v>
      </c>
      <c r="L319">
        <v>311</v>
      </c>
      <c r="M319">
        <v>21.1</v>
      </c>
      <c r="N319">
        <v>440</v>
      </c>
      <c r="O319">
        <v>52.3</v>
      </c>
      <c r="P319">
        <v>302</v>
      </c>
      <c r="Q319">
        <v>32.4</v>
      </c>
      <c r="R319">
        <v>417</v>
      </c>
      <c r="S319">
        <v>27.2</v>
      </c>
      <c r="T319">
        <v>505</v>
      </c>
      <c r="U319">
        <v>4.3</v>
      </c>
      <c r="V319" t="s">
        <v>5613</v>
      </c>
      <c r="W319">
        <v>62.9</v>
      </c>
      <c r="X319">
        <v>227</v>
      </c>
      <c r="Y319">
        <v>27.8</v>
      </c>
      <c r="Z319">
        <v>291</v>
      </c>
      <c r="AA319">
        <v>77.7</v>
      </c>
      <c r="AB319" t="s">
        <v>5664</v>
      </c>
      <c r="AC319">
        <v>33.4</v>
      </c>
    </row>
    <row r="320" spans="1:29">
      <c r="A320">
        <v>318</v>
      </c>
      <c r="B320" t="s">
        <v>5943</v>
      </c>
      <c r="C320" t="s">
        <v>693</v>
      </c>
      <c r="D320" t="s">
        <v>5620</v>
      </c>
      <c r="E320" t="s">
        <v>76</v>
      </c>
      <c r="F320" t="s">
        <v>5593</v>
      </c>
      <c r="G320" t="s">
        <v>5589</v>
      </c>
      <c r="H320" t="s">
        <v>5590</v>
      </c>
      <c r="I320">
        <v>4</v>
      </c>
      <c r="J320" t="s">
        <v>5595</v>
      </c>
      <c r="K320">
        <v>25.5</v>
      </c>
      <c r="L320">
        <v>343</v>
      </c>
      <c r="M320">
        <v>13.5</v>
      </c>
      <c r="N320">
        <v>600</v>
      </c>
      <c r="O320">
        <v>5.7</v>
      </c>
      <c r="P320" t="s">
        <v>5613</v>
      </c>
      <c r="Q320">
        <v>42.5</v>
      </c>
      <c r="R320">
        <v>315</v>
      </c>
      <c r="S320">
        <v>96.8</v>
      </c>
      <c r="T320">
        <v>128</v>
      </c>
      <c r="U320">
        <v>86.3</v>
      </c>
      <c r="V320">
        <v>139</v>
      </c>
      <c r="W320">
        <v>34.5</v>
      </c>
      <c r="X320">
        <v>423</v>
      </c>
      <c r="Y320">
        <v>17.600000000000001</v>
      </c>
      <c r="Z320">
        <v>474</v>
      </c>
      <c r="AA320">
        <v>54.3</v>
      </c>
      <c r="AB320" t="s">
        <v>5850</v>
      </c>
      <c r="AC320">
        <v>33.299999999999997</v>
      </c>
    </row>
    <row r="321" spans="1:29">
      <c r="A321">
        <f>319</f>
        <v>319</v>
      </c>
      <c r="B321">
        <v>230</v>
      </c>
      <c r="C321" t="s">
        <v>960</v>
      </c>
      <c r="D321" t="s">
        <v>5696</v>
      </c>
      <c r="E321" t="s">
        <v>5697</v>
      </c>
      <c r="F321" t="s">
        <v>5593</v>
      </c>
      <c r="G321" t="s">
        <v>5589</v>
      </c>
      <c r="H321" t="s">
        <v>5590</v>
      </c>
      <c r="I321">
        <v>5</v>
      </c>
      <c r="J321" t="s">
        <v>5595</v>
      </c>
      <c r="K321">
        <v>31.3</v>
      </c>
      <c r="L321">
        <v>279</v>
      </c>
      <c r="M321">
        <v>44.4</v>
      </c>
      <c r="N321">
        <v>202</v>
      </c>
      <c r="O321">
        <v>100</v>
      </c>
      <c r="P321">
        <v>18</v>
      </c>
      <c r="Q321">
        <v>1.4</v>
      </c>
      <c r="R321" t="s">
        <v>5613</v>
      </c>
      <c r="S321">
        <v>53.6</v>
      </c>
      <c r="T321">
        <v>343</v>
      </c>
      <c r="U321">
        <v>58.9</v>
      </c>
      <c r="V321">
        <v>256</v>
      </c>
      <c r="W321">
        <v>1</v>
      </c>
      <c r="X321" t="s">
        <v>5613</v>
      </c>
      <c r="Y321">
        <v>12.2</v>
      </c>
      <c r="Z321" t="s">
        <v>5613</v>
      </c>
      <c r="AA321">
        <v>10.5</v>
      </c>
      <c r="AB321" t="s">
        <v>5963</v>
      </c>
      <c r="AC321">
        <v>33.200000000000003</v>
      </c>
    </row>
    <row r="322" spans="1:29">
      <c r="A322">
        <f>319</f>
        <v>319</v>
      </c>
      <c r="B322">
        <v>259</v>
      </c>
      <c r="C322" t="s">
        <v>5964</v>
      </c>
      <c r="D322" t="s">
        <v>5624</v>
      </c>
      <c r="E322" t="s">
        <v>125</v>
      </c>
      <c r="F322" t="s">
        <v>5593</v>
      </c>
      <c r="G322" t="s">
        <v>5651</v>
      </c>
      <c r="I322">
        <v>5</v>
      </c>
      <c r="J322" t="s">
        <v>5595</v>
      </c>
      <c r="K322">
        <v>17.7</v>
      </c>
      <c r="L322">
        <v>502</v>
      </c>
      <c r="M322">
        <v>27.6</v>
      </c>
      <c r="N322">
        <v>353</v>
      </c>
      <c r="O322">
        <v>88</v>
      </c>
      <c r="P322">
        <v>94</v>
      </c>
      <c r="Q322">
        <v>3.2</v>
      </c>
      <c r="R322" t="s">
        <v>5613</v>
      </c>
      <c r="S322">
        <v>54.9</v>
      </c>
      <c r="T322">
        <v>337</v>
      </c>
      <c r="U322">
        <v>97.1</v>
      </c>
      <c r="V322">
        <v>73</v>
      </c>
      <c r="W322">
        <v>1.4</v>
      </c>
      <c r="X322" t="s">
        <v>5613</v>
      </c>
      <c r="Y322">
        <v>76.3</v>
      </c>
      <c r="Z322">
        <v>55</v>
      </c>
      <c r="AA322">
        <v>54.6</v>
      </c>
      <c r="AB322" t="s">
        <v>5803</v>
      </c>
      <c r="AC322">
        <v>33.200000000000003</v>
      </c>
    </row>
    <row r="323" spans="1:29">
      <c r="A323">
        <f>319</f>
        <v>319</v>
      </c>
      <c r="B323" t="s">
        <v>5909</v>
      </c>
      <c r="C323" t="s">
        <v>5965</v>
      </c>
      <c r="D323" t="s">
        <v>5772</v>
      </c>
      <c r="E323" t="s">
        <v>386</v>
      </c>
      <c r="F323" t="s">
        <v>5593</v>
      </c>
      <c r="G323" t="s">
        <v>5602</v>
      </c>
      <c r="H323" t="s">
        <v>5590</v>
      </c>
      <c r="I323">
        <v>3</v>
      </c>
      <c r="J323" t="s">
        <v>5595</v>
      </c>
      <c r="K323">
        <v>32.9</v>
      </c>
      <c r="L323">
        <v>265</v>
      </c>
      <c r="M323">
        <v>49.1</v>
      </c>
      <c r="N323">
        <v>177</v>
      </c>
      <c r="O323">
        <v>53.3</v>
      </c>
      <c r="P323">
        <v>290</v>
      </c>
      <c r="Q323">
        <v>4.8</v>
      </c>
      <c r="R323" t="s">
        <v>5613</v>
      </c>
      <c r="S323">
        <v>56.5</v>
      </c>
      <c r="T323">
        <v>328</v>
      </c>
      <c r="U323">
        <v>41.2</v>
      </c>
      <c r="V323">
        <v>337</v>
      </c>
      <c r="W323">
        <v>18.5</v>
      </c>
      <c r="X323">
        <v>556</v>
      </c>
      <c r="Y323">
        <v>12.9</v>
      </c>
      <c r="Z323">
        <v>668</v>
      </c>
      <c r="AA323">
        <v>62.5</v>
      </c>
      <c r="AB323" t="s">
        <v>5674</v>
      </c>
      <c r="AC323">
        <v>33.200000000000003</v>
      </c>
    </row>
    <row r="324" spans="1:29">
      <c r="A324">
        <v>322</v>
      </c>
      <c r="B324" t="s">
        <v>5966</v>
      </c>
      <c r="C324" t="s">
        <v>942</v>
      </c>
      <c r="D324" t="s">
        <v>5620</v>
      </c>
      <c r="E324" t="s">
        <v>76</v>
      </c>
      <c r="F324" t="s">
        <v>5593</v>
      </c>
      <c r="G324" t="s">
        <v>5589</v>
      </c>
      <c r="H324" t="s">
        <v>5590</v>
      </c>
      <c r="I324">
        <v>4</v>
      </c>
      <c r="J324" t="s">
        <v>5595</v>
      </c>
      <c r="K324">
        <v>17.3</v>
      </c>
      <c r="L324">
        <v>514</v>
      </c>
      <c r="M324">
        <v>7.6</v>
      </c>
      <c r="N324" t="s">
        <v>5737</v>
      </c>
      <c r="O324">
        <v>3.5</v>
      </c>
      <c r="P324" t="s">
        <v>5613</v>
      </c>
      <c r="Q324">
        <v>65</v>
      </c>
      <c r="R324">
        <v>174</v>
      </c>
      <c r="S324">
        <v>95.2</v>
      </c>
      <c r="T324">
        <v>149</v>
      </c>
      <c r="U324">
        <v>48.6</v>
      </c>
      <c r="V324">
        <v>304</v>
      </c>
      <c r="W324">
        <v>19</v>
      </c>
      <c r="X324">
        <v>551</v>
      </c>
      <c r="Y324">
        <v>12.2</v>
      </c>
      <c r="Z324" t="s">
        <v>5613</v>
      </c>
      <c r="AA324">
        <v>89.8</v>
      </c>
      <c r="AB324">
        <v>94</v>
      </c>
      <c r="AC324">
        <v>33</v>
      </c>
    </row>
    <row r="325" spans="1:29">
      <c r="A325">
        <f>323</f>
        <v>323</v>
      </c>
      <c r="B325" t="s">
        <v>5938</v>
      </c>
      <c r="C325" t="s">
        <v>581</v>
      </c>
      <c r="D325" t="s">
        <v>5616</v>
      </c>
      <c r="E325" t="s">
        <v>54</v>
      </c>
      <c r="F325" t="s">
        <v>5605</v>
      </c>
      <c r="G325" t="s">
        <v>5594</v>
      </c>
      <c r="H325" t="s">
        <v>5590</v>
      </c>
      <c r="I325">
        <v>4</v>
      </c>
      <c r="J325" t="s">
        <v>5595</v>
      </c>
      <c r="K325">
        <v>36.4</v>
      </c>
      <c r="L325">
        <v>238</v>
      </c>
      <c r="M325">
        <v>22.3</v>
      </c>
      <c r="N325">
        <v>423</v>
      </c>
      <c r="O325">
        <v>48.8</v>
      </c>
      <c r="P325">
        <v>321</v>
      </c>
      <c r="Q325">
        <v>44.1</v>
      </c>
      <c r="R325">
        <v>304</v>
      </c>
      <c r="S325">
        <v>2.4</v>
      </c>
      <c r="T325" t="s">
        <v>5613</v>
      </c>
      <c r="U325">
        <v>4.2</v>
      </c>
      <c r="V325" t="s">
        <v>5613</v>
      </c>
      <c r="W325">
        <v>33.299999999999997</v>
      </c>
      <c r="X325">
        <v>429</v>
      </c>
      <c r="Y325">
        <v>16.7</v>
      </c>
      <c r="Z325">
        <v>508</v>
      </c>
      <c r="AA325">
        <v>38.4</v>
      </c>
      <c r="AB325" t="s">
        <v>5849</v>
      </c>
      <c r="AC325">
        <v>32.799999999999997</v>
      </c>
    </row>
    <row r="326" spans="1:29">
      <c r="A326">
        <f>323</f>
        <v>323</v>
      </c>
      <c r="B326" t="s">
        <v>5903</v>
      </c>
      <c r="C326" t="s">
        <v>5967</v>
      </c>
      <c r="D326" t="s">
        <v>5587</v>
      </c>
      <c r="E326" t="s">
        <v>29</v>
      </c>
      <c r="F326" t="s">
        <v>5605</v>
      </c>
      <c r="G326" t="s">
        <v>5594</v>
      </c>
      <c r="H326" t="s">
        <v>5590</v>
      </c>
      <c r="I326">
        <v>5</v>
      </c>
      <c r="J326" t="s">
        <v>5595</v>
      </c>
      <c r="K326">
        <v>40.9</v>
      </c>
      <c r="L326">
        <v>206</v>
      </c>
      <c r="M326">
        <v>23.5</v>
      </c>
      <c r="N326">
        <v>408</v>
      </c>
      <c r="O326">
        <v>31.6</v>
      </c>
      <c r="P326">
        <v>497</v>
      </c>
      <c r="Q326">
        <v>26.2</v>
      </c>
      <c r="R326">
        <v>469</v>
      </c>
      <c r="S326">
        <v>8.5</v>
      </c>
      <c r="T326" t="s">
        <v>5613</v>
      </c>
      <c r="U326">
        <v>17</v>
      </c>
      <c r="V326">
        <v>586</v>
      </c>
      <c r="W326">
        <v>50.1</v>
      </c>
      <c r="X326">
        <v>312</v>
      </c>
      <c r="Y326">
        <v>31.5</v>
      </c>
      <c r="Z326">
        <v>242</v>
      </c>
      <c r="AA326">
        <v>62.8</v>
      </c>
      <c r="AB326" t="s">
        <v>5911</v>
      </c>
      <c r="AC326">
        <v>32.799999999999997</v>
      </c>
    </row>
    <row r="327" spans="1:29">
      <c r="A327">
        <f>323</f>
        <v>323</v>
      </c>
      <c r="B327" t="s">
        <v>5968</v>
      </c>
      <c r="C327" t="s">
        <v>1320</v>
      </c>
      <c r="D327" t="s">
        <v>5795</v>
      </c>
      <c r="E327" t="s">
        <v>421</v>
      </c>
      <c r="F327" t="s">
        <v>5605</v>
      </c>
      <c r="G327" t="s">
        <v>5594</v>
      </c>
      <c r="H327" t="s">
        <v>5590</v>
      </c>
      <c r="I327">
        <v>5</v>
      </c>
      <c r="J327" t="s">
        <v>5595</v>
      </c>
      <c r="K327">
        <v>23.6</v>
      </c>
      <c r="L327">
        <v>365</v>
      </c>
      <c r="M327">
        <v>52.3</v>
      </c>
      <c r="N327">
        <v>155</v>
      </c>
      <c r="O327">
        <v>3.5</v>
      </c>
      <c r="P327" t="s">
        <v>5613</v>
      </c>
      <c r="Q327">
        <v>20.7</v>
      </c>
      <c r="R327">
        <v>550</v>
      </c>
      <c r="S327">
        <v>25</v>
      </c>
      <c r="T327">
        <v>535</v>
      </c>
      <c r="U327">
        <v>6.4</v>
      </c>
      <c r="V327" t="s">
        <v>5613</v>
      </c>
      <c r="W327">
        <v>97.6</v>
      </c>
      <c r="X327">
        <v>26</v>
      </c>
      <c r="Y327">
        <v>58.4</v>
      </c>
      <c r="Z327">
        <v>104</v>
      </c>
      <c r="AA327">
        <v>78.400000000000006</v>
      </c>
      <c r="AB327" t="s">
        <v>5774</v>
      </c>
      <c r="AC327">
        <v>32.799999999999997</v>
      </c>
    </row>
    <row r="328" spans="1:29">
      <c r="A328">
        <f>326</f>
        <v>326</v>
      </c>
      <c r="B328" t="s">
        <v>5946</v>
      </c>
      <c r="C328" t="s">
        <v>798</v>
      </c>
      <c r="D328" t="s">
        <v>5612</v>
      </c>
      <c r="E328" t="s">
        <v>116</v>
      </c>
      <c r="F328" t="s">
        <v>5593</v>
      </c>
      <c r="G328" t="s">
        <v>5589</v>
      </c>
      <c r="H328" t="s">
        <v>5590</v>
      </c>
      <c r="I328">
        <v>3</v>
      </c>
      <c r="J328" t="s">
        <v>5595</v>
      </c>
      <c r="K328">
        <v>22.5</v>
      </c>
      <c r="L328">
        <v>390</v>
      </c>
      <c r="M328">
        <v>14</v>
      </c>
      <c r="N328">
        <v>580</v>
      </c>
      <c r="O328">
        <v>22.4</v>
      </c>
      <c r="P328">
        <v>625</v>
      </c>
      <c r="Q328">
        <v>32.799999999999997</v>
      </c>
      <c r="R328">
        <v>415</v>
      </c>
      <c r="S328">
        <v>99.8</v>
      </c>
      <c r="T328">
        <v>80</v>
      </c>
      <c r="U328">
        <v>45.1</v>
      </c>
      <c r="V328">
        <v>322</v>
      </c>
      <c r="W328">
        <v>58.6</v>
      </c>
      <c r="X328">
        <v>256</v>
      </c>
      <c r="Y328">
        <v>15.4</v>
      </c>
      <c r="Z328">
        <v>544</v>
      </c>
      <c r="AA328">
        <v>81.7</v>
      </c>
      <c r="AB328" t="s">
        <v>5608</v>
      </c>
      <c r="AC328">
        <v>32.700000000000003</v>
      </c>
    </row>
    <row r="329" spans="1:29">
      <c r="A329">
        <f>326</f>
        <v>326</v>
      </c>
      <c r="B329" t="s">
        <v>5969</v>
      </c>
      <c r="C329" t="s">
        <v>698</v>
      </c>
      <c r="D329" t="s">
        <v>5728</v>
      </c>
      <c r="E329" t="s">
        <v>272</v>
      </c>
      <c r="F329" t="s">
        <v>5593</v>
      </c>
      <c r="G329" t="s">
        <v>5589</v>
      </c>
      <c r="H329" t="s">
        <v>5590</v>
      </c>
      <c r="I329">
        <v>4</v>
      </c>
      <c r="J329" t="s">
        <v>5595</v>
      </c>
      <c r="K329">
        <v>20</v>
      </c>
      <c r="L329">
        <v>441</v>
      </c>
      <c r="M329">
        <v>18</v>
      </c>
      <c r="N329">
        <v>485</v>
      </c>
      <c r="O329">
        <v>27.1</v>
      </c>
      <c r="P329">
        <v>558</v>
      </c>
      <c r="Q329">
        <v>40.700000000000003</v>
      </c>
      <c r="R329">
        <v>337</v>
      </c>
      <c r="S329">
        <v>83.2</v>
      </c>
      <c r="T329">
        <v>220</v>
      </c>
      <c r="U329">
        <v>22.7</v>
      </c>
      <c r="V329">
        <v>503</v>
      </c>
      <c r="W329">
        <v>49.7</v>
      </c>
      <c r="X329">
        <v>315</v>
      </c>
      <c r="Y329">
        <v>17.7</v>
      </c>
      <c r="Z329">
        <v>469</v>
      </c>
      <c r="AA329">
        <v>88.7</v>
      </c>
      <c r="AB329">
        <v>100</v>
      </c>
      <c r="AC329">
        <v>32.700000000000003</v>
      </c>
    </row>
    <row r="330" spans="1:29">
      <c r="A330">
        <f>328</f>
        <v>328</v>
      </c>
      <c r="B330" t="s">
        <v>5954</v>
      </c>
      <c r="C330" t="s">
        <v>857</v>
      </c>
      <c r="D330" t="s">
        <v>5592</v>
      </c>
      <c r="E330" t="s">
        <v>26</v>
      </c>
      <c r="F330" t="s">
        <v>5593</v>
      </c>
      <c r="G330" t="s">
        <v>5589</v>
      </c>
      <c r="H330" t="s">
        <v>5590</v>
      </c>
      <c r="I330">
        <v>5</v>
      </c>
      <c r="J330" t="s">
        <v>5595</v>
      </c>
      <c r="K330">
        <v>21.4</v>
      </c>
      <c r="L330">
        <v>405</v>
      </c>
      <c r="M330">
        <v>18.100000000000001</v>
      </c>
      <c r="N330">
        <v>483</v>
      </c>
      <c r="O330">
        <v>6.7</v>
      </c>
      <c r="P330" t="s">
        <v>5613</v>
      </c>
      <c r="Q330">
        <v>42.2</v>
      </c>
      <c r="R330">
        <v>321</v>
      </c>
      <c r="S330">
        <v>95</v>
      </c>
      <c r="T330">
        <v>151</v>
      </c>
      <c r="U330">
        <v>99.3</v>
      </c>
      <c r="V330">
        <v>46</v>
      </c>
      <c r="W330">
        <v>22.1</v>
      </c>
      <c r="X330">
        <v>527</v>
      </c>
      <c r="Y330">
        <v>28.3</v>
      </c>
      <c r="Z330">
        <v>284</v>
      </c>
      <c r="AA330">
        <v>41.7</v>
      </c>
      <c r="AB330">
        <v>356</v>
      </c>
      <c r="AC330">
        <v>32.6</v>
      </c>
    </row>
    <row r="331" spans="1:29">
      <c r="A331">
        <f>328</f>
        <v>328</v>
      </c>
      <c r="B331" t="s">
        <v>5727</v>
      </c>
      <c r="C331" t="s">
        <v>5970</v>
      </c>
      <c r="D331" t="s">
        <v>5644</v>
      </c>
      <c r="E331" t="s">
        <v>181</v>
      </c>
      <c r="F331" t="s">
        <v>5615</v>
      </c>
      <c r="G331" t="s">
        <v>5602</v>
      </c>
      <c r="H331" t="s">
        <v>5590</v>
      </c>
      <c r="I331">
        <v>3</v>
      </c>
      <c r="J331" t="s">
        <v>5595</v>
      </c>
      <c r="K331">
        <v>17.399999999999999</v>
      </c>
      <c r="L331">
        <v>513</v>
      </c>
      <c r="M331">
        <v>8.9</v>
      </c>
      <c r="N331" t="s">
        <v>5737</v>
      </c>
      <c r="O331">
        <v>38.4</v>
      </c>
      <c r="P331">
        <v>411</v>
      </c>
      <c r="Q331">
        <v>100</v>
      </c>
      <c r="R331">
        <v>5</v>
      </c>
      <c r="S331">
        <v>21.6</v>
      </c>
      <c r="T331">
        <v>577</v>
      </c>
      <c r="U331">
        <v>10</v>
      </c>
      <c r="V331" t="s">
        <v>5613</v>
      </c>
      <c r="W331">
        <v>1.3</v>
      </c>
      <c r="X331" t="s">
        <v>5613</v>
      </c>
      <c r="Y331">
        <v>8.1</v>
      </c>
      <c r="Z331" t="s">
        <v>5613</v>
      </c>
      <c r="AA331">
        <v>2.1</v>
      </c>
      <c r="AB331" t="s">
        <v>5613</v>
      </c>
      <c r="AC331">
        <v>32.6</v>
      </c>
    </row>
    <row r="332" spans="1:29">
      <c r="A332">
        <f>328</f>
        <v>328</v>
      </c>
      <c r="B332" t="s">
        <v>5876</v>
      </c>
      <c r="C332" t="s">
        <v>5971</v>
      </c>
      <c r="D332" t="s">
        <v>5624</v>
      </c>
      <c r="E332" t="s">
        <v>125</v>
      </c>
      <c r="F332" t="s">
        <v>5605</v>
      </c>
      <c r="G332" t="s">
        <v>5602</v>
      </c>
      <c r="H332" t="s">
        <v>5590</v>
      </c>
      <c r="I332">
        <v>5</v>
      </c>
      <c r="J332" t="s">
        <v>5595</v>
      </c>
      <c r="K332">
        <v>65.2</v>
      </c>
      <c r="L332">
        <v>104</v>
      </c>
      <c r="M332">
        <v>24.9</v>
      </c>
      <c r="N332">
        <v>385</v>
      </c>
      <c r="O332">
        <v>4.2</v>
      </c>
      <c r="P332" t="s">
        <v>5613</v>
      </c>
      <c r="Q332">
        <v>3.4</v>
      </c>
      <c r="R332" t="s">
        <v>5613</v>
      </c>
      <c r="S332">
        <v>38.200000000000003</v>
      </c>
      <c r="T332">
        <v>421</v>
      </c>
      <c r="U332">
        <v>46.4</v>
      </c>
      <c r="V332">
        <v>314</v>
      </c>
      <c r="W332">
        <v>30</v>
      </c>
      <c r="X332">
        <v>458</v>
      </c>
      <c r="Y332">
        <v>32.200000000000003</v>
      </c>
      <c r="Z332">
        <v>238</v>
      </c>
      <c r="AA332">
        <v>16.3</v>
      </c>
      <c r="AB332" t="s">
        <v>5929</v>
      </c>
      <c r="AC332">
        <v>32.6</v>
      </c>
    </row>
    <row r="333" spans="1:29">
      <c r="A333">
        <f>328</f>
        <v>328</v>
      </c>
      <c r="B333" t="s">
        <v>5851</v>
      </c>
      <c r="C333" t="s">
        <v>5972</v>
      </c>
      <c r="D333" t="s">
        <v>5601</v>
      </c>
      <c r="E333" t="s">
        <v>50</v>
      </c>
      <c r="F333" t="s">
        <v>5615</v>
      </c>
      <c r="G333" t="s">
        <v>5602</v>
      </c>
      <c r="H333" t="s">
        <v>5590</v>
      </c>
      <c r="I333">
        <v>3</v>
      </c>
      <c r="J333" t="s">
        <v>5595</v>
      </c>
      <c r="K333">
        <v>5.8</v>
      </c>
      <c r="L333" t="s">
        <v>5737</v>
      </c>
      <c r="M333">
        <v>3.9</v>
      </c>
      <c r="N333" t="s">
        <v>5737</v>
      </c>
      <c r="O333">
        <v>82.9</v>
      </c>
      <c r="P333">
        <v>120</v>
      </c>
      <c r="Q333">
        <v>56.4</v>
      </c>
      <c r="R333">
        <v>229</v>
      </c>
      <c r="S333">
        <v>100</v>
      </c>
      <c r="T333">
        <v>23</v>
      </c>
      <c r="U333">
        <v>100</v>
      </c>
      <c r="V333">
        <v>11</v>
      </c>
      <c r="W333">
        <v>4.2</v>
      </c>
      <c r="X333" t="s">
        <v>5613</v>
      </c>
      <c r="Y333">
        <v>7.9</v>
      </c>
      <c r="Z333" t="s">
        <v>5613</v>
      </c>
      <c r="AA333">
        <v>1.2</v>
      </c>
      <c r="AB333" t="s">
        <v>5613</v>
      </c>
      <c r="AC333">
        <v>32.6</v>
      </c>
    </row>
    <row r="334" spans="1:29">
      <c r="A334">
        <f>332</f>
        <v>332</v>
      </c>
      <c r="B334" t="s">
        <v>5912</v>
      </c>
      <c r="C334" t="s">
        <v>646</v>
      </c>
      <c r="D334" t="s">
        <v>5644</v>
      </c>
      <c r="E334" t="s">
        <v>181</v>
      </c>
      <c r="F334" t="s">
        <v>5593</v>
      </c>
      <c r="G334" t="s">
        <v>5594</v>
      </c>
      <c r="H334" t="s">
        <v>5590</v>
      </c>
      <c r="I334">
        <v>4</v>
      </c>
      <c r="J334" t="s">
        <v>5591</v>
      </c>
      <c r="K334">
        <v>28</v>
      </c>
      <c r="L334">
        <v>312</v>
      </c>
      <c r="M334">
        <v>41.6</v>
      </c>
      <c r="N334">
        <v>224</v>
      </c>
      <c r="O334">
        <v>84.8</v>
      </c>
      <c r="P334">
        <v>106</v>
      </c>
      <c r="Q334">
        <v>14</v>
      </c>
      <c r="R334">
        <v>657</v>
      </c>
      <c r="S334">
        <v>14.2</v>
      </c>
      <c r="T334">
        <v>684</v>
      </c>
      <c r="U334">
        <v>54</v>
      </c>
      <c r="V334">
        <v>272</v>
      </c>
      <c r="W334">
        <v>16.7</v>
      </c>
      <c r="X334">
        <v>577</v>
      </c>
      <c r="Y334">
        <v>12.1</v>
      </c>
      <c r="Z334" t="s">
        <v>5613</v>
      </c>
      <c r="AA334">
        <v>33.5</v>
      </c>
      <c r="AB334" t="s">
        <v>5973</v>
      </c>
      <c r="AC334">
        <v>32.5</v>
      </c>
    </row>
    <row r="335" spans="1:29">
      <c r="A335">
        <f>332</f>
        <v>332</v>
      </c>
      <c r="B335" t="s">
        <v>5974</v>
      </c>
      <c r="C335" t="s">
        <v>510</v>
      </c>
      <c r="D335" t="s">
        <v>5587</v>
      </c>
      <c r="E335" t="s">
        <v>29</v>
      </c>
      <c r="F335" t="s">
        <v>5593</v>
      </c>
      <c r="G335" t="s">
        <v>5589</v>
      </c>
      <c r="H335" t="s">
        <v>5590</v>
      </c>
      <c r="I335">
        <v>4</v>
      </c>
      <c r="J335" t="s">
        <v>5595</v>
      </c>
      <c r="K335">
        <v>18.399999999999999</v>
      </c>
      <c r="L335">
        <v>487</v>
      </c>
      <c r="M335">
        <v>4.9000000000000004</v>
      </c>
      <c r="N335" t="s">
        <v>5737</v>
      </c>
      <c r="O335">
        <v>7.2</v>
      </c>
      <c r="P335" t="s">
        <v>5613</v>
      </c>
      <c r="Q335">
        <v>79.599999999999994</v>
      </c>
      <c r="R335">
        <v>111</v>
      </c>
      <c r="S335">
        <v>63.6</v>
      </c>
      <c r="T335">
        <v>304</v>
      </c>
      <c r="U335">
        <v>8.9</v>
      </c>
      <c r="V335" t="s">
        <v>5613</v>
      </c>
      <c r="W335">
        <v>19.3</v>
      </c>
      <c r="X335">
        <v>547</v>
      </c>
      <c r="Y335">
        <v>10.7</v>
      </c>
      <c r="Z335" t="s">
        <v>5613</v>
      </c>
      <c r="AA335">
        <v>89.1</v>
      </c>
      <c r="AB335" t="s">
        <v>5838</v>
      </c>
      <c r="AC335">
        <v>32.5</v>
      </c>
    </row>
    <row r="336" spans="1:29">
      <c r="A336">
        <v>334</v>
      </c>
      <c r="B336" t="s">
        <v>5975</v>
      </c>
      <c r="C336" t="s">
        <v>794</v>
      </c>
      <c r="D336" t="s">
        <v>5976</v>
      </c>
      <c r="E336" t="s">
        <v>5977</v>
      </c>
      <c r="F336" t="s">
        <v>5588</v>
      </c>
      <c r="G336" t="s">
        <v>5602</v>
      </c>
      <c r="H336" t="s">
        <v>5590</v>
      </c>
      <c r="I336">
        <v>4</v>
      </c>
      <c r="J336" t="s">
        <v>5595</v>
      </c>
      <c r="K336">
        <v>10.1</v>
      </c>
      <c r="L336" t="s">
        <v>5737</v>
      </c>
      <c r="M336">
        <v>43.8</v>
      </c>
      <c r="N336">
        <v>207</v>
      </c>
      <c r="O336">
        <v>6.1</v>
      </c>
      <c r="P336" t="s">
        <v>5613</v>
      </c>
      <c r="Q336">
        <v>99.1</v>
      </c>
      <c r="R336">
        <v>19</v>
      </c>
      <c r="S336">
        <v>7.3</v>
      </c>
      <c r="T336" t="s">
        <v>5613</v>
      </c>
      <c r="U336">
        <v>1.3</v>
      </c>
      <c r="V336" t="s">
        <v>5613</v>
      </c>
      <c r="W336">
        <v>9.6999999999999993</v>
      </c>
      <c r="X336">
        <v>675</v>
      </c>
      <c r="Y336">
        <v>25.7</v>
      </c>
      <c r="Z336">
        <v>321</v>
      </c>
      <c r="AA336">
        <v>1.9</v>
      </c>
      <c r="AB336" t="s">
        <v>5613</v>
      </c>
      <c r="AC336">
        <v>32.4</v>
      </c>
    </row>
    <row r="337" spans="1:29">
      <c r="A337">
        <v>335</v>
      </c>
      <c r="B337" t="s">
        <v>5841</v>
      </c>
      <c r="C337" t="s">
        <v>5978</v>
      </c>
      <c r="D337" t="s">
        <v>5747</v>
      </c>
      <c r="E337" t="s">
        <v>397</v>
      </c>
      <c r="F337" t="s">
        <v>5605</v>
      </c>
      <c r="G337" t="s">
        <v>5594</v>
      </c>
      <c r="H337" t="s">
        <v>5590</v>
      </c>
      <c r="I337">
        <v>5</v>
      </c>
      <c r="J337" t="s">
        <v>5595</v>
      </c>
      <c r="K337">
        <v>35.200000000000003</v>
      </c>
      <c r="L337">
        <v>245</v>
      </c>
      <c r="M337">
        <v>17</v>
      </c>
      <c r="N337">
        <v>508</v>
      </c>
      <c r="O337">
        <v>4.3</v>
      </c>
      <c r="P337" t="s">
        <v>5613</v>
      </c>
      <c r="Q337">
        <v>61.8</v>
      </c>
      <c r="R337">
        <v>197</v>
      </c>
      <c r="S337">
        <v>2.4</v>
      </c>
      <c r="T337" t="s">
        <v>5613</v>
      </c>
      <c r="U337">
        <v>1.1000000000000001</v>
      </c>
      <c r="V337" t="s">
        <v>5613</v>
      </c>
      <c r="W337">
        <v>81.599999999999994</v>
      </c>
      <c r="X337">
        <v>137</v>
      </c>
      <c r="Y337">
        <v>7.1</v>
      </c>
      <c r="Z337" t="s">
        <v>5613</v>
      </c>
      <c r="AA337">
        <v>34.6</v>
      </c>
      <c r="AB337" t="s">
        <v>5892</v>
      </c>
      <c r="AC337">
        <v>32.299999999999997</v>
      </c>
    </row>
    <row r="338" spans="1:29">
      <c r="A338">
        <f>336</f>
        <v>336</v>
      </c>
      <c r="B338">
        <v>330</v>
      </c>
      <c r="C338" t="s">
        <v>497</v>
      </c>
      <c r="D338" t="s">
        <v>5728</v>
      </c>
      <c r="E338" t="s">
        <v>272</v>
      </c>
      <c r="F338" t="s">
        <v>5593</v>
      </c>
      <c r="G338" t="s">
        <v>5594</v>
      </c>
      <c r="H338" t="s">
        <v>5590</v>
      </c>
      <c r="I338">
        <v>3</v>
      </c>
      <c r="J338" t="s">
        <v>5595</v>
      </c>
      <c r="K338">
        <v>20</v>
      </c>
      <c r="L338">
        <v>442</v>
      </c>
      <c r="M338">
        <v>22.2</v>
      </c>
      <c r="N338">
        <v>424</v>
      </c>
      <c r="O338">
        <v>31.5</v>
      </c>
      <c r="P338">
        <v>500</v>
      </c>
      <c r="Q338">
        <v>42.4</v>
      </c>
      <c r="R338">
        <v>317</v>
      </c>
      <c r="S338">
        <v>76.400000000000006</v>
      </c>
      <c r="T338">
        <v>244</v>
      </c>
      <c r="U338">
        <v>18.2</v>
      </c>
      <c r="V338">
        <v>570</v>
      </c>
      <c r="W338">
        <v>79.2</v>
      </c>
      <c r="X338">
        <v>151</v>
      </c>
      <c r="Y338">
        <v>14.7</v>
      </c>
      <c r="Z338">
        <v>569</v>
      </c>
      <c r="AA338">
        <v>35.799999999999997</v>
      </c>
      <c r="AB338" t="s">
        <v>5979</v>
      </c>
      <c r="AC338">
        <v>32.200000000000003</v>
      </c>
    </row>
    <row r="339" spans="1:29">
      <c r="A339">
        <f>336</f>
        <v>336</v>
      </c>
      <c r="B339" t="s">
        <v>5980</v>
      </c>
      <c r="C339" t="s">
        <v>902</v>
      </c>
      <c r="D339" t="s">
        <v>5981</v>
      </c>
      <c r="E339" t="s">
        <v>895</v>
      </c>
      <c r="F339" t="s">
        <v>5593</v>
      </c>
      <c r="G339" t="s">
        <v>5589</v>
      </c>
      <c r="H339" t="s">
        <v>5590</v>
      </c>
      <c r="I339">
        <v>4</v>
      </c>
      <c r="J339" t="s">
        <v>5595</v>
      </c>
      <c r="K339">
        <v>29</v>
      </c>
      <c r="L339">
        <v>299</v>
      </c>
      <c r="M339">
        <v>63.7</v>
      </c>
      <c r="N339">
        <v>125</v>
      </c>
      <c r="O339">
        <v>9</v>
      </c>
      <c r="P339" t="s">
        <v>5613</v>
      </c>
      <c r="Q339">
        <v>22.2</v>
      </c>
      <c r="R339">
        <v>525</v>
      </c>
      <c r="S339">
        <v>11.3</v>
      </c>
      <c r="T339" t="s">
        <v>5613</v>
      </c>
      <c r="U339">
        <v>17.399999999999999</v>
      </c>
      <c r="V339">
        <v>583</v>
      </c>
      <c r="W339">
        <v>32.200000000000003</v>
      </c>
      <c r="X339">
        <v>443</v>
      </c>
      <c r="Y339">
        <v>24.6</v>
      </c>
      <c r="Z339">
        <v>339</v>
      </c>
      <c r="AA339">
        <v>84.8</v>
      </c>
      <c r="AB339" t="s">
        <v>5640</v>
      </c>
      <c r="AC339">
        <v>32.200000000000003</v>
      </c>
    </row>
    <row r="340" spans="1:29">
      <c r="A340">
        <f>336</f>
        <v>336</v>
      </c>
      <c r="B340" t="s">
        <v>5946</v>
      </c>
      <c r="C340" t="s">
        <v>5982</v>
      </c>
      <c r="D340" t="s">
        <v>5983</v>
      </c>
      <c r="E340" t="s">
        <v>2484</v>
      </c>
      <c r="F340" t="s">
        <v>5593</v>
      </c>
      <c r="G340" t="s">
        <v>5602</v>
      </c>
      <c r="H340" t="s">
        <v>5590</v>
      </c>
      <c r="I340">
        <v>5</v>
      </c>
      <c r="J340" t="s">
        <v>5591</v>
      </c>
      <c r="K340">
        <v>46.3</v>
      </c>
      <c r="L340">
        <v>177</v>
      </c>
      <c r="M340">
        <v>77.099999999999994</v>
      </c>
      <c r="N340">
        <v>75</v>
      </c>
      <c r="O340">
        <v>25.9</v>
      </c>
      <c r="P340">
        <v>572</v>
      </c>
      <c r="Q340">
        <v>1.8</v>
      </c>
      <c r="R340" t="s">
        <v>5613</v>
      </c>
      <c r="S340">
        <v>3.9</v>
      </c>
      <c r="T340" t="s">
        <v>5613</v>
      </c>
      <c r="U340">
        <v>1.4</v>
      </c>
      <c r="V340" t="s">
        <v>5613</v>
      </c>
      <c r="W340">
        <v>2.5</v>
      </c>
      <c r="X340" t="s">
        <v>5613</v>
      </c>
      <c r="Y340">
        <v>35.200000000000003</v>
      </c>
      <c r="Z340">
        <v>214</v>
      </c>
      <c r="AA340">
        <v>31.3</v>
      </c>
      <c r="AB340" t="s">
        <v>5904</v>
      </c>
      <c r="AC340">
        <v>32.200000000000003</v>
      </c>
    </row>
    <row r="341" spans="1:29">
      <c r="A341">
        <f>336</f>
        <v>336</v>
      </c>
      <c r="B341" t="s">
        <v>5974</v>
      </c>
      <c r="C341" t="s">
        <v>1045</v>
      </c>
      <c r="D341" t="s">
        <v>5592</v>
      </c>
      <c r="E341" t="s">
        <v>26</v>
      </c>
      <c r="F341" t="s">
        <v>5593</v>
      </c>
      <c r="G341" t="s">
        <v>5589</v>
      </c>
      <c r="H341" t="s">
        <v>5590</v>
      </c>
      <c r="I341">
        <v>4</v>
      </c>
      <c r="J341" t="s">
        <v>5595</v>
      </c>
      <c r="K341">
        <v>17</v>
      </c>
      <c r="L341">
        <v>522</v>
      </c>
      <c r="M341">
        <v>6.7</v>
      </c>
      <c r="N341" t="s">
        <v>5737</v>
      </c>
      <c r="O341">
        <v>13.3</v>
      </c>
      <c r="P341" t="s">
        <v>5613</v>
      </c>
      <c r="Q341">
        <v>43.9</v>
      </c>
      <c r="R341">
        <v>306</v>
      </c>
      <c r="S341">
        <v>96.6</v>
      </c>
      <c r="T341">
        <v>133</v>
      </c>
      <c r="U341">
        <v>72.8</v>
      </c>
      <c r="V341">
        <v>195</v>
      </c>
      <c r="W341">
        <v>43</v>
      </c>
      <c r="X341">
        <v>354</v>
      </c>
      <c r="Y341">
        <v>20.2</v>
      </c>
      <c r="Z341">
        <v>413</v>
      </c>
      <c r="AA341">
        <v>85.2</v>
      </c>
      <c r="AB341" t="s">
        <v>5714</v>
      </c>
      <c r="AC341">
        <v>32.200000000000003</v>
      </c>
    </row>
    <row r="342" spans="1:29">
      <c r="A342">
        <f>340</f>
        <v>340</v>
      </c>
      <c r="B342" t="s">
        <v>5954</v>
      </c>
      <c r="C342" t="s">
        <v>612</v>
      </c>
      <c r="D342" t="s">
        <v>5616</v>
      </c>
      <c r="E342" t="s">
        <v>54</v>
      </c>
      <c r="F342" t="s">
        <v>5593</v>
      </c>
      <c r="G342" t="s">
        <v>5602</v>
      </c>
      <c r="H342" t="s">
        <v>5590</v>
      </c>
      <c r="I342">
        <v>4</v>
      </c>
      <c r="J342" t="s">
        <v>5595</v>
      </c>
      <c r="K342">
        <v>22.7</v>
      </c>
      <c r="L342">
        <v>385</v>
      </c>
      <c r="M342">
        <v>18.100000000000001</v>
      </c>
      <c r="N342">
        <v>484</v>
      </c>
      <c r="O342">
        <v>41.1</v>
      </c>
      <c r="P342">
        <v>381</v>
      </c>
      <c r="Q342">
        <v>76.400000000000006</v>
      </c>
      <c r="R342">
        <v>125</v>
      </c>
      <c r="S342">
        <v>3.1</v>
      </c>
      <c r="T342" t="s">
        <v>5613</v>
      </c>
      <c r="U342">
        <v>4.2</v>
      </c>
      <c r="V342" t="s">
        <v>5613</v>
      </c>
      <c r="W342">
        <v>17.100000000000001</v>
      </c>
      <c r="X342">
        <v>572</v>
      </c>
      <c r="Y342">
        <v>14.1</v>
      </c>
      <c r="Z342">
        <v>599</v>
      </c>
      <c r="AA342">
        <v>23.7</v>
      </c>
      <c r="AB342" t="s">
        <v>5984</v>
      </c>
      <c r="AC342">
        <v>32.1</v>
      </c>
    </row>
    <row r="343" spans="1:29">
      <c r="A343">
        <f>340</f>
        <v>340</v>
      </c>
      <c r="B343">
        <v>362</v>
      </c>
      <c r="C343" t="s">
        <v>517</v>
      </c>
      <c r="D343" t="s">
        <v>5587</v>
      </c>
      <c r="E343" t="s">
        <v>29</v>
      </c>
      <c r="F343" t="s">
        <v>5593</v>
      </c>
      <c r="G343" t="s">
        <v>5594</v>
      </c>
      <c r="H343" t="s">
        <v>5590</v>
      </c>
      <c r="I343">
        <v>5</v>
      </c>
      <c r="J343" t="s">
        <v>5591</v>
      </c>
      <c r="K343">
        <v>26.9</v>
      </c>
      <c r="L343">
        <v>323</v>
      </c>
      <c r="M343">
        <v>24.5</v>
      </c>
      <c r="N343">
        <v>393</v>
      </c>
      <c r="O343">
        <v>28.3</v>
      </c>
      <c r="P343">
        <v>541</v>
      </c>
      <c r="Q343">
        <v>29.3</v>
      </c>
      <c r="R343">
        <v>439</v>
      </c>
      <c r="S343">
        <v>31.6</v>
      </c>
      <c r="T343">
        <v>478</v>
      </c>
      <c r="U343">
        <v>27.6</v>
      </c>
      <c r="V343">
        <v>444</v>
      </c>
      <c r="W343">
        <v>61</v>
      </c>
      <c r="X343">
        <v>239</v>
      </c>
      <c r="Y343">
        <v>49.5</v>
      </c>
      <c r="Z343">
        <v>135</v>
      </c>
      <c r="AA343">
        <v>62.8</v>
      </c>
      <c r="AB343" t="s">
        <v>5911</v>
      </c>
      <c r="AC343">
        <v>32.1</v>
      </c>
    </row>
    <row r="344" spans="1:29">
      <c r="A344">
        <v>342</v>
      </c>
      <c r="B344">
        <v>295</v>
      </c>
      <c r="C344" t="s">
        <v>1706</v>
      </c>
      <c r="D344" t="s">
        <v>5696</v>
      </c>
      <c r="E344" t="s">
        <v>5697</v>
      </c>
      <c r="F344" t="s">
        <v>5593</v>
      </c>
      <c r="G344" t="s">
        <v>5594</v>
      </c>
      <c r="H344" t="s">
        <v>5590</v>
      </c>
      <c r="I344">
        <v>4</v>
      </c>
      <c r="J344" t="s">
        <v>5595</v>
      </c>
      <c r="K344">
        <v>22.4</v>
      </c>
      <c r="L344">
        <v>395</v>
      </c>
      <c r="M344">
        <v>45</v>
      </c>
      <c r="N344">
        <v>192</v>
      </c>
      <c r="O344">
        <v>92.2</v>
      </c>
      <c r="P344">
        <v>74</v>
      </c>
      <c r="Q344">
        <v>2</v>
      </c>
      <c r="R344" t="s">
        <v>5613</v>
      </c>
      <c r="S344">
        <v>8.1999999999999993</v>
      </c>
      <c r="T344" t="s">
        <v>5613</v>
      </c>
      <c r="U344">
        <v>92.7</v>
      </c>
      <c r="V344">
        <v>103</v>
      </c>
      <c r="W344">
        <v>60.1</v>
      </c>
      <c r="X344">
        <v>242</v>
      </c>
      <c r="Y344">
        <v>12.2</v>
      </c>
      <c r="Z344" t="s">
        <v>5613</v>
      </c>
      <c r="AA344">
        <v>4.4000000000000004</v>
      </c>
      <c r="AB344" t="s">
        <v>5613</v>
      </c>
      <c r="AC344">
        <v>32</v>
      </c>
    </row>
    <row r="345" spans="1:29">
      <c r="A345">
        <v>343</v>
      </c>
      <c r="B345" t="s">
        <v>5948</v>
      </c>
      <c r="C345" t="s">
        <v>849</v>
      </c>
      <c r="D345" t="s">
        <v>5592</v>
      </c>
      <c r="E345" t="s">
        <v>26</v>
      </c>
      <c r="F345" t="s">
        <v>5593</v>
      </c>
      <c r="G345" t="s">
        <v>5589</v>
      </c>
      <c r="H345" t="s">
        <v>5590</v>
      </c>
      <c r="I345">
        <v>4</v>
      </c>
      <c r="J345" t="s">
        <v>5595</v>
      </c>
      <c r="K345">
        <v>11.3</v>
      </c>
      <c r="L345" t="s">
        <v>5737</v>
      </c>
      <c r="M345">
        <v>13.3</v>
      </c>
      <c r="N345" t="s">
        <v>5737</v>
      </c>
      <c r="O345">
        <v>7.9</v>
      </c>
      <c r="P345" t="s">
        <v>5613</v>
      </c>
      <c r="Q345">
        <v>44.2</v>
      </c>
      <c r="R345">
        <v>303</v>
      </c>
      <c r="S345">
        <v>99.7</v>
      </c>
      <c r="T345">
        <v>84</v>
      </c>
      <c r="U345">
        <v>99.6</v>
      </c>
      <c r="V345">
        <v>39</v>
      </c>
      <c r="W345">
        <v>56.9</v>
      </c>
      <c r="X345">
        <v>269</v>
      </c>
      <c r="Y345">
        <v>18.5</v>
      </c>
      <c r="Z345">
        <v>450</v>
      </c>
      <c r="AA345">
        <v>62.8</v>
      </c>
      <c r="AB345" t="s">
        <v>5911</v>
      </c>
      <c r="AC345">
        <v>31.9</v>
      </c>
    </row>
    <row r="346" spans="1:29">
      <c r="A346">
        <v>344</v>
      </c>
      <c r="B346" t="s">
        <v>5980</v>
      </c>
      <c r="C346" t="s">
        <v>1405</v>
      </c>
      <c r="D346" t="s">
        <v>5889</v>
      </c>
      <c r="E346" t="s">
        <v>992</v>
      </c>
      <c r="F346" t="s">
        <v>5593</v>
      </c>
      <c r="G346" t="s">
        <v>5589</v>
      </c>
      <c r="H346" t="s">
        <v>5590</v>
      </c>
      <c r="I346">
        <v>4</v>
      </c>
      <c r="J346" t="s">
        <v>5595</v>
      </c>
      <c r="K346">
        <v>13.4</v>
      </c>
      <c r="L346" t="s">
        <v>5737</v>
      </c>
      <c r="M346">
        <v>6.6</v>
      </c>
      <c r="N346" t="s">
        <v>5737</v>
      </c>
      <c r="O346">
        <v>13.8</v>
      </c>
      <c r="P346" t="s">
        <v>5613</v>
      </c>
      <c r="Q346">
        <v>84.3</v>
      </c>
      <c r="R346">
        <v>98</v>
      </c>
      <c r="S346">
        <v>4.3</v>
      </c>
      <c r="T346" t="s">
        <v>5613</v>
      </c>
      <c r="U346">
        <v>13.5</v>
      </c>
      <c r="V346">
        <v>651</v>
      </c>
      <c r="W346">
        <v>72.3</v>
      </c>
      <c r="X346">
        <v>188</v>
      </c>
      <c r="Y346">
        <v>6.7</v>
      </c>
      <c r="Z346" t="s">
        <v>5613</v>
      </c>
      <c r="AA346">
        <v>69.3</v>
      </c>
      <c r="AB346" t="s">
        <v>5816</v>
      </c>
      <c r="AC346">
        <v>31.6</v>
      </c>
    </row>
    <row r="347" spans="1:29">
      <c r="A347">
        <f>345</f>
        <v>345</v>
      </c>
      <c r="B347" t="s">
        <v>5985</v>
      </c>
      <c r="C347" t="s">
        <v>5986</v>
      </c>
      <c r="D347" t="s">
        <v>5872</v>
      </c>
      <c r="E347" t="s">
        <v>1955</v>
      </c>
      <c r="F347" t="s">
        <v>5593</v>
      </c>
      <c r="G347" t="s">
        <v>5594</v>
      </c>
      <c r="H347" t="s">
        <v>5809</v>
      </c>
      <c r="I347">
        <v>4</v>
      </c>
      <c r="J347" t="s">
        <v>5595</v>
      </c>
      <c r="K347">
        <v>34</v>
      </c>
      <c r="L347">
        <v>254</v>
      </c>
      <c r="M347">
        <v>72.5</v>
      </c>
      <c r="N347">
        <v>95</v>
      </c>
      <c r="O347">
        <v>52.4</v>
      </c>
      <c r="P347">
        <v>301</v>
      </c>
      <c r="Q347">
        <v>1.4</v>
      </c>
      <c r="R347" t="s">
        <v>5613</v>
      </c>
      <c r="S347">
        <v>44.6</v>
      </c>
      <c r="T347">
        <v>379</v>
      </c>
      <c r="U347">
        <v>6.3</v>
      </c>
      <c r="V347" t="s">
        <v>5613</v>
      </c>
      <c r="W347">
        <v>1.4</v>
      </c>
      <c r="X347" t="s">
        <v>5613</v>
      </c>
      <c r="Y347">
        <v>14.4</v>
      </c>
      <c r="Z347">
        <v>582</v>
      </c>
      <c r="AA347">
        <v>30.5</v>
      </c>
      <c r="AB347" t="s">
        <v>5867</v>
      </c>
      <c r="AC347">
        <v>31.5</v>
      </c>
    </row>
    <row r="348" spans="1:29">
      <c r="A348">
        <f>345</f>
        <v>345</v>
      </c>
      <c r="B348" t="s">
        <v>5987</v>
      </c>
      <c r="C348" t="s">
        <v>919</v>
      </c>
      <c r="D348" t="s">
        <v>5620</v>
      </c>
      <c r="E348" t="s">
        <v>76</v>
      </c>
      <c r="F348" t="s">
        <v>5593</v>
      </c>
      <c r="G348" t="s">
        <v>5594</v>
      </c>
      <c r="H348" t="s">
        <v>5590</v>
      </c>
      <c r="I348">
        <v>5</v>
      </c>
      <c r="J348" t="s">
        <v>5595</v>
      </c>
      <c r="K348">
        <v>12</v>
      </c>
      <c r="L348" t="s">
        <v>5737</v>
      </c>
      <c r="M348">
        <v>6.8</v>
      </c>
      <c r="N348" t="s">
        <v>5737</v>
      </c>
      <c r="O348">
        <v>17.3</v>
      </c>
      <c r="P348" t="s">
        <v>5613</v>
      </c>
      <c r="Q348">
        <v>54.3</v>
      </c>
      <c r="R348">
        <v>237</v>
      </c>
      <c r="S348">
        <v>70</v>
      </c>
      <c r="T348">
        <v>279</v>
      </c>
      <c r="U348">
        <v>51.8</v>
      </c>
      <c r="V348">
        <v>280</v>
      </c>
      <c r="W348">
        <v>47.2</v>
      </c>
      <c r="X348">
        <v>331</v>
      </c>
      <c r="Y348">
        <v>20.9</v>
      </c>
      <c r="Z348">
        <v>396</v>
      </c>
      <c r="AA348">
        <v>94.9</v>
      </c>
      <c r="AB348">
        <v>56</v>
      </c>
      <c r="AC348">
        <v>31.5</v>
      </c>
    </row>
    <row r="349" spans="1:29">
      <c r="A349">
        <f>347</f>
        <v>347</v>
      </c>
      <c r="B349" t="s">
        <v>5988</v>
      </c>
      <c r="C349" t="s">
        <v>1633</v>
      </c>
      <c r="D349" t="s">
        <v>5989</v>
      </c>
      <c r="E349" t="s">
        <v>1220</v>
      </c>
      <c r="F349" t="s">
        <v>5593</v>
      </c>
      <c r="G349" t="s">
        <v>5602</v>
      </c>
      <c r="H349" t="s">
        <v>5590</v>
      </c>
      <c r="I349">
        <v>5</v>
      </c>
      <c r="J349" t="s">
        <v>5595</v>
      </c>
      <c r="K349">
        <v>20.5</v>
      </c>
      <c r="L349">
        <v>425</v>
      </c>
      <c r="M349">
        <v>42.7</v>
      </c>
      <c r="N349">
        <v>215</v>
      </c>
      <c r="O349">
        <v>4.7</v>
      </c>
      <c r="P349" t="s">
        <v>5613</v>
      </c>
      <c r="Q349">
        <v>72.3</v>
      </c>
      <c r="R349">
        <v>137</v>
      </c>
      <c r="S349">
        <v>1.3</v>
      </c>
      <c r="T349" t="s">
        <v>5613</v>
      </c>
      <c r="U349">
        <v>4.3</v>
      </c>
      <c r="V349" t="s">
        <v>5613</v>
      </c>
      <c r="W349">
        <v>32</v>
      </c>
      <c r="X349">
        <v>447</v>
      </c>
      <c r="Y349">
        <v>31.8</v>
      </c>
      <c r="Z349">
        <v>240</v>
      </c>
      <c r="AA349">
        <v>7.8</v>
      </c>
      <c r="AB349" t="s">
        <v>5613</v>
      </c>
      <c r="AC349">
        <v>31.4</v>
      </c>
    </row>
    <row r="350" spans="1:29">
      <c r="A350">
        <f>347</f>
        <v>347</v>
      </c>
      <c r="B350" t="s">
        <v>5745</v>
      </c>
      <c r="C350" t="s">
        <v>5990</v>
      </c>
      <c r="D350" t="s">
        <v>5589</v>
      </c>
      <c r="E350" t="s">
        <v>1820</v>
      </c>
      <c r="F350" t="s">
        <v>5593</v>
      </c>
      <c r="G350" t="s">
        <v>5594</v>
      </c>
      <c r="H350" t="s">
        <v>5809</v>
      </c>
      <c r="I350">
        <v>5</v>
      </c>
      <c r="J350" t="s">
        <v>5591</v>
      </c>
      <c r="K350">
        <v>43.2</v>
      </c>
      <c r="L350">
        <v>198</v>
      </c>
      <c r="M350">
        <v>72.7</v>
      </c>
      <c r="N350">
        <v>94</v>
      </c>
      <c r="O350">
        <v>22.9</v>
      </c>
      <c r="P350">
        <v>619</v>
      </c>
      <c r="Q350">
        <v>1.7</v>
      </c>
      <c r="R350" t="s">
        <v>5613</v>
      </c>
      <c r="S350">
        <v>4</v>
      </c>
      <c r="T350" t="s">
        <v>5613</v>
      </c>
      <c r="U350">
        <v>2.7</v>
      </c>
      <c r="V350" t="s">
        <v>5613</v>
      </c>
      <c r="W350">
        <v>4.2</v>
      </c>
      <c r="X350" t="s">
        <v>5613</v>
      </c>
      <c r="Y350">
        <v>57.3</v>
      </c>
      <c r="Z350">
        <v>107</v>
      </c>
      <c r="AA350">
        <v>29.1</v>
      </c>
      <c r="AB350" t="s">
        <v>5991</v>
      </c>
      <c r="AC350">
        <v>31.4</v>
      </c>
    </row>
    <row r="351" spans="1:29">
      <c r="A351">
        <f>349</f>
        <v>349</v>
      </c>
      <c r="B351" t="s">
        <v>5992</v>
      </c>
      <c r="C351" t="s">
        <v>5993</v>
      </c>
      <c r="D351" t="s">
        <v>5772</v>
      </c>
      <c r="E351" t="s">
        <v>386</v>
      </c>
      <c r="F351" t="s">
        <v>5605</v>
      </c>
      <c r="G351" t="s">
        <v>5651</v>
      </c>
      <c r="I351">
        <v>4</v>
      </c>
      <c r="J351" t="s">
        <v>5595</v>
      </c>
      <c r="K351">
        <v>31.2</v>
      </c>
      <c r="L351">
        <v>280</v>
      </c>
      <c r="M351">
        <v>49.3</v>
      </c>
      <c r="N351">
        <v>176</v>
      </c>
      <c r="O351">
        <v>14.9</v>
      </c>
      <c r="P351" t="s">
        <v>5613</v>
      </c>
      <c r="Q351">
        <v>11.4</v>
      </c>
      <c r="R351" t="s">
        <v>5613</v>
      </c>
      <c r="S351">
        <v>3.2</v>
      </c>
      <c r="T351" t="s">
        <v>5613</v>
      </c>
      <c r="U351">
        <v>30.7</v>
      </c>
      <c r="V351">
        <v>416</v>
      </c>
      <c r="W351">
        <v>59.9</v>
      </c>
      <c r="X351">
        <v>243</v>
      </c>
      <c r="Y351">
        <v>37.299999999999997</v>
      </c>
      <c r="Z351">
        <v>196</v>
      </c>
      <c r="AA351">
        <v>83.5</v>
      </c>
      <c r="AB351" t="s">
        <v>5669</v>
      </c>
      <c r="AC351">
        <v>31.3</v>
      </c>
    </row>
    <row r="352" spans="1:29">
      <c r="A352">
        <f>349</f>
        <v>349</v>
      </c>
      <c r="B352">
        <v>404</v>
      </c>
      <c r="C352" t="s">
        <v>1086</v>
      </c>
      <c r="D352" t="s">
        <v>5747</v>
      </c>
      <c r="E352" t="s">
        <v>397</v>
      </c>
      <c r="F352" t="s">
        <v>5593</v>
      </c>
      <c r="G352" t="s">
        <v>5594</v>
      </c>
      <c r="H352" t="s">
        <v>5590</v>
      </c>
      <c r="I352">
        <v>5</v>
      </c>
      <c r="J352" t="s">
        <v>5595</v>
      </c>
      <c r="K352">
        <v>40.4</v>
      </c>
      <c r="L352">
        <v>211</v>
      </c>
      <c r="M352">
        <v>12.7</v>
      </c>
      <c r="N352" t="s">
        <v>5737</v>
      </c>
      <c r="O352">
        <v>7.5</v>
      </c>
      <c r="P352" t="s">
        <v>5613</v>
      </c>
      <c r="Q352">
        <v>41.1</v>
      </c>
      <c r="R352">
        <v>333</v>
      </c>
      <c r="S352">
        <v>5.9</v>
      </c>
      <c r="T352" t="s">
        <v>5613</v>
      </c>
      <c r="U352">
        <v>4.0999999999999996</v>
      </c>
      <c r="V352" t="s">
        <v>5613</v>
      </c>
      <c r="W352">
        <v>67.599999999999994</v>
      </c>
      <c r="X352">
        <v>209</v>
      </c>
      <c r="Y352">
        <v>13.4</v>
      </c>
      <c r="Z352">
        <v>642</v>
      </c>
      <c r="AA352">
        <v>73.599999999999994</v>
      </c>
      <c r="AB352" t="s">
        <v>5680</v>
      </c>
      <c r="AC352">
        <v>31.3</v>
      </c>
    </row>
    <row r="353" spans="1:29">
      <c r="A353">
        <f>351</f>
        <v>351</v>
      </c>
      <c r="B353" t="s">
        <v>5994</v>
      </c>
      <c r="C353" t="s">
        <v>649</v>
      </c>
      <c r="D353" t="s">
        <v>5732</v>
      </c>
      <c r="E353" t="s">
        <v>313</v>
      </c>
      <c r="F353" t="s">
        <v>5615</v>
      </c>
      <c r="G353" t="s">
        <v>5651</v>
      </c>
      <c r="I353">
        <v>4</v>
      </c>
      <c r="J353" t="s">
        <v>5595</v>
      </c>
      <c r="K353">
        <v>6.9</v>
      </c>
      <c r="L353" t="s">
        <v>5737</v>
      </c>
      <c r="M353">
        <v>13.3</v>
      </c>
      <c r="N353" t="s">
        <v>5737</v>
      </c>
      <c r="O353">
        <v>11.1</v>
      </c>
      <c r="P353" t="s">
        <v>5613</v>
      </c>
      <c r="Q353">
        <v>97.7</v>
      </c>
      <c r="R353">
        <v>36</v>
      </c>
      <c r="S353">
        <v>45.2</v>
      </c>
      <c r="T353">
        <v>378</v>
      </c>
      <c r="U353">
        <v>18.2</v>
      </c>
      <c r="V353">
        <v>573</v>
      </c>
      <c r="W353">
        <v>14.7</v>
      </c>
      <c r="X353">
        <v>599</v>
      </c>
      <c r="Y353">
        <v>11.4</v>
      </c>
      <c r="Z353" t="s">
        <v>5613</v>
      </c>
      <c r="AA353">
        <v>39</v>
      </c>
      <c r="AB353" t="s">
        <v>5760</v>
      </c>
      <c r="AC353">
        <v>31.2</v>
      </c>
    </row>
    <row r="354" spans="1:29">
      <c r="A354">
        <f>351</f>
        <v>351</v>
      </c>
      <c r="B354" t="s">
        <v>5825</v>
      </c>
      <c r="C354" t="s">
        <v>991</v>
      </c>
      <c r="D354" t="s">
        <v>5889</v>
      </c>
      <c r="E354" t="s">
        <v>992</v>
      </c>
      <c r="F354" t="s">
        <v>5593</v>
      </c>
      <c r="G354" t="s">
        <v>5594</v>
      </c>
      <c r="H354" t="s">
        <v>5590</v>
      </c>
      <c r="I354">
        <v>5</v>
      </c>
      <c r="J354" t="s">
        <v>5595</v>
      </c>
      <c r="K354">
        <v>28.9</v>
      </c>
      <c r="L354">
        <v>304</v>
      </c>
      <c r="M354">
        <v>13.1</v>
      </c>
      <c r="N354" t="s">
        <v>5737</v>
      </c>
      <c r="O354">
        <v>11.3</v>
      </c>
      <c r="P354" t="s">
        <v>5613</v>
      </c>
      <c r="Q354">
        <v>41.6</v>
      </c>
      <c r="R354">
        <v>329</v>
      </c>
      <c r="S354">
        <v>10.7</v>
      </c>
      <c r="T354" t="s">
        <v>5613</v>
      </c>
      <c r="U354">
        <v>37.700000000000003</v>
      </c>
      <c r="V354">
        <v>364</v>
      </c>
      <c r="W354">
        <v>78.8</v>
      </c>
      <c r="X354">
        <v>153</v>
      </c>
      <c r="Y354">
        <v>15.6</v>
      </c>
      <c r="Z354">
        <v>537</v>
      </c>
      <c r="AA354">
        <v>79.5</v>
      </c>
      <c r="AB354">
        <v>154</v>
      </c>
      <c r="AC354">
        <v>31.2</v>
      </c>
    </row>
    <row r="355" spans="1:29">
      <c r="A355">
        <v>353</v>
      </c>
      <c r="B355">
        <v>456</v>
      </c>
      <c r="C355" t="s">
        <v>944</v>
      </c>
      <c r="D355" t="s">
        <v>5620</v>
      </c>
      <c r="E355" t="s">
        <v>76</v>
      </c>
      <c r="F355" t="s">
        <v>5605</v>
      </c>
      <c r="G355" t="s">
        <v>5589</v>
      </c>
      <c r="H355" t="s">
        <v>5590</v>
      </c>
      <c r="I355">
        <v>4</v>
      </c>
      <c r="J355" t="s">
        <v>5595</v>
      </c>
      <c r="K355">
        <v>23</v>
      </c>
      <c r="L355">
        <v>377</v>
      </c>
      <c r="M355">
        <v>21</v>
      </c>
      <c r="N355">
        <v>441</v>
      </c>
      <c r="O355">
        <v>4.5999999999999996</v>
      </c>
      <c r="P355" t="s">
        <v>5613</v>
      </c>
      <c r="Q355">
        <v>29.2</v>
      </c>
      <c r="R355">
        <v>440</v>
      </c>
      <c r="S355">
        <v>50.6</v>
      </c>
      <c r="T355">
        <v>356</v>
      </c>
      <c r="U355">
        <v>81.2</v>
      </c>
      <c r="V355">
        <v>157</v>
      </c>
      <c r="W355">
        <v>28</v>
      </c>
      <c r="X355">
        <v>471</v>
      </c>
      <c r="Y355">
        <v>53.2</v>
      </c>
      <c r="Z355">
        <v>119</v>
      </c>
      <c r="AA355">
        <v>80.8</v>
      </c>
      <c r="AB355">
        <v>144</v>
      </c>
      <c r="AC355">
        <v>31.1</v>
      </c>
    </row>
    <row r="356" spans="1:29">
      <c r="A356">
        <v>354</v>
      </c>
      <c r="B356" t="s">
        <v>5995</v>
      </c>
      <c r="C356" t="s">
        <v>5996</v>
      </c>
      <c r="D356" t="s">
        <v>5772</v>
      </c>
      <c r="E356" t="s">
        <v>386</v>
      </c>
      <c r="F356" t="s">
        <v>5593</v>
      </c>
      <c r="G356" t="s">
        <v>5602</v>
      </c>
      <c r="H356" t="s">
        <v>5590</v>
      </c>
      <c r="I356">
        <v>4</v>
      </c>
      <c r="J356" t="s">
        <v>5595</v>
      </c>
      <c r="K356">
        <v>31.9</v>
      </c>
      <c r="L356">
        <v>274</v>
      </c>
      <c r="M356">
        <v>22</v>
      </c>
      <c r="N356">
        <v>426</v>
      </c>
      <c r="O356">
        <v>41.2</v>
      </c>
      <c r="P356">
        <v>380</v>
      </c>
      <c r="Q356">
        <v>22.3</v>
      </c>
      <c r="R356">
        <v>524</v>
      </c>
      <c r="S356">
        <v>8</v>
      </c>
      <c r="T356" t="s">
        <v>5613</v>
      </c>
      <c r="U356">
        <v>21.2</v>
      </c>
      <c r="V356">
        <v>532</v>
      </c>
      <c r="W356">
        <v>72.8</v>
      </c>
      <c r="X356">
        <v>183</v>
      </c>
      <c r="Y356">
        <v>15.1</v>
      </c>
      <c r="Z356">
        <v>556</v>
      </c>
      <c r="AA356">
        <v>73.3</v>
      </c>
      <c r="AB356">
        <v>186</v>
      </c>
      <c r="AC356">
        <v>31</v>
      </c>
    </row>
    <row r="357" spans="1:29">
      <c r="A357">
        <f>355</f>
        <v>355</v>
      </c>
      <c r="B357">
        <v>277</v>
      </c>
      <c r="C357" t="s">
        <v>3648</v>
      </c>
      <c r="D357" t="s">
        <v>5863</v>
      </c>
      <c r="E357" t="s">
        <v>1306</v>
      </c>
      <c r="F357" t="s">
        <v>5593</v>
      </c>
      <c r="G357" t="s">
        <v>5602</v>
      </c>
      <c r="H357" t="s">
        <v>5590</v>
      </c>
      <c r="I357">
        <v>3</v>
      </c>
      <c r="J357" t="s">
        <v>5595</v>
      </c>
      <c r="K357">
        <v>29.5</v>
      </c>
      <c r="L357">
        <v>293</v>
      </c>
      <c r="M357">
        <v>51.7</v>
      </c>
      <c r="N357">
        <v>157</v>
      </c>
      <c r="O357">
        <v>96.8</v>
      </c>
      <c r="P357">
        <v>53</v>
      </c>
      <c r="Q357">
        <v>1.4</v>
      </c>
      <c r="R357" t="s">
        <v>5613</v>
      </c>
      <c r="S357">
        <v>59.3</v>
      </c>
      <c r="T357">
        <v>319</v>
      </c>
      <c r="U357">
        <v>5.7</v>
      </c>
      <c r="V357" t="s">
        <v>5613</v>
      </c>
      <c r="W357">
        <v>1.1000000000000001</v>
      </c>
      <c r="X357" t="s">
        <v>5613</v>
      </c>
      <c r="Y357">
        <v>10.9</v>
      </c>
      <c r="Z357" t="s">
        <v>5613</v>
      </c>
      <c r="AA357">
        <v>9.6</v>
      </c>
      <c r="AB357" t="s">
        <v>5997</v>
      </c>
      <c r="AC357">
        <v>30.9</v>
      </c>
    </row>
    <row r="358" spans="1:29">
      <c r="A358">
        <f>355</f>
        <v>355</v>
      </c>
      <c r="B358" t="s">
        <v>5998</v>
      </c>
      <c r="C358" t="s">
        <v>383</v>
      </c>
      <c r="D358" t="s">
        <v>5616</v>
      </c>
      <c r="E358" t="s">
        <v>54</v>
      </c>
      <c r="F358" t="s">
        <v>5605</v>
      </c>
      <c r="G358" t="s">
        <v>5594</v>
      </c>
      <c r="H358" t="s">
        <v>5590</v>
      </c>
      <c r="I358">
        <v>3</v>
      </c>
      <c r="J358" t="s">
        <v>5595</v>
      </c>
      <c r="K358">
        <v>20.100000000000001</v>
      </c>
      <c r="L358">
        <v>436</v>
      </c>
      <c r="M358">
        <v>7.6</v>
      </c>
      <c r="N358" t="s">
        <v>5737</v>
      </c>
      <c r="O358">
        <v>11.4</v>
      </c>
      <c r="P358" t="s">
        <v>5613</v>
      </c>
      <c r="Q358">
        <v>94.7</v>
      </c>
      <c r="R358">
        <v>55</v>
      </c>
      <c r="S358">
        <v>6.6</v>
      </c>
      <c r="T358" t="s">
        <v>5613</v>
      </c>
      <c r="U358">
        <v>5.4</v>
      </c>
      <c r="V358" t="s">
        <v>5613</v>
      </c>
      <c r="W358">
        <v>26.2</v>
      </c>
      <c r="X358">
        <v>490</v>
      </c>
      <c r="Y358">
        <v>14.8</v>
      </c>
      <c r="Z358">
        <v>564</v>
      </c>
      <c r="AA358">
        <v>18.8</v>
      </c>
      <c r="AB358" t="s">
        <v>5711</v>
      </c>
      <c r="AC358">
        <v>30.9</v>
      </c>
    </row>
    <row r="359" spans="1:29">
      <c r="A359">
        <f>355</f>
        <v>355</v>
      </c>
      <c r="B359" t="s">
        <v>5797</v>
      </c>
      <c r="C359" t="s">
        <v>940</v>
      </c>
      <c r="D359" t="s">
        <v>5631</v>
      </c>
      <c r="E359" t="s">
        <v>94</v>
      </c>
      <c r="F359" t="s">
        <v>5593</v>
      </c>
      <c r="G359" t="s">
        <v>5594</v>
      </c>
      <c r="H359" t="s">
        <v>5590</v>
      </c>
      <c r="I359">
        <v>4</v>
      </c>
      <c r="J359" t="s">
        <v>5595</v>
      </c>
      <c r="K359">
        <v>35.799999999999997</v>
      </c>
      <c r="L359">
        <v>242</v>
      </c>
      <c r="M359">
        <v>24</v>
      </c>
      <c r="N359">
        <v>402</v>
      </c>
      <c r="O359">
        <v>59</v>
      </c>
      <c r="P359">
        <v>243</v>
      </c>
      <c r="Q359">
        <v>19</v>
      </c>
      <c r="R359">
        <v>569</v>
      </c>
      <c r="S359">
        <v>13.8</v>
      </c>
      <c r="T359">
        <v>691</v>
      </c>
      <c r="U359">
        <v>21.2</v>
      </c>
      <c r="V359">
        <v>529</v>
      </c>
      <c r="W359">
        <v>31.7</v>
      </c>
      <c r="X359">
        <v>450</v>
      </c>
      <c r="Y359">
        <v>11.5</v>
      </c>
      <c r="Z359" t="s">
        <v>5613</v>
      </c>
      <c r="AA359">
        <v>57.7</v>
      </c>
      <c r="AB359" t="s">
        <v>5877</v>
      </c>
      <c r="AC359">
        <v>30.9</v>
      </c>
    </row>
    <row r="360" spans="1:29">
      <c r="A360">
        <f>358</f>
        <v>358</v>
      </c>
      <c r="B360">
        <v>460</v>
      </c>
      <c r="C360" t="s">
        <v>870</v>
      </c>
      <c r="D360" t="s">
        <v>5747</v>
      </c>
      <c r="E360" t="s">
        <v>397</v>
      </c>
      <c r="F360" t="s">
        <v>5605</v>
      </c>
      <c r="G360" t="s">
        <v>5594</v>
      </c>
      <c r="H360" t="s">
        <v>5590</v>
      </c>
      <c r="I360">
        <v>5</v>
      </c>
      <c r="J360" t="s">
        <v>5595</v>
      </c>
      <c r="K360">
        <v>33.6</v>
      </c>
      <c r="L360">
        <v>259</v>
      </c>
      <c r="M360">
        <v>5.7</v>
      </c>
      <c r="N360" t="s">
        <v>5737</v>
      </c>
      <c r="O360">
        <v>4.0999999999999996</v>
      </c>
      <c r="P360" t="s">
        <v>5613</v>
      </c>
      <c r="Q360">
        <v>49.6</v>
      </c>
      <c r="R360">
        <v>266</v>
      </c>
      <c r="S360">
        <v>8.1</v>
      </c>
      <c r="T360" t="s">
        <v>5613</v>
      </c>
      <c r="U360">
        <v>10.7</v>
      </c>
      <c r="V360" t="s">
        <v>5613</v>
      </c>
      <c r="W360">
        <v>73</v>
      </c>
      <c r="X360">
        <v>181</v>
      </c>
      <c r="Y360">
        <v>17.399999999999999</v>
      </c>
      <c r="Z360">
        <v>476</v>
      </c>
      <c r="AA360">
        <v>81.099999999999994</v>
      </c>
      <c r="AB360" t="s">
        <v>5643</v>
      </c>
      <c r="AC360">
        <v>30.8</v>
      </c>
    </row>
    <row r="361" spans="1:29">
      <c r="A361">
        <f>358</f>
        <v>358</v>
      </c>
      <c r="B361" t="s">
        <v>5921</v>
      </c>
      <c r="C361" t="s">
        <v>812</v>
      </c>
      <c r="D361" t="s">
        <v>5999</v>
      </c>
      <c r="E361" t="s">
        <v>813</v>
      </c>
      <c r="F361" t="s">
        <v>5588</v>
      </c>
      <c r="G361" t="s">
        <v>5594</v>
      </c>
      <c r="H361" t="s">
        <v>5590</v>
      </c>
      <c r="I361">
        <v>5</v>
      </c>
      <c r="J361" t="s">
        <v>5595</v>
      </c>
      <c r="K361">
        <v>24.4</v>
      </c>
      <c r="L361">
        <v>355</v>
      </c>
      <c r="M361">
        <v>9</v>
      </c>
      <c r="N361" t="s">
        <v>5737</v>
      </c>
      <c r="O361">
        <v>91.5</v>
      </c>
      <c r="P361">
        <v>78</v>
      </c>
      <c r="Q361">
        <v>11.5</v>
      </c>
      <c r="R361" t="s">
        <v>5613</v>
      </c>
      <c r="S361">
        <v>46.5</v>
      </c>
      <c r="T361">
        <v>372</v>
      </c>
      <c r="U361">
        <v>22.2</v>
      </c>
      <c r="V361">
        <v>513</v>
      </c>
      <c r="W361">
        <v>73.7</v>
      </c>
      <c r="X361">
        <v>177</v>
      </c>
      <c r="Y361">
        <v>42.1</v>
      </c>
      <c r="Z361">
        <v>171</v>
      </c>
      <c r="AA361">
        <v>27.6</v>
      </c>
      <c r="AB361" t="s">
        <v>5766</v>
      </c>
      <c r="AC361">
        <v>30.8</v>
      </c>
    </row>
    <row r="362" spans="1:29">
      <c r="A362">
        <f>360</f>
        <v>360</v>
      </c>
      <c r="B362" t="s">
        <v>6000</v>
      </c>
      <c r="C362" t="s">
        <v>6001</v>
      </c>
      <c r="D362" t="s">
        <v>5616</v>
      </c>
      <c r="E362" t="s">
        <v>54</v>
      </c>
      <c r="F362" t="s">
        <v>5605</v>
      </c>
      <c r="G362" t="s">
        <v>5594</v>
      </c>
      <c r="H362" t="s">
        <v>5590</v>
      </c>
      <c r="I362">
        <v>4</v>
      </c>
      <c r="J362" t="s">
        <v>5595</v>
      </c>
      <c r="K362">
        <v>15.6</v>
      </c>
      <c r="L362">
        <v>558</v>
      </c>
      <c r="M362">
        <v>31.8</v>
      </c>
      <c r="N362">
        <v>310</v>
      </c>
      <c r="O362">
        <v>17.600000000000001</v>
      </c>
      <c r="P362" t="s">
        <v>5613</v>
      </c>
      <c r="Q362">
        <v>78.7</v>
      </c>
      <c r="R362">
        <v>118</v>
      </c>
      <c r="S362">
        <v>8.8000000000000007</v>
      </c>
      <c r="T362" t="s">
        <v>5613</v>
      </c>
      <c r="U362">
        <v>3.4</v>
      </c>
      <c r="V362" t="s">
        <v>5613</v>
      </c>
      <c r="W362">
        <v>16.3</v>
      </c>
      <c r="X362">
        <v>580</v>
      </c>
      <c r="Y362">
        <v>17.399999999999999</v>
      </c>
      <c r="Z362">
        <v>480</v>
      </c>
      <c r="AA362">
        <v>28.4</v>
      </c>
      <c r="AB362" t="s">
        <v>6002</v>
      </c>
      <c r="AC362">
        <v>30.7</v>
      </c>
    </row>
    <row r="363" spans="1:29">
      <c r="A363">
        <f>360</f>
        <v>360</v>
      </c>
      <c r="B363" t="s">
        <v>5980</v>
      </c>
      <c r="C363" t="s">
        <v>1130</v>
      </c>
      <c r="D363" t="s">
        <v>5976</v>
      </c>
      <c r="E363" t="s">
        <v>5977</v>
      </c>
      <c r="F363" t="s">
        <v>5605</v>
      </c>
      <c r="G363" t="s">
        <v>5589</v>
      </c>
      <c r="H363" t="s">
        <v>5590</v>
      </c>
      <c r="I363">
        <v>4</v>
      </c>
      <c r="J363" t="s">
        <v>5595</v>
      </c>
      <c r="K363">
        <v>18.7</v>
      </c>
      <c r="L363">
        <v>476</v>
      </c>
      <c r="M363">
        <v>38.799999999999997</v>
      </c>
      <c r="N363">
        <v>249</v>
      </c>
      <c r="O363">
        <v>3.4</v>
      </c>
      <c r="P363" t="s">
        <v>5613</v>
      </c>
      <c r="Q363">
        <v>67.5</v>
      </c>
      <c r="R363">
        <v>159</v>
      </c>
      <c r="S363">
        <v>2.1</v>
      </c>
      <c r="T363" t="s">
        <v>5613</v>
      </c>
      <c r="U363">
        <v>1.8</v>
      </c>
      <c r="V363" t="s">
        <v>5613</v>
      </c>
      <c r="W363">
        <v>68.599999999999994</v>
      </c>
      <c r="X363">
        <v>203</v>
      </c>
      <c r="Y363">
        <v>17.5</v>
      </c>
      <c r="Z363">
        <v>475</v>
      </c>
      <c r="AA363">
        <v>18.399999999999999</v>
      </c>
      <c r="AB363" t="s">
        <v>6003</v>
      </c>
      <c r="AC363">
        <v>30.7</v>
      </c>
    </row>
    <row r="364" spans="1:29">
      <c r="A364">
        <f>362</f>
        <v>362</v>
      </c>
      <c r="B364">
        <v>368</v>
      </c>
      <c r="C364" t="s">
        <v>6004</v>
      </c>
      <c r="D364" t="s">
        <v>5676</v>
      </c>
      <c r="E364" t="s">
        <v>380</v>
      </c>
      <c r="F364" t="s">
        <v>5615</v>
      </c>
      <c r="G364" t="s">
        <v>5589</v>
      </c>
      <c r="H364" t="s">
        <v>5590</v>
      </c>
      <c r="I364">
        <v>3</v>
      </c>
      <c r="J364" t="s">
        <v>5595</v>
      </c>
      <c r="K364">
        <v>7.9</v>
      </c>
      <c r="L364" t="s">
        <v>5737</v>
      </c>
      <c r="M364">
        <v>5.3</v>
      </c>
      <c r="N364" t="s">
        <v>5737</v>
      </c>
      <c r="O364">
        <v>39.9</v>
      </c>
      <c r="P364">
        <v>393</v>
      </c>
      <c r="Q364">
        <v>51.5</v>
      </c>
      <c r="R364">
        <v>253</v>
      </c>
      <c r="S364">
        <v>100</v>
      </c>
      <c r="T364">
        <v>62</v>
      </c>
      <c r="U364">
        <v>91</v>
      </c>
      <c r="V364">
        <v>113</v>
      </c>
      <c r="W364">
        <v>1.2</v>
      </c>
      <c r="X364" t="s">
        <v>5613</v>
      </c>
      <c r="Y364">
        <v>31.7</v>
      </c>
      <c r="Z364">
        <v>241</v>
      </c>
      <c r="AA364">
        <v>37.799999999999997</v>
      </c>
      <c r="AB364" t="s">
        <v>6005</v>
      </c>
      <c r="AC364">
        <v>30.6</v>
      </c>
    </row>
    <row r="365" spans="1:29">
      <c r="A365">
        <f>362</f>
        <v>362</v>
      </c>
      <c r="B365" t="s">
        <v>5937</v>
      </c>
      <c r="C365" t="s">
        <v>6006</v>
      </c>
      <c r="D365" t="s">
        <v>5753</v>
      </c>
      <c r="E365" t="s">
        <v>310</v>
      </c>
      <c r="F365" t="s">
        <v>5593</v>
      </c>
      <c r="G365" t="s">
        <v>5594</v>
      </c>
      <c r="H365" t="s">
        <v>5809</v>
      </c>
      <c r="I365">
        <v>5</v>
      </c>
      <c r="J365" t="s">
        <v>5595</v>
      </c>
      <c r="K365">
        <v>20.2</v>
      </c>
      <c r="L365">
        <v>433</v>
      </c>
      <c r="M365">
        <v>7</v>
      </c>
      <c r="N365" t="s">
        <v>5737</v>
      </c>
      <c r="O365">
        <v>69.2</v>
      </c>
      <c r="P365">
        <v>187</v>
      </c>
      <c r="Q365">
        <v>11.2</v>
      </c>
      <c r="R365" t="s">
        <v>5613</v>
      </c>
      <c r="S365">
        <v>100</v>
      </c>
      <c r="T365">
        <v>65</v>
      </c>
      <c r="U365">
        <v>100</v>
      </c>
      <c r="V365">
        <v>27</v>
      </c>
      <c r="W365">
        <v>32.9</v>
      </c>
      <c r="X365">
        <v>434</v>
      </c>
      <c r="Y365">
        <v>35.700000000000003</v>
      </c>
      <c r="Z365">
        <v>208</v>
      </c>
      <c r="AA365">
        <v>16.5</v>
      </c>
      <c r="AB365" t="s">
        <v>6007</v>
      </c>
      <c r="AC365">
        <v>30.6</v>
      </c>
    </row>
    <row r="366" spans="1:29">
      <c r="A366">
        <f>364</f>
        <v>364</v>
      </c>
      <c r="B366" t="s">
        <v>5985</v>
      </c>
      <c r="C366" t="s">
        <v>1401</v>
      </c>
      <c r="D366" t="s">
        <v>5865</v>
      </c>
      <c r="E366" t="s">
        <v>608</v>
      </c>
      <c r="F366" t="s">
        <v>5615</v>
      </c>
      <c r="G366" t="s">
        <v>5589</v>
      </c>
      <c r="H366" t="s">
        <v>5590</v>
      </c>
      <c r="I366">
        <v>3</v>
      </c>
      <c r="J366" t="s">
        <v>5591</v>
      </c>
      <c r="K366">
        <v>20</v>
      </c>
      <c r="L366">
        <v>438</v>
      </c>
      <c r="M366">
        <v>39.1</v>
      </c>
      <c r="N366">
        <v>243</v>
      </c>
      <c r="O366">
        <v>20.7</v>
      </c>
      <c r="P366">
        <v>653</v>
      </c>
      <c r="Q366">
        <v>20</v>
      </c>
      <c r="R366">
        <v>559</v>
      </c>
      <c r="S366">
        <v>100</v>
      </c>
      <c r="T366">
        <v>2</v>
      </c>
      <c r="U366">
        <v>100</v>
      </c>
      <c r="V366">
        <v>6</v>
      </c>
      <c r="W366">
        <v>6.4</v>
      </c>
      <c r="X366" t="s">
        <v>5613</v>
      </c>
      <c r="Y366">
        <v>36.9</v>
      </c>
      <c r="Z366">
        <v>202</v>
      </c>
      <c r="AA366">
        <v>3</v>
      </c>
      <c r="AB366" t="s">
        <v>5613</v>
      </c>
      <c r="AC366">
        <v>30.3</v>
      </c>
    </row>
    <row r="367" spans="1:29">
      <c r="A367">
        <f>364</f>
        <v>364</v>
      </c>
      <c r="B367" t="s">
        <v>6008</v>
      </c>
      <c r="C367" t="s">
        <v>1524</v>
      </c>
      <c r="D367" t="s">
        <v>5770</v>
      </c>
      <c r="E367" t="s">
        <v>528</v>
      </c>
      <c r="F367" t="s">
        <v>5588</v>
      </c>
      <c r="G367" t="s">
        <v>5589</v>
      </c>
      <c r="H367" t="s">
        <v>5590</v>
      </c>
      <c r="I367">
        <v>3</v>
      </c>
      <c r="J367" t="s">
        <v>5595</v>
      </c>
      <c r="K367">
        <v>17</v>
      </c>
      <c r="L367">
        <v>523</v>
      </c>
      <c r="M367">
        <v>25.2</v>
      </c>
      <c r="N367">
        <v>381</v>
      </c>
      <c r="O367">
        <v>7.7</v>
      </c>
      <c r="P367" t="s">
        <v>5613</v>
      </c>
      <c r="Q367">
        <v>98.1</v>
      </c>
      <c r="R367">
        <v>32</v>
      </c>
      <c r="S367">
        <v>3</v>
      </c>
      <c r="T367" t="s">
        <v>5613</v>
      </c>
      <c r="U367">
        <v>1.3</v>
      </c>
      <c r="V367" t="s">
        <v>5613</v>
      </c>
      <c r="W367">
        <v>5.8</v>
      </c>
      <c r="X367" t="s">
        <v>5613</v>
      </c>
      <c r="Y367">
        <v>5.5</v>
      </c>
      <c r="Z367" t="s">
        <v>5613</v>
      </c>
      <c r="AA367">
        <v>4.4000000000000004</v>
      </c>
      <c r="AB367" t="s">
        <v>5613</v>
      </c>
      <c r="AC367">
        <v>30.3</v>
      </c>
    </row>
    <row r="368" spans="1:29">
      <c r="A368">
        <f>364</f>
        <v>364</v>
      </c>
      <c r="B368" t="s">
        <v>6009</v>
      </c>
      <c r="C368" t="s">
        <v>1142</v>
      </c>
      <c r="D368" t="s">
        <v>5747</v>
      </c>
      <c r="E368" t="s">
        <v>397</v>
      </c>
      <c r="F368" t="s">
        <v>5605</v>
      </c>
      <c r="G368" t="s">
        <v>5594</v>
      </c>
      <c r="H368" t="s">
        <v>5590</v>
      </c>
      <c r="I368">
        <v>5</v>
      </c>
      <c r="J368" t="s">
        <v>5595</v>
      </c>
      <c r="K368">
        <v>39.799999999999997</v>
      </c>
      <c r="L368">
        <v>213</v>
      </c>
      <c r="M368">
        <v>5.7</v>
      </c>
      <c r="N368" t="s">
        <v>5737</v>
      </c>
      <c r="O368">
        <v>2.9</v>
      </c>
      <c r="P368" t="s">
        <v>5613</v>
      </c>
      <c r="Q368">
        <v>36.799999999999997</v>
      </c>
      <c r="R368">
        <v>380</v>
      </c>
      <c r="S368">
        <v>4.5999999999999996</v>
      </c>
      <c r="T368" t="s">
        <v>5613</v>
      </c>
      <c r="U368">
        <v>5.4</v>
      </c>
      <c r="V368" t="s">
        <v>5613</v>
      </c>
      <c r="W368">
        <v>69.400000000000006</v>
      </c>
      <c r="X368">
        <v>199</v>
      </c>
      <c r="Y368">
        <v>32.5</v>
      </c>
      <c r="Z368">
        <v>236</v>
      </c>
      <c r="AA368">
        <v>84.3</v>
      </c>
      <c r="AB368" t="s">
        <v>5936</v>
      </c>
      <c r="AC368">
        <v>30.3</v>
      </c>
    </row>
    <row r="369" spans="1:29">
      <c r="A369">
        <v>367</v>
      </c>
      <c r="B369">
        <v>334</v>
      </c>
      <c r="C369" t="s">
        <v>6010</v>
      </c>
      <c r="D369" t="s">
        <v>5959</v>
      </c>
      <c r="E369" t="s">
        <v>1102</v>
      </c>
      <c r="F369" t="s">
        <v>5588</v>
      </c>
      <c r="G369" t="s">
        <v>5589</v>
      </c>
      <c r="H369" t="s">
        <v>5590</v>
      </c>
      <c r="I369">
        <v>3</v>
      </c>
      <c r="J369" t="s">
        <v>5595</v>
      </c>
      <c r="K369">
        <v>18.899999999999999</v>
      </c>
      <c r="L369">
        <v>472</v>
      </c>
      <c r="M369">
        <v>72.7</v>
      </c>
      <c r="N369">
        <v>93</v>
      </c>
      <c r="O369">
        <v>77.400000000000006</v>
      </c>
      <c r="P369">
        <v>151</v>
      </c>
      <c r="Q369">
        <v>11.7</v>
      </c>
      <c r="R369" t="s">
        <v>5613</v>
      </c>
      <c r="S369">
        <v>2.6</v>
      </c>
      <c r="T369" t="s">
        <v>5613</v>
      </c>
      <c r="U369">
        <v>3.9</v>
      </c>
      <c r="V369" t="s">
        <v>5613</v>
      </c>
      <c r="W369">
        <v>23.5</v>
      </c>
      <c r="X369">
        <v>512</v>
      </c>
      <c r="Y369">
        <v>9</v>
      </c>
      <c r="Z369" t="s">
        <v>5613</v>
      </c>
      <c r="AA369">
        <v>30.7</v>
      </c>
      <c r="AB369" t="s">
        <v>5825</v>
      </c>
      <c r="AC369">
        <v>30.2</v>
      </c>
    </row>
    <row r="370" spans="1:29">
      <c r="A370">
        <v>368</v>
      </c>
      <c r="B370" t="s">
        <v>5987</v>
      </c>
      <c r="C370" t="s">
        <v>1222</v>
      </c>
      <c r="D370" t="s">
        <v>6011</v>
      </c>
      <c r="E370" t="s">
        <v>1223</v>
      </c>
      <c r="F370" t="s">
        <v>5588</v>
      </c>
      <c r="G370" t="s">
        <v>5589</v>
      </c>
      <c r="H370" t="s">
        <v>5590</v>
      </c>
      <c r="I370">
        <v>3</v>
      </c>
      <c r="J370" t="s">
        <v>5595</v>
      </c>
      <c r="K370">
        <v>8.9</v>
      </c>
      <c r="L370" t="s">
        <v>5737</v>
      </c>
      <c r="M370">
        <v>3.1</v>
      </c>
      <c r="N370" t="s">
        <v>5737</v>
      </c>
      <c r="O370">
        <v>4.9000000000000004</v>
      </c>
      <c r="P370" t="s">
        <v>5613</v>
      </c>
      <c r="Q370">
        <v>77.8</v>
      </c>
      <c r="R370">
        <v>123</v>
      </c>
      <c r="S370">
        <v>92.9</v>
      </c>
      <c r="T370">
        <v>165</v>
      </c>
      <c r="U370">
        <v>25.4</v>
      </c>
      <c r="V370">
        <v>471</v>
      </c>
      <c r="W370">
        <v>55.9</v>
      </c>
      <c r="X370">
        <v>279</v>
      </c>
      <c r="Y370">
        <v>18.600000000000001</v>
      </c>
      <c r="Z370">
        <v>448</v>
      </c>
      <c r="AA370">
        <v>24.4</v>
      </c>
      <c r="AB370" t="s">
        <v>5784</v>
      </c>
      <c r="AC370">
        <v>30.1</v>
      </c>
    </row>
    <row r="371" spans="1:29">
      <c r="A371">
        <f>369</f>
        <v>369</v>
      </c>
      <c r="B371" t="s">
        <v>5985</v>
      </c>
      <c r="C371" t="s">
        <v>6012</v>
      </c>
      <c r="D371" t="s">
        <v>5770</v>
      </c>
      <c r="E371" t="s">
        <v>528</v>
      </c>
      <c r="F371" t="s">
        <v>5588</v>
      </c>
      <c r="G371" t="s">
        <v>5602</v>
      </c>
      <c r="H371" t="s">
        <v>5590</v>
      </c>
      <c r="I371">
        <v>5</v>
      </c>
      <c r="J371" t="s">
        <v>5595</v>
      </c>
      <c r="K371">
        <v>17.8</v>
      </c>
      <c r="L371">
        <v>500</v>
      </c>
      <c r="M371">
        <v>22.5</v>
      </c>
      <c r="N371">
        <v>421</v>
      </c>
      <c r="O371">
        <v>7.8</v>
      </c>
      <c r="P371" t="s">
        <v>5613</v>
      </c>
      <c r="Q371">
        <v>91.2</v>
      </c>
      <c r="R371">
        <v>72</v>
      </c>
      <c r="S371">
        <v>1.3</v>
      </c>
      <c r="T371" t="s">
        <v>5613</v>
      </c>
      <c r="U371">
        <v>2.2000000000000002</v>
      </c>
      <c r="V371" t="s">
        <v>5613</v>
      </c>
      <c r="W371">
        <v>3.6</v>
      </c>
      <c r="X371" t="s">
        <v>5613</v>
      </c>
      <c r="Y371">
        <v>10.5</v>
      </c>
      <c r="Z371" t="s">
        <v>5613</v>
      </c>
      <c r="AA371">
        <v>27.6</v>
      </c>
      <c r="AB371" t="s">
        <v>5766</v>
      </c>
      <c r="AC371">
        <v>30</v>
      </c>
    </row>
    <row r="372" spans="1:29">
      <c r="A372">
        <f>369</f>
        <v>369</v>
      </c>
      <c r="B372" t="s">
        <v>5655</v>
      </c>
      <c r="C372" t="s">
        <v>6013</v>
      </c>
      <c r="D372" t="s">
        <v>5587</v>
      </c>
      <c r="E372" t="s">
        <v>29</v>
      </c>
      <c r="F372" t="s">
        <v>5588</v>
      </c>
      <c r="G372" t="s">
        <v>5594</v>
      </c>
      <c r="H372" t="s">
        <v>5590</v>
      </c>
      <c r="I372">
        <v>5</v>
      </c>
      <c r="J372" t="s">
        <v>5591</v>
      </c>
      <c r="K372">
        <v>2.8</v>
      </c>
      <c r="L372" t="s">
        <v>5737</v>
      </c>
      <c r="M372">
        <v>3.3</v>
      </c>
      <c r="N372" t="s">
        <v>5737</v>
      </c>
      <c r="O372">
        <v>75</v>
      </c>
      <c r="P372">
        <v>167</v>
      </c>
      <c r="Q372">
        <v>99.7</v>
      </c>
      <c r="R372">
        <v>14</v>
      </c>
      <c r="U372">
        <v>8.9</v>
      </c>
      <c r="V372" t="s">
        <v>5613</v>
      </c>
      <c r="W372">
        <v>3.6</v>
      </c>
      <c r="X372" t="s">
        <v>5613</v>
      </c>
      <c r="Y372">
        <v>10.4</v>
      </c>
      <c r="Z372" t="s">
        <v>5613</v>
      </c>
      <c r="AA372">
        <v>1.3</v>
      </c>
      <c r="AB372" t="s">
        <v>5613</v>
      </c>
      <c r="AC372">
        <v>30</v>
      </c>
    </row>
    <row r="373" spans="1:29">
      <c r="A373">
        <f>371</f>
        <v>371</v>
      </c>
      <c r="B373" t="s">
        <v>6014</v>
      </c>
      <c r="C373" t="s">
        <v>1855</v>
      </c>
      <c r="D373" t="s">
        <v>6015</v>
      </c>
      <c r="E373" t="s">
        <v>1483</v>
      </c>
      <c r="F373" t="s">
        <v>5605</v>
      </c>
      <c r="G373" t="s">
        <v>5594</v>
      </c>
      <c r="H373" t="s">
        <v>5590</v>
      </c>
      <c r="I373">
        <v>5</v>
      </c>
      <c r="J373" t="s">
        <v>5595</v>
      </c>
      <c r="K373">
        <v>43.7</v>
      </c>
      <c r="L373">
        <v>193</v>
      </c>
      <c r="M373">
        <v>33.200000000000003</v>
      </c>
      <c r="N373">
        <v>297</v>
      </c>
      <c r="O373">
        <v>8</v>
      </c>
      <c r="P373" t="s">
        <v>5613</v>
      </c>
      <c r="Q373">
        <v>2.8</v>
      </c>
      <c r="R373" t="s">
        <v>5613</v>
      </c>
      <c r="S373">
        <v>2.7</v>
      </c>
      <c r="T373" t="s">
        <v>5613</v>
      </c>
      <c r="U373">
        <v>6.2</v>
      </c>
      <c r="V373" t="s">
        <v>5613</v>
      </c>
      <c r="W373">
        <v>48.7</v>
      </c>
      <c r="X373">
        <v>321</v>
      </c>
      <c r="Y373">
        <v>72.5</v>
      </c>
      <c r="Z373">
        <v>63</v>
      </c>
      <c r="AA373">
        <v>78.599999999999994</v>
      </c>
      <c r="AB373">
        <v>157</v>
      </c>
      <c r="AC373">
        <v>29.9</v>
      </c>
    </row>
    <row r="374" spans="1:29">
      <c r="A374">
        <f>371</f>
        <v>371</v>
      </c>
      <c r="B374" t="s">
        <v>6016</v>
      </c>
      <c r="C374" t="s">
        <v>592</v>
      </c>
      <c r="D374" t="s">
        <v>5652</v>
      </c>
      <c r="E374" t="s">
        <v>144</v>
      </c>
      <c r="F374" t="s">
        <v>5593</v>
      </c>
      <c r="G374" t="s">
        <v>5602</v>
      </c>
      <c r="H374" t="s">
        <v>5590</v>
      </c>
      <c r="I374">
        <v>4</v>
      </c>
      <c r="J374" t="s">
        <v>5595</v>
      </c>
      <c r="K374">
        <v>15.2</v>
      </c>
      <c r="L374">
        <v>573</v>
      </c>
      <c r="M374">
        <v>33.4</v>
      </c>
      <c r="N374">
        <v>294</v>
      </c>
      <c r="O374">
        <v>10.4</v>
      </c>
      <c r="P374" t="s">
        <v>5613</v>
      </c>
      <c r="Q374">
        <v>44.2</v>
      </c>
      <c r="R374">
        <v>302</v>
      </c>
      <c r="S374">
        <v>96.6</v>
      </c>
      <c r="T374">
        <v>131</v>
      </c>
      <c r="U374">
        <v>58.4</v>
      </c>
      <c r="V374">
        <v>259</v>
      </c>
      <c r="W374">
        <v>9.4</v>
      </c>
      <c r="X374">
        <v>683</v>
      </c>
      <c r="Y374">
        <v>14.1</v>
      </c>
      <c r="Z374">
        <v>602</v>
      </c>
      <c r="AA374">
        <v>31</v>
      </c>
      <c r="AB374" t="s">
        <v>5666</v>
      </c>
      <c r="AC374">
        <v>29.9</v>
      </c>
    </row>
    <row r="375" spans="1:29">
      <c r="A375">
        <f>371</f>
        <v>371</v>
      </c>
      <c r="B375">
        <v>333</v>
      </c>
      <c r="C375" t="s">
        <v>6017</v>
      </c>
      <c r="D375" t="s">
        <v>5695</v>
      </c>
      <c r="E375" t="s">
        <v>577</v>
      </c>
      <c r="F375" t="s">
        <v>5605</v>
      </c>
      <c r="G375" t="s">
        <v>5594</v>
      </c>
      <c r="H375" t="s">
        <v>5590</v>
      </c>
      <c r="I375">
        <v>5</v>
      </c>
      <c r="J375" t="s">
        <v>5595</v>
      </c>
      <c r="K375">
        <v>60.1</v>
      </c>
      <c r="L375">
        <v>119</v>
      </c>
      <c r="M375">
        <v>17</v>
      </c>
      <c r="N375">
        <v>509</v>
      </c>
      <c r="O375">
        <v>15.4</v>
      </c>
      <c r="P375" t="s">
        <v>5613</v>
      </c>
      <c r="Q375">
        <v>8.3000000000000007</v>
      </c>
      <c r="R375" t="s">
        <v>5613</v>
      </c>
      <c r="S375">
        <v>7.9</v>
      </c>
      <c r="T375" t="s">
        <v>5613</v>
      </c>
      <c r="U375">
        <v>1.6</v>
      </c>
      <c r="V375" t="s">
        <v>5613</v>
      </c>
      <c r="W375">
        <v>51.7</v>
      </c>
      <c r="X375">
        <v>302</v>
      </c>
      <c r="Y375">
        <v>36.799999999999997</v>
      </c>
      <c r="Z375">
        <v>203</v>
      </c>
      <c r="AA375">
        <v>23</v>
      </c>
      <c r="AB375" t="s">
        <v>5960</v>
      </c>
      <c r="AC375">
        <v>29.9</v>
      </c>
    </row>
    <row r="376" spans="1:29">
      <c r="A376">
        <v>374</v>
      </c>
      <c r="B376" t="s">
        <v>5995</v>
      </c>
      <c r="C376" t="s">
        <v>730</v>
      </c>
      <c r="D376" t="s">
        <v>5592</v>
      </c>
      <c r="E376" t="s">
        <v>26</v>
      </c>
      <c r="F376" t="s">
        <v>5588</v>
      </c>
      <c r="G376" t="s">
        <v>5602</v>
      </c>
      <c r="H376" t="s">
        <v>5590</v>
      </c>
      <c r="I376">
        <v>5</v>
      </c>
      <c r="J376" t="s">
        <v>5595</v>
      </c>
      <c r="K376">
        <v>10.8</v>
      </c>
      <c r="L376" t="s">
        <v>5737</v>
      </c>
      <c r="M376">
        <v>3.5</v>
      </c>
      <c r="N376" t="s">
        <v>5737</v>
      </c>
      <c r="O376">
        <v>14.1</v>
      </c>
      <c r="P376" t="s">
        <v>5613</v>
      </c>
      <c r="Q376">
        <v>65.099999999999994</v>
      </c>
      <c r="R376">
        <v>172</v>
      </c>
      <c r="S376">
        <v>97.5</v>
      </c>
      <c r="T376">
        <v>123</v>
      </c>
      <c r="U376">
        <v>98</v>
      </c>
      <c r="V376">
        <v>62</v>
      </c>
      <c r="W376">
        <v>9.1</v>
      </c>
      <c r="X376">
        <v>692</v>
      </c>
      <c r="Y376">
        <v>12.3</v>
      </c>
      <c r="Z376" t="s">
        <v>5613</v>
      </c>
      <c r="AA376">
        <v>12</v>
      </c>
      <c r="AB376" t="s">
        <v>6018</v>
      </c>
      <c r="AC376">
        <v>29.7</v>
      </c>
    </row>
    <row r="377" spans="1:29">
      <c r="A377">
        <f>375</f>
        <v>375</v>
      </c>
      <c r="B377" t="s">
        <v>5980</v>
      </c>
      <c r="C377" t="s">
        <v>6019</v>
      </c>
      <c r="D377" t="s">
        <v>5612</v>
      </c>
      <c r="E377" t="s">
        <v>116</v>
      </c>
      <c r="F377" t="s">
        <v>5605</v>
      </c>
      <c r="G377" t="s">
        <v>5594</v>
      </c>
      <c r="H377" t="s">
        <v>5809</v>
      </c>
      <c r="I377">
        <v>3</v>
      </c>
      <c r="J377" t="s">
        <v>5595</v>
      </c>
      <c r="K377">
        <v>18.399999999999999</v>
      </c>
      <c r="L377">
        <v>483</v>
      </c>
      <c r="M377">
        <v>15</v>
      </c>
      <c r="N377">
        <v>546</v>
      </c>
      <c r="O377">
        <v>4.5</v>
      </c>
      <c r="P377" t="s">
        <v>5613</v>
      </c>
      <c r="Q377">
        <v>29.5</v>
      </c>
      <c r="R377">
        <v>437</v>
      </c>
      <c r="S377">
        <v>100</v>
      </c>
      <c r="T377">
        <v>48</v>
      </c>
      <c r="U377">
        <v>39.200000000000003</v>
      </c>
      <c r="V377">
        <v>351</v>
      </c>
      <c r="W377">
        <v>68.3</v>
      </c>
      <c r="X377">
        <v>206</v>
      </c>
      <c r="Y377">
        <v>10.3</v>
      </c>
      <c r="Z377" t="s">
        <v>5613</v>
      </c>
      <c r="AA377">
        <v>90.4</v>
      </c>
      <c r="AB377" t="s">
        <v>5614</v>
      </c>
      <c r="AC377">
        <v>29.5</v>
      </c>
    </row>
    <row r="378" spans="1:29">
      <c r="A378">
        <f>375</f>
        <v>375</v>
      </c>
      <c r="B378" t="s">
        <v>6020</v>
      </c>
      <c r="C378" t="s">
        <v>841</v>
      </c>
      <c r="D378" t="s">
        <v>5976</v>
      </c>
      <c r="E378" t="s">
        <v>5977</v>
      </c>
      <c r="F378" t="s">
        <v>5588</v>
      </c>
      <c r="G378" t="s">
        <v>5602</v>
      </c>
      <c r="H378" t="s">
        <v>5590</v>
      </c>
      <c r="I378">
        <v>4</v>
      </c>
      <c r="J378" t="s">
        <v>5595</v>
      </c>
      <c r="K378">
        <v>4.0999999999999996</v>
      </c>
      <c r="L378" t="s">
        <v>5737</v>
      </c>
      <c r="M378">
        <v>33.4</v>
      </c>
      <c r="N378">
        <v>295</v>
      </c>
      <c r="O378">
        <v>5.0999999999999996</v>
      </c>
      <c r="P378" t="s">
        <v>5613</v>
      </c>
      <c r="Q378">
        <v>99.8</v>
      </c>
      <c r="R378">
        <v>13</v>
      </c>
      <c r="S378">
        <v>15.9</v>
      </c>
      <c r="T378">
        <v>652</v>
      </c>
      <c r="U378">
        <v>2.8</v>
      </c>
      <c r="V378" t="s">
        <v>5613</v>
      </c>
      <c r="W378">
        <v>9.5</v>
      </c>
      <c r="X378">
        <v>681</v>
      </c>
      <c r="Y378">
        <v>10.3</v>
      </c>
      <c r="Z378" t="s">
        <v>5613</v>
      </c>
      <c r="AA378">
        <v>16.5</v>
      </c>
      <c r="AB378" t="s">
        <v>6007</v>
      </c>
      <c r="AC378">
        <v>29.5</v>
      </c>
    </row>
    <row r="379" spans="1:29">
      <c r="A379">
        <f>375</f>
        <v>375</v>
      </c>
      <c r="B379" t="s">
        <v>5994</v>
      </c>
      <c r="C379" t="s">
        <v>6021</v>
      </c>
      <c r="D379" t="s">
        <v>5587</v>
      </c>
      <c r="E379" t="s">
        <v>29</v>
      </c>
      <c r="F379" t="s">
        <v>5593</v>
      </c>
      <c r="G379" t="s">
        <v>5589</v>
      </c>
      <c r="H379" t="s">
        <v>5590</v>
      </c>
      <c r="I379">
        <v>5</v>
      </c>
      <c r="J379" t="s">
        <v>5591</v>
      </c>
      <c r="K379">
        <v>19.399999999999999</v>
      </c>
      <c r="L379">
        <v>463</v>
      </c>
      <c r="M379">
        <v>9.5</v>
      </c>
      <c r="N379" t="s">
        <v>5737</v>
      </c>
      <c r="O379">
        <v>19.100000000000001</v>
      </c>
      <c r="P379">
        <v>691</v>
      </c>
      <c r="Q379">
        <v>24.2</v>
      </c>
      <c r="R379">
        <v>497</v>
      </c>
      <c r="S379">
        <v>60.2</v>
      </c>
      <c r="T379">
        <v>316</v>
      </c>
      <c r="U379">
        <v>94.3</v>
      </c>
      <c r="V379">
        <v>90</v>
      </c>
      <c r="W379">
        <v>33.200000000000003</v>
      </c>
      <c r="X379">
        <v>433</v>
      </c>
      <c r="Y379">
        <v>35.4</v>
      </c>
      <c r="Z379">
        <v>211</v>
      </c>
      <c r="AA379">
        <v>87.3</v>
      </c>
      <c r="AB379">
        <v>112</v>
      </c>
      <c r="AC379">
        <v>29.5</v>
      </c>
    </row>
    <row r="380" spans="1:29">
      <c r="A380">
        <f>375</f>
        <v>375</v>
      </c>
      <c r="B380" t="s">
        <v>5841</v>
      </c>
      <c r="C380" t="s">
        <v>6022</v>
      </c>
      <c r="D380" t="s">
        <v>5639</v>
      </c>
      <c r="E380" t="s">
        <v>99</v>
      </c>
      <c r="F380" t="s">
        <v>5605</v>
      </c>
      <c r="G380" t="s">
        <v>5594</v>
      </c>
      <c r="H380" t="s">
        <v>5590</v>
      </c>
      <c r="I380">
        <v>4</v>
      </c>
      <c r="J380" t="s">
        <v>5595</v>
      </c>
      <c r="K380">
        <v>21.2</v>
      </c>
      <c r="L380">
        <v>411</v>
      </c>
      <c r="M380">
        <v>11</v>
      </c>
      <c r="N380" t="s">
        <v>5737</v>
      </c>
      <c r="O380">
        <v>2.2999999999999998</v>
      </c>
      <c r="P380" t="s">
        <v>5613</v>
      </c>
      <c r="Q380">
        <v>59.7</v>
      </c>
      <c r="R380">
        <v>208</v>
      </c>
      <c r="S380">
        <v>61.1</v>
      </c>
      <c r="T380">
        <v>314</v>
      </c>
      <c r="U380">
        <v>29.6</v>
      </c>
      <c r="V380">
        <v>425</v>
      </c>
      <c r="W380">
        <v>62.3</v>
      </c>
      <c r="X380">
        <v>231</v>
      </c>
      <c r="Y380">
        <v>14.7</v>
      </c>
      <c r="Z380">
        <v>570</v>
      </c>
      <c r="AA380">
        <v>18</v>
      </c>
      <c r="AB380" t="s">
        <v>5702</v>
      </c>
      <c r="AC380">
        <v>29.5</v>
      </c>
    </row>
    <row r="381" spans="1:29">
      <c r="A381">
        <v>379</v>
      </c>
      <c r="B381" t="s">
        <v>5797</v>
      </c>
      <c r="C381" t="s">
        <v>474</v>
      </c>
      <c r="D381" t="s">
        <v>5587</v>
      </c>
      <c r="E381" t="s">
        <v>29</v>
      </c>
      <c r="F381" t="s">
        <v>5593</v>
      </c>
      <c r="G381" t="s">
        <v>5594</v>
      </c>
      <c r="H381" t="s">
        <v>5590</v>
      </c>
      <c r="I381">
        <v>5</v>
      </c>
      <c r="J381" t="s">
        <v>5591</v>
      </c>
      <c r="K381">
        <v>18.100000000000001</v>
      </c>
      <c r="L381">
        <v>497</v>
      </c>
      <c r="M381">
        <v>5.3</v>
      </c>
      <c r="N381" t="s">
        <v>5737</v>
      </c>
      <c r="O381">
        <v>56.2</v>
      </c>
      <c r="P381">
        <v>263</v>
      </c>
      <c r="Q381">
        <v>42.9</v>
      </c>
      <c r="R381">
        <v>312</v>
      </c>
      <c r="S381">
        <v>25.2</v>
      </c>
      <c r="T381">
        <v>532</v>
      </c>
      <c r="U381">
        <v>36.200000000000003</v>
      </c>
      <c r="V381">
        <v>374</v>
      </c>
      <c r="W381">
        <v>18.899999999999999</v>
      </c>
      <c r="X381">
        <v>552</v>
      </c>
      <c r="Y381">
        <v>47.7</v>
      </c>
      <c r="Z381">
        <v>143</v>
      </c>
      <c r="AA381">
        <v>50.9</v>
      </c>
      <c r="AB381" t="s">
        <v>5885</v>
      </c>
      <c r="AC381">
        <v>29.4</v>
      </c>
    </row>
    <row r="382" spans="1:29">
      <c r="A382">
        <v>380</v>
      </c>
      <c r="B382" t="s">
        <v>5950</v>
      </c>
      <c r="C382" t="s">
        <v>753</v>
      </c>
      <c r="D382" t="s">
        <v>5612</v>
      </c>
      <c r="E382" t="s">
        <v>116</v>
      </c>
      <c r="F382" t="s">
        <v>5593</v>
      </c>
      <c r="G382" t="s">
        <v>5594</v>
      </c>
      <c r="H382" t="s">
        <v>5590</v>
      </c>
      <c r="I382">
        <v>4</v>
      </c>
      <c r="J382" t="s">
        <v>5595</v>
      </c>
      <c r="K382">
        <v>13.3</v>
      </c>
      <c r="L382" t="s">
        <v>5737</v>
      </c>
      <c r="M382">
        <v>6.7</v>
      </c>
      <c r="N382" t="s">
        <v>5737</v>
      </c>
      <c r="O382">
        <v>6.5</v>
      </c>
      <c r="P382" t="s">
        <v>5613</v>
      </c>
      <c r="Q382">
        <v>42.6</v>
      </c>
      <c r="R382">
        <v>313</v>
      </c>
      <c r="S382">
        <v>97</v>
      </c>
      <c r="T382">
        <v>127</v>
      </c>
      <c r="U382">
        <v>89.5</v>
      </c>
      <c r="V382">
        <v>119</v>
      </c>
      <c r="W382">
        <v>38.9</v>
      </c>
      <c r="X382">
        <v>385</v>
      </c>
      <c r="Y382">
        <v>10.5</v>
      </c>
      <c r="Z382" t="s">
        <v>5613</v>
      </c>
      <c r="AA382">
        <v>64.8</v>
      </c>
      <c r="AB382" t="s">
        <v>5658</v>
      </c>
      <c r="AC382">
        <v>29.2</v>
      </c>
    </row>
    <row r="383" spans="1:29">
      <c r="A383">
        <v>381</v>
      </c>
      <c r="C383" t="s">
        <v>543</v>
      </c>
      <c r="D383" t="s">
        <v>6023</v>
      </c>
      <c r="E383" t="s">
        <v>544</v>
      </c>
      <c r="F383" t="s">
        <v>5588</v>
      </c>
      <c r="G383" t="s">
        <v>5589</v>
      </c>
      <c r="H383" t="s">
        <v>5590</v>
      </c>
      <c r="I383">
        <v>2</v>
      </c>
      <c r="K383">
        <v>9.1</v>
      </c>
      <c r="L383" t="s">
        <v>5737</v>
      </c>
      <c r="M383">
        <v>4.9000000000000004</v>
      </c>
      <c r="N383" t="s">
        <v>5737</v>
      </c>
      <c r="O383">
        <v>77.2</v>
      </c>
      <c r="P383">
        <v>152</v>
      </c>
      <c r="Q383">
        <v>28.6</v>
      </c>
      <c r="R383">
        <v>447</v>
      </c>
      <c r="S383">
        <v>100</v>
      </c>
      <c r="T383">
        <v>14</v>
      </c>
      <c r="U383">
        <v>100</v>
      </c>
      <c r="V383">
        <v>24</v>
      </c>
      <c r="W383">
        <v>18.399999999999999</v>
      </c>
      <c r="X383">
        <v>557</v>
      </c>
      <c r="Y383">
        <v>25.6</v>
      </c>
      <c r="Z383">
        <v>323</v>
      </c>
      <c r="AC383">
        <v>29.1</v>
      </c>
    </row>
    <row r="384" spans="1:29">
      <c r="A384">
        <f>382</f>
        <v>382</v>
      </c>
      <c r="B384" t="s">
        <v>5844</v>
      </c>
      <c r="C384" t="s">
        <v>1591</v>
      </c>
      <c r="D384" t="s">
        <v>5843</v>
      </c>
      <c r="E384" t="s">
        <v>1448</v>
      </c>
      <c r="F384" t="s">
        <v>5593</v>
      </c>
      <c r="G384" t="s">
        <v>5594</v>
      </c>
      <c r="H384" t="s">
        <v>5590</v>
      </c>
      <c r="I384">
        <v>4</v>
      </c>
      <c r="J384" t="s">
        <v>5595</v>
      </c>
      <c r="K384">
        <v>42.4</v>
      </c>
      <c r="L384">
        <v>200</v>
      </c>
      <c r="M384">
        <v>30.3</v>
      </c>
      <c r="N384">
        <v>322</v>
      </c>
      <c r="O384">
        <v>77.7</v>
      </c>
      <c r="P384">
        <v>147</v>
      </c>
      <c r="Q384">
        <v>4.7</v>
      </c>
      <c r="R384" t="s">
        <v>5613</v>
      </c>
      <c r="S384">
        <v>6</v>
      </c>
      <c r="T384" t="s">
        <v>5613</v>
      </c>
      <c r="U384">
        <v>5.0999999999999996</v>
      </c>
      <c r="V384" t="s">
        <v>5613</v>
      </c>
      <c r="W384">
        <v>10.3</v>
      </c>
      <c r="X384">
        <v>666</v>
      </c>
      <c r="Y384">
        <v>11</v>
      </c>
      <c r="Z384" t="s">
        <v>5613</v>
      </c>
      <c r="AA384">
        <v>27.6</v>
      </c>
      <c r="AB384" t="s">
        <v>5766</v>
      </c>
      <c r="AC384">
        <v>29</v>
      </c>
    </row>
    <row r="385" spans="1:29">
      <c r="A385">
        <f>382</f>
        <v>382</v>
      </c>
      <c r="B385" t="s">
        <v>5980</v>
      </c>
      <c r="C385" t="s">
        <v>6024</v>
      </c>
      <c r="D385" t="s">
        <v>5624</v>
      </c>
      <c r="E385" t="s">
        <v>125</v>
      </c>
      <c r="F385" t="s">
        <v>5605</v>
      </c>
      <c r="G385" t="s">
        <v>5602</v>
      </c>
      <c r="H385" t="s">
        <v>5590</v>
      </c>
      <c r="I385">
        <v>5</v>
      </c>
      <c r="J385" t="s">
        <v>5595</v>
      </c>
      <c r="K385">
        <v>19.399999999999999</v>
      </c>
      <c r="L385">
        <v>461</v>
      </c>
      <c r="M385">
        <v>3.4</v>
      </c>
      <c r="N385" t="s">
        <v>5737</v>
      </c>
      <c r="O385">
        <v>8.9</v>
      </c>
      <c r="P385" t="s">
        <v>5613</v>
      </c>
      <c r="Q385">
        <v>57.6</v>
      </c>
      <c r="R385">
        <v>224</v>
      </c>
      <c r="S385">
        <v>23.9</v>
      </c>
      <c r="T385">
        <v>550</v>
      </c>
      <c r="U385">
        <v>32.299999999999997</v>
      </c>
      <c r="V385">
        <v>398</v>
      </c>
      <c r="W385">
        <v>99.8</v>
      </c>
      <c r="X385">
        <v>9</v>
      </c>
      <c r="Y385">
        <v>10.7</v>
      </c>
      <c r="Z385" t="s">
        <v>5613</v>
      </c>
      <c r="AA385">
        <v>38.700000000000003</v>
      </c>
      <c r="AB385" t="s">
        <v>6025</v>
      </c>
      <c r="AC385">
        <v>29</v>
      </c>
    </row>
    <row r="386" spans="1:29">
      <c r="A386">
        <f>384</f>
        <v>384</v>
      </c>
      <c r="B386" t="s">
        <v>6026</v>
      </c>
      <c r="C386" t="s">
        <v>668</v>
      </c>
      <c r="D386" t="s">
        <v>5616</v>
      </c>
      <c r="E386" t="s">
        <v>54</v>
      </c>
      <c r="F386" t="s">
        <v>5605</v>
      </c>
      <c r="G386" t="s">
        <v>5594</v>
      </c>
      <c r="H386" t="s">
        <v>5590</v>
      </c>
      <c r="I386">
        <v>4</v>
      </c>
      <c r="J386" t="s">
        <v>5595</v>
      </c>
      <c r="K386">
        <v>21.1</v>
      </c>
      <c r="L386">
        <v>414</v>
      </c>
      <c r="M386">
        <v>8.6</v>
      </c>
      <c r="N386" t="s">
        <v>5737</v>
      </c>
      <c r="O386">
        <v>29.5</v>
      </c>
      <c r="P386">
        <v>526</v>
      </c>
      <c r="Q386">
        <v>73.900000000000006</v>
      </c>
      <c r="R386">
        <v>132</v>
      </c>
      <c r="S386">
        <v>11.2</v>
      </c>
      <c r="T386" t="s">
        <v>5613</v>
      </c>
      <c r="U386">
        <v>3.5</v>
      </c>
      <c r="V386" t="s">
        <v>5613</v>
      </c>
      <c r="W386">
        <v>8.1</v>
      </c>
      <c r="X386" t="s">
        <v>5613</v>
      </c>
      <c r="Y386">
        <v>18.899999999999999</v>
      </c>
      <c r="Z386">
        <v>440</v>
      </c>
      <c r="AA386">
        <v>22.5</v>
      </c>
      <c r="AB386" t="s">
        <v>6027</v>
      </c>
      <c r="AC386">
        <v>28.6</v>
      </c>
    </row>
    <row r="387" spans="1:29">
      <c r="A387">
        <f>384</f>
        <v>384</v>
      </c>
      <c r="B387" t="s">
        <v>6008</v>
      </c>
      <c r="C387" t="s">
        <v>6028</v>
      </c>
      <c r="D387" t="s">
        <v>5639</v>
      </c>
      <c r="E387" t="s">
        <v>99</v>
      </c>
      <c r="F387" t="s">
        <v>5593</v>
      </c>
      <c r="G387" t="s">
        <v>5594</v>
      </c>
      <c r="H387" t="s">
        <v>5590</v>
      </c>
      <c r="I387">
        <v>5</v>
      </c>
      <c r="J387" t="s">
        <v>5595</v>
      </c>
      <c r="K387">
        <v>31.5</v>
      </c>
      <c r="L387">
        <v>278</v>
      </c>
      <c r="M387">
        <v>24.6</v>
      </c>
      <c r="N387">
        <v>389</v>
      </c>
      <c r="O387">
        <v>55.3</v>
      </c>
      <c r="P387">
        <v>271</v>
      </c>
      <c r="Q387">
        <v>12.5</v>
      </c>
      <c r="R387">
        <v>688</v>
      </c>
      <c r="S387">
        <v>30.3</v>
      </c>
      <c r="T387">
        <v>489</v>
      </c>
      <c r="U387">
        <v>4.9000000000000004</v>
      </c>
      <c r="V387" t="s">
        <v>5613</v>
      </c>
      <c r="W387">
        <v>59.1</v>
      </c>
      <c r="X387">
        <v>252</v>
      </c>
      <c r="Y387">
        <v>26.1</v>
      </c>
      <c r="Z387">
        <v>314</v>
      </c>
      <c r="AA387">
        <v>27.6</v>
      </c>
      <c r="AB387" t="s">
        <v>5766</v>
      </c>
      <c r="AC387">
        <v>28.6</v>
      </c>
    </row>
    <row r="388" spans="1:29">
      <c r="A388">
        <v>386</v>
      </c>
      <c r="B388" t="s">
        <v>5975</v>
      </c>
      <c r="C388" t="s">
        <v>6029</v>
      </c>
      <c r="D388" t="s">
        <v>5587</v>
      </c>
      <c r="E388" t="s">
        <v>29</v>
      </c>
      <c r="F388" t="s">
        <v>5593</v>
      </c>
      <c r="G388" t="s">
        <v>5594</v>
      </c>
      <c r="H388" t="s">
        <v>5590</v>
      </c>
      <c r="I388">
        <v>5</v>
      </c>
      <c r="J388" t="s">
        <v>5595</v>
      </c>
      <c r="K388">
        <v>16.100000000000001</v>
      </c>
      <c r="L388">
        <v>543</v>
      </c>
      <c r="M388">
        <v>8.5</v>
      </c>
      <c r="N388" t="s">
        <v>5737</v>
      </c>
      <c r="O388">
        <v>36.799999999999997</v>
      </c>
      <c r="P388">
        <v>429</v>
      </c>
      <c r="Q388">
        <v>48.6</v>
      </c>
      <c r="R388">
        <v>279</v>
      </c>
      <c r="S388">
        <v>53</v>
      </c>
      <c r="T388">
        <v>345</v>
      </c>
      <c r="U388">
        <v>12.9</v>
      </c>
      <c r="V388">
        <v>664</v>
      </c>
      <c r="W388">
        <v>53.7</v>
      </c>
      <c r="X388">
        <v>293</v>
      </c>
      <c r="Y388">
        <v>10.7</v>
      </c>
      <c r="Z388" t="s">
        <v>5613</v>
      </c>
      <c r="AA388">
        <v>47.5</v>
      </c>
      <c r="AB388" t="s">
        <v>5909</v>
      </c>
      <c r="AC388">
        <v>28.4</v>
      </c>
    </row>
    <row r="389" spans="1:29">
      <c r="A389">
        <f>387</f>
        <v>387</v>
      </c>
      <c r="B389" t="s">
        <v>6030</v>
      </c>
      <c r="C389" t="s">
        <v>838</v>
      </c>
      <c r="D389" t="s">
        <v>5624</v>
      </c>
      <c r="E389" t="s">
        <v>125</v>
      </c>
      <c r="F389" t="s">
        <v>5605</v>
      </c>
      <c r="G389" t="s">
        <v>5594</v>
      </c>
      <c r="H389" t="s">
        <v>5590</v>
      </c>
      <c r="I389">
        <v>5</v>
      </c>
      <c r="J389" t="s">
        <v>5595</v>
      </c>
      <c r="K389">
        <v>36.1</v>
      </c>
      <c r="L389">
        <v>241</v>
      </c>
      <c r="M389">
        <v>4.5</v>
      </c>
      <c r="N389" t="s">
        <v>5737</v>
      </c>
      <c r="O389">
        <v>8.3000000000000007</v>
      </c>
      <c r="P389" t="s">
        <v>5613</v>
      </c>
      <c r="Q389">
        <v>26.5</v>
      </c>
      <c r="R389">
        <v>468</v>
      </c>
      <c r="S389">
        <v>18.5</v>
      </c>
      <c r="T389">
        <v>609</v>
      </c>
      <c r="U389">
        <v>19.899999999999999</v>
      </c>
      <c r="V389">
        <v>549</v>
      </c>
      <c r="W389">
        <v>99.4</v>
      </c>
      <c r="X389">
        <v>13</v>
      </c>
      <c r="Y389">
        <v>11.3</v>
      </c>
      <c r="Z389" t="s">
        <v>5613</v>
      </c>
      <c r="AA389">
        <v>64.5</v>
      </c>
      <c r="AB389" t="s">
        <v>5916</v>
      </c>
      <c r="AC389">
        <v>28.3</v>
      </c>
    </row>
    <row r="390" spans="1:29">
      <c r="A390">
        <f>387</f>
        <v>387</v>
      </c>
      <c r="B390" t="s">
        <v>5727</v>
      </c>
      <c r="C390" t="s">
        <v>2671</v>
      </c>
      <c r="D390" t="s">
        <v>6031</v>
      </c>
      <c r="E390" t="s">
        <v>2672</v>
      </c>
      <c r="F390" t="s">
        <v>5593</v>
      </c>
      <c r="G390" t="s">
        <v>5602</v>
      </c>
      <c r="H390" t="s">
        <v>5590</v>
      </c>
      <c r="I390">
        <v>5</v>
      </c>
      <c r="J390" t="s">
        <v>5595</v>
      </c>
      <c r="K390">
        <v>26.6</v>
      </c>
      <c r="L390">
        <v>327</v>
      </c>
      <c r="M390">
        <v>42.5</v>
      </c>
      <c r="N390">
        <v>219</v>
      </c>
      <c r="O390">
        <v>95.3</v>
      </c>
      <c r="P390">
        <v>61</v>
      </c>
      <c r="Q390">
        <v>1.3</v>
      </c>
      <c r="R390" t="s">
        <v>5613</v>
      </c>
      <c r="S390">
        <v>4.0999999999999996</v>
      </c>
      <c r="T390" t="s">
        <v>5613</v>
      </c>
      <c r="U390">
        <v>49.9</v>
      </c>
      <c r="V390">
        <v>294</v>
      </c>
      <c r="W390">
        <v>3.4</v>
      </c>
      <c r="X390" t="s">
        <v>5613</v>
      </c>
      <c r="Y390">
        <v>24.5</v>
      </c>
      <c r="Z390">
        <v>341</v>
      </c>
      <c r="AA390">
        <v>1.4</v>
      </c>
      <c r="AB390" t="s">
        <v>5613</v>
      </c>
      <c r="AC390">
        <v>28.3</v>
      </c>
    </row>
    <row r="391" spans="1:29">
      <c r="A391">
        <f>387</f>
        <v>387</v>
      </c>
      <c r="B391" t="s">
        <v>6014</v>
      </c>
      <c r="C391" t="s">
        <v>1215</v>
      </c>
      <c r="D391" t="s">
        <v>5620</v>
      </c>
      <c r="E391" t="s">
        <v>76</v>
      </c>
      <c r="F391" t="s">
        <v>5605</v>
      </c>
      <c r="G391" t="s">
        <v>5589</v>
      </c>
      <c r="H391" t="s">
        <v>5590</v>
      </c>
      <c r="I391">
        <v>3</v>
      </c>
      <c r="J391" t="s">
        <v>5595</v>
      </c>
      <c r="K391">
        <v>15</v>
      </c>
      <c r="L391">
        <v>580</v>
      </c>
      <c r="M391">
        <v>15.2</v>
      </c>
      <c r="N391">
        <v>544</v>
      </c>
      <c r="O391">
        <v>3</v>
      </c>
      <c r="P391" t="s">
        <v>5613</v>
      </c>
      <c r="Q391">
        <v>23.7</v>
      </c>
      <c r="R391">
        <v>504</v>
      </c>
      <c r="S391">
        <v>80.3</v>
      </c>
      <c r="T391">
        <v>227</v>
      </c>
      <c r="U391">
        <v>89.3</v>
      </c>
      <c r="V391">
        <v>122</v>
      </c>
      <c r="W391">
        <v>40.4</v>
      </c>
      <c r="X391">
        <v>373</v>
      </c>
      <c r="Y391">
        <v>30.2</v>
      </c>
      <c r="Z391">
        <v>254</v>
      </c>
      <c r="AA391">
        <v>88.8</v>
      </c>
      <c r="AB391" t="s">
        <v>5832</v>
      </c>
      <c r="AC391">
        <v>28.3</v>
      </c>
    </row>
    <row r="392" spans="1:29">
      <c r="A392">
        <f>387</f>
        <v>387</v>
      </c>
      <c r="B392">
        <v>327</v>
      </c>
      <c r="C392" t="s">
        <v>6032</v>
      </c>
      <c r="D392" t="s">
        <v>5678</v>
      </c>
      <c r="E392" t="s">
        <v>389</v>
      </c>
      <c r="F392" t="s">
        <v>5588</v>
      </c>
      <c r="G392" t="s">
        <v>5602</v>
      </c>
      <c r="H392" t="s">
        <v>5590</v>
      </c>
      <c r="I392">
        <v>3</v>
      </c>
      <c r="J392" t="s">
        <v>5595</v>
      </c>
      <c r="K392">
        <v>27.1</v>
      </c>
      <c r="L392">
        <v>321</v>
      </c>
      <c r="M392">
        <v>37.799999999999997</v>
      </c>
      <c r="N392">
        <v>256</v>
      </c>
      <c r="O392">
        <v>43.6</v>
      </c>
      <c r="P392">
        <v>360</v>
      </c>
      <c r="Q392">
        <v>27</v>
      </c>
      <c r="R392">
        <v>463</v>
      </c>
      <c r="S392">
        <v>17.5</v>
      </c>
      <c r="T392">
        <v>622</v>
      </c>
      <c r="U392">
        <v>31.1</v>
      </c>
      <c r="V392">
        <v>410</v>
      </c>
      <c r="W392">
        <v>1.9</v>
      </c>
      <c r="X392" t="s">
        <v>5613</v>
      </c>
      <c r="Y392">
        <v>18.5</v>
      </c>
      <c r="Z392">
        <v>451</v>
      </c>
      <c r="AA392">
        <v>26.6</v>
      </c>
      <c r="AB392" t="s">
        <v>6033</v>
      </c>
      <c r="AC392">
        <v>28.3</v>
      </c>
    </row>
    <row r="393" spans="1:29">
      <c r="A393">
        <f>387</f>
        <v>387</v>
      </c>
      <c r="B393" t="s">
        <v>5844</v>
      </c>
      <c r="C393" t="s">
        <v>968</v>
      </c>
      <c r="D393" t="s">
        <v>6034</v>
      </c>
      <c r="E393" t="s">
        <v>6035</v>
      </c>
      <c r="F393" t="s">
        <v>5615</v>
      </c>
      <c r="G393" t="s">
        <v>5589</v>
      </c>
      <c r="H393" t="s">
        <v>5590</v>
      </c>
      <c r="I393">
        <v>3</v>
      </c>
      <c r="J393" t="s">
        <v>5595</v>
      </c>
      <c r="K393">
        <v>21</v>
      </c>
      <c r="L393">
        <v>420</v>
      </c>
      <c r="M393">
        <v>5.5</v>
      </c>
      <c r="N393" t="s">
        <v>5737</v>
      </c>
      <c r="O393">
        <v>96.3</v>
      </c>
      <c r="P393">
        <v>54</v>
      </c>
      <c r="Q393">
        <v>8.1999999999999993</v>
      </c>
      <c r="R393" t="s">
        <v>5613</v>
      </c>
      <c r="S393">
        <v>100</v>
      </c>
      <c r="T393">
        <v>47</v>
      </c>
      <c r="U393">
        <v>65.099999999999994</v>
      </c>
      <c r="V393">
        <v>231</v>
      </c>
      <c r="W393">
        <v>2.2999999999999998</v>
      </c>
      <c r="X393" t="s">
        <v>5613</v>
      </c>
      <c r="Y393">
        <v>27.4</v>
      </c>
      <c r="Z393">
        <v>296</v>
      </c>
      <c r="AA393">
        <v>4</v>
      </c>
      <c r="AB393" t="s">
        <v>5613</v>
      </c>
      <c r="AC393">
        <v>28.3</v>
      </c>
    </row>
    <row r="394" spans="1:29">
      <c r="A394">
        <f>392</f>
        <v>392</v>
      </c>
      <c r="B394" t="s">
        <v>6036</v>
      </c>
      <c r="C394" t="s">
        <v>6037</v>
      </c>
      <c r="D394" t="s">
        <v>5624</v>
      </c>
      <c r="E394" t="s">
        <v>125</v>
      </c>
      <c r="F394" t="s">
        <v>5588</v>
      </c>
      <c r="G394" t="s">
        <v>5602</v>
      </c>
      <c r="H394" t="s">
        <v>5590</v>
      </c>
      <c r="I394">
        <v>4</v>
      </c>
      <c r="J394" t="s">
        <v>5595</v>
      </c>
      <c r="K394">
        <v>7.8</v>
      </c>
      <c r="L394" t="s">
        <v>5737</v>
      </c>
      <c r="M394">
        <v>29.4</v>
      </c>
      <c r="N394">
        <v>331</v>
      </c>
      <c r="O394">
        <v>37.1</v>
      </c>
      <c r="P394">
        <v>425</v>
      </c>
      <c r="Q394">
        <v>50.8</v>
      </c>
      <c r="R394">
        <v>258</v>
      </c>
      <c r="S394">
        <v>29.4</v>
      </c>
      <c r="T394">
        <v>492</v>
      </c>
      <c r="U394">
        <v>69.3</v>
      </c>
      <c r="V394">
        <v>213</v>
      </c>
      <c r="W394">
        <v>18.8</v>
      </c>
      <c r="X394">
        <v>553</v>
      </c>
      <c r="Y394">
        <v>12.8</v>
      </c>
      <c r="Z394">
        <v>674</v>
      </c>
      <c r="AA394">
        <v>20.5</v>
      </c>
      <c r="AB394" t="s">
        <v>6038</v>
      </c>
      <c r="AC394">
        <v>28.2</v>
      </c>
    </row>
    <row r="395" spans="1:29">
      <c r="A395">
        <f>392</f>
        <v>392</v>
      </c>
      <c r="B395" t="s">
        <v>5998</v>
      </c>
      <c r="C395" t="s">
        <v>695</v>
      </c>
      <c r="D395" t="s">
        <v>5616</v>
      </c>
      <c r="E395" t="s">
        <v>54</v>
      </c>
      <c r="F395" t="s">
        <v>5605</v>
      </c>
      <c r="G395" t="s">
        <v>5589</v>
      </c>
      <c r="H395" t="s">
        <v>5590</v>
      </c>
      <c r="I395">
        <v>3</v>
      </c>
      <c r="J395" t="s">
        <v>5595</v>
      </c>
      <c r="K395">
        <v>12.5</v>
      </c>
      <c r="L395" t="s">
        <v>5737</v>
      </c>
      <c r="M395">
        <v>4.2</v>
      </c>
      <c r="N395" t="s">
        <v>5737</v>
      </c>
      <c r="O395">
        <v>19</v>
      </c>
      <c r="P395">
        <v>694</v>
      </c>
      <c r="Q395">
        <v>95.4</v>
      </c>
      <c r="R395">
        <v>50</v>
      </c>
      <c r="S395">
        <v>10.4</v>
      </c>
      <c r="T395" t="s">
        <v>5613</v>
      </c>
      <c r="U395">
        <v>4.5</v>
      </c>
      <c r="V395" t="s">
        <v>5613</v>
      </c>
      <c r="W395">
        <v>9.6999999999999993</v>
      </c>
      <c r="X395">
        <v>674</v>
      </c>
      <c r="Y395">
        <v>21.9</v>
      </c>
      <c r="Z395">
        <v>380</v>
      </c>
      <c r="AA395">
        <v>10.199999999999999</v>
      </c>
      <c r="AB395" t="s">
        <v>6039</v>
      </c>
      <c r="AC395">
        <v>28.2</v>
      </c>
    </row>
    <row r="396" spans="1:29">
      <c r="A396">
        <f>392</f>
        <v>392</v>
      </c>
      <c r="B396" t="s">
        <v>6040</v>
      </c>
      <c r="C396" t="s">
        <v>6041</v>
      </c>
      <c r="D396" t="s">
        <v>5848</v>
      </c>
      <c r="E396" t="s">
        <v>588</v>
      </c>
      <c r="F396" t="s">
        <v>5593</v>
      </c>
      <c r="G396" t="s">
        <v>5594</v>
      </c>
      <c r="H396" t="s">
        <v>5590</v>
      </c>
      <c r="I396">
        <v>5</v>
      </c>
      <c r="J396" t="s">
        <v>5595</v>
      </c>
      <c r="K396">
        <v>25.4</v>
      </c>
      <c r="L396">
        <v>345</v>
      </c>
      <c r="M396">
        <v>27.8</v>
      </c>
      <c r="N396">
        <v>347</v>
      </c>
      <c r="O396">
        <v>43.9</v>
      </c>
      <c r="P396">
        <v>358</v>
      </c>
      <c r="Q396">
        <v>25.4</v>
      </c>
      <c r="R396">
        <v>479</v>
      </c>
      <c r="S396">
        <v>64.8</v>
      </c>
      <c r="T396">
        <v>296</v>
      </c>
      <c r="U396">
        <v>4.5999999999999996</v>
      </c>
      <c r="V396" t="s">
        <v>5613</v>
      </c>
      <c r="W396">
        <v>12.8</v>
      </c>
      <c r="X396">
        <v>628</v>
      </c>
      <c r="Y396">
        <v>30.7</v>
      </c>
      <c r="Z396">
        <v>250</v>
      </c>
      <c r="AA396">
        <v>26.1</v>
      </c>
      <c r="AB396" t="s">
        <v>6042</v>
      </c>
      <c r="AC396">
        <v>28.2</v>
      </c>
    </row>
    <row r="397" spans="1:29">
      <c r="A397">
        <f>392</f>
        <v>392</v>
      </c>
      <c r="B397" t="s">
        <v>5988</v>
      </c>
      <c r="C397" t="s">
        <v>835</v>
      </c>
      <c r="D397" t="s">
        <v>5616</v>
      </c>
      <c r="E397" t="s">
        <v>54</v>
      </c>
      <c r="F397" t="s">
        <v>5605</v>
      </c>
      <c r="G397" t="s">
        <v>5594</v>
      </c>
      <c r="H397" t="s">
        <v>5590</v>
      </c>
      <c r="I397">
        <v>4</v>
      </c>
      <c r="J397" t="s">
        <v>5595</v>
      </c>
      <c r="K397">
        <v>25.9</v>
      </c>
      <c r="L397">
        <v>340</v>
      </c>
      <c r="M397">
        <v>11.6</v>
      </c>
      <c r="N397" t="s">
        <v>5737</v>
      </c>
      <c r="O397">
        <v>20</v>
      </c>
      <c r="P397">
        <v>664</v>
      </c>
      <c r="Q397">
        <v>65.3</v>
      </c>
      <c r="R397">
        <v>170</v>
      </c>
      <c r="S397">
        <v>5.4</v>
      </c>
      <c r="T397" t="s">
        <v>5613</v>
      </c>
      <c r="U397">
        <v>3.4</v>
      </c>
      <c r="V397" t="s">
        <v>5613</v>
      </c>
      <c r="W397">
        <v>25.4</v>
      </c>
      <c r="X397">
        <v>494</v>
      </c>
      <c r="Y397">
        <v>21.5</v>
      </c>
      <c r="Z397">
        <v>387</v>
      </c>
      <c r="AA397">
        <v>17.100000000000001</v>
      </c>
      <c r="AB397" t="s">
        <v>6043</v>
      </c>
      <c r="AC397">
        <v>28.2</v>
      </c>
    </row>
    <row r="398" spans="1:29">
      <c r="A398">
        <f>396</f>
        <v>396</v>
      </c>
      <c r="B398" t="s">
        <v>6030</v>
      </c>
      <c r="C398" t="s">
        <v>6044</v>
      </c>
      <c r="D398" t="s">
        <v>5639</v>
      </c>
      <c r="E398" t="s">
        <v>99</v>
      </c>
      <c r="F398" t="s">
        <v>5593</v>
      </c>
      <c r="G398" t="s">
        <v>5594</v>
      </c>
      <c r="H398" t="s">
        <v>5590</v>
      </c>
      <c r="I398">
        <v>5</v>
      </c>
      <c r="J398" t="s">
        <v>5595</v>
      </c>
      <c r="K398">
        <v>13.6</v>
      </c>
      <c r="L398" t="s">
        <v>5737</v>
      </c>
      <c r="M398">
        <v>6.1</v>
      </c>
      <c r="N398" t="s">
        <v>5737</v>
      </c>
      <c r="O398">
        <v>1.7</v>
      </c>
      <c r="P398" t="s">
        <v>5613</v>
      </c>
      <c r="Q398">
        <v>85.7</v>
      </c>
      <c r="R398">
        <v>92</v>
      </c>
      <c r="S398">
        <v>12.1</v>
      </c>
      <c r="T398" t="s">
        <v>5613</v>
      </c>
      <c r="U398">
        <v>18.899999999999999</v>
      </c>
      <c r="V398">
        <v>561</v>
      </c>
      <c r="W398">
        <v>63.8</v>
      </c>
      <c r="X398">
        <v>221</v>
      </c>
      <c r="Y398">
        <v>9.5</v>
      </c>
      <c r="Z398" t="s">
        <v>5613</v>
      </c>
      <c r="AA398">
        <v>11.1</v>
      </c>
      <c r="AB398">
        <v>655</v>
      </c>
      <c r="AC398">
        <v>28.1</v>
      </c>
    </row>
    <row r="399" spans="1:29">
      <c r="A399">
        <f>396</f>
        <v>396</v>
      </c>
      <c r="B399">
        <v>322</v>
      </c>
      <c r="C399" t="s">
        <v>1997</v>
      </c>
      <c r="D399" t="s">
        <v>5696</v>
      </c>
      <c r="E399" t="s">
        <v>5697</v>
      </c>
      <c r="F399" t="s">
        <v>5593</v>
      </c>
      <c r="G399" t="s">
        <v>5594</v>
      </c>
      <c r="H399" t="s">
        <v>5590</v>
      </c>
      <c r="I399">
        <v>5</v>
      </c>
      <c r="J399" t="s">
        <v>5595</v>
      </c>
      <c r="K399">
        <v>22.7</v>
      </c>
      <c r="L399">
        <v>387</v>
      </c>
      <c r="M399">
        <v>7.6</v>
      </c>
      <c r="N399" t="s">
        <v>5737</v>
      </c>
      <c r="O399">
        <v>93.7</v>
      </c>
      <c r="P399">
        <v>68</v>
      </c>
      <c r="Q399">
        <v>2.8</v>
      </c>
      <c r="R399" t="s">
        <v>5613</v>
      </c>
      <c r="S399">
        <v>10.5</v>
      </c>
      <c r="T399" t="s">
        <v>5613</v>
      </c>
      <c r="U399">
        <v>96.1</v>
      </c>
      <c r="V399">
        <v>82</v>
      </c>
      <c r="W399">
        <v>61.7</v>
      </c>
      <c r="X399">
        <v>234</v>
      </c>
      <c r="Y399">
        <v>11.2</v>
      </c>
      <c r="Z399" t="s">
        <v>5613</v>
      </c>
      <c r="AA399">
        <v>24.4</v>
      </c>
      <c r="AB399" t="s">
        <v>5784</v>
      </c>
      <c r="AC399">
        <v>28.1</v>
      </c>
    </row>
    <row r="400" spans="1:29">
      <c r="A400">
        <f>396</f>
        <v>396</v>
      </c>
      <c r="B400" t="s">
        <v>5841</v>
      </c>
      <c r="C400" t="s">
        <v>6045</v>
      </c>
      <c r="D400" t="s">
        <v>5587</v>
      </c>
      <c r="E400" t="s">
        <v>29</v>
      </c>
      <c r="F400" t="s">
        <v>5593</v>
      </c>
      <c r="G400" t="s">
        <v>5594</v>
      </c>
      <c r="H400" t="s">
        <v>5590</v>
      </c>
      <c r="I400">
        <v>4</v>
      </c>
      <c r="J400" t="s">
        <v>5595</v>
      </c>
      <c r="K400">
        <v>18.899999999999999</v>
      </c>
      <c r="L400">
        <v>473</v>
      </c>
      <c r="M400">
        <v>7.6</v>
      </c>
      <c r="N400" t="s">
        <v>5737</v>
      </c>
      <c r="O400">
        <v>30.4</v>
      </c>
      <c r="P400">
        <v>517</v>
      </c>
      <c r="Q400">
        <v>31.8</v>
      </c>
      <c r="R400">
        <v>424</v>
      </c>
      <c r="S400">
        <v>45.2</v>
      </c>
      <c r="T400">
        <v>376</v>
      </c>
      <c r="U400">
        <v>51</v>
      </c>
      <c r="V400">
        <v>285</v>
      </c>
      <c r="W400">
        <v>34.4</v>
      </c>
      <c r="X400">
        <v>424</v>
      </c>
      <c r="Y400">
        <v>18.5</v>
      </c>
      <c r="Z400">
        <v>449</v>
      </c>
      <c r="AA400">
        <v>88.8</v>
      </c>
      <c r="AB400" t="s">
        <v>5832</v>
      </c>
      <c r="AC400">
        <v>28.1</v>
      </c>
    </row>
    <row r="401" spans="1:29">
      <c r="A401">
        <v>399</v>
      </c>
      <c r="B401" t="s">
        <v>5937</v>
      </c>
      <c r="C401" t="s">
        <v>1024</v>
      </c>
      <c r="D401" t="s">
        <v>5696</v>
      </c>
      <c r="E401" t="s">
        <v>5697</v>
      </c>
      <c r="F401" t="s">
        <v>5605</v>
      </c>
      <c r="G401" t="s">
        <v>5602</v>
      </c>
      <c r="H401" t="s">
        <v>5590</v>
      </c>
      <c r="I401">
        <v>3</v>
      </c>
      <c r="J401" t="s">
        <v>5595</v>
      </c>
      <c r="K401">
        <v>27.3</v>
      </c>
      <c r="L401">
        <v>318</v>
      </c>
      <c r="M401">
        <v>31.9</v>
      </c>
      <c r="N401">
        <v>308</v>
      </c>
      <c r="O401">
        <v>90.7</v>
      </c>
      <c r="P401">
        <v>82</v>
      </c>
      <c r="Q401">
        <v>1.9</v>
      </c>
      <c r="R401" t="s">
        <v>5613</v>
      </c>
      <c r="S401">
        <v>6.3</v>
      </c>
      <c r="T401" t="s">
        <v>5613</v>
      </c>
      <c r="U401">
        <v>16.100000000000001</v>
      </c>
      <c r="V401">
        <v>597</v>
      </c>
      <c r="W401">
        <v>71.099999999999994</v>
      </c>
      <c r="X401">
        <v>191</v>
      </c>
      <c r="Y401">
        <v>13.4</v>
      </c>
      <c r="Z401">
        <v>639</v>
      </c>
      <c r="AA401">
        <v>5.0999999999999996</v>
      </c>
      <c r="AB401" t="s">
        <v>5613</v>
      </c>
      <c r="AC401">
        <v>28</v>
      </c>
    </row>
    <row r="402" spans="1:29">
      <c r="A402">
        <f>400</f>
        <v>400</v>
      </c>
      <c r="B402" t="s">
        <v>6033</v>
      </c>
      <c r="C402" t="s">
        <v>886</v>
      </c>
      <c r="D402" t="s">
        <v>5587</v>
      </c>
      <c r="E402" t="s">
        <v>29</v>
      </c>
      <c r="F402" t="s">
        <v>5593</v>
      </c>
      <c r="G402" t="s">
        <v>5589</v>
      </c>
      <c r="H402" t="s">
        <v>5590</v>
      </c>
      <c r="I402">
        <v>5</v>
      </c>
      <c r="J402" t="s">
        <v>5595</v>
      </c>
      <c r="K402">
        <v>20</v>
      </c>
      <c r="L402">
        <v>440</v>
      </c>
      <c r="M402">
        <v>13.5</v>
      </c>
      <c r="N402">
        <v>597</v>
      </c>
      <c r="O402">
        <v>8.4</v>
      </c>
      <c r="P402" t="s">
        <v>5613</v>
      </c>
      <c r="Q402">
        <v>58.7</v>
      </c>
      <c r="R402">
        <v>217</v>
      </c>
      <c r="S402">
        <v>4.5999999999999996</v>
      </c>
      <c r="T402" t="s">
        <v>5613</v>
      </c>
      <c r="U402">
        <v>11.1</v>
      </c>
      <c r="V402">
        <v>690</v>
      </c>
      <c r="W402">
        <v>50.9</v>
      </c>
      <c r="X402">
        <v>307</v>
      </c>
      <c r="Y402">
        <v>27.2</v>
      </c>
      <c r="Z402">
        <v>300</v>
      </c>
      <c r="AA402">
        <v>51.8</v>
      </c>
      <c r="AB402" t="s">
        <v>6046</v>
      </c>
      <c r="AC402">
        <v>27.9</v>
      </c>
    </row>
    <row r="403" spans="1:29">
      <c r="A403">
        <f>400</f>
        <v>400</v>
      </c>
      <c r="B403" t="s">
        <v>6014</v>
      </c>
      <c r="C403" t="s">
        <v>1603</v>
      </c>
      <c r="D403" t="s">
        <v>5882</v>
      </c>
      <c r="E403" t="s">
        <v>984</v>
      </c>
      <c r="F403" t="s">
        <v>5605</v>
      </c>
      <c r="G403" t="s">
        <v>5589</v>
      </c>
      <c r="H403" t="s">
        <v>5590</v>
      </c>
      <c r="I403">
        <v>5</v>
      </c>
      <c r="J403" t="s">
        <v>5595</v>
      </c>
      <c r="K403">
        <v>23.2</v>
      </c>
      <c r="L403">
        <v>371</v>
      </c>
      <c r="M403">
        <v>32.200000000000003</v>
      </c>
      <c r="N403">
        <v>305</v>
      </c>
      <c r="O403">
        <v>10.4</v>
      </c>
      <c r="P403" t="s">
        <v>5613</v>
      </c>
      <c r="Q403">
        <v>15.2</v>
      </c>
      <c r="R403">
        <v>628</v>
      </c>
      <c r="S403">
        <v>31</v>
      </c>
      <c r="T403">
        <v>481</v>
      </c>
      <c r="U403">
        <v>68.7</v>
      </c>
      <c r="V403">
        <v>215</v>
      </c>
      <c r="W403">
        <v>56.2</v>
      </c>
      <c r="X403">
        <v>276</v>
      </c>
      <c r="Y403">
        <v>14.6</v>
      </c>
      <c r="Z403">
        <v>575</v>
      </c>
      <c r="AA403">
        <v>69.900000000000006</v>
      </c>
      <c r="AB403" t="s">
        <v>5764</v>
      </c>
      <c r="AC403">
        <v>27.9</v>
      </c>
    </row>
    <row r="404" spans="1:29">
      <c r="A404">
        <f>400</f>
        <v>400</v>
      </c>
      <c r="B404" t="s">
        <v>5985</v>
      </c>
      <c r="C404" t="s">
        <v>6047</v>
      </c>
      <c r="D404" t="s">
        <v>5889</v>
      </c>
      <c r="E404" t="s">
        <v>992</v>
      </c>
      <c r="F404" t="s">
        <v>5593</v>
      </c>
      <c r="G404" t="s">
        <v>5594</v>
      </c>
      <c r="H404" t="s">
        <v>5590</v>
      </c>
      <c r="I404">
        <v>4</v>
      </c>
      <c r="J404" t="s">
        <v>5595</v>
      </c>
      <c r="K404">
        <v>28</v>
      </c>
      <c r="L404">
        <v>313</v>
      </c>
      <c r="M404">
        <v>20.2</v>
      </c>
      <c r="N404">
        <v>452</v>
      </c>
      <c r="O404">
        <v>19.600000000000001</v>
      </c>
      <c r="P404">
        <v>679</v>
      </c>
      <c r="Q404">
        <v>24.2</v>
      </c>
      <c r="R404">
        <v>498</v>
      </c>
      <c r="S404">
        <v>24</v>
      </c>
      <c r="T404">
        <v>548</v>
      </c>
      <c r="U404">
        <v>47</v>
      </c>
      <c r="V404">
        <v>309</v>
      </c>
      <c r="W404">
        <v>63.5</v>
      </c>
      <c r="X404">
        <v>224</v>
      </c>
      <c r="Y404">
        <v>18.8</v>
      </c>
      <c r="Z404">
        <v>444</v>
      </c>
      <c r="AA404">
        <v>40.200000000000003</v>
      </c>
      <c r="AB404" t="s">
        <v>5829</v>
      </c>
      <c r="AC404">
        <v>27.9</v>
      </c>
    </row>
    <row r="405" spans="1:29">
      <c r="A405">
        <v>403</v>
      </c>
      <c r="B405" t="s">
        <v>6048</v>
      </c>
      <c r="C405" t="s">
        <v>1237</v>
      </c>
      <c r="D405" t="s">
        <v>5772</v>
      </c>
      <c r="E405" t="s">
        <v>386</v>
      </c>
      <c r="F405" t="s">
        <v>5605</v>
      </c>
      <c r="G405" t="s">
        <v>5594</v>
      </c>
      <c r="H405" t="s">
        <v>5590</v>
      </c>
      <c r="I405">
        <v>5</v>
      </c>
      <c r="J405" t="s">
        <v>5595</v>
      </c>
      <c r="K405">
        <v>44</v>
      </c>
      <c r="L405">
        <v>192</v>
      </c>
      <c r="M405">
        <v>9.8000000000000007</v>
      </c>
      <c r="N405" t="s">
        <v>5737</v>
      </c>
      <c r="O405">
        <v>5.6</v>
      </c>
      <c r="P405" t="s">
        <v>5613</v>
      </c>
      <c r="Q405">
        <v>23.3</v>
      </c>
      <c r="R405">
        <v>509</v>
      </c>
      <c r="S405">
        <v>3.4</v>
      </c>
      <c r="T405" t="s">
        <v>5613</v>
      </c>
      <c r="U405">
        <v>16.100000000000001</v>
      </c>
      <c r="V405">
        <v>598</v>
      </c>
      <c r="W405">
        <v>96.8</v>
      </c>
      <c r="X405">
        <v>34</v>
      </c>
      <c r="Y405">
        <v>5.0999999999999996</v>
      </c>
      <c r="Z405" t="s">
        <v>5613</v>
      </c>
      <c r="AA405">
        <v>36.1</v>
      </c>
      <c r="AB405" t="s">
        <v>5962</v>
      </c>
      <c r="AC405">
        <v>27.8</v>
      </c>
    </row>
    <row r="406" spans="1:29">
      <c r="A406">
        <f>404</f>
        <v>404</v>
      </c>
      <c r="B406" t="s">
        <v>6049</v>
      </c>
      <c r="C406" t="s">
        <v>1254</v>
      </c>
      <c r="D406" t="s">
        <v>5981</v>
      </c>
      <c r="E406" t="s">
        <v>895</v>
      </c>
      <c r="F406" t="s">
        <v>5593</v>
      </c>
      <c r="G406" t="s">
        <v>5602</v>
      </c>
      <c r="H406" t="s">
        <v>5590</v>
      </c>
      <c r="I406">
        <v>5</v>
      </c>
      <c r="J406" t="s">
        <v>5595</v>
      </c>
      <c r="K406">
        <v>24.2</v>
      </c>
      <c r="L406">
        <v>357</v>
      </c>
      <c r="M406">
        <v>60.4</v>
      </c>
      <c r="N406">
        <v>131</v>
      </c>
      <c r="O406">
        <v>12.1</v>
      </c>
      <c r="P406" t="s">
        <v>5613</v>
      </c>
      <c r="Q406">
        <v>13.3</v>
      </c>
      <c r="R406">
        <v>674</v>
      </c>
      <c r="S406">
        <v>7.3</v>
      </c>
      <c r="T406" t="s">
        <v>5613</v>
      </c>
      <c r="U406">
        <v>18.3</v>
      </c>
      <c r="V406">
        <v>569</v>
      </c>
      <c r="W406">
        <v>37.200000000000003</v>
      </c>
      <c r="X406">
        <v>398</v>
      </c>
      <c r="Y406">
        <v>23</v>
      </c>
      <c r="Z406">
        <v>365</v>
      </c>
      <c r="AA406">
        <v>63.1</v>
      </c>
      <c r="AB406" t="s">
        <v>5751</v>
      </c>
      <c r="AC406">
        <v>27.6</v>
      </c>
    </row>
    <row r="407" spans="1:29">
      <c r="A407">
        <f>404</f>
        <v>404</v>
      </c>
      <c r="B407">
        <v>453</v>
      </c>
      <c r="C407" t="s">
        <v>620</v>
      </c>
      <c r="D407" t="s">
        <v>5587</v>
      </c>
      <c r="E407" t="s">
        <v>29</v>
      </c>
      <c r="F407" t="s">
        <v>5593</v>
      </c>
      <c r="G407" t="s">
        <v>5594</v>
      </c>
      <c r="H407" t="s">
        <v>5590</v>
      </c>
      <c r="I407">
        <v>4</v>
      </c>
      <c r="J407" t="s">
        <v>5595</v>
      </c>
      <c r="K407">
        <v>17.5</v>
      </c>
      <c r="L407">
        <v>505</v>
      </c>
      <c r="M407">
        <v>7</v>
      </c>
      <c r="N407" t="s">
        <v>5737</v>
      </c>
      <c r="O407">
        <v>6.7</v>
      </c>
      <c r="P407" t="s">
        <v>5613</v>
      </c>
      <c r="Q407">
        <v>59.9</v>
      </c>
      <c r="R407">
        <v>207</v>
      </c>
      <c r="S407">
        <v>63</v>
      </c>
      <c r="T407">
        <v>307</v>
      </c>
      <c r="U407">
        <v>9.1</v>
      </c>
      <c r="V407" t="s">
        <v>5613</v>
      </c>
      <c r="W407">
        <v>45.1</v>
      </c>
      <c r="X407">
        <v>346</v>
      </c>
      <c r="Y407">
        <v>10</v>
      </c>
      <c r="Z407" t="s">
        <v>5613</v>
      </c>
      <c r="AA407">
        <v>46.6</v>
      </c>
      <c r="AB407" t="s">
        <v>5945</v>
      </c>
      <c r="AC407">
        <v>27.6</v>
      </c>
    </row>
    <row r="408" spans="1:29">
      <c r="A408">
        <f>404</f>
        <v>404</v>
      </c>
      <c r="B408" t="s">
        <v>5948</v>
      </c>
      <c r="C408" t="s">
        <v>3004</v>
      </c>
      <c r="D408" t="s">
        <v>6050</v>
      </c>
      <c r="E408" t="s">
        <v>2229</v>
      </c>
      <c r="F408" t="s">
        <v>5605</v>
      </c>
      <c r="G408" t="s">
        <v>5594</v>
      </c>
      <c r="H408" t="s">
        <v>5809</v>
      </c>
      <c r="I408">
        <v>5</v>
      </c>
      <c r="J408" t="s">
        <v>5595</v>
      </c>
      <c r="K408">
        <v>34.4</v>
      </c>
      <c r="L408">
        <v>250</v>
      </c>
      <c r="M408">
        <v>58.9</v>
      </c>
      <c r="N408">
        <v>136</v>
      </c>
      <c r="O408">
        <v>38</v>
      </c>
      <c r="P408">
        <v>415</v>
      </c>
      <c r="Q408">
        <v>1.9</v>
      </c>
      <c r="R408" t="s">
        <v>5613</v>
      </c>
      <c r="S408">
        <v>1.6</v>
      </c>
      <c r="T408" t="s">
        <v>5613</v>
      </c>
      <c r="U408">
        <v>1.1000000000000001</v>
      </c>
      <c r="V408" t="s">
        <v>5613</v>
      </c>
      <c r="W408">
        <v>9.3000000000000007</v>
      </c>
      <c r="X408">
        <v>685</v>
      </c>
      <c r="Y408">
        <v>35.299999999999997</v>
      </c>
      <c r="Z408">
        <v>213</v>
      </c>
      <c r="AA408">
        <v>38.700000000000003</v>
      </c>
      <c r="AB408" t="s">
        <v>6025</v>
      </c>
      <c r="AC408">
        <v>27.6</v>
      </c>
    </row>
    <row r="409" spans="1:29">
      <c r="A409">
        <f>407</f>
        <v>407</v>
      </c>
      <c r="B409" t="s">
        <v>6051</v>
      </c>
      <c r="C409" t="s">
        <v>952</v>
      </c>
      <c r="D409" t="s">
        <v>5676</v>
      </c>
      <c r="E409" t="s">
        <v>380</v>
      </c>
      <c r="F409" t="s">
        <v>5593</v>
      </c>
      <c r="G409" t="s">
        <v>5589</v>
      </c>
      <c r="H409" t="s">
        <v>5590</v>
      </c>
      <c r="I409">
        <v>2</v>
      </c>
      <c r="J409" t="s">
        <v>5595</v>
      </c>
      <c r="K409">
        <v>19.3</v>
      </c>
      <c r="L409">
        <v>464</v>
      </c>
      <c r="M409">
        <v>11.7</v>
      </c>
      <c r="N409" t="s">
        <v>5737</v>
      </c>
      <c r="O409">
        <v>10.3</v>
      </c>
      <c r="P409" t="s">
        <v>5613</v>
      </c>
      <c r="Q409">
        <v>18.5</v>
      </c>
      <c r="R409">
        <v>575</v>
      </c>
      <c r="S409">
        <v>100</v>
      </c>
      <c r="T409">
        <v>59</v>
      </c>
      <c r="U409">
        <v>99.3</v>
      </c>
      <c r="V409">
        <v>48</v>
      </c>
      <c r="W409">
        <v>12</v>
      </c>
      <c r="X409">
        <v>635</v>
      </c>
      <c r="Y409">
        <v>19.3</v>
      </c>
      <c r="Z409">
        <v>433</v>
      </c>
      <c r="AA409">
        <v>71.5</v>
      </c>
      <c r="AB409" t="s">
        <v>5775</v>
      </c>
      <c r="AC409">
        <v>27.4</v>
      </c>
    </row>
    <row r="410" spans="1:29">
      <c r="A410">
        <f>407</f>
        <v>407</v>
      </c>
      <c r="B410" t="s">
        <v>6052</v>
      </c>
      <c r="C410" t="s">
        <v>1904</v>
      </c>
      <c r="D410" t="s">
        <v>5770</v>
      </c>
      <c r="E410" t="s">
        <v>528</v>
      </c>
      <c r="F410" t="s">
        <v>5593</v>
      </c>
      <c r="G410" t="s">
        <v>5594</v>
      </c>
      <c r="H410" t="s">
        <v>5590</v>
      </c>
      <c r="I410">
        <v>5</v>
      </c>
      <c r="J410" t="s">
        <v>5595</v>
      </c>
      <c r="K410">
        <v>36.1</v>
      </c>
      <c r="L410">
        <v>240</v>
      </c>
      <c r="M410">
        <v>28.2</v>
      </c>
      <c r="N410">
        <v>344</v>
      </c>
      <c r="O410">
        <v>3.9</v>
      </c>
      <c r="P410" t="s">
        <v>5613</v>
      </c>
      <c r="Q410">
        <v>22.5</v>
      </c>
      <c r="R410">
        <v>522</v>
      </c>
      <c r="S410">
        <v>1.4</v>
      </c>
      <c r="T410" t="s">
        <v>5613</v>
      </c>
      <c r="U410">
        <v>1.7</v>
      </c>
      <c r="V410" t="s">
        <v>5613</v>
      </c>
      <c r="W410">
        <v>24.7</v>
      </c>
      <c r="X410">
        <v>502</v>
      </c>
      <c r="Y410">
        <v>91.4</v>
      </c>
      <c r="Z410">
        <v>34</v>
      </c>
      <c r="AA410">
        <v>31</v>
      </c>
      <c r="AB410" t="s">
        <v>5666</v>
      </c>
      <c r="AC410">
        <v>27.4</v>
      </c>
    </row>
    <row r="411" spans="1:29">
      <c r="A411">
        <v>409</v>
      </c>
      <c r="B411" t="s">
        <v>6040</v>
      </c>
      <c r="C411" t="s">
        <v>6053</v>
      </c>
      <c r="D411" t="s">
        <v>5587</v>
      </c>
      <c r="E411" t="s">
        <v>29</v>
      </c>
      <c r="F411" t="s">
        <v>5593</v>
      </c>
      <c r="G411" t="s">
        <v>5589</v>
      </c>
      <c r="H411" t="s">
        <v>5590</v>
      </c>
      <c r="I411">
        <v>5</v>
      </c>
      <c r="J411" t="s">
        <v>5595</v>
      </c>
      <c r="K411">
        <v>18.8</v>
      </c>
      <c r="L411">
        <v>475</v>
      </c>
      <c r="M411">
        <v>18.2</v>
      </c>
      <c r="N411">
        <v>482</v>
      </c>
      <c r="O411">
        <v>56.8</v>
      </c>
      <c r="P411">
        <v>258</v>
      </c>
      <c r="Q411">
        <v>20.3</v>
      </c>
      <c r="R411">
        <v>553</v>
      </c>
      <c r="S411">
        <v>12.3</v>
      </c>
      <c r="T411" t="s">
        <v>5613</v>
      </c>
      <c r="U411">
        <v>4.2</v>
      </c>
      <c r="V411" t="s">
        <v>5613</v>
      </c>
      <c r="W411">
        <v>54.9</v>
      </c>
      <c r="X411">
        <v>285</v>
      </c>
      <c r="Y411">
        <v>15</v>
      </c>
      <c r="Z411">
        <v>559</v>
      </c>
      <c r="AA411">
        <v>97.7</v>
      </c>
      <c r="AB411">
        <v>29</v>
      </c>
      <c r="AC411">
        <v>27.3</v>
      </c>
    </row>
    <row r="412" spans="1:29">
      <c r="A412">
        <f>410</f>
        <v>410</v>
      </c>
      <c r="B412" t="s">
        <v>6054</v>
      </c>
      <c r="C412" t="s">
        <v>6055</v>
      </c>
      <c r="D412" t="s">
        <v>5723</v>
      </c>
      <c r="E412" t="s">
        <v>1093</v>
      </c>
      <c r="F412" t="s">
        <v>5593</v>
      </c>
      <c r="G412" t="s">
        <v>5594</v>
      </c>
      <c r="H412" t="s">
        <v>5809</v>
      </c>
      <c r="I412">
        <v>5</v>
      </c>
      <c r="J412" t="s">
        <v>5595</v>
      </c>
      <c r="K412">
        <v>43.3</v>
      </c>
      <c r="L412">
        <v>197</v>
      </c>
      <c r="M412">
        <v>72.900000000000006</v>
      </c>
      <c r="N412">
        <v>92</v>
      </c>
      <c r="O412">
        <v>8.6999999999999993</v>
      </c>
      <c r="P412" t="s">
        <v>5613</v>
      </c>
      <c r="Q412">
        <v>4</v>
      </c>
      <c r="R412" t="s">
        <v>5613</v>
      </c>
      <c r="S412">
        <v>6.6</v>
      </c>
      <c r="T412" t="s">
        <v>5613</v>
      </c>
      <c r="U412">
        <v>2.2000000000000002</v>
      </c>
      <c r="V412" t="s">
        <v>5613</v>
      </c>
      <c r="W412">
        <v>7.3</v>
      </c>
      <c r="X412" t="s">
        <v>5613</v>
      </c>
      <c r="Y412">
        <v>4</v>
      </c>
      <c r="Z412" t="s">
        <v>5613</v>
      </c>
      <c r="AA412">
        <v>12.9</v>
      </c>
      <c r="AB412">
        <v>635</v>
      </c>
      <c r="AC412">
        <v>27.2</v>
      </c>
    </row>
    <row r="413" spans="1:29">
      <c r="A413">
        <f>410</f>
        <v>410</v>
      </c>
      <c r="B413" t="s">
        <v>5985</v>
      </c>
      <c r="C413" t="s">
        <v>892</v>
      </c>
      <c r="D413" t="s">
        <v>5587</v>
      </c>
      <c r="E413" t="s">
        <v>29</v>
      </c>
      <c r="F413" t="s">
        <v>5593</v>
      </c>
      <c r="G413" t="s">
        <v>5594</v>
      </c>
      <c r="H413" t="s">
        <v>5590</v>
      </c>
      <c r="I413">
        <v>5</v>
      </c>
      <c r="J413" t="s">
        <v>5595</v>
      </c>
      <c r="K413">
        <v>15.1</v>
      </c>
      <c r="L413">
        <v>577</v>
      </c>
      <c r="M413">
        <v>13.3</v>
      </c>
      <c r="N413" t="s">
        <v>5737</v>
      </c>
      <c r="O413">
        <v>83.6</v>
      </c>
      <c r="P413">
        <v>116</v>
      </c>
      <c r="Q413">
        <v>9</v>
      </c>
      <c r="R413" t="s">
        <v>5613</v>
      </c>
      <c r="S413">
        <v>72.599999999999994</v>
      </c>
      <c r="T413">
        <v>263</v>
      </c>
      <c r="U413">
        <v>7.8</v>
      </c>
      <c r="V413" t="s">
        <v>5613</v>
      </c>
      <c r="W413">
        <v>35.700000000000003</v>
      </c>
      <c r="X413">
        <v>414</v>
      </c>
      <c r="Y413">
        <v>23.5</v>
      </c>
      <c r="Z413">
        <v>359</v>
      </c>
      <c r="AA413">
        <v>71.8</v>
      </c>
      <c r="AB413" t="s">
        <v>5645</v>
      </c>
      <c r="AC413">
        <v>27.2</v>
      </c>
    </row>
    <row r="414" spans="1:29">
      <c r="A414">
        <f>410</f>
        <v>410</v>
      </c>
      <c r="B414" t="s">
        <v>6056</v>
      </c>
      <c r="C414" t="s">
        <v>6057</v>
      </c>
      <c r="D414" t="s">
        <v>5612</v>
      </c>
      <c r="E414" t="s">
        <v>116</v>
      </c>
      <c r="F414" t="s">
        <v>5588</v>
      </c>
      <c r="G414" t="s">
        <v>5589</v>
      </c>
      <c r="H414" t="s">
        <v>5590</v>
      </c>
      <c r="I414">
        <v>3</v>
      </c>
      <c r="J414" t="s">
        <v>5595</v>
      </c>
      <c r="K414">
        <v>8.5</v>
      </c>
      <c r="L414" t="s">
        <v>5737</v>
      </c>
      <c r="M414">
        <v>6.8</v>
      </c>
      <c r="N414" t="s">
        <v>5737</v>
      </c>
      <c r="O414">
        <v>4.5</v>
      </c>
      <c r="P414" t="s">
        <v>5613</v>
      </c>
      <c r="Q414">
        <v>59.6</v>
      </c>
      <c r="R414">
        <v>209</v>
      </c>
      <c r="S414">
        <v>76.099999999999994</v>
      </c>
      <c r="T414">
        <v>245</v>
      </c>
      <c r="U414">
        <v>26.3</v>
      </c>
      <c r="V414">
        <v>462</v>
      </c>
      <c r="W414">
        <v>60.6</v>
      </c>
      <c r="X414">
        <v>240</v>
      </c>
      <c r="Y414">
        <v>12</v>
      </c>
      <c r="Z414" t="s">
        <v>5613</v>
      </c>
      <c r="AA414">
        <v>51.2</v>
      </c>
      <c r="AB414" t="s">
        <v>5898</v>
      </c>
      <c r="AC414">
        <v>27.2</v>
      </c>
    </row>
    <row r="415" spans="1:29">
      <c r="A415">
        <f>413</f>
        <v>413</v>
      </c>
      <c r="B415" t="s">
        <v>5825</v>
      </c>
      <c r="C415" t="s">
        <v>1673</v>
      </c>
      <c r="D415" t="s">
        <v>5592</v>
      </c>
      <c r="E415" t="s">
        <v>26</v>
      </c>
      <c r="F415" t="s">
        <v>5593</v>
      </c>
      <c r="G415" t="s">
        <v>5589</v>
      </c>
      <c r="H415" t="s">
        <v>5809</v>
      </c>
      <c r="I415">
        <v>3</v>
      </c>
      <c r="J415" t="s">
        <v>5595</v>
      </c>
      <c r="K415">
        <v>28.9</v>
      </c>
      <c r="L415">
        <v>301</v>
      </c>
      <c r="M415">
        <v>29.7</v>
      </c>
      <c r="N415">
        <v>329</v>
      </c>
      <c r="O415">
        <v>13.8</v>
      </c>
      <c r="P415" t="s">
        <v>5613</v>
      </c>
      <c r="Q415">
        <v>8.4</v>
      </c>
      <c r="R415" t="s">
        <v>5613</v>
      </c>
      <c r="S415">
        <v>68.8</v>
      </c>
      <c r="T415">
        <v>282</v>
      </c>
      <c r="U415">
        <v>70.3</v>
      </c>
      <c r="V415">
        <v>209</v>
      </c>
      <c r="W415">
        <v>27.1</v>
      </c>
      <c r="X415">
        <v>481</v>
      </c>
      <c r="Y415">
        <v>18.399999999999999</v>
      </c>
      <c r="Z415">
        <v>454</v>
      </c>
      <c r="AA415">
        <v>34.299999999999997</v>
      </c>
      <c r="AB415" t="s">
        <v>6058</v>
      </c>
      <c r="AC415">
        <v>27.1</v>
      </c>
    </row>
    <row r="416" spans="1:29">
      <c r="A416">
        <f>413</f>
        <v>413</v>
      </c>
      <c r="B416" t="s">
        <v>6059</v>
      </c>
      <c r="C416" t="s">
        <v>6060</v>
      </c>
      <c r="D416" t="s">
        <v>5592</v>
      </c>
      <c r="E416" t="s">
        <v>26</v>
      </c>
      <c r="F416" t="s">
        <v>5588</v>
      </c>
      <c r="G416" t="s">
        <v>5589</v>
      </c>
      <c r="H416" t="s">
        <v>5590</v>
      </c>
      <c r="I416">
        <v>5</v>
      </c>
      <c r="J416" t="s">
        <v>5595</v>
      </c>
      <c r="K416">
        <v>16</v>
      </c>
      <c r="L416">
        <v>546</v>
      </c>
      <c r="M416">
        <v>5.7</v>
      </c>
      <c r="N416" t="s">
        <v>5737</v>
      </c>
      <c r="O416">
        <v>13.7</v>
      </c>
      <c r="P416" t="s">
        <v>5613</v>
      </c>
      <c r="Q416">
        <v>36.299999999999997</v>
      </c>
      <c r="R416">
        <v>384</v>
      </c>
      <c r="S416">
        <v>94.4</v>
      </c>
      <c r="T416">
        <v>155</v>
      </c>
      <c r="U416">
        <v>88.7</v>
      </c>
      <c r="V416">
        <v>125</v>
      </c>
      <c r="W416">
        <v>23.7</v>
      </c>
      <c r="X416">
        <v>511</v>
      </c>
      <c r="Y416">
        <v>11.1</v>
      </c>
      <c r="Z416" t="s">
        <v>5613</v>
      </c>
      <c r="AA416">
        <v>38.1</v>
      </c>
      <c r="AB416" t="s">
        <v>5687</v>
      </c>
      <c r="AC416">
        <v>27.1</v>
      </c>
    </row>
    <row r="417" spans="1:29">
      <c r="A417">
        <f>415</f>
        <v>415</v>
      </c>
      <c r="B417" t="s">
        <v>6061</v>
      </c>
      <c r="C417" t="s">
        <v>888</v>
      </c>
      <c r="D417" t="s">
        <v>5612</v>
      </c>
      <c r="E417" t="s">
        <v>116</v>
      </c>
      <c r="F417" t="s">
        <v>5588</v>
      </c>
      <c r="G417" t="s">
        <v>5594</v>
      </c>
      <c r="H417" t="s">
        <v>5590</v>
      </c>
      <c r="I417">
        <v>4</v>
      </c>
      <c r="J417" t="s">
        <v>5595</v>
      </c>
      <c r="K417">
        <v>15.4</v>
      </c>
      <c r="L417">
        <v>567</v>
      </c>
      <c r="M417">
        <v>8.6999999999999993</v>
      </c>
      <c r="N417" t="s">
        <v>5737</v>
      </c>
      <c r="O417">
        <v>14.1</v>
      </c>
      <c r="P417" t="s">
        <v>5613</v>
      </c>
      <c r="Q417">
        <v>51.1</v>
      </c>
      <c r="R417">
        <v>255</v>
      </c>
      <c r="S417">
        <v>42</v>
      </c>
      <c r="T417">
        <v>393</v>
      </c>
      <c r="U417">
        <v>13.5</v>
      </c>
      <c r="V417">
        <v>650</v>
      </c>
      <c r="W417">
        <v>42.5</v>
      </c>
      <c r="X417">
        <v>359</v>
      </c>
      <c r="Y417">
        <v>9</v>
      </c>
      <c r="Z417" t="s">
        <v>5613</v>
      </c>
      <c r="AA417">
        <v>83.3</v>
      </c>
      <c r="AB417">
        <v>131</v>
      </c>
      <c r="AC417">
        <v>27</v>
      </c>
    </row>
    <row r="418" spans="1:29">
      <c r="A418">
        <f>415</f>
        <v>415</v>
      </c>
      <c r="B418" t="s">
        <v>5938</v>
      </c>
      <c r="C418" t="s">
        <v>6062</v>
      </c>
      <c r="D418" t="s">
        <v>5696</v>
      </c>
      <c r="E418" t="s">
        <v>5697</v>
      </c>
      <c r="F418" t="s">
        <v>5588</v>
      </c>
      <c r="G418" t="s">
        <v>5602</v>
      </c>
      <c r="H418" t="s">
        <v>5590</v>
      </c>
      <c r="I418">
        <v>4</v>
      </c>
      <c r="J418" t="s">
        <v>5595</v>
      </c>
      <c r="K418">
        <v>19.8</v>
      </c>
      <c r="L418">
        <v>446</v>
      </c>
      <c r="M418">
        <v>19.899999999999999</v>
      </c>
      <c r="N418">
        <v>455</v>
      </c>
      <c r="O418">
        <v>96</v>
      </c>
      <c r="P418">
        <v>57</v>
      </c>
      <c r="Q418">
        <v>16</v>
      </c>
      <c r="R418">
        <v>620</v>
      </c>
      <c r="S418">
        <v>31.4</v>
      </c>
      <c r="T418">
        <v>480</v>
      </c>
      <c r="U418">
        <v>53.1</v>
      </c>
      <c r="V418">
        <v>273</v>
      </c>
      <c r="W418">
        <v>5.4</v>
      </c>
      <c r="X418" t="s">
        <v>5613</v>
      </c>
      <c r="Y418">
        <v>15.7</v>
      </c>
      <c r="Z418">
        <v>534</v>
      </c>
      <c r="AA418">
        <v>1.2</v>
      </c>
      <c r="AB418" t="s">
        <v>5613</v>
      </c>
      <c r="AC418">
        <v>27</v>
      </c>
    </row>
    <row r="419" spans="1:29">
      <c r="A419">
        <f>415</f>
        <v>415</v>
      </c>
      <c r="B419" t="s">
        <v>5841</v>
      </c>
      <c r="C419" t="s">
        <v>6063</v>
      </c>
      <c r="D419" t="s">
        <v>6015</v>
      </c>
      <c r="E419" t="s">
        <v>1483</v>
      </c>
      <c r="F419" t="s">
        <v>5588</v>
      </c>
      <c r="G419" t="s">
        <v>5589</v>
      </c>
      <c r="H419" t="s">
        <v>5809</v>
      </c>
      <c r="I419">
        <v>5</v>
      </c>
      <c r="J419" t="s">
        <v>5591</v>
      </c>
      <c r="K419">
        <v>30.3</v>
      </c>
      <c r="L419">
        <v>287</v>
      </c>
      <c r="M419">
        <v>23.8</v>
      </c>
      <c r="N419">
        <v>405</v>
      </c>
      <c r="O419">
        <v>42.8</v>
      </c>
      <c r="P419">
        <v>368</v>
      </c>
      <c r="Q419">
        <v>4.5999999999999996</v>
      </c>
      <c r="R419" t="s">
        <v>5613</v>
      </c>
      <c r="S419">
        <v>97.9</v>
      </c>
      <c r="T419">
        <v>115</v>
      </c>
      <c r="U419">
        <v>3.9</v>
      </c>
      <c r="V419" t="s">
        <v>5613</v>
      </c>
      <c r="W419">
        <v>1.4</v>
      </c>
      <c r="X419" t="s">
        <v>5613</v>
      </c>
      <c r="Y419">
        <v>63.3</v>
      </c>
      <c r="Z419">
        <v>92</v>
      </c>
      <c r="AA419">
        <v>16.3</v>
      </c>
      <c r="AB419" t="s">
        <v>5929</v>
      </c>
      <c r="AC419">
        <v>27</v>
      </c>
    </row>
    <row r="420" spans="1:29">
      <c r="A420">
        <v>418</v>
      </c>
      <c r="B420" t="s">
        <v>5918</v>
      </c>
      <c r="C420" t="s">
        <v>1358</v>
      </c>
      <c r="D420" t="s">
        <v>5696</v>
      </c>
      <c r="E420" t="s">
        <v>5697</v>
      </c>
      <c r="F420" t="s">
        <v>5588</v>
      </c>
      <c r="G420" t="s">
        <v>5589</v>
      </c>
      <c r="H420" t="s">
        <v>5590</v>
      </c>
      <c r="I420">
        <v>5</v>
      </c>
      <c r="J420" t="s">
        <v>5595</v>
      </c>
      <c r="K420">
        <v>23.1</v>
      </c>
      <c r="L420">
        <v>376</v>
      </c>
      <c r="M420">
        <v>10.9</v>
      </c>
      <c r="N420" t="s">
        <v>5737</v>
      </c>
      <c r="O420">
        <v>99.4</v>
      </c>
      <c r="P420">
        <v>32</v>
      </c>
      <c r="Q420">
        <v>5.0999999999999996</v>
      </c>
      <c r="R420" t="s">
        <v>5613</v>
      </c>
      <c r="S420">
        <v>23.7</v>
      </c>
      <c r="T420">
        <v>555</v>
      </c>
      <c r="U420">
        <v>91.5</v>
      </c>
      <c r="V420">
        <v>109</v>
      </c>
      <c r="W420">
        <v>23.4</v>
      </c>
      <c r="X420">
        <v>514</v>
      </c>
      <c r="Y420">
        <v>7.3</v>
      </c>
      <c r="Z420" t="s">
        <v>5613</v>
      </c>
      <c r="AA420">
        <v>3</v>
      </c>
      <c r="AB420" t="s">
        <v>5613</v>
      </c>
      <c r="AC420">
        <v>26.9</v>
      </c>
    </row>
    <row r="421" spans="1:29">
      <c r="A421">
        <f>419</f>
        <v>419</v>
      </c>
      <c r="B421" t="s">
        <v>6064</v>
      </c>
      <c r="C421" t="s">
        <v>6065</v>
      </c>
      <c r="D421" t="s">
        <v>5695</v>
      </c>
      <c r="E421" t="s">
        <v>577</v>
      </c>
      <c r="F421" t="s">
        <v>5605</v>
      </c>
      <c r="G421" t="s">
        <v>5594</v>
      </c>
      <c r="H421" t="s">
        <v>5590</v>
      </c>
      <c r="I421">
        <v>3</v>
      </c>
      <c r="J421" t="s">
        <v>5595</v>
      </c>
      <c r="K421">
        <v>39.299999999999997</v>
      </c>
      <c r="L421">
        <v>219</v>
      </c>
      <c r="M421">
        <v>34.6</v>
      </c>
      <c r="N421">
        <v>282</v>
      </c>
      <c r="O421">
        <v>15</v>
      </c>
      <c r="P421" t="s">
        <v>5613</v>
      </c>
      <c r="Q421">
        <v>16.2</v>
      </c>
      <c r="R421">
        <v>614</v>
      </c>
      <c r="S421">
        <v>6.2</v>
      </c>
      <c r="T421" t="s">
        <v>5613</v>
      </c>
      <c r="U421">
        <v>2.8</v>
      </c>
      <c r="V421" t="s">
        <v>5613</v>
      </c>
      <c r="W421">
        <v>34.5</v>
      </c>
      <c r="X421">
        <v>422</v>
      </c>
      <c r="Y421">
        <v>5.7</v>
      </c>
      <c r="Z421" t="s">
        <v>5613</v>
      </c>
      <c r="AA421">
        <v>53.7</v>
      </c>
      <c r="AB421">
        <v>287</v>
      </c>
      <c r="AC421">
        <v>26.8</v>
      </c>
    </row>
    <row r="422" spans="1:29">
      <c r="A422">
        <f>419</f>
        <v>419</v>
      </c>
      <c r="B422" t="s">
        <v>6020</v>
      </c>
      <c r="C422" t="s">
        <v>827</v>
      </c>
      <c r="D422" t="s">
        <v>5587</v>
      </c>
      <c r="E422" t="s">
        <v>29</v>
      </c>
      <c r="F422" t="s">
        <v>5593</v>
      </c>
      <c r="G422" t="s">
        <v>5594</v>
      </c>
      <c r="H422" t="s">
        <v>5590</v>
      </c>
      <c r="I422">
        <v>5</v>
      </c>
      <c r="J422" t="s">
        <v>5595</v>
      </c>
      <c r="K422">
        <v>24.4</v>
      </c>
      <c r="L422">
        <v>354</v>
      </c>
      <c r="M422">
        <v>17.899999999999999</v>
      </c>
      <c r="N422">
        <v>489</v>
      </c>
      <c r="O422">
        <v>16.2</v>
      </c>
      <c r="P422" t="s">
        <v>5613</v>
      </c>
      <c r="Q422">
        <v>35.4</v>
      </c>
      <c r="R422">
        <v>386</v>
      </c>
      <c r="S422">
        <v>50</v>
      </c>
      <c r="T422">
        <v>358</v>
      </c>
      <c r="U422">
        <v>5.5</v>
      </c>
      <c r="V422" t="s">
        <v>5613</v>
      </c>
      <c r="W422">
        <v>46.5</v>
      </c>
      <c r="X422">
        <v>335</v>
      </c>
      <c r="Y422">
        <v>11.1</v>
      </c>
      <c r="Z422" t="s">
        <v>5613</v>
      </c>
      <c r="AA422">
        <v>49.7</v>
      </c>
      <c r="AB422" t="s">
        <v>5859</v>
      </c>
      <c r="AC422">
        <v>26.8</v>
      </c>
    </row>
    <row r="423" spans="1:29">
      <c r="A423">
        <f>421</f>
        <v>421</v>
      </c>
      <c r="B423" t="s">
        <v>5899</v>
      </c>
      <c r="C423" t="s">
        <v>1241</v>
      </c>
      <c r="D423" t="s">
        <v>5753</v>
      </c>
      <c r="E423" t="s">
        <v>310</v>
      </c>
      <c r="F423" t="s">
        <v>5588</v>
      </c>
      <c r="G423" t="s">
        <v>5602</v>
      </c>
      <c r="H423" t="s">
        <v>5590</v>
      </c>
      <c r="I423">
        <v>5</v>
      </c>
      <c r="J423" t="s">
        <v>5595</v>
      </c>
      <c r="K423">
        <v>14.5</v>
      </c>
      <c r="L423">
        <v>595</v>
      </c>
      <c r="M423">
        <v>11</v>
      </c>
      <c r="N423" t="s">
        <v>5737</v>
      </c>
      <c r="O423">
        <v>99.5</v>
      </c>
      <c r="P423">
        <v>31</v>
      </c>
      <c r="Q423">
        <v>13.6</v>
      </c>
      <c r="R423">
        <v>664</v>
      </c>
      <c r="S423">
        <v>75</v>
      </c>
      <c r="T423">
        <v>255</v>
      </c>
      <c r="U423">
        <v>58.8</v>
      </c>
      <c r="V423">
        <v>258</v>
      </c>
      <c r="W423">
        <v>10.4</v>
      </c>
      <c r="X423">
        <v>664</v>
      </c>
      <c r="Y423">
        <v>13.6</v>
      </c>
      <c r="Z423">
        <v>629</v>
      </c>
      <c r="AA423">
        <v>4.2</v>
      </c>
      <c r="AB423" t="s">
        <v>5613</v>
      </c>
      <c r="AC423">
        <v>26.7</v>
      </c>
    </row>
    <row r="424" spans="1:29">
      <c r="A424">
        <f>421</f>
        <v>421</v>
      </c>
      <c r="B424" t="s">
        <v>5847</v>
      </c>
      <c r="C424" t="s">
        <v>1655</v>
      </c>
      <c r="D424" t="s">
        <v>5696</v>
      </c>
      <c r="E424" t="s">
        <v>5697</v>
      </c>
      <c r="F424" t="s">
        <v>5588</v>
      </c>
      <c r="G424" t="s">
        <v>5589</v>
      </c>
      <c r="H424" t="s">
        <v>5590</v>
      </c>
      <c r="I424">
        <v>4</v>
      </c>
      <c r="J424" t="s">
        <v>5595</v>
      </c>
      <c r="K424">
        <v>27.5</v>
      </c>
      <c r="L424">
        <v>317</v>
      </c>
      <c r="M424">
        <v>14.4</v>
      </c>
      <c r="N424">
        <v>572</v>
      </c>
      <c r="O424">
        <v>93.5</v>
      </c>
      <c r="P424">
        <v>69</v>
      </c>
      <c r="Q424">
        <v>12.6</v>
      </c>
      <c r="R424">
        <v>685</v>
      </c>
      <c r="S424">
        <v>6.7</v>
      </c>
      <c r="T424" t="s">
        <v>5613</v>
      </c>
      <c r="U424">
        <v>56.3</v>
      </c>
      <c r="V424">
        <v>264</v>
      </c>
      <c r="W424">
        <v>5.3</v>
      </c>
      <c r="X424" t="s">
        <v>5613</v>
      </c>
      <c r="Y424">
        <v>12.9</v>
      </c>
      <c r="Z424">
        <v>667</v>
      </c>
      <c r="AA424">
        <v>6.8</v>
      </c>
      <c r="AB424" t="s">
        <v>5613</v>
      </c>
      <c r="AC424">
        <v>26.7</v>
      </c>
    </row>
    <row r="425" spans="1:29">
      <c r="A425">
        <f>421</f>
        <v>421</v>
      </c>
      <c r="B425" t="s">
        <v>6052</v>
      </c>
      <c r="C425" t="s">
        <v>6066</v>
      </c>
      <c r="D425" t="s">
        <v>5667</v>
      </c>
      <c r="E425" t="s">
        <v>137</v>
      </c>
      <c r="F425" t="s">
        <v>5593</v>
      </c>
      <c r="G425" t="s">
        <v>5594</v>
      </c>
      <c r="H425" t="s">
        <v>5590</v>
      </c>
      <c r="I425">
        <v>5</v>
      </c>
      <c r="J425" t="s">
        <v>5595</v>
      </c>
      <c r="K425">
        <v>18.100000000000001</v>
      </c>
      <c r="L425">
        <v>495</v>
      </c>
      <c r="M425">
        <v>16.3</v>
      </c>
      <c r="N425">
        <v>524</v>
      </c>
      <c r="O425">
        <v>12.9</v>
      </c>
      <c r="P425" t="s">
        <v>5613</v>
      </c>
      <c r="Q425">
        <v>27.2</v>
      </c>
      <c r="R425">
        <v>461</v>
      </c>
      <c r="S425">
        <v>50.7</v>
      </c>
      <c r="T425">
        <v>355</v>
      </c>
      <c r="U425">
        <v>48.5</v>
      </c>
      <c r="V425">
        <v>306</v>
      </c>
      <c r="W425">
        <v>79.3</v>
      </c>
      <c r="X425">
        <v>149</v>
      </c>
      <c r="Y425">
        <v>16.2</v>
      </c>
      <c r="Z425">
        <v>516</v>
      </c>
      <c r="AA425">
        <v>47.8</v>
      </c>
      <c r="AB425" t="s">
        <v>6067</v>
      </c>
      <c r="AC425">
        <v>26.7</v>
      </c>
    </row>
    <row r="426" spans="1:29">
      <c r="A426">
        <f>421</f>
        <v>421</v>
      </c>
      <c r="B426" t="s">
        <v>6068</v>
      </c>
      <c r="C426" t="s">
        <v>6069</v>
      </c>
      <c r="D426" t="s">
        <v>5624</v>
      </c>
      <c r="E426" t="s">
        <v>125</v>
      </c>
      <c r="F426" t="s">
        <v>5605</v>
      </c>
      <c r="G426" t="s">
        <v>5594</v>
      </c>
      <c r="H426" t="s">
        <v>5590</v>
      </c>
      <c r="I426">
        <v>5</v>
      </c>
      <c r="J426" t="s">
        <v>5595</v>
      </c>
      <c r="K426">
        <v>39.6</v>
      </c>
      <c r="L426">
        <v>216</v>
      </c>
      <c r="M426">
        <v>7.9</v>
      </c>
      <c r="N426" t="s">
        <v>5737</v>
      </c>
      <c r="O426">
        <v>5.3</v>
      </c>
      <c r="P426" t="s">
        <v>5613</v>
      </c>
      <c r="Q426">
        <v>23.1</v>
      </c>
      <c r="R426">
        <v>512</v>
      </c>
      <c r="S426">
        <v>35.6</v>
      </c>
      <c r="T426">
        <v>449</v>
      </c>
      <c r="U426">
        <v>38.6</v>
      </c>
      <c r="V426">
        <v>357</v>
      </c>
      <c r="W426">
        <v>70.2</v>
      </c>
      <c r="X426">
        <v>194</v>
      </c>
      <c r="Y426">
        <v>10.9</v>
      </c>
      <c r="Z426" t="s">
        <v>5613</v>
      </c>
      <c r="AA426">
        <v>14.9</v>
      </c>
      <c r="AB426" t="s">
        <v>6070</v>
      </c>
      <c r="AC426">
        <v>26.7</v>
      </c>
    </row>
    <row r="427" spans="1:29">
      <c r="A427">
        <f>421</f>
        <v>421</v>
      </c>
      <c r="B427" t="s">
        <v>6071</v>
      </c>
      <c r="C427" t="s">
        <v>6072</v>
      </c>
      <c r="D427" t="s">
        <v>5612</v>
      </c>
      <c r="E427" t="s">
        <v>116</v>
      </c>
      <c r="F427" t="s">
        <v>5588</v>
      </c>
      <c r="G427" t="s">
        <v>5589</v>
      </c>
      <c r="H427" t="s">
        <v>5590</v>
      </c>
      <c r="I427">
        <v>3</v>
      </c>
      <c r="J427" t="s">
        <v>5595</v>
      </c>
      <c r="K427">
        <v>13.7</v>
      </c>
      <c r="L427" t="s">
        <v>5737</v>
      </c>
      <c r="M427">
        <v>7.3</v>
      </c>
      <c r="N427" t="s">
        <v>5737</v>
      </c>
      <c r="O427">
        <v>2.2999999999999998</v>
      </c>
      <c r="P427" t="s">
        <v>5613</v>
      </c>
      <c r="Q427">
        <v>51.7</v>
      </c>
      <c r="R427">
        <v>251</v>
      </c>
      <c r="S427">
        <v>87</v>
      </c>
      <c r="T427">
        <v>199</v>
      </c>
      <c r="U427">
        <v>58.9</v>
      </c>
      <c r="V427">
        <v>255</v>
      </c>
      <c r="W427">
        <v>8.9</v>
      </c>
      <c r="X427">
        <v>700</v>
      </c>
      <c r="Y427">
        <v>9.8000000000000007</v>
      </c>
      <c r="Z427" t="s">
        <v>5613</v>
      </c>
      <c r="AA427">
        <v>55.2</v>
      </c>
      <c r="AB427" t="s">
        <v>5874</v>
      </c>
      <c r="AC427">
        <v>26.7</v>
      </c>
    </row>
    <row r="428" spans="1:29">
      <c r="A428">
        <v>426</v>
      </c>
      <c r="B428" t="s">
        <v>6073</v>
      </c>
      <c r="C428" t="s">
        <v>1051</v>
      </c>
      <c r="D428" t="s">
        <v>5691</v>
      </c>
      <c r="E428" t="s">
        <v>343</v>
      </c>
      <c r="F428" t="s">
        <v>5593</v>
      </c>
      <c r="G428" t="s">
        <v>5594</v>
      </c>
      <c r="H428" t="s">
        <v>5809</v>
      </c>
      <c r="I428">
        <v>4</v>
      </c>
      <c r="J428" t="s">
        <v>5595</v>
      </c>
      <c r="K428">
        <v>17.5</v>
      </c>
      <c r="L428">
        <v>507</v>
      </c>
      <c r="M428">
        <v>29.1</v>
      </c>
      <c r="N428">
        <v>337</v>
      </c>
      <c r="O428">
        <v>14</v>
      </c>
      <c r="P428" t="s">
        <v>5613</v>
      </c>
      <c r="Q428">
        <v>21.9</v>
      </c>
      <c r="R428">
        <v>529</v>
      </c>
      <c r="S428">
        <v>88.4</v>
      </c>
      <c r="T428">
        <v>190</v>
      </c>
      <c r="U428">
        <v>28.6</v>
      </c>
      <c r="V428">
        <v>434</v>
      </c>
      <c r="W428">
        <v>34.6</v>
      </c>
      <c r="X428">
        <v>421</v>
      </c>
      <c r="Y428">
        <v>13.9</v>
      </c>
      <c r="Z428">
        <v>614</v>
      </c>
      <c r="AA428">
        <v>58.9</v>
      </c>
      <c r="AB428">
        <v>254</v>
      </c>
      <c r="AC428">
        <v>26.6</v>
      </c>
    </row>
    <row r="429" spans="1:29">
      <c r="A429">
        <v>427</v>
      </c>
      <c r="B429" t="s">
        <v>6014</v>
      </c>
      <c r="C429" t="s">
        <v>1182</v>
      </c>
      <c r="D429" t="s">
        <v>5770</v>
      </c>
      <c r="E429" t="s">
        <v>528</v>
      </c>
      <c r="F429" t="s">
        <v>5593</v>
      </c>
      <c r="G429" t="s">
        <v>5602</v>
      </c>
      <c r="H429" t="s">
        <v>5590</v>
      </c>
      <c r="I429">
        <v>3</v>
      </c>
      <c r="J429" t="s">
        <v>5595</v>
      </c>
      <c r="K429">
        <v>8.5</v>
      </c>
      <c r="L429" t="s">
        <v>5737</v>
      </c>
      <c r="M429">
        <v>8.5</v>
      </c>
      <c r="N429" t="s">
        <v>5737</v>
      </c>
      <c r="O429">
        <v>5.3</v>
      </c>
      <c r="P429" t="s">
        <v>5613</v>
      </c>
      <c r="Q429">
        <v>99.8</v>
      </c>
      <c r="R429">
        <v>12</v>
      </c>
      <c r="U429">
        <v>1.5</v>
      </c>
      <c r="V429" t="s">
        <v>5613</v>
      </c>
      <c r="W429">
        <v>33.799999999999997</v>
      </c>
      <c r="X429">
        <v>427</v>
      </c>
      <c r="Y429">
        <v>9.8000000000000007</v>
      </c>
      <c r="Z429" t="s">
        <v>5613</v>
      </c>
      <c r="AC429">
        <v>26.5</v>
      </c>
    </row>
    <row r="430" spans="1:29">
      <c r="A430">
        <v>428</v>
      </c>
      <c r="B430" t="s">
        <v>5969</v>
      </c>
      <c r="C430" t="s">
        <v>6074</v>
      </c>
      <c r="D430" t="s">
        <v>5772</v>
      </c>
      <c r="E430" t="s">
        <v>386</v>
      </c>
      <c r="F430" t="s">
        <v>5588</v>
      </c>
      <c r="G430" t="s">
        <v>5602</v>
      </c>
      <c r="H430" t="s">
        <v>5809</v>
      </c>
      <c r="I430">
        <v>2</v>
      </c>
      <c r="J430" t="s">
        <v>5926</v>
      </c>
      <c r="K430">
        <v>7</v>
      </c>
      <c r="L430" t="s">
        <v>5737</v>
      </c>
      <c r="M430">
        <v>40.9</v>
      </c>
      <c r="N430">
        <v>230</v>
      </c>
      <c r="O430">
        <v>56.2</v>
      </c>
      <c r="P430">
        <v>262</v>
      </c>
      <c r="Q430">
        <v>2.6</v>
      </c>
      <c r="R430" t="s">
        <v>5613</v>
      </c>
      <c r="S430">
        <v>94.6</v>
      </c>
      <c r="T430">
        <v>154</v>
      </c>
      <c r="U430">
        <v>100</v>
      </c>
      <c r="V430">
        <v>4</v>
      </c>
      <c r="W430">
        <v>1</v>
      </c>
      <c r="X430" t="s">
        <v>5613</v>
      </c>
      <c r="Y430">
        <v>39.4</v>
      </c>
      <c r="Z430">
        <v>183</v>
      </c>
      <c r="AA430">
        <v>6</v>
      </c>
      <c r="AB430" t="s">
        <v>5613</v>
      </c>
      <c r="AC430">
        <v>26.4</v>
      </c>
    </row>
    <row r="431" spans="1:29">
      <c r="A431">
        <f>429</f>
        <v>429</v>
      </c>
      <c r="C431" t="s">
        <v>6075</v>
      </c>
      <c r="D431" t="s">
        <v>5604</v>
      </c>
      <c r="E431" t="s">
        <v>70</v>
      </c>
      <c r="F431" t="s">
        <v>5615</v>
      </c>
      <c r="G431" t="s">
        <v>5651</v>
      </c>
      <c r="I431">
        <v>2</v>
      </c>
      <c r="K431">
        <v>7</v>
      </c>
      <c r="L431" t="s">
        <v>5737</v>
      </c>
      <c r="M431">
        <v>5.8</v>
      </c>
      <c r="N431" t="s">
        <v>5737</v>
      </c>
      <c r="O431">
        <v>99.2</v>
      </c>
      <c r="P431">
        <v>34</v>
      </c>
      <c r="Q431">
        <v>64.599999999999994</v>
      </c>
      <c r="R431">
        <v>180</v>
      </c>
      <c r="W431">
        <v>3.1</v>
      </c>
      <c r="X431" t="s">
        <v>5613</v>
      </c>
      <c r="Y431">
        <v>7.5</v>
      </c>
      <c r="Z431" t="s">
        <v>5613</v>
      </c>
      <c r="AC431">
        <v>26.3</v>
      </c>
    </row>
    <row r="432" spans="1:29">
      <c r="A432">
        <f>429</f>
        <v>429</v>
      </c>
      <c r="B432" t="s">
        <v>6036</v>
      </c>
      <c r="C432" t="s">
        <v>938</v>
      </c>
      <c r="D432" t="s">
        <v>5747</v>
      </c>
      <c r="E432" t="s">
        <v>397</v>
      </c>
      <c r="F432" t="s">
        <v>5593</v>
      </c>
      <c r="G432" t="s">
        <v>5589</v>
      </c>
      <c r="H432" t="s">
        <v>5590</v>
      </c>
      <c r="I432">
        <v>4</v>
      </c>
      <c r="J432" t="s">
        <v>5595</v>
      </c>
      <c r="K432">
        <v>24.6</v>
      </c>
      <c r="L432">
        <v>352</v>
      </c>
      <c r="M432">
        <v>8.9</v>
      </c>
      <c r="N432" t="s">
        <v>5737</v>
      </c>
      <c r="O432">
        <v>19.3</v>
      </c>
      <c r="P432">
        <v>685</v>
      </c>
      <c r="Q432">
        <v>44</v>
      </c>
      <c r="R432">
        <v>305</v>
      </c>
      <c r="S432">
        <v>26.9</v>
      </c>
      <c r="T432">
        <v>509</v>
      </c>
      <c r="U432">
        <v>6.2</v>
      </c>
      <c r="V432" t="s">
        <v>5613</v>
      </c>
      <c r="W432">
        <v>61</v>
      </c>
      <c r="X432">
        <v>238</v>
      </c>
      <c r="Y432">
        <v>9.3000000000000007</v>
      </c>
      <c r="Z432" t="s">
        <v>5613</v>
      </c>
      <c r="AA432">
        <v>34.9</v>
      </c>
      <c r="AB432" t="s">
        <v>6076</v>
      </c>
      <c r="AC432">
        <v>26.3</v>
      </c>
    </row>
    <row r="433" spans="1:29">
      <c r="A433">
        <f>431</f>
        <v>431</v>
      </c>
      <c r="B433" t="s">
        <v>6064</v>
      </c>
      <c r="C433" t="s">
        <v>6077</v>
      </c>
      <c r="D433" t="s">
        <v>5981</v>
      </c>
      <c r="E433" t="s">
        <v>895</v>
      </c>
      <c r="F433" t="s">
        <v>5588</v>
      </c>
      <c r="G433" t="s">
        <v>5594</v>
      </c>
      <c r="H433" t="s">
        <v>5809</v>
      </c>
      <c r="I433">
        <v>3</v>
      </c>
      <c r="J433" t="s">
        <v>5591</v>
      </c>
      <c r="K433">
        <v>22.4</v>
      </c>
      <c r="L433">
        <v>393</v>
      </c>
      <c r="M433">
        <v>47.3</v>
      </c>
      <c r="N433">
        <v>187</v>
      </c>
      <c r="O433">
        <v>24</v>
      </c>
      <c r="P433">
        <v>591</v>
      </c>
      <c r="Q433">
        <v>28.6</v>
      </c>
      <c r="R433">
        <v>448</v>
      </c>
      <c r="S433">
        <v>27.3</v>
      </c>
      <c r="T433">
        <v>504</v>
      </c>
      <c r="U433">
        <v>11.2</v>
      </c>
      <c r="V433">
        <v>687</v>
      </c>
      <c r="W433">
        <v>6.4</v>
      </c>
      <c r="X433" t="s">
        <v>5613</v>
      </c>
      <c r="Y433">
        <v>11</v>
      </c>
      <c r="Z433" t="s">
        <v>5613</v>
      </c>
      <c r="AA433">
        <v>29.9</v>
      </c>
      <c r="AB433" t="s">
        <v>6078</v>
      </c>
      <c r="AC433">
        <v>26.2</v>
      </c>
    </row>
    <row r="434" spans="1:29">
      <c r="A434">
        <f>431</f>
        <v>431</v>
      </c>
      <c r="B434" t="s">
        <v>6079</v>
      </c>
      <c r="C434" t="s">
        <v>908</v>
      </c>
      <c r="D434" t="s">
        <v>5612</v>
      </c>
      <c r="E434" t="s">
        <v>116</v>
      </c>
      <c r="F434" t="s">
        <v>5588</v>
      </c>
      <c r="G434" t="s">
        <v>5589</v>
      </c>
      <c r="H434" t="s">
        <v>5590</v>
      </c>
      <c r="I434">
        <v>3</v>
      </c>
      <c r="J434" t="s">
        <v>5595</v>
      </c>
      <c r="K434">
        <v>7.3</v>
      </c>
      <c r="L434" t="s">
        <v>5737</v>
      </c>
      <c r="M434">
        <v>5.3</v>
      </c>
      <c r="N434" t="s">
        <v>5737</v>
      </c>
      <c r="O434">
        <v>5.4</v>
      </c>
      <c r="P434" t="s">
        <v>5613</v>
      </c>
      <c r="Q434">
        <v>53.1</v>
      </c>
      <c r="R434">
        <v>242</v>
      </c>
      <c r="S434">
        <v>86.3</v>
      </c>
      <c r="T434">
        <v>200</v>
      </c>
      <c r="U434">
        <v>76.599999999999994</v>
      </c>
      <c r="V434">
        <v>178</v>
      </c>
      <c r="W434">
        <v>40.1</v>
      </c>
      <c r="X434">
        <v>378</v>
      </c>
      <c r="Y434">
        <v>14.2</v>
      </c>
      <c r="Z434">
        <v>593</v>
      </c>
      <c r="AA434">
        <v>23.7</v>
      </c>
      <c r="AB434" t="s">
        <v>5984</v>
      </c>
      <c r="AC434">
        <v>26.2</v>
      </c>
    </row>
    <row r="435" spans="1:29">
      <c r="A435">
        <f>431</f>
        <v>431</v>
      </c>
      <c r="B435" t="s">
        <v>6080</v>
      </c>
      <c r="C435" t="s">
        <v>2066</v>
      </c>
      <c r="D435" t="s">
        <v>5678</v>
      </c>
      <c r="E435" t="s">
        <v>389</v>
      </c>
      <c r="F435" t="s">
        <v>5588</v>
      </c>
      <c r="G435" t="s">
        <v>5602</v>
      </c>
      <c r="H435" t="s">
        <v>5590</v>
      </c>
      <c r="I435">
        <v>3</v>
      </c>
      <c r="J435" t="s">
        <v>5595</v>
      </c>
      <c r="K435">
        <v>15</v>
      </c>
      <c r="L435">
        <v>584</v>
      </c>
      <c r="M435">
        <v>57.7</v>
      </c>
      <c r="N435">
        <v>144</v>
      </c>
      <c r="O435">
        <v>27</v>
      </c>
      <c r="P435">
        <v>560</v>
      </c>
      <c r="Q435">
        <v>34.299999999999997</v>
      </c>
      <c r="R435">
        <v>398</v>
      </c>
      <c r="S435">
        <v>21.1</v>
      </c>
      <c r="T435">
        <v>582</v>
      </c>
      <c r="U435">
        <v>18.2</v>
      </c>
      <c r="V435">
        <v>571</v>
      </c>
      <c r="W435">
        <v>1.3</v>
      </c>
      <c r="X435" t="s">
        <v>5613</v>
      </c>
      <c r="Y435">
        <v>17.3</v>
      </c>
      <c r="Z435">
        <v>485</v>
      </c>
      <c r="AA435">
        <v>12.6</v>
      </c>
      <c r="AB435">
        <v>638</v>
      </c>
      <c r="AC435">
        <v>26.2</v>
      </c>
    </row>
    <row r="436" spans="1:29">
      <c r="A436">
        <f>431</f>
        <v>431</v>
      </c>
      <c r="B436">
        <v>332</v>
      </c>
      <c r="C436" t="s">
        <v>1300</v>
      </c>
      <c r="D436" t="s">
        <v>5678</v>
      </c>
      <c r="E436" t="s">
        <v>389</v>
      </c>
      <c r="F436" t="s">
        <v>5588</v>
      </c>
      <c r="G436" t="s">
        <v>5589</v>
      </c>
      <c r="H436" t="s">
        <v>5590</v>
      </c>
      <c r="I436">
        <v>4</v>
      </c>
      <c r="J436" t="s">
        <v>5595</v>
      </c>
      <c r="K436">
        <v>34.5</v>
      </c>
      <c r="L436">
        <v>248</v>
      </c>
      <c r="M436">
        <v>20.8</v>
      </c>
      <c r="N436">
        <v>448</v>
      </c>
      <c r="O436">
        <v>65.400000000000006</v>
      </c>
      <c r="P436">
        <v>209</v>
      </c>
      <c r="Q436">
        <v>5.9</v>
      </c>
      <c r="R436" t="s">
        <v>5613</v>
      </c>
      <c r="S436">
        <v>14.5</v>
      </c>
      <c r="T436">
        <v>674</v>
      </c>
      <c r="U436">
        <v>26.7</v>
      </c>
      <c r="V436">
        <v>452</v>
      </c>
      <c r="W436">
        <v>1.5</v>
      </c>
      <c r="X436" t="s">
        <v>5613</v>
      </c>
      <c r="Y436">
        <v>14.7</v>
      </c>
      <c r="Z436">
        <v>571</v>
      </c>
      <c r="AA436">
        <v>43.2</v>
      </c>
      <c r="AB436">
        <v>344</v>
      </c>
      <c r="AC436">
        <v>26.2</v>
      </c>
    </row>
    <row r="437" spans="1:29">
      <c r="A437">
        <f>431</f>
        <v>431</v>
      </c>
      <c r="B437" t="s">
        <v>5980</v>
      </c>
      <c r="C437" t="s">
        <v>1120</v>
      </c>
      <c r="D437" t="s">
        <v>5592</v>
      </c>
      <c r="E437" t="s">
        <v>26</v>
      </c>
      <c r="F437" t="s">
        <v>5588</v>
      </c>
      <c r="G437" t="s">
        <v>5589</v>
      </c>
      <c r="H437" t="s">
        <v>5590</v>
      </c>
      <c r="I437">
        <v>4</v>
      </c>
      <c r="J437" t="s">
        <v>5595</v>
      </c>
      <c r="K437">
        <v>11.5</v>
      </c>
      <c r="L437" t="s">
        <v>5737</v>
      </c>
      <c r="M437">
        <v>10.199999999999999</v>
      </c>
      <c r="N437" t="s">
        <v>5737</v>
      </c>
      <c r="O437">
        <v>10.5</v>
      </c>
      <c r="P437" t="s">
        <v>5613</v>
      </c>
      <c r="Q437">
        <v>34.700000000000003</v>
      </c>
      <c r="R437">
        <v>391</v>
      </c>
      <c r="S437">
        <v>71.900000000000006</v>
      </c>
      <c r="T437">
        <v>266</v>
      </c>
      <c r="U437">
        <v>83.5</v>
      </c>
      <c r="V437">
        <v>149</v>
      </c>
      <c r="W437">
        <v>14.4</v>
      </c>
      <c r="X437">
        <v>607</v>
      </c>
      <c r="Y437">
        <v>14.8</v>
      </c>
      <c r="Z437">
        <v>566</v>
      </c>
      <c r="AA437">
        <v>79.8</v>
      </c>
      <c r="AB437" t="s">
        <v>5883</v>
      </c>
      <c r="AC437">
        <v>26.2</v>
      </c>
    </row>
    <row r="438" spans="1:29">
      <c r="A438">
        <f>436</f>
        <v>436</v>
      </c>
      <c r="B438" t="s">
        <v>5766</v>
      </c>
      <c r="C438" t="s">
        <v>1002</v>
      </c>
      <c r="D438" t="s">
        <v>5691</v>
      </c>
      <c r="E438" t="s">
        <v>343</v>
      </c>
      <c r="F438" t="s">
        <v>5593</v>
      </c>
      <c r="G438" t="s">
        <v>5594</v>
      </c>
      <c r="H438" t="s">
        <v>5809</v>
      </c>
      <c r="I438">
        <v>3</v>
      </c>
      <c r="J438" t="s">
        <v>5595</v>
      </c>
      <c r="K438">
        <v>19.7</v>
      </c>
      <c r="L438">
        <v>452</v>
      </c>
      <c r="M438">
        <v>27</v>
      </c>
      <c r="N438">
        <v>360</v>
      </c>
      <c r="O438">
        <v>25.6</v>
      </c>
      <c r="P438">
        <v>575</v>
      </c>
      <c r="Q438">
        <v>12.4</v>
      </c>
      <c r="R438">
        <v>690</v>
      </c>
      <c r="S438">
        <v>76</v>
      </c>
      <c r="T438">
        <v>248</v>
      </c>
      <c r="U438">
        <v>19.3</v>
      </c>
      <c r="V438">
        <v>557</v>
      </c>
      <c r="W438">
        <v>19.3</v>
      </c>
      <c r="X438">
        <v>548</v>
      </c>
      <c r="Y438">
        <v>24.8</v>
      </c>
      <c r="Z438">
        <v>334</v>
      </c>
      <c r="AA438">
        <v>81.7</v>
      </c>
      <c r="AB438" t="s">
        <v>5608</v>
      </c>
      <c r="AC438">
        <v>26</v>
      </c>
    </row>
    <row r="439" spans="1:29">
      <c r="A439">
        <f>436</f>
        <v>436</v>
      </c>
      <c r="B439" t="s">
        <v>6014</v>
      </c>
      <c r="C439" t="s">
        <v>6081</v>
      </c>
      <c r="D439" t="s">
        <v>5644</v>
      </c>
      <c r="E439" t="s">
        <v>181</v>
      </c>
      <c r="F439" t="s">
        <v>5593</v>
      </c>
      <c r="G439" t="s">
        <v>5589</v>
      </c>
      <c r="H439" t="s">
        <v>5590</v>
      </c>
      <c r="I439">
        <v>3</v>
      </c>
      <c r="J439" t="s">
        <v>5591</v>
      </c>
      <c r="K439">
        <v>13.8</v>
      </c>
      <c r="L439" t="s">
        <v>5737</v>
      </c>
      <c r="M439">
        <v>17.3</v>
      </c>
      <c r="N439">
        <v>504</v>
      </c>
      <c r="O439">
        <v>14.7</v>
      </c>
      <c r="P439" t="s">
        <v>5613</v>
      </c>
      <c r="Q439">
        <v>65.5</v>
      </c>
      <c r="R439">
        <v>169</v>
      </c>
      <c r="S439">
        <v>24.6</v>
      </c>
      <c r="T439">
        <v>542</v>
      </c>
      <c r="U439">
        <v>26.7</v>
      </c>
      <c r="V439">
        <v>451</v>
      </c>
      <c r="W439">
        <v>29.2</v>
      </c>
      <c r="X439">
        <v>462</v>
      </c>
      <c r="Y439">
        <v>5.7</v>
      </c>
      <c r="Z439" t="s">
        <v>5613</v>
      </c>
      <c r="AA439">
        <v>8.6999999999999993</v>
      </c>
      <c r="AB439" t="s">
        <v>6082</v>
      </c>
      <c r="AC439">
        <v>26</v>
      </c>
    </row>
    <row r="440" spans="1:29">
      <c r="A440">
        <f>436</f>
        <v>436</v>
      </c>
      <c r="B440">
        <v>415</v>
      </c>
      <c r="C440" t="s">
        <v>810</v>
      </c>
      <c r="D440" t="s">
        <v>5732</v>
      </c>
      <c r="E440" t="s">
        <v>313</v>
      </c>
      <c r="F440" t="s">
        <v>5593</v>
      </c>
      <c r="G440" t="s">
        <v>5594</v>
      </c>
      <c r="H440" t="s">
        <v>5590</v>
      </c>
      <c r="I440">
        <v>1</v>
      </c>
      <c r="J440" t="s">
        <v>5595</v>
      </c>
      <c r="K440">
        <v>22.5</v>
      </c>
      <c r="L440">
        <v>391</v>
      </c>
      <c r="M440">
        <v>19.5</v>
      </c>
      <c r="N440">
        <v>463</v>
      </c>
      <c r="O440">
        <v>23.9</v>
      </c>
      <c r="P440">
        <v>595</v>
      </c>
      <c r="Q440">
        <v>31.8</v>
      </c>
      <c r="R440">
        <v>422</v>
      </c>
      <c r="S440">
        <v>32</v>
      </c>
      <c r="T440">
        <v>473</v>
      </c>
      <c r="U440">
        <v>6.4</v>
      </c>
      <c r="V440" t="s">
        <v>5613</v>
      </c>
      <c r="W440">
        <v>56.4</v>
      </c>
      <c r="X440">
        <v>275</v>
      </c>
      <c r="Y440">
        <v>20.6</v>
      </c>
      <c r="Z440">
        <v>406</v>
      </c>
      <c r="AA440">
        <v>37.200000000000003</v>
      </c>
      <c r="AB440">
        <v>387</v>
      </c>
      <c r="AC440">
        <v>26</v>
      </c>
    </row>
    <row r="441" spans="1:29">
      <c r="A441">
        <f>436</f>
        <v>436</v>
      </c>
      <c r="B441" t="s">
        <v>5904</v>
      </c>
      <c r="C441" t="s">
        <v>6083</v>
      </c>
      <c r="D441" t="s">
        <v>5616</v>
      </c>
      <c r="E441" t="s">
        <v>54</v>
      </c>
      <c r="F441" t="s">
        <v>5593</v>
      </c>
      <c r="G441" t="s">
        <v>5589</v>
      </c>
      <c r="H441" t="s">
        <v>5590</v>
      </c>
      <c r="I441">
        <v>3</v>
      </c>
      <c r="J441" t="s">
        <v>5595</v>
      </c>
      <c r="K441">
        <v>12.6</v>
      </c>
      <c r="L441" t="s">
        <v>5737</v>
      </c>
      <c r="M441">
        <v>3</v>
      </c>
      <c r="N441" t="s">
        <v>5737</v>
      </c>
      <c r="O441">
        <v>10.7</v>
      </c>
      <c r="P441" t="s">
        <v>5613</v>
      </c>
      <c r="Q441">
        <v>97.3</v>
      </c>
      <c r="R441">
        <v>39</v>
      </c>
      <c r="S441">
        <v>3.3</v>
      </c>
      <c r="T441" t="s">
        <v>5613</v>
      </c>
      <c r="U441">
        <v>3</v>
      </c>
      <c r="V441" t="s">
        <v>5613</v>
      </c>
      <c r="W441">
        <v>9.1999999999999993</v>
      </c>
      <c r="X441">
        <v>691</v>
      </c>
      <c r="Y441">
        <v>6.2</v>
      </c>
      <c r="Z441" t="s">
        <v>5613</v>
      </c>
      <c r="AA441">
        <v>3.3</v>
      </c>
      <c r="AB441" t="s">
        <v>5613</v>
      </c>
      <c r="AC441">
        <v>26</v>
      </c>
    </row>
    <row r="442" spans="1:29">
      <c r="A442">
        <f>436</f>
        <v>436</v>
      </c>
      <c r="B442" t="s">
        <v>5980</v>
      </c>
      <c r="C442" t="s">
        <v>6084</v>
      </c>
      <c r="D442" t="s">
        <v>5601</v>
      </c>
      <c r="E442" t="s">
        <v>50</v>
      </c>
      <c r="F442" t="s">
        <v>5588</v>
      </c>
      <c r="G442" t="s">
        <v>5651</v>
      </c>
      <c r="I442">
        <v>5</v>
      </c>
      <c r="J442" t="s">
        <v>5595</v>
      </c>
      <c r="K442">
        <v>9</v>
      </c>
      <c r="L442" t="s">
        <v>5737</v>
      </c>
      <c r="M442">
        <v>27.6</v>
      </c>
      <c r="N442">
        <v>350</v>
      </c>
      <c r="O442">
        <v>6.2</v>
      </c>
      <c r="P442" t="s">
        <v>5613</v>
      </c>
      <c r="Q442">
        <v>22.8</v>
      </c>
      <c r="R442">
        <v>515</v>
      </c>
      <c r="S442">
        <v>100</v>
      </c>
      <c r="T442">
        <v>52</v>
      </c>
      <c r="U442">
        <v>83.1</v>
      </c>
      <c r="V442">
        <v>150</v>
      </c>
      <c r="W442">
        <v>1</v>
      </c>
      <c r="X442" t="s">
        <v>5613</v>
      </c>
      <c r="Y442">
        <v>94.8</v>
      </c>
      <c r="Z442">
        <v>26</v>
      </c>
      <c r="AA442">
        <v>1.6</v>
      </c>
      <c r="AB442" t="s">
        <v>5613</v>
      </c>
      <c r="AC442">
        <v>26</v>
      </c>
    </row>
    <row r="443" spans="1:29">
      <c r="A443">
        <v>440</v>
      </c>
      <c r="B443" t="s">
        <v>6085</v>
      </c>
      <c r="C443" t="s">
        <v>6086</v>
      </c>
      <c r="D443" t="s">
        <v>5639</v>
      </c>
      <c r="E443" t="s">
        <v>99</v>
      </c>
      <c r="F443" t="s">
        <v>5593</v>
      </c>
      <c r="G443" t="s">
        <v>5594</v>
      </c>
      <c r="H443" t="s">
        <v>5590</v>
      </c>
      <c r="I443">
        <v>5</v>
      </c>
      <c r="J443" t="s">
        <v>5595</v>
      </c>
      <c r="K443">
        <v>17.399999999999999</v>
      </c>
      <c r="L443">
        <v>511</v>
      </c>
      <c r="M443">
        <v>6</v>
      </c>
      <c r="N443" t="s">
        <v>5737</v>
      </c>
      <c r="O443">
        <v>4.9000000000000004</v>
      </c>
      <c r="P443" t="s">
        <v>5613</v>
      </c>
      <c r="Q443">
        <v>68</v>
      </c>
      <c r="R443">
        <v>154</v>
      </c>
      <c r="S443">
        <v>35.5</v>
      </c>
      <c r="T443">
        <v>449</v>
      </c>
      <c r="U443">
        <v>16.399999999999999</v>
      </c>
      <c r="V443">
        <v>591</v>
      </c>
      <c r="W443">
        <v>41.9</v>
      </c>
      <c r="X443">
        <v>363</v>
      </c>
      <c r="Y443">
        <v>9.5</v>
      </c>
      <c r="Z443" t="s">
        <v>5613</v>
      </c>
      <c r="AA443">
        <v>11.7</v>
      </c>
      <c r="AB443" t="s">
        <v>6087</v>
      </c>
      <c r="AC443">
        <v>25.9</v>
      </c>
    </row>
    <row r="444" spans="1:29">
      <c r="A444">
        <f>441</f>
        <v>441</v>
      </c>
      <c r="B444">
        <v>354</v>
      </c>
      <c r="C444" t="s">
        <v>6088</v>
      </c>
      <c r="D444" t="s">
        <v>5592</v>
      </c>
      <c r="E444" t="s">
        <v>26</v>
      </c>
      <c r="F444" t="s">
        <v>5593</v>
      </c>
      <c r="G444" t="s">
        <v>5594</v>
      </c>
      <c r="H444" t="s">
        <v>5809</v>
      </c>
      <c r="I444">
        <v>4</v>
      </c>
      <c r="J444" t="s">
        <v>5595</v>
      </c>
      <c r="K444">
        <v>18.3</v>
      </c>
      <c r="L444">
        <v>488</v>
      </c>
      <c r="M444">
        <v>13.6</v>
      </c>
      <c r="N444">
        <v>595</v>
      </c>
      <c r="O444">
        <v>37.5</v>
      </c>
      <c r="P444">
        <v>418</v>
      </c>
      <c r="Q444">
        <v>14.2</v>
      </c>
      <c r="R444">
        <v>654</v>
      </c>
      <c r="S444">
        <v>96</v>
      </c>
      <c r="T444">
        <v>142</v>
      </c>
      <c r="U444">
        <v>79.900000000000006</v>
      </c>
      <c r="V444">
        <v>162</v>
      </c>
      <c r="W444">
        <v>27.4</v>
      </c>
      <c r="X444">
        <v>475</v>
      </c>
      <c r="Y444">
        <v>10.5</v>
      </c>
      <c r="Z444" t="s">
        <v>5613</v>
      </c>
      <c r="AA444">
        <v>21.8</v>
      </c>
      <c r="AB444" t="s">
        <v>5920</v>
      </c>
      <c r="AC444">
        <v>25.9</v>
      </c>
    </row>
    <row r="445" spans="1:29">
      <c r="A445">
        <f>441</f>
        <v>441</v>
      </c>
      <c r="B445">
        <v>433</v>
      </c>
      <c r="C445" t="s">
        <v>6089</v>
      </c>
      <c r="D445" t="s">
        <v>5620</v>
      </c>
      <c r="E445" t="s">
        <v>76</v>
      </c>
      <c r="F445" t="s">
        <v>5593</v>
      </c>
      <c r="G445" t="s">
        <v>5594</v>
      </c>
      <c r="H445" t="s">
        <v>5590</v>
      </c>
      <c r="I445">
        <v>5</v>
      </c>
      <c r="J445" t="s">
        <v>5595</v>
      </c>
      <c r="K445">
        <v>19.899999999999999</v>
      </c>
      <c r="L445">
        <v>443</v>
      </c>
      <c r="M445">
        <v>11</v>
      </c>
      <c r="N445" t="s">
        <v>5737</v>
      </c>
      <c r="O445">
        <v>25.6</v>
      </c>
      <c r="P445">
        <v>577</v>
      </c>
      <c r="Q445">
        <v>25.1</v>
      </c>
      <c r="R445">
        <v>484</v>
      </c>
      <c r="S445">
        <v>67.400000000000006</v>
      </c>
      <c r="T445">
        <v>290</v>
      </c>
      <c r="U445">
        <v>36.299999999999997</v>
      </c>
      <c r="V445">
        <v>372</v>
      </c>
      <c r="W445">
        <v>55.4</v>
      </c>
      <c r="X445">
        <v>280</v>
      </c>
      <c r="Y445">
        <v>24.4</v>
      </c>
      <c r="Z445">
        <v>343</v>
      </c>
      <c r="AA445">
        <v>31</v>
      </c>
      <c r="AB445" t="s">
        <v>5666</v>
      </c>
      <c r="AC445">
        <v>25.9</v>
      </c>
    </row>
    <row r="446" spans="1:29">
      <c r="A446">
        <f>441</f>
        <v>441</v>
      </c>
      <c r="B446" t="s">
        <v>5958</v>
      </c>
      <c r="C446" t="s">
        <v>596</v>
      </c>
      <c r="D446" t="s">
        <v>5587</v>
      </c>
      <c r="E446" t="s">
        <v>29</v>
      </c>
      <c r="F446" t="s">
        <v>5593</v>
      </c>
      <c r="G446" t="s">
        <v>5594</v>
      </c>
      <c r="H446" t="s">
        <v>5590</v>
      </c>
      <c r="I446">
        <v>5</v>
      </c>
      <c r="J446" t="s">
        <v>5595</v>
      </c>
      <c r="K446">
        <v>15.9</v>
      </c>
      <c r="L446">
        <v>548</v>
      </c>
      <c r="M446">
        <v>6</v>
      </c>
      <c r="N446" t="s">
        <v>5737</v>
      </c>
      <c r="O446">
        <v>53</v>
      </c>
      <c r="P446">
        <v>295</v>
      </c>
      <c r="Q446">
        <v>36.5</v>
      </c>
      <c r="R446">
        <v>383</v>
      </c>
      <c r="S446">
        <v>25.3</v>
      </c>
      <c r="T446">
        <v>530</v>
      </c>
      <c r="U446">
        <v>10.1</v>
      </c>
      <c r="V446" t="s">
        <v>5613</v>
      </c>
      <c r="W446">
        <v>54.4</v>
      </c>
      <c r="X446">
        <v>289</v>
      </c>
      <c r="Y446">
        <v>14.9</v>
      </c>
      <c r="Z446">
        <v>560</v>
      </c>
      <c r="AA446">
        <v>49</v>
      </c>
      <c r="AB446">
        <v>315</v>
      </c>
      <c r="AC446">
        <v>25.9</v>
      </c>
    </row>
    <row r="447" spans="1:29">
      <c r="A447">
        <f>444</f>
        <v>444</v>
      </c>
      <c r="B447" t="s">
        <v>6049</v>
      </c>
      <c r="C447" t="s">
        <v>1298</v>
      </c>
      <c r="D447" t="s">
        <v>5989</v>
      </c>
      <c r="E447" t="s">
        <v>1220</v>
      </c>
      <c r="F447" t="s">
        <v>5605</v>
      </c>
      <c r="G447" t="s">
        <v>5594</v>
      </c>
      <c r="H447" t="s">
        <v>5590</v>
      </c>
      <c r="I447">
        <v>5</v>
      </c>
      <c r="J447" t="s">
        <v>5595</v>
      </c>
      <c r="K447">
        <v>26.3</v>
      </c>
      <c r="L447">
        <v>336</v>
      </c>
      <c r="M447">
        <v>31.6</v>
      </c>
      <c r="N447">
        <v>312</v>
      </c>
      <c r="O447">
        <v>2</v>
      </c>
      <c r="P447" t="s">
        <v>5613</v>
      </c>
      <c r="Q447">
        <v>29.1</v>
      </c>
      <c r="R447">
        <v>441</v>
      </c>
      <c r="S447">
        <v>9.9</v>
      </c>
      <c r="T447" t="s">
        <v>5613</v>
      </c>
      <c r="U447">
        <v>16.2</v>
      </c>
      <c r="V447">
        <v>595</v>
      </c>
      <c r="W447">
        <v>72.8</v>
      </c>
      <c r="X447">
        <v>182</v>
      </c>
      <c r="Y447">
        <v>28.9</v>
      </c>
      <c r="Z447">
        <v>276</v>
      </c>
      <c r="AA447">
        <v>16.100000000000001</v>
      </c>
      <c r="AB447" t="s">
        <v>6090</v>
      </c>
      <c r="AC447">
        <v>25.8</v>
      </c>
    </row>
    <row r="448" spans="1:29">
      <c r="A448">
        <f>444</f>
        <v>444</v>
      </c>
      <c r="B448" t="s">
        <v>6091</v>
      </c>
      <c r="C448" t="s">
        <v>861</v>
      </c>
      <c r="D448" t="s">
        <v>5587</v>
      </c>
      <c r="E448" t="s">
        <v>29</v>
      </c>
      <c r="F448" t="s">
        <v>5593</v>
      </c>
      <c r="G448" t="s">
        <v>5594</v>
      </c>
      <c r="H448" t="s">
        <v>5590</v>
      </c>
      <c r="I448">
        <v>5</v>
      </c>
      <c r="J448" t="s">
        <v>5595</v>
      </c>
      <c r="K448">
        <v>15.1</v>
      </c>
      <c r="L448">
        <v>576</v>
      </c>
      <c r="M448">
        <v>6.9</v>
      </c>
      <c r="N448" t="s">
        <v>5737</v>
      </c>
      <c r="O448">
        <v>14.5</v>
      </c>
      <c r="P448" t="s">
        <v>5613</v>
      </c>
      <c r="Q448">
        <v>41.6</v>
      </c>
      <c r="R448">
        <v>327</v>
      </c>
      <c r="S448">
        <v>47</v>
      </c>
      <c r="T448">
        <v>368</v>
      </c>
      <c r="U448">
        <v>19</v>
      </c>
      <c r="V448">
        <v>560</v>
      </c>
      <c r="W448">
        <v>61.4</v>
      </c>
      <c r="X448">
        <v>237</v>
      </c>
      <c r="Y448">
        <v>21.7</v>
      </c>
      <c r="Z448">
        <v>383</v>
      </c>
      <c r="AA448">
        <v>61.9</v>
      </c>
      <c r="AB448" t="s">
        <v>5852</v>
      </c>
      <c r="AC448">
        <v>25.8</v>
      </c>
    </row>
    <row r="449" spans="1:29">
      <c r="A449">
        <f>446</f>
        <v>446</v>
      </c>
      <c r="B449" t="s">
        <v>6079</v>
      </c>
      <c r="C449" t="s">
        <v>950</v>
      </c>
      <c r="D449" t="s">
        <v>5592</v>
      </c>
      <c r="E449" t="s">
        <v>26</v>
      </c>
      <c r="F449" t="s">
        <v>5593</v>
      </c>
      <c r="G449" t="s">
        <v>5589</v>
      </c>
      <c r="H449" t="s">
        <v>5590</v>
      </c>
      <c r="I449">
        <v>4</v>
      </c>
      <c r="J449" t="s">
        <v>5595</v>
      </c>
      <c r="K449">
        <v>12.9</v>
      </c>
      <c r="L449" t="s">
        <v>5737</v>
      </c>
      <c r="M449">
        <v>22.8</v>
      </c>
      <c r="N449">
        <v>416</v>
      </c>
      <c r="O449">
        <v>10</v>
      </c>
      <c r="P449" t="s">
        <v>5613</v>
      </c>
      <c r="Q449">
        <v>34.1</v>
      </c>
      <c r="R449">
        <v>400</v>
      </c>
      <c r="S449">
        <v>93</v>
      </c>
      <c r="T449">
        <v>164</v>
      </c>
      <c r="U449">
        <v>38.299999999999997</v>
      </c>
      <c r="V449">
        <v>359</v>
      </c>
      <c r="W449">
        <v>50.5</v>
      </c>
      <c r="X449">
        <v>310</v>
      </c>
      <c r="Y449">
        <v>18.100000000000001</v>
      </c>
      <c r="Z449">
        <v>463</v>
      </c>
      <c r="AA449">
        <v>12.3</v>
      </c>
      <c r="AB449" t="s">
        <v>6092</v>
      </c>
      <c r="AC449">
        <v>25.7</v>
      </c>
    </row>
    <row r="450" spans="1:29">
      <c r="A450">
        <f>446</f>
        <v>446</v>
      </c>
      <c r="B450" t="s">
        <v>6091</v>
      </c>
      <c r="C450" t="s">
        <v>6093</v>
      </c>
      <c r="D450" t="s">
        <v>5753</v>
      </c>
      <c r="E450" t="s">
        <v>310</v>
      </c>
      <c r="F450" t="s">
        <v>5588</v>
      </c>
      <c r="G450" t="s">
        <v>5589</v>
      </c>
      <c r="H450" t="s">
        <v>5590</v>
      </c>
      <c r="I450">
        <v>4</v>
      </c>
      <c r="J450" t="s">
        <v>5595</v>
      </c>
      <c r="K450">
        <v>12.5</v>
      </c>
      <c r="L450" t="s">
        <v>5737</v>
      </c>
      <c r="M450">
        <v>13.5</v>
      </c>
      <c r="N450">
        <v>598</v>
      </c>
      <c r="O450">
        <v>82.9</v>
      </c>
      <c r="P450">
        <v>122</v>
      </c>
      <c r="Q450">
        <v>16.100000000000001</v>
      </c>
      <c r="R450">
        <v>617</v>
      </c>
      <c r="S450">
        <v>86.3</v>
      </c>
      <c r="T450">
        <v>201</v>
      </c>
      <c r="U450">
        <v>27.2</v>
      </c>
      <c r="V450">
        <v>447</v>
      </c>
      <c r="W450">
        <v>26.5</v>
      </c>
      <c r="X450">
        <v>487</v>
      </c>
      <c r="Y450">
        <v>11.1</v>
      </c>
      <c r="Z450" t="s">
        <v>5613</v>
      </c>
      <c r="AA450">
        <v>18.399999999999999</v>
      </c>
      <c r="AB450" t="s">
        <v>6003</v>
      </c>
      <c r="AC450">
        <v>25.7</v>
      </c>
    </row>
    <row r="451" spans="1:29">
      <c r="A451">
        <f>446</f>
        <v>446</v>
      </c>
      <c r="B451" t="s">
        <v>6049</v>
      </c>
      <c r="C451" t="s">
        <v>6094</v>
      </c>
      <c r="D451" t="s">
        <v>5587</v>
      </c>
      <c r="E451" t="s">
        <v>29</v>
      </c>
      <c r="F451" t="s">
        <v>5593</v>
      </c>
      <c r="G451" t="s">
        <v>5594</v>
      </c>
      <c r="H451" t="s">
        <v>5590</v>
      </c>
      <c r="I451">
        <v>5</v>
      </c>
      <c r="J451" t="s">
        <v>5595</v>
      </c>
      <c r="K451">
        <v>10.3</v>
      </c>
      <c r="L451" t="s">
        <v>5737</v>
      </c>
      <c r="M451">
        <v>15.4</v>
      </c>
      <c r="N451">
        <v>534</v>
      </c>
      <c r="O451">
        <v>10.8</v>
      </c>
      <c r="P451" t="s">
        <v>5613</v>
      </c>
      <c r="Q451">
        <v>72.5</v>
      </c>
      <c r="R451">
        <v>135</v>
      </c>
      <c r="S451">
        <v>4.2</v>
      </c>
      <c r="T451" t="s">
        <v>5613</v>
      </c>
      <c r="U451">
        <v>2.5</v>
      </c>
      <c r="V451" t="s">
        <v>5613</v>
      </c>
      <c r="W451">
        <v>45.2</v>
      </c>
      <c r="X451">
        <v>345</v>
      </c>
      <c r="Y451">
        <v>11.9</v>
      </c>
      <c r="Z451" t="s">
        <v>5613</v>
      </c>
      <c r="AA451">
        <v>30.7</v>
      </c>
      <c r="AB451" t="s">
        <v>5825</v>
      </c>
      <c r="AC451">
        <v>25.7</v>
      </c>
    </row>
    <row r="452" spans="1:29">
      <c r="A452">
        <f>446</f>
        <v>446</v>
      </c>
      <c r="C452" t="s">
        <v>6095</v>
      </c>
      <c r="D452" t="s">
        <v>5631</v>
      </c>
      <c r="E452" t="s">
        <v>94</v>
      </c>
      <c r="F452" t="s">
        <v>5615</v>
      </c>
      <c r="G452" t="s">
        <v>5602</v>
      </c>
      <c r="H452" t="s">
        <v>5590</v>
      </c>
      <c r="I452">
        <v>3</v>
      </c>
      <c r="J452" t="s">
        <v>5926</v>
      </c>
      <c r="K452">
        <v>5.2</v>
      </c>
      <c r="L452" t="s">
        <v>5737</v>
      </c>
      <c r="M452">
        <v>1.6</v>
      </c>
      <c r="N452" t="s">
        <v>5737</v>
      </c>
      <c r="O452">
        <v>37.5</v>
      </c>
      <c r="P452">
        <v>419</v>
      </c>
      <c r="Q452">
        <v>96.4</v>
      </c>
      <c r="R452">
        <v>45</v>
      </c>
      <c r="S452">
        <v>7.7</v>
      </c>
      <c r="T452" t="s">
        <v>5613</v>
      </c>
      <c r="U452">
        <v>1.6</v>
      </c>
      <c r="V452" t="s">
        <v>5613</v>
      </c>
      <c r="W452">
        <v>1</v>
      </c>
      <c r="X452" t="s">
        <v>5613</v>
      </c>
      <c r="Y452">
        <v>8.4</v>
      </c>
      <c r="Z452" t="s">
        <v>5613</v>
      </c>
      <c r="AC452">
        <v>25.7</v>
      </c>
    </row>
    <row r="453" spans="1:29">
      <c r="A453">
        <f>446</f>
        <v>446</v>
      </c>
      <c r="B453" t="s">
        <v>5969</v>
      </c>
      <c r="C453" t="s">
        <v>6096</v>
      </c>
      <c r="D453" t="s">
        <v>5732</v>
      </c>
      <c r="E453" t="s">
        <v>313</v>
      </c>
      <c r="F453" t="s">
        <v>5588</v>
      </c>
      <c r="G453" t="s">
        <v>5602</v>
      </c>
      <c r="H453" t="s">
        <v>5590</v>
      </c>
      <c r="I453">
        <v>4</v>
      </c>
      <c r="J453" t="s">
        <v>5595</v>
      </c>
      <c r="K453">
        <v>17.2</v>
      </c>
      <c r="L453">
        <v>518</v>
      </c>
      <c r="M453">
        <v>12.5</v>
      </c>
      <c r="N453" t="s">
        <v>5737</v>
      </c>
      <c r="O453">
        <v>86.2</v>
      </c>
      <c r="P453">
        <v>100</v>
      </c>
      <c r="Q453">
        <v>15.3</v>
      </c>
      <c r="R453">
        <v>626</v>
      </c>
      <c r="S453">
        <v>40.9</v>
      </c>
      <c r="T453">
        <v>404</v>
      </c>
      <c r="U453">
        <v>2.8</v>
      </c>
      <c r="V453" t="s">
        <v>5613</v>
      </c>
      <c r="W453">
        <v>54.7</v>
      </c>
      <c r="X453">
        <v>287</v>
      </c>
      <c r="Y453">
        <v>11.4</v>
      </c>
      <c r="Z453" t="s">
        <v>5613</v>
      </c>
      <c r="AA453">
        <v>30.2</v>
      </c>
      <c r="AB453" t="s">
        <v>6097</v>
      </c>
      <c r="AC453">
        <v>25.7</v>
      </c>
    </row>
    <row r="454" spans="1:29">
      <c r="A454">
        <v>451</v>
      </c>
      <c r="B454" t="s">
        <v>6073</v>
      </c>
      <c r="C454" t="s">
        <v>1034</v>
      </c>
      <c r="D454" t="s">
        <v>5976</v>
      </c>
      <c r="E454" t="s">
        <v>5977</v>
      </c>
      <c r="F454" t="s">
        <v>5593</v>
      </c>
      <c r="G454" t="s">
        <v>5602</v>
      </c>
      <c r="H454" t="s">
        <v>5590</v>
      </c>
      <c r="I454">
        <v>4</v>
      </c>
      <c r="J454" t="s">
        <v>5595</v>
      </c>
      <c r="K454">
        <v>6.6</v>
      </c>
      <c r="L454" t="s">
        <v>5737</v>
      </c>
      <c r="M454">
        <v>23.2</v>
      </c>
      <c r="N454">
        <v>410</v>
      </c>
      <c r="O454">
        <v>2.5</v>
      </c>
      <c r="P454" t="s">
        <v>5613</v>
      </c>
      <c r="Q454">
        <v>94.8</v>
      </c>
      <c r="R454">
        <v>54</v>
      </c>
      <c r="U454">
        <v>1.5</v>
      </c>
      <c r="V454" t="s">
        <v>5613</v>
      </c>
      <c r="W454">
        <v>11.1</v>
      </c>
      <c r="X454">
        <v>652</v>
      </c>
      <c r="Y454">
        <v>5.5</v>
      </c>
      <c r="Z454" t="s">
        <v>5613</v>
      </c>
      <c r="AA454">
        <v>1.5</v>
      </c>
      <c r="AB454" t="s">
        <v>5613</v>
      </c>
      <c r="AC454">
        <v>25.6</v>
      </c>
    </row>
    <row r="455" spans="1:29">
      <c r="A455">
        <f>452</f>
        <v>452</v>
      </c>
      <c r="B455" t="s">
        <v>6098</v>
      </c>
      <c r="C455" t="s">
        <v>6099</v>
      </c>
      <c r="D455" t="s">
        <v>5616</v>
      </c>
      <c r="E455" t="s">
        <v>54</v>
      </c>
      <c r="F455" t="s">
        <v>5605</v>
      </c>
      <c r="G455" t="s">
        <v>5594</v>
      </c>
      <c r="H455" t="s">
        <v>5590</v>
      </c>
      <c r="I455">
        <v>2</v>
      </c>
      <c r="J455" t="s">
        <v>5595</v>
      </c>
      <c r="K455">
        <v>8.8000000000000007</v>
      </c>
      <c r="L455" t="s">
        <v>5737</v>
      </c>
      <c r="M455">
        <v>3.4</v>
      </c>
      <c r="N455" t="s">
        <v>5737</v>
      </c>
      <c r="O455">
        <v>5.6</v>
      </c>
      <c r="P455" t="s">
        <v>5613</v>
      </c>
      <c r="Q455">
        <v>98.4</v>
      </c>
      <c r="R455">
        <v>28</v>
      </c>
      <c r="S455">
        <v>6.6</v>
      </c>
      <c r="T455" t="s">
        <v>5613</v>
      </c>
      <c r="U455">
        <v>3.6</v>
      </c>
      <c r="V455" t="s">
        <v>5613</v>
      </c>
      <c r="W455">
        <v>13.5</v>
      </c>
      <c r="X455">
        <v>616</v>
      </c>
      <c r="Y455">
        <v>9.9</v>
      </c>
      <c r="Z455" t="s">
        <v>5613</v>
      </c>
      <c r="AA455">
        <v>8.9</v>
      </c>
      <c r="AB455" t="s">
        <v>6100</v>
      </c>
      <c r="AC455">
        <v>25.5</v>
      </c>
    </row>
    <row r="456" spans="1:29">
      <c r="A456">
        <f>452</f>
        <v>452</v>
      </c>
      <c r="B456" t="s">
        <v>6049</v>
      </c>
      <c r="C456" t="s">
        <v>6101</v>
      </c>
      <c r="D456" t="s">
        <v>5624</v>
      </c>
      <c r="E456" t="s">
        <v>125</v>
      </c>
      <c r="F456" t="s">
        <v>5605</v>
      </c>
      <c r="G456" t="s">
        <v>5594</v>
      </c>
      <c r="H456" t="s">
        <v>5590</v>
      </c>
      <c r="I456">
        <v>5</v>
      </c>
      <c r="J456" t="s">
        <v>5595</v>
      </c>
      <c r="K456">
        <v>18.899999999999999</v>
      </c>
      <c r="L456">
        <v>471</v>
      </c>
      <c r="M456">
        <v>4.0999999999999996</v>
      </c>
      <c r="N456" t="s">
        <v>5737</v>
      </c>
      <c r="O456">
        <v>8.1999999999999993</v>
      </c>
      <c r="P456" t="s">
        <v>5613</v>
      </c>
      <c r="Q456">
        <v>55.3</v>
      </c>
      <c r="R456">
        <v>233</v>
      </c>
      <c r="S456">
        <v>7.9</v>
      </c>
      <c r="T456" t="s">
        <v>5613</v>
      </c>
      <c r="U456">
        <v>13.2</v>
      </c>
      <c r="V456">
        <v>659</v>
      </c>
      <c r="W456">
        <v>90.8</v>
      </c>
      <c r="X456">
        <v>78</v>
      </c>
      <c r="Y456">
        <v>8.8000000000000007</v>
      </c>
      <c r="Z456" t="s">
        <v>5613</v>
      </c>
      <c r="AA456">
        <v>26.6</v>
      </c>
      <c r="AB456" t="s">
        <v>6033</v>
      </c>
      <c r="AC456">
        <v>25.5</v>
      </c>
    </row>
    <row r="457" spans="1:29">
      <c r="A457">
        <f>454</f>
        <v>454</v>
      </c>
      <c r="B457" t="s">
        <v>6026</v>
      </c>
      <c r="C457" t="s">
        <v>2280</v>
      </c>
      <c r="D457" t="s">
        <v>5882</v>
      </c>
      <c r="E457" t="s">
        <v>984</v>
      </c>
      <c r="F457" t="s">
        <v>5593</v>
      </c>
      <c r="G457" t="s">
        <v>5651</v>
      </c>
      <c r="I457">
        <v>5</v>
      </c>
      <c r="J457" t="s">
        <v>5595</v>
      </c>
      <c r="K457">
        <v>21.5</v>
      </c>
      <c r="L457">
        <v>403</v>
      </c>
      <c r="M457">
        <v>37.6</v>
      </c>
      <c r="N457">
        <v>259</v>
      </c>
      <c r="O457">
        <v>75.8</v>
      </c>
      <c r="P457">
        <v>161</v>
      </c>
      <c r="Q457">
        <v>4.0999999999999996</v>
      </c>
      <c r="R457" t="s">
        <v>5613</v>
      </c>
      <c r="S457">
        <v>25.6</v>
      </c>
      <c r="T457">
        <v>526</v>
      </c>
      <c r="U457">
        <v>39.200000000000003</v>
      </c>
      <c r="V457">
        <v>349</v>
      </c>
      <c r="W457">
        <v>15.3</v>
      </c>
      <c r="X457">
        <v>592</v>
      </c>
      <c r="Y457">
        <v>13.8</v>
      </c>
      <c r="Z457">
        <v>618</v>
      </c>
      <c r="AA457">
        <v>1.6</v>
      </c>
      <c r="AB457" t="s">
        <v>5613</v>
      </c>
      <c r="AC457">
        <v>25.2</v>
      </c>
    </row>
    <row r="458" spans="1:29">
      <c r="A458">
        <f>454</f>
        <v>454</v>
      </c>
      <c r="B458" t="s">
        <v>6000</v>
      </c>
      <c r="C458" t="s">
        <v>6102</v>
      </c>
      <c r="D458" t="s">
        <v>5770</v>
      </c>
      <c r="E458" t="s">
        <v>528</v>
      </c>
      <c r="F458" t="s">
        <v>5615</v>
      </c>
      <c r="G458" t="s">
        <v>5602</v>
      </c>
      <c r="H458" t="s">
        <v>5590</v>
      </c>
      <c r="I458">
        <v>2</v>
      </c>
      <c r="J458" t="s">
        <v>5595</v>
      </c>
      <c r="K458">
        <v>5.6</v>
      </c>
      <c r="L458" t="s">
        <v>5737</v>
      </c>
      <c r="M458">
        <v>4.3</v>
      </c>
      <c r="N458" t="s">
        <v>5737</v>
      </c>
      <c r="O458">
        <v>33.299999999999997</v>
      </c>
      <c r="P458">
        <v>478</v>
      </c>
      <c r="Q458">
        <v>94.4</v>
      </c>
      <c r="R458">
        <v>57</v>
      </c>
      <c r="S458">
        <v>2.2999999999999998</v>
      </c>
      <c r="T458" t="s">
        <v>5613</v>
      </c>
      <c r="U458">
        <v>1.1000000000000001</v>
      </c>
      <c r="V458" t="s">
        <v>5613</v>
      </c>
      <c r="W458">
        <v>1.2</v>
      </c>
      <c r="X458" t="s">
        <v>5613</v>
      </c>
      <c r="Y458">
        <v>8.4</v>
      </c>
      <c r="Z458" t="s">
        <v>5613</v>
      </c>
      <c r="AA458">
        <v>2</v>
      </c>
      <c r="AB458" t="s">
        <v>5613</v>
      </c>
      <c r="AC458">
        <v>25.2</v>
      </c>
    </row>
    <row r="459" spans="1:29">
      <c r="A459">
        <f>454</f>
        <v>454</v>
      </c>
      <c r="B459" t="s">
        <v>6061</v>
      </c>
      <c r="C459" t="s">
        <v>800</v>
      </c>
      <c r="D459" t="s">
        <v>5616</v>
      </c>
      <c r="E459" t="s">
        <v>54</v>
      </c>
      <c r="F459" t="s">
        <v>5605</v>
      </c>
      <c r="G459" t="s">
        <v>5594</v>
      </c>
      <c r="H459" t="s">
        <v>5590</v>
      </c>
      <c r="I459">
        <v>3</v>
      </c>
      <c r="J459" t="s">
        <v>5595</v>
      </c>
      <c r="K459">
        <v>12.8</v>
      </c>
      <c r="L459" t="s">
        <v>5737</v>
      </c>
      <c r="M459">
        <v>7.4</v>
      </c>
      <c r="N459" t="s">
        <v>5737</v>
      </c>
      <c r="O459">
        <v>23.9</v>
      </c>
      <c r="P459">
        <v>593</v>
      </c>
      <c r="Q459">
        <v>73.099999999999994</v>
      </c>
      <c r="R459">
        <v>134</v>
      </c>
      <c r="S459">
        <v>15.1</v>
      </c>
      <c r="T459">
        <v>664</v>
      </c>
      <c r="U459">
        <v>3.5</v>
      </c>
      <c r="V459" t="s">
        <v>5613</v>
      </c>
      <c r="W459">
        <v>21.1</v>
      </c>
      <c r="X459">
        <v>536</v>
      </c>
      <c r="Y459">
        <v>8.8000000000000007</v>
      </c>
      <c r="Z459" t="s">
        <v>5613</v>
      </c>
      <c r="AA459">
        <v>16.899999999999999</v>
      </c>
      <c r="AB459" t="s">
        <v>5720</v>
      </c>
      <c r="AC459">
        <v>25.2</v>
      </c>
    </row>
    <row r="460" spans="1:29">
      <c r="A460">
        <f>454</f>
        <v>454</v>
      </c>
      <c r="B460" t="s">
        <v>6008</v>
      </c>
      <c r="C460" t="s">
        <v>1732</v>
      </c>
      <c r="D460" t="s">
        <v>6103</v>
      </c>
      <c r="E460" t="s">
        <v>1733</v>
      </c>
      <c r="F460" t="s">
        <v>5588</v>
      </c>
      <c r="G460" t="s">
        <v>5594</v>
      </c>
      <c r="H460" t="s">
        <v>5590</v>
      </c>
      <c r="I460">
        <v>3</v>
      </c>
      <c r="J460" t="s">
        <v>5595</v>
      </c>
      <c r="K460">
        <v>16.7</v>
      </c>
      <c r="L460">
        <v>528</v>
      </c>
      <c r="M460">
        <v>13.7</v>
      </c>
      <c r="N460">
        <v>593</v>
      </c>
      <c r="O460">
        <v>56.7</v>
      </c>
      <c r="P460">
        <v>259</v>
      </c>
      <c r="Q460">
        <v>18.399999999999999</v>
      </c>
      <c r="R460">
        <v>577</v>
      </c>
      <c r="S460">
        <v>100</v>
      </c>
      <c r="T460">
        <v>58</v>
      </c>
      <c r="U460">
        <v>3.4</v>
      </c>
      <c r="V460" t="s">
        <v>5613</v>
      </c>
      <c r="W460">
        <v>48.3</v>
      </c>
      <c r="X460">
        <v>325</v>
      </c>
      <c r="Y460">
        <v>17.399999999999999</v>
      </c>
      <c r="Z460">
        <v>478</v>
      </c>
      <c r="AA460">
        <v>8</v>
      </c>
      <c r="AB460" t="s">
        <v>5613</v>
      </c>
      <c r="AC460">
        <v>25.2</v>
      </c>
    </row>
    <row r="461" spans="1:29">
      <c r="A461">
        <f>454</f>
        <v>454</v>
      </c>
      <c r="B461" t="s">
        <v>6104</v>
      </c>
      <c r="C461" t="s">
        <v>6105</v>
      </c>
      <c r="D461" t="s">
        <v>5639</v>
      </c>
      <c r="E461" t="s">
        <v>99</v>
      </c>
      <c r="F461" t="s">
        <v>5588</v>
      </c>
      <c r="G461" t="s">
        <v>5602</v>
      </c>
      <c r="H461" t="s">
        <v>5590</v>
      </c>
      <c r="I461">
        <v>5</v>
      </c>
      <c r="J461" t="s">
        <v>5595</v>
      </c>
      <c r="K461">
        <v>16.100000000000001</v>
      </c>
      <c r="L461">
        <v>545</v>
      </c>
      <c r="M461">
        <v>48.6</v>
      </c>
      <c r="N461">
        <v>179</v>
      </c>
      <c r="O461">
        <v>2.1</v>
      </c>
      <c r="P461" t="s">
        <v>5613</v>
      </c>
      <c r="Q461">
        <v>45.1</v>
      </c>
      <c r="R461">
        <v>299</v>
      </c>
      <c r="S461">
        <v>29.1</v>
      </c>
      <c r="T461">
        <v>495</v>
      </c>
      <c r="U461">
        <v>20.9</v>
      </c>
      <c r="V461">
        <v>536</v>
      </c>
      <c r="W461">
        <v>2</v>
      </c>
      <c r="X461" t="s">
        <v>5613</v>
      </c>
      <c r="Y461">
        <v>23.8</v>
      </c>
      <c r="Z461">
        <v>355</v>
      </c>
      <c r="AA461">
        <v>2.5</v>
      </c>
      <c r="AB461" t="s">
        <v>5613</v>
      </c>
      <c r="AC461">
        <v>25.2</v>
      </c>
    </row>
    <row r="462" spans="1:29">
      <c r="A462">
        <v>459</v>
      </c>
      <c r="B462" t="s">
        <v>6054</v>
      </c>
      <c r="C462" t="s">
        <v>6106</v>
      </c>
      <c r="D462" t="s">
        <v>5592</v>
      </c>
      <c r="E462" t="s">
        <v>26</v>
      </c>
      <c r="F462" t="s">
        <v>5593</v>
      </c>
      <c r="G462" t="s">
        <v>5589</v>
      </c>
      <c r="H462" t="s">
        <v>5590</v>
      </c>
      <c r="I462">
        <v>4</v>
      </c>
      <c r="J462" t="s">
        <v>5595</v>
      </c>
      <c r="K462">
        <v>16.399999999999999</v>
      </c>
      <c r="L462">
        <v>535</v>
      </c>
      <c r="M462">
        <v>5.0999999999999996</v>
      </c>
      <c r="N462" t="s">
        <v>5737</v>
      </c>
      <c r="O462">
        <v>13</v>
      </c>
      <c r="P462" t="s">
        <v>5613</v>
      </c>
      <c r="Q462">
        <v>25.6</v>
      </c>
      <c r="R462">
        <v>475</v>
      </c>
      <c r="S462">
        <v>99.8</v>
      </c>
      <c r="T462">
        <v>82</v>
      </c>
      <c r="U462">
        <v>99</v>
      </c>
      <c r="V462">
        <v>53</v>
      </c>
      <c r="W462">
        <v>40.1</v>
      </c>
      <c r="X462">
        <v>380</v>
      </c>
      <c r="Y462">
        <v>13.4</v>
      </c>
      <c r="Z462">
        <v>638</v>
      </c>
      <c r="AA462">
        <v>9.6</v>
      </c>
      <c r="AB462" t="s">
        <v>5997</v>
      </c>
      <c r="AC462">
        <v>25.1</v>
      </c>
    </row>
    <row r="463" spans="1:29">
      <c r="A463">
        <v>460</v>
      </c>
      <c r="B463" t="s">
        <v>6049</v>
      </c>
      <c r="C463" t="s">
        <v>6107</v>
      </c>
      <c r="D463" t="s">
        <v>5639</v>
      </c>
      <c r="E463" t="s">
        <v>99</v>
      </c>
      <c r="F463" t="s">
        <v>5593</v>
      </c>
      <c r="G463" t="s">
        <v>5602</v>
      </c>
      <c r="H463" t="s">
        <v>5590</v>
      </c>
      <c r="I463">
        <v>3</v>
      </c>
      <c r="J463" t="s">
        <v>5595</v>
      </c>
      <c r="K463">
        <v>16</v>
      </c>
      <c r="L463">
        <v>547</v>
      </c>
      <c r="M463">
        <v>3.1</v>
      </c>
      <c r="N463" t="s">
        <v>5737</v>
      </c>
      <c r="O463">
        <v>16.399999999999999</v>
      </c>
      <c r="P463" t="s">
        <v>5613</v>
      </c>
      <c r="Q463">
        <v>38.6</v>
      </c>
      <c r="R463">
        <v>359</v>
      </c>
      <c r="S463">
        <v>51</v>
      </c>
      <c r="T463">
        <v>353</v>
      </c>
      <c r="U463">
        <v>21.8</v>
      </c>
      <c r="V463">
        <v>518</v>
      </c>
      <c r="W463">
        <v>86.3</v>
      </c>
      <c r="X463">
        <v>105</v>
      </c>
      <c r="Y463">
        <v>7.2</v>
      </c>
      <c r="Z463" t="s">
        <v>5613</v>
      </c>
      <c r="AA463">
        <v>42.6</v>
      </c>
      <c r="AB463" t="s">
        <v>5700</v>
      </c>
      <c r="AC463">
        <v>25</v>
      </c>
    </row>
    <row r="464" spans="1:29">
      <c r="A464">
        <f>461</f>
        <v>461</v>
      </c>
      <c r="B464" t="s">
        <v>6071</v>
      </c>
      <c r="C464" t="s">
        <v>628</v>
      </c>
      <c r="D464" t="s">
        <v>5587</v>
      </c>
      <c r="E464" t="s">
        <v>29</v>
      </c>
      <c r="F464" t="s">
        <v>5605</v>
      </c>
      <c r="G464" t="s">
        <v>5594</v>
      </c>
      <c r="H464" t="s">
        <v>5590</v>
      </c>
      <c r="I464">
        <v>5</v>
      </c>
      <c r="J464" t="s">
        <v>5595</v>
      </c>
      <c r="K464">
        <v>25.1</v>
      </c>
      <c r="L464">
        <v>349</v>
      </c>
      <c r="M464">
        <v>25.7</v>
      </c>
      <c r="N464">
        <v>374</v>
      </c>
      <c r="O464">
        <v>6.8</v>
      </c>
      <c r="P464" t="s">
        <v>5613</v>
      </c>
      <c r="Q464">
        <v>30.7</v>
      </c>
      <c r="R464">
        <v>430</v>
      </c>
      <c r="S464">
        <v>15.6</v>
      </c>
      <c r="T464">
        <v>659</v>
      </c>
      <c r="U464">
        <v>3.9</v>
      </c>
      <c r="V464" t="s">
        <v>5613</v>
      </c>
      <c r="W464">
        <v>40.1</v>
      </c>
      <c r="X464">
        <v>379</v>
      </c>
      <c r="Y464">
        <v>20.5</v>
      </c>
      <c r="Z464">
        <v>407</v>
      </c>
      <c r="AA464">
        <v>54.3</v>
      </c>
      <c r="AB464" t="s">
        <v>5850</v>
      </c>
      <c r="AC464">
        <v>24.9</v>
      </c>
    </row>
    <row r="465" spans="1:29">
      <c r="A465">
        <f>461</f>
        <v>461</v>
      </c>
      <c r="B465" t="s">
        <v>5937</v>
      </c>
      <c r="C465" t="s">
        <v>1068</v>
      </c>
      <c r="D465" t="s">
        <v>5696</v>
      </c>
      <c r="E465" t="s">
        <v>5697</v>
      </c>
      <c r="F465" t="s">
        <v>5615</v>
      </c>
      <c r="G465" t="s">
        <v>5602</v>
      </c>
      <c r="H465" t="s">
        <v>5590</v>
      </c>
      <c r="I465">
        <v>2</v>
      </c>
      <c r="J465" t="s">
        <v>5595</v>
      </c>
      <c r="K465">
        <v>10.199999999999999</v>
      </c>
      <c r="L465" t="s">
        <v>5737</v>
      </c>
      <c r="M465">
        <v>10.1</v>
      </c>
      <c r="N465" t="s">
        <v>5737</v>
      </c>
      <c r="O465">
        <v>99</v>
      </c>
      <c r="P465">
        <v>36</v>
      </c>
      <c r="Q465">
        <v>10.9</v>
      </c>
      <c r="R465" t="s">
        <v>5613</v>
      </c>
      <c r="S465">
        <v>54.1</v>
      </c>
      <c r="T465">
        <v>341</v>
      </c>
      <c r="U465">
        <v>90.7</v>
      </c>
      <c r="V465">
        <v>115</v>
      </c>
      <c r="W465">
        <v>2</v>
      </c>
      <c r="X465" t="s">
        <v>5613</v>
      </c>
      <c r="Y465">
        <v>18</v>
      </c>
      <c r="Z465">
        <v>466</v>
      </c>
      <c r="AA465">
        <v>1.2</v>
      </c>
      <c r="AB465" t="s">
        <v>5613</v>
      </c>
      <c r="AC465">
        <v>24.9</v>
      </c>
    </row>
    <row r="466" spans="1:29">
      <c r="A466">
        <f>461</f>
        <v>461</v>
      </c>
      <c r="B466" t="s">
        <v>5931</v>
      </c>
      <c r="C466" t="s">
        <v>6108</v>
      </c>
      <c r="D466" t="s">
        <v>5639</v>
      </c>
      <c r="E466" t="s">
        <v>99</v>
      </c>
      <c r="F466" t="s">
        <v>5593</v>
      </c>
      <c r="G466" t="s">
        <v>5594</v>
      </c>
      <c r="H466" t="s">
        <v>5590</v>
      </c>
      <c r="I466">
        <v>5</v>
      </c>
      <c r="J466" t="s">
        <v>5595</v>
      </c>
      <c r="K466">
        <v>18.5</v>
      </c>
      <c r="L466">
        <v>482</v>
      </c>
      <c r="M466">
        <v>6</v>
      </c>
      <c r="N466" t="s">
        <v>5737</v>
      </c>
      <c r="O466">
        <v>99.9</v>
      </c>
      <c r="P466">
        <v>20</v>
      </c>
      <c r="Q466">
        <v>10</v>
      </c>
      <c r="R466" t="s">
        <v>5613</v>
      </c>
      <c r="U466">
        <v>22.4</v>
      </c>
      <c r="V466">
        <v>509</v>
      </c>
      <c r="W466">
        <v>84</v>
      </c>
      <c r="X466">
        <v>125</v>
      </c>
      <c r="Y466">
        <v>8.1</v>
      </c>
      <c r="Z466" t="s">
        <v>5613</v>
      </c>
      <c r="AA466">
        <v>16.100000000000001</v>
      </c>
      <c r="AB466" t="s">
        <v>6090</v>
      </c>
      <c r="AC466">
        <v>24.9</v>
      </c>
    </row>
    <row r="467" spans="1:29">
      <c r="A467">
        <v>464</v>
      </c>
      <c r="B467" t="s">
        <v>6109</v>
      </c>
      <c r="C467" t="s">
        <v>6110</v>
      </c>
      <c r="D467" t="s">
        <v>5639</v>
      </c>
      <c r="E467" t="s">
        <v>99</v>
      </c>
      <c r="F467" t="s">
        <v>5605</v>
      </c>
      <c r="G467" t="s">
        <v>5594</v>
      </c>
      <c r="H467" t="s">
        <v>5590</v>
      </c>
      <c r="I467">
        <v>5</v>
      </c>
      <c r="J467" t="s">
        <v>5595</v>
      </c>
      <c r="K467">
        <v>22.6</v>
      </c>
      <c r="L467">
        <v>389</v>
      </c>
      <c r="M467">
        <v>12.7</v>
      </c>
      <c r="N467" t="s">
        <v>5737</v>
      </c>
      <c r="O467">
        <v>54.5</v>
      </c>
      <c r="P467">
        <v>281</v>
      </c>
      <c r="Q467">
        <v>14.8</v>
      </c>
      <c r="R467">
        <v>641</v>
      </c>
      <c r="S467">
        <v>38.5</v>
      </c>
      <c r="T467">
        <v>418</v>
      </c>
      <c r="U467">
        <v>16.2</v>
      </c>
      <c r="V467">
        <v>594</v>
      </c>
      <c r="W467">
        <v>70.2</v>
      </c>
      <c r="X467">
        <v>193</v>
      </c>
      <c r="Y467">
        <v>10.4</v>
      </c>
      <c r="Z467" t="s">
        <v>5613</v>
      </c>
      <c r="AA467">
        <v>19</v>
      </c>
      <c r="AB467" t="s">
        <v>5807</v>
      </c>
      <c r="AC467">
        <v>24.8</v>
      </c>
    </row>
    <row r="468" spans="1:29">
      <c r="A468">
        <f>465</f>
        <v>465</v>
      </c>
      <c r="B468" t="s">
        <v>5980</v>
      </c>
      <c r="C468" t="s">
        <v>6111</v>
      </c>
      <c r="D468" t="s">
        <v>5587</v>
      </c>
      <c r="E468" t="s">
        <v>29</v>
      </c>
      <c r="F468" t="s">
        <v>5588</v>
      </c>
      <c r="G468" t="s">
        <v>5602</v>
      </c>
      <c r="H468" t="s">
        <v>5590</v>
      </c>
      <c r="I468">
        <v>5</v>
      </c>
      <c r="J468" t="s">
        <v>5595</v>
      </c>
      <c r="K468">
        <v>7.2</v>
      </c>
      <c r="L468" t="s">
        <v>5737</v>
      </c>
      <c r="M468">
        <v>9.6</v>
      </c>
      <c r="N468" t="s">
        <v>5737</v>
      </c>
      <c r="O468">
        <v>19.7</v>
      </c>
      <c r="P468">
        <v>675</v>
      </c>
      <c r="Q468">
        <v>70.8</v>
      </c>
      <c r="R468">
        <v>143</v>
      </c>
      <c r="S468">
        <v>29.6</v>
      </c>
      <c r="T468">
        <v>491</v>
      </c>
      <c r="U468">
        <v>9</v>
      </c>
      <c r="V468" t="s">
        <v>5613</v>
      </c>
      <c r="W468">
        <v>2.2999999999999998</v>
      </c>
      <c r="X468" t="s">
        <v>5613</v>
      </c>
      <c r="Y468">
        <v>17.399999999999999</v>
      </c>
      <c r="Z468">
        <v>481</v>
      </c>
      <c r="AA468">
        <v>42</v>
      </c>
      <c r="AB468">
        <v>355</v>
      </c>
      <c r="AC468">
        <v>24.7</v>
      </c>
    </row>
    <row r="469" spans="1:29">
      <c r="A469">
        <f>465</f>
        <v>465</v>
      </c>
      <c r="B469" t="s">
        <v>5985</v>
      </c>
      <c r="C469" t="s">
        <v>6112</v>
      </c>
      <c r="D469" t="s">
        <v>5684</v>
      </c>
      <c r="E469" t="s">
        <v>150</v>
      </c>
      <c r="F469" t="s">
        <v>5593</v>
      </c>
      <c r="G469" t="s">
        <v>5594</v>
      </c>
      <c r="H469" t="s">
        <v>5590</v>
      </c>
      <c r="I469">
        <v>4</v>
      </c>
      <c r="J469" t="s">
        <v>5595</v>
      </c>
      <c r="K469">
        <v>19.7</v>
      </c>
      <c r="L469">
        <v>449</v>
      </c>
      <c r="M469">
        <v>13.9</v>
      </c>
      <c r="N469">
        <v>583</v>
      </c>
      <c r="O469">
        <v>68.3</v>
      </c>
      <c r="P469">
        <v>191</v>
      </c>
      <c r="Q469">
        <v>14.9</v>
      </c>
      <c r="R469">
        <v>637</v>
      </c>
      <c r="S469">
        <v>23.8</v>
      </c>
      <c r="T469">
        <v>554</v>
      </c>
      <c r="U469">
        <v>9.6</v>
      </c>
      <c r="V469" t="s">
        <v>5613</v>
      </c>
      <c r="W469">
        <v>44.8</v>
      </c>
      <c r="X469">
        <v>349</v>
      </c>
      <c r="Y469">
        <v>12.7</v>
      </c>
      <c r="Z469">
        <v>681</v>
      </c>
      <c r="AA469">
        <v>47.8</v>
      </c>
      <c r="AB469" t="s">
        <v>6067</v>
      </c>
      <c r="AC469">
        <v>24.7</v>
      </c>
    </row>
    <row r="470" spans="1:29">
      <c r="A470">
        <f>465</f>
        <v>465</v>
      </c>
      <c r="B470" t="s">
        <v>6052</v>
      </c>
      <c r="C470" t="s">
        <v>847</v>
      </c>
      <c r="D470" t="s">
        <v>5624</v>
      </c>
      <c r="E470" t="s">
        <v>125</v>
      </c>
      <c r="F470" t="s">
        <v>5605</v>
      </c>
      <c r="G470" t="s">
        <v>5602</v>
      </c>
      <c r="H470" t="s">
        <v>5590</v>
      </c>
      <c r="I470">
        <v>5</v>
      </c>
      <c r="J470" t="s">
        <v>5595</v>
      </c>
      <c r="K470">
        <v>30.2</v>
      </c>
      <c r="L470">
        <v>289</v>
      </c>
      <c r="M470">
        <v>5.3</v>
      </c>
      <c r="N470" t="s">
        <v>5737</v>
      </c>
      <c r="O470">
        <v>14.4</v>
      </c>
      <c r="P470" t="s">
        <v>5613</v>
      </c>
      <c r="Q470">
        <v>21.4</v>
      </c>
      <c r="R470">
        <v>537</v>
      </c>
      <c r="S470">
        <v>25.6</v>
      </c>
      <c r="T470">
        <v>527</v>
      </c>
      <c r="U470">
        <v>19.5</v>
      </c>
      <c r="V470">
        <v>554</v>
      </c>
      <c r="W470">
        <v>91.2</v>
      </c>
      <c r="X470">
        <v>74</v>
      </c>
      <c r="Y470">
        <v>11.9</v>
      </c>
      <c r="Z470" t="s">
        <v>5613</v>
      </c>
      <c r="AA470">
        <v>35.799999999999997</v>
      </c>
      <c r="AB470" t="s">
        <v>5979</v>
      </c>
      <c r="AC470">
        <v>24.7</v>
      </c>
    </row>
    <row r="471" spans="1:29">
      <c r="A471">
        <f>465</f>
        <v>465</v>
      </c>
      <c r="B471" t="s">
        <v>6049</v>
      </c>
      <c r="C471" t="s">
        <v>921</v>
      </c>
      <c r="D471" t="s">
        <v>5865</v>
      </c>
      <c r="E471" t="s">
        <v>608</v>
      </c>
      <c r="F471" t="s">
        <v>5593</v>
      </c>
      <c r="G471" t="s">
        <v>5589</v>
      </c>
      <c r="H471" t="s">
        <v>5590</v>
      </c>
      <c r="I471">
        <v>3</v>
      </c>
      <c r="J471" t="s">
        <v>5591</v>
      </c>
      <c r="K471">
        <v>16.7</v>
      </c>
      <c r="L471">
        <v>530</v>
      </c>
      <c r="M471">
        <v>18.8</v>
      </c>
      <c r="N471">
        <v>473</v>
      </c>
      <c r="O471">
        <v>5.5</v>
      </c>
      <c r="P471" t="s">
        <v>5613</v>
      </c>
      <c r="Q471">
        <v>13.5</v>
      </c>
      <c r="R471">
        <v>668</v>
      </c>
      <c r="S471">
        <v>100</v>
      </c>
      <c r="T471">
        <v>9</v>
      </c>
      <c r="U471">
        <v>99.7</v>
      </c>
      <c r="V471">
        <v>35</v>
      </c>
      <c r="W471">
        <v>35.9</v>
      </c>
      <c r="X471">
        <v>413</v>
      </c>
      <c r="Y471">
        <v>14.1</v>
      </c>
      <c r="Z471">
        <v>600</v>
      </c>
      <c r="AA471">
        <v>24.6</v>
      </c>
      <c r="AB471" t="s">
        <v>5941</v>
      </c>
      <c r="AC471">
        <v>24.7</v>
      </c>
    </row>
    <row r="472" spans="1:29">
      <c r="A472">
        <f>469</f>
        <v>469</v>
      </c>
      <c r="B472" t="s">
        <v>6030</v>
      </c>
      <c r="C472" t="s">
        <v>6113</v>
      </c>
      <c r="D472" t="s">
        <v>5848</v>
      </c>
      <c r="E472" t="s">
        <v>588</v>
      </c>
      <c r="F472" t="s">
        <v>5593</v>
      </c>
      <c r="G472" t="s">
        <v>5594</v>
      </c>
      <c r="H472" t="s">
        <v>5590</v>
      </c>
      <c r="I472">
        <v>4</v>
      </c>
      <c r="J472" t="s">
        <v>5595</v>
      </c>
      <c r="K472">
        <v>14.6</v>
      </c>
      <c r="L472">
        <v>592</v>
      </c>
      <c r="M472">
        <v>14.2</v>
      </c>
      <c r="N472">
        <v>577</v>
      </c>
      <c r="O472">
        <v>11.7</v>
      </c>
      <c r="P472" t="s">
        <v>5613</v>
      </c>
      <c r="Q472">
        <v>52.7</v>
      </c>
      <c r="R472">
        <v>245</v>
      </c>
      <c r="S472">
        <v>65.3</v>
      </c>
      <c r="T472">
        <v>294</v>
      </c>
      <c r="U472">
        <v>15.7</v>
      </c>
      <c r="V472">
        <v>607</v>
      </c>
      <c r="W472">
        <v>20.100000000000001</v>
      </c>
      <c r="X472">
        <v>544</v>
      </c>
      <c r="Y472">
        <v>10.5</v>
      </c>
      <c r="Z472" t="s">
        <v>5613</v>
      </c>
      <c r="AA472">
        <v>18.2</v>
      </c>
      <c r="AB472" t="s">
        <v>6114</v>
      </c>
      <c r="AC472">
        <v>24.6</v>
      </c>
    </row>
    <row r="473" spans="1:29">
      <c r="A473">
        <f>469</f>
        <v>469</v>
      </c>
      <c r="B473" t="s">
        <v>6020</v>
      </c>
      <c r="C473" t="s">
        <v>884</v>
      </c>
      <c r="D473" t="s">
        <v>5587</v>
      </c>
      <c r="E473" t="s">
        <v>29</v>
      </c>
      <c r="F473" t="s">
        <v>5588</v>
      </c>
      <c r="G473" t="s">
        <v>5589</v>
      </c>
      <c r="H473" t="s">
        <v>5590</v>
      </c>
      <c r="I473">
        <v>5</v>
      </c>
      <c r="J473" t="s">
        <v>5591</v>
      </c>
      <c r="K473">
        <v>14.2</v>
      </c>
      <c r="L473" t="s">
        <v>5737</v>
      </c>
      <c r="M473">
        <v>15.6</v>
      </c>
      <c r="N473">
        <v>532</v>
      </c>
      <c r="O473">
        <v>13</v>
      </c>
      <c r="P473" t="s">
        <v>5613</v>
      </c>
      <c r="Q473">
        <v>48.5</v>
      </c>
      <c r="R473">
        <v>280</v>
      </c>
      <c r="S473">
        <v>30.1</v>
      </c>
      <c r="T473">
        <v>490</v>
      </c>
      <c r="U473">
        <v>94.1</v>
      </c>
      <c r="V473">
        <v>93</v>
      </c>
      <c r="W473">
        <v>1.5</v>
      </c>
      <c r="X473" t="s">
        <v>5613</v>
      </c>
      <c r="Y473">
        <v>13.6</v>
      </c>
      <c r="Z473">
        <v>632</v>
      </c>
      <c r="AA473">
        <v>2.5</v>
      </c>
      <c r="AB473" t="s">
        <v>5613</v>
      </c>
      <c r="AC473">
        <v>24.6</v>
      </c>
    </row>
    <row r="474" spans="1:29">
      <c r="A474">
        <f>469</f>
        <v>469</v>
      </c>
      <c r="B474" t="s">
        <v>6079</v>
      </c>
      <c r="C474" t="s">
        <v>6115</v>
      </c>
      <c r="D474" t="s">
        <v>5747</v>
      </c>
      <c r="E474" t="s">
        <v>397</v>
      </c>
      <c r="F474" t="s">
        <v>5593</v>
      </c>
      <c r="G474" t="s">
        <v>5594</v>
      </c>
      <c r="H474" t="s">
        <v>5590</v>
      </c>
      <c r="I474">
        <v>5</v>
      </c>
      <c r="J474" t="s">
        <v>5595</v>
      </c>
      <c r="K474">
        <v>21.2</v>
      </c>
      <c r="L474">
        <v>413</v>
      </c>
      <c r="M474">
        <v>5.8</v>
      </c>
      <c r="N474" t="s">
        <v>5737</v>
      </c>
      <c r="O474">
        <v>7.5</v>
      </c>
      <c r="P474" t="s">
        <v>5613</v>
      </c>
      <c r="Q474">
        <v>51</v>
      </c>
      <c r="R474">
        <v>257</v>
      </c>
      <c r="S474">
        <v>6.1</v>
      </c>
      <c r="T474" t="s">
        <v>5613</v>
      </c>
      <c r="U474">
        <v>13.2</v>
      </c>
      <c r="V474">
        <v>657</v>
      </c>
      <c r="W474">
        <v>53.1</v>
      </c>
      <c r="X474">
        <v>296</v>
      </c>
      <c r="Y474">
        <v>13.2</v>
      </c>
      <c r="Z474">
        <v>652</v>
      </c>
      <c r="AA474">
        <v>44.4</v>
      </c>
      <c r="AB474" t="s">
        <v>5823</v>
      </c>
      <c r="AC474">
        <v>24.6</v>
      </c>
    </row>
    <row r="475" spans="1:29">
      <c r="A475">
        <v>472</v>
      </c>
      <c r="B475">
        <v>338</v>
      </c>
      <c r="C475" t="s">
        <v>1518</v>
      </c>
      <c r="D475" t="s">
        <v>5631</v>
      </c>
      <c r="E475" t="s">
        <v>94</v>
      </c>
      <c r="F475" t="s">
        <v>5593</v>
      </c>
      <c r="G475" t="s">
        <v>5594</v>
      </c>
      <c r="H475" t="s">
        <v>5590</v>
      </c>
      <c r="I475">
        <v>4</v>
      </c>
      <c r="J475" t="s">
        <v>5595</v>
      </c>
      <c r="K475">
        <v>23.6</v>
      </c>
      <c r="L475">
        <v>366</v>
      </c>
      <c r="M475">
        <v>14</v>
      </c>
      <c r="N475">
        <v>581</v>
      </c>
      <c r="O475">
        <v>81</v>
      </c>
      <c r="P475">
        <v>136</v>
      </c>
      <c r="Q475">
        <v>9.6</v>
      </c>
      <c r="R475" t="s">
        <v>5613</v>
      </c>
      <c r="S475">
        <v>17.3</v>
      </c>
      <c r="T475">
        <v>624</v>
      </c>
      <c r="U475">
        <v>12.9</v>
      </c>
      <c r="V475">
        <v>663</v>
      </c>
      <c r="W475">
        <v>30</v>
      </c>
      <c r="X475">
        <v>457</v>
      </c>
      <c r="Y475">
        <v>9.8000000000000007</v>
      </c>
      <c r="Z475" t="s">
        <v>5613</v>
      </c>
      <c r="AA475">
        <v>37.5</v>
      </c>
      <c r="AB475" t="s">
        <v>5745</v>
      </c>
      <c r="AC475">
        <v>24.5</v>
      </c>
    </row>
    <row r="476" spans="1:29">
      <c r="A476">
        <f>473</f>
        <v>473</v>
      </c>
      <c r="B476" t="s">
        <v>6020</v>
      </c>
      <c r="C476" t="s">
        <v>727</v>
      </c>
      <c r="D476" t="s">
        <v>5616</v>
      </c>
      <c r="E476" t="s">
        <v>54</v>
      </c>
      <c r="F476" t="s">
        <v>5593</v>
      </c>
      <c r="G476" t="s">
        <v>5589</v>
      </c>
      <c r="H476" t="s">
        <v>5590</v>
      </c>
      <c r="I476">
        <v>2</v>
      </c>
      <c r="J476" t="s">
        <v>5595</v>
      </c>
      <c r="K476">
        <v>13.1</v>
      </c>
      <c r="L476" t="s">
        <v>5737</v>
      </c>
      <c r="M476">
        <v>5.5</v>
      </c>
      <c r="N476" t="s">
        <v>5737</v>
      </c>
      <c r="O476">
        <v>36.1</v>
      </c>
      <c r="P476">
        <v>440</v>
      </c>
      <c r="Q476">
        <v>68.7</v>
      </c>
      <c r="R476">
        <v>150</v>
      </c>
      <c r="S476">
        <v>7.5</v>
      </c>
      <c r="T476" t="s">
        <v>5613</v>
      </c>
      <c r="U476">
        <v>4.9000000000000004</v>
      </c>
      <c r="V476" t="s">
        <v>5613</v>
      </c>
      <c r="W476">
        <v>7</v>
      </c>
      <c r="X476" t="s">
        <v>5613</v>
      </c>
      <c r="Y476">
        <v>13.1</v>
      </c>
      <c r="Z476">
        <v>656</v>
      </c>
      <c r="AA476">
        <v>15.2</v>
      </c>
      <c r="AB476" t="s">
        <v>6116</v>
      </c>
      <c r="AC476">
        <v>24.4</v>
      </c>
    </row>
    <row r="477" spans="1:29">
      <c r="A477">
        <f>473</f>
        <v>473</v>
      </c>
      <c r="B477" t="s">
        <v>5907</v>
      </c>
      <c r="C477" t="s">
        <v>6117</v>
      </c>
      <c r="D477" t="s">
        <v>5696</v>
      </c>
      <c r="E477" t="s">
        <v>5697</v>
      </c>
      <c r="F477" t="s">
        <v>5605</v>
      </c>
      <c r="G477" t="s">
        <v>5589</v>
      </c>
      <c r="H477" t="s">
        <v>5590</v>
      </c>
      <c r="I477">
        <v>5</v>
      </c>
      <c r="J477" t="s">
        <v>5595</v>
      </c>
      <c r="K477">
        <v>21.3</v>
      </c>
      <c r="L477">
        <v>410</v>
      </c>
      <c r="M477">
        <v>13.3</v>
      </c>
      <c r="N477" t="s">
        <v>5737</v>
      </c>
      <c r="O477">
        <v>93.2</v>
      </c>
      <c r="P477">
        <v>70</v>
      </c>
      <c r="Q477">
        <v>2.1</v>
      </c>
      <c r="R477" t="s">
        <v>5613</v>
      </c>
      <c r="S477">
        <v>5.7</v>
      </c>
      <c r="T477" t="s">
        <v>5613</v>
      </c>
      <c r="U477">
        <v>25.8</v>
      </c>
      <c r="V477">
        <v>465</v>
      </c>
      <c r="W477">
        <v>63.3</v>
      </c>
      <c r="X477">
        <v>225</v>
      </c>
      <c r="Y477">
        <v>7.4</v>
      </c>
      <c r="Z477" t="s">
        <v>5613</v>
      </c>
      <c r="AA477">
        <v>24.8</v>
      </c>
      <c r="AB477" t="s">
        <v>6030</v>
      </c>
      <c r="AC477">
        <v>24.4</v>
      </c>
    </row>
    <row r="478" spans="1:29">
      <c r="A478">
        <f>473</f>
        <v>473</v>
      </c>
      <c r="B478" t="s">
        <v>6076</v>
      </c>
      <c r="C478" t="s">
        <v>6118</v>
      </c>
      <c r="D478" t="s">
        <v>6119</v>
      </c>
      <c r="E478" t="s">
        <v>2026</v>
      </c>
      <c r="F478" t="s">
        <v>5593</v>
      </c>
      <c r="G478" t="s">
        <v>5594</v>
      </c>
      <c r="H478" t="s">
        <v>5809</v>
      </c>
      <c r="I478">
        <v>5</v>
      </c>
      <c r="J478" t="s">
        <v>5595</v>
      </c>
      <c r="K478">
        <v>19.8</v>
      </c>
      <c r="L478">
        <v>447</v>
      </c>
      <c r="M478">
        <v>27.8</v>
      </c>
      <c r="N478">
        <v>346</v>
      </c>
      <c r="O478">
        <v>83</v>
      </c>
      <c r="P478">
        <v>119</v>
      </c>
      <c r="Q478">
        <v>3</v>
      </c>
      <c r="R478" t="s">
        <v>5613</v>
      </c>
      <c r="S478">
        <v>13</v>
      </c>
      <c r="T478" t="s">
        <v>5613</v>
      </c>
      <c r="U478">
        <v>14.9</v>
      </c>
      <c r="V478">
        <v>622</v>
      </c>
      <c r="W478">
        <v>43.5</v>
      </c>
      <c r="X478">
        <v>351</v>
      </c>
      <c r="Y478">
        <v>25.5</v>
      </c>
      <c r="Z478">
        <v>325</v>
      </c>
      <c r="AA478">
        <v>11.7</v>
      </c>
      <c r="AB478" t="s">
        <v>6087</v>
      </c>
      <c r="AC478">
        <v>24.4</v>
      </c>
    </row>
    <row r="479" spans="1:29">
      <c r="A479">
        <f>476</f>
        <v>476</v>
      </c>
      <c r="B479" t="s">
        <v>5946</v>
      </c>
      <c r="C479" t="s">
        <v>1573</v>
      </c>
      <c r="D479" t="s">
        <v>5631</v>
      </c>
      <c r="E479" t="s">
        <v>94</v>
      </c>
      <c r="F479" t="s">
        <v>5593</v>
      </c>
      <c r="G479" t="s">
        <v>5594</v>
      </c>
      <c r="H479" t="s">
        <v>5590</v>
      </c>
      <c r="I479">
        <v>4</v>
      </c>
      <c r="J479" t="s">
        <v>5595</v>
      </c>
      <c r="K479">
        <v>28.5</v>
      </c>
      <c r="L479">
        <v>308</v>
      </c>
      <c r="M479">
        <v>38.799999999999997</v>
      </c>
      <c r="N479">
        <v>248</v>
      </c>
      <c r="O479">
        <v>53.2</v>
      </c>
      <c r="P479">
        <v>292</v>
      </c>
      <c r="Q479">
        <v>11.6</v>
      </c>
      <c r="R479" t="s">
        <v>5613</v>
      </c>
      <c r="S479">
        <v>7.4</v>
      </c>
      <c r="T479" t="s">
        <v>5613</v>
      </c>
      <c r="U479">
        <v>7.7</v>
      </c>
      <c r="V479" t="s">
        <v>5613</v>
      </c>
      <c r="W479">
        <v>8.6999999999999993</v>
      </c>
      <c r="X479" t="s">
        <v>5613</v>
      </c>
      <c r="Y479">
        <v>11.9</v>
      </c>
      <c r="Z479" t="s">
        <v>5613</v>
      </c>
      <c r="AA479">
        <v>10.9</v>
      </c>
      <c r="AB479" t="s">
        <v>6120</v>
      </c>
      <c r="AC479">
        <v>24.3</v>
      </c>
    </row>
    <row r="480" spans="1:29">
      <c r="A480">
        <f>476</f>
        <v>476</v>
      </c>
      <c r="B480" t="s">
        <v>6076</v>
      </c>
      <c r="C480" t="s">
        <v>6121</v>
      </c>
      <c r="D480" t="s">
        <v>5772</v>
      </c>
      <c r="E480" t="s">
        <v>386</v>
      </c>
      <c r="F480" t="s">
        <v>5593</v>
      </c>
      <c r="G480" t="s">
        <v>5589</v>
      </c>
      <c r="H480" t="s">
        <v>5590</v>
      </c>
      <c r="I480">
        <v>4</v>
      </c>
      <c r="J480" t="s">
        <v>5595</v>
      </c>
      <c r="K480">
        <v>26.2</v>
      </c>
      <c r="L480">
        <v>338</v>
      </c>
      <c r="M480">
        <v>12</v>
      </c>
      <c r="N480" t="s">
        <v>5737</v>
      </c>
      <c r="O480">
        <v>47</v>
      </c>
      <c r="P480">
        <v>332</v>
      </c>
      <c r="Q480">
        <v>19.600000000000001</v>
      </c>
      <c r="R480">
        <v>561</v>
      </c>
      <c r="S480">
        <v>4.3</v>
      </c>
      <c r="T480" t="s">
        <v>5613</v>
      </c>
      <c r="U480">
        <v>23.9</v>
      </c>
      <c r="V480">
        <v>489</v>
      </c>
      <c r="W480">
        <v>56.8</v>
      </c>
      <c r="X480">
        <v>271</v>
      </c>
      <c r="Y480">
        <v>8.1</v>
      </c>
      <c r="Z480" t="s">
        <v>5613</v>
      </c>
      <c r="AA480">
        <v>28.1</v>
      </c>
      <c r="AB480" t="s">
        <v>6122</v>
      </c>
      <c r="AC480">
        <v>24.3</v>
      </c>
    </row>
    <row r="481" spans="1:29">
      <c r="A481">
        <v>478</v>
      </c>
      <c r="B481" t="s">
        <v>6104</v>
      </c>
      <c r="C481" t="s">
        <v>6123</v>
      </c>
      <c r="D481" t="s">
        <v>5639</v>
      </c>
      <c r="E481" t="s">
        <v>99</v>
      </c>
      <c r="F481" t="s">
        <v>5588</v>
      </c>
      <c r="G481" t="s">
        <v>5589</v>
      </c>
      <c r="H481" t="s">
        <v>5590</v>
      </c>
      <c r="I481">
        <v>4</v>
      </c>
      <c r="J481" t="s">
        <v>5595</v>
      </c>
      <c r="K481">
        <v>20.399999999999999</v>
      </c>
      <c r="L481">
        <v>430</v>
      </c>
      <c r="M481">
        <v>6.9</v>
      </c>
      <c r="N481" t="s">
        <v>5737</v>
      </c>
      <c r="O481">
        <v>33.700000000000003</v>
      </c>
      <c r="P481">
        <v>473</v>
      </c>
      <c r="Q481">
        <v>21.2</v>
      </c>
      <c r="R481">
        <v>541</v>
      </c>
      <c r="S481">
        <v>79.8</v>
      </c>
      <c r="T481">
        <v>230</v>
      </c>
      <c r="U481">
        <v>14.2</v>
      </c>
      <c r="V481">
        <v>638</v>
      </c>
      <c r="W481">
        <v>24.1</v>
      </c>
      <c r="X481">
        <v>506</v>
      </c>
      <c r="Y481">
        <v>15.6</v>
      </c>
      <c r="Z481">
        <v>536</v>
      </c>
      <c r="AA481">
        <v>55.8</v>
      </c>
      <c r="AB481" t="s">
        <v>5626</v>
      </c>
      <c r="AC481">
        <v>24.2</v>
      </c>
    </row>
    <row r="482" spans="1:29">
      <c r="A482">
        <v>479</v>
      </c>
      <c r="B482" t="s">
        <v>6109</v>
      </c>
      <c r="C482" t="s">
        <v>6124</v>
      </c>
      <c r="D482" t="s">
        <v>5639</v>
      </c>
      <c r="E482" t="s">
        <v>99</v>
      </c>
      <c r="F482" t="s">
        <v>5593</v>
      </c>
      <c r="G482" t="s">
        <v>5594</v>
      </c>
      <c r="H482" t="s">
        <v>5590</v>
      </c>
      <c r="I482">
        <v>5</v>
      </c>
      <c r="J482" t="s">
        <v>5595</v>
      </c>
      <c r="K482">
        <v>25.4</v>
      </c>
      <c r="L482">
        <v>344</v>
      </c>
      <c r="M482">
        <v>10.199999999999999</v>
      </c>
      <c r="N482" t="s">
        <v>5737</v>
      </c>
      <c r="O482">
        <v>71</v>
      </c>
      <c r="P482">
        <v>181</v>
      </c>
      <c r="Q482">
        <v>9.6</v>
      </c>
      <c r="R482" t="s">
        <v>5613</v>
      </c>
      <c r="U482">
        <v>15.8</v>
      </c>
      <c r="V482">
        <v>602</v>
      </c>
      <c r="W482">
        <v>59.3</v>
      </c>
      <c r="X482">
        <v>249</v>
      </c>
      <c r="Y482">
        <v>10</v>
      </c>
      <c r="Z482" t="s">
        <v>5613</v>
      </c>
      <c r="AA482">
        <v>34.6</v>
      </c>
      <c r="AB482" t="s">
        <v>5892</v>
      </c>
      <c r="AC482">
        <v>24.1</v>
      </c>
    </row>
    <row r="483" spans="1:29">
      <c r="A483">
        <v>480</v>
      </c>
      <c r="B483" t="s">
        <v>5980</v>
      </c>
      <c r="C483" t="s">
        <v>1061</v>
      </c>
      <c r="D483" t="s">
        <v>5587</v>
      </c>
      <c r="E483" t="s">
        <v>29</v>
      </c>
      <c r="F483" t="s">
        <v>5588</v>
      </c>
      <c r="G483" t="s">
        <v>5589</v>
      </c>
      <c r="H483" t="s">
        <v>5590</v>
      </c>
      <c r="I483">
        <v>5</v>
      </c>
      <c r="J483" t="s">
        <v>5595</v>
      </c>
      <c r="K483">
        <v>4.5999999999999996</v>
      </c>
      <c r="L483" t="s">
        <v>5737</v>
      </c>
      <c r="M483">
        <v>4.8</v>
      </c>
      <c r="N483" t="s">
        <v>5737</v>
      </c>
      <c r="O483">
        <v>6.5</v>
      </c>
      <c r="P483" t="s">
        <v>5613</v>
      </c>
      <c r="Q483">
        <v>85.1</v>
      </c>
      <c r="R483">
        <v>94</v>
      </c>
      <c r="S483">
        <v>61.1</v>
      </c>
      <c r="T483">
        <v>313</v>
      </c>
      <c r="U483">
        <v>12.3</v>
      </c>
      <c r="V483">
        <v>674</v>
      </c>
      <c r="W483">
        <v>2.1</v>
      </c>
      <c r="X483" t="s">
        <v>5613</v>
      </c>
      <c r="Y483">
        <v>9.6</v>
      </c>
      <c r="Z483" t="s">
        <v>5613</v>
      </c>
      <c r="AA483">
        <v>1.6</v>
      </c>
      <c r="AB483" t="s">
        <v>5613</v>
      </c>
      <c r="AC483">
        <v>24</v>
      </c>
    </row>
    <row r="484" spans="1:29">
      <c r="A484">
        <f>481</f>
        <v>481</v>
      </c>
      <c r="B484" t="s">
        <v>6049</v>
      </c>
      <c r="C484" t="s">
        <v>958</v>
      </c>
      <c r="D484" t="s">
        <v>5592</v>
      </c>
      <c r="E484" t="s">
        <v>26</v>
      </c>
      <c r="F484" t="s">
        <v>5588</v>
      </c>
      <c r="G484" t="s">
        <v>5594</v>
      </c>
      <c r="H484" t="s">
        <v>5590</v>
      </c>
      <c r="I484">
        <v>5</v>
      </c>
      <c r="J484" t="s">
        <v>5595</v>
      </c>
      <c r="K484">
        <v>8.8000000000000007</v>
      </c>
      <c r="L484" t="s">
        <v>5737</v>
      </c>
      <c r="M484">
        <v>5.3</v>
      </c>
      <c r="N484" t="s">
        <v>5737</v>
      </c>
      <c r="O484">
        <v>14.9</v>
      </c>
      <c r="P484" t="s">
        <v>5613</v>
      </c>
      <c r="Q484">
        <v>39.700000000000003</v>
      </c>
      <c r="R484">
        <v>346</v>
      </c>
      <c r="S484">
        <v>42.2</v>
      </c>
      <c r="T484">
        <v>391</v>
      </c>
      <c r="U484">
        <v>55.4</v>
      </c>
      <c r="V484">
        <v>267</v>
      </c>
      <c r="W484">
        <v>24.6</v>
      </c>
      <c r="X484">
        <v>503</v>
      </c>
      <c r="Y484">
        <v>13</v>
      </c>
      <c r="Z484">
        <v>661</v>
      </c>
      <c r="AA484">
        <v>87.4</v>
      </c>
      <c r="AB484" t="s">
        <v>5636</v>
      </c>
      <c r="AC484">
        <v>23.9</v>
      </c>
    </row>
    <row r="485" spans="1:29">
      <c r="A485">
        <f>481</f>
        <v>481</v>
      </c>
      <c r="B485" t="s">
        <v>6073</v>
      </c>
      <c r="C485" t="s">
        <v>4656</v>
      </c>
      <c r="D485" t="s">
        <v>5631</v>
      </c>
      <c r="E485" t="s">
        <v>94</v>
      </c>
      <c r="F485" t="s">
        <v>5588</v>
      </c>
      <c r="G485" t="s">
        <v>5651</v>
      </c>
      <c r="I485">
        <v>4</v>
      </c>
      <c r="J485" t="s">
        <v>5595</v>
      </c>
      <c r="K485">
        <v>14.4</v>
      </c>
      <c r="L485" t="s">
        <v>5737</v>
      </c>
      <c r="M485">
        <v>80.599999999999994</v>
      </c>
      <c r="N485">
        <v>72</v>
      </c>
      <c r="O485">
        <v>28.6</v>
      </c>
      <c r="P485">
        <v>538</v>
      </c>
      <c r="Q485">
        <v>2.2000000000000002</v>
      </c>
      <c r="R485" t="s">
        <v>5613</v>
      </c>
      <c r="S485">
        <v>21.6</v>
      </c>
      <c r="T485">
        <v>578</v>
      </c>
      <c r="U485">
        <v>22.4</v>
      </c>
      <c r="V485">
        <v>508</v>
      </c>
      <c r="W485">
        <v>1</v>
      </c>
      <c r="X485" t="s">
        <v>5613</v>
      </c>
      <c r="Y485">
        <v>38.4</v>
      </c>
      <c r="Z485">
        <v>190</v>
      </c>
      <c r="AA485">
        <v>1.1000000000000001</v>
      </c>
      <c r="AB485" t="s">
        <v>5613</v>
      </c>
      <c r="AC485">
        <v>23.9</v>
      </c>
    </row>
    <row r="486" spans="1:29">
      <c r="A486">
        <f>481</f>
        <v>481</v>
      </c>
      <c r="B486" t="s">
        <v>6049</v>
      </c>
      <c r="C486" t="s">
        <v>898</v>
      </c>
      <c r="D486" t="s">
        <v>5639</v>
      </c>
      <c r="E486" t="s">
        <v>99</v>
      </c>
      <c r="F486" t="s">
        <v>5593</v>
      </c>
      <c r="G486" t="s">
        <v>5589</v>
      </c>
      <c r="H486" t="s">
        <v>5590</v>
      </c>
      <c r="I486">
        <v>5</v>
      </c>
      <c r="J486" t="s">
        <v>5595</v>
      </c>
      <c r="K486">
        <v>21.3</v>
      </c>
      <c r="L486">
        <v>408</v>
      </c>
      <c r="M486">
        <v>33.200000000000003</v>
      </c>
      <c r="N486">
        <v>298</v>
      </c>
      <c r="O486">
        <v>16.8</v>
      </c>
      <c r="P486" t="s">
        <v>5613</v>
      </c>
      <c r="Q486">
        <v>14.8</v>
      </c>
      <c r="R486">
        <v>640</v>
      </c>
      <c r="S486">
        <v>40.5</v>
      </c>
      <c r="T486">
        <v>408</v>
      </c>
      <c r="U486">
        <v>30.6</v>
      </c>
      <c r="V486">
        <v>418</v>
      </c>
      <c r="W486">
        <v>44.3</v>
      </c>
      <c r="X486">
        <v>350</v>
      </c>
      <c r="Y486">
        <v>13.1</v>
      </c>
      <c r="Z486">
        <v>654</v>
      </c>
      <c r="AA486">
        <v>29.9</v>
      </c>
      <c r="AB486" t="s">
        <v>6078</v>
      </c>
      <c r="AC486">
        <v>23.9</v>
      </c>
    </row>
    <row r="487" spans="1:29">
      <c r="A487">
        <f>481</f>
        <v>481</v>
      </c>
      <c r="B487">
        <v>405</v>
      </c>
      <c r="C487" t="s">
        <v>3909</v>
      </c>
      <c r="D487" t="s">
        <v>5863</v>
      </c>
      <c r="E487" t="s">
        <v>1306</v>
      </c>
      <c r="F487" t="s">
        <v>5588</v>
      </c>
      <c r="G487" t="s">
        <v>5602</v>
      </c>
      <c r="H487" t="s">
        <v>5590</v>
      </c>
      <c r="I487">
        <v>4</v>
      </c>
      <c r="J487" t="s">
        <v>5595</v>
      </c>
      <c r="K487">
        <v>23.3</v>
      </c>
      <c r="L487">
        <v>370</v>
      </c>
      <c r="M487">
        <v>36</v>
      </c>
      <c r="N487">
        <v>272</v>
      </c>
      <c r="O487">
        <v>84.3</v>
      </c>
      <c r="P487">
        <v>111</v>
      </c>
      <c r="Q487">
        <v>1.2</v>
      </c>
      <c r="R487" t="s">
        <v>5613</v>
      </c>
      <c r="S487">
        <v>40.5</v>
      </c>
      <c r="T487">
        <v>407</v>
      </c>
      <c r="U487">
        <v>4.2</v>
      </c>
      <c r="V487" t="s">
        <v>5613</v>
      </c>
      <c r="W487">
        <v>1</v>
      </c>
      <c r="X487" t="s">
        <v>5613</v>
      </c>
      <c r="Y487">
        <v>10.5</v>
      </c>
      <c r="Z487" t="s">
        <v>5613</v>
      </c>
      <c r="AA487">
        <v>1.3</v>
      </c>
      <c r="AB487" t="s">
        <v>5613</v>
      </c>
      <c r="AC487">
        <v>23.9</v>
      </c>
    </row>
    <row r="488" spans="1:29">
      <c r="A488">
        <v>481</v>
      </c>
      <c r="B488" t="s">
        <v>6049</v>
      </c>
      <c r="C488" t="s">
        <v>6125</v>
      </c>
      <c r="D488" t="s">
        <v>5747</v>
      </c>
      <c r="E488" t="s">
        <v>397</v>
      </c>
      <c r="F488" t="s">
        <v>5593</v>
      </c>
      <c r="G488" t="s">
        <v>5602</v>
      </c>
      <c r="H488" t="s">
        <v>5590</v>
      </c>
      <c r="I488">
        <v>3</v>
      </c>
      <c r="J488" t="s">
        <v>5595</v>
      </c>
      <c r="K488">
        <v>20.6</v>
      </c>
      <c r="L488">
        <v>424</v>
      </c>
      <c r="M488">
        <v>9.6</v>
      </c>
      <c r="N488" t="s">
        <v>5737</v>
      </c>
      <c r="O488">
        <v>2.9</v>
      </c>
      <c r="P488" t="s">
        <v>5613</v>
      </c>
      <c r="Q488">
        <v>57.1</v>
      </c>
      <c r="R488">
        <v>227</v>
      </c>
      <c r="S488">
        <v>3.3</v>
      </c>
      <c r="T488" t="s">
        <v>5613</v>
      </c>
      <c r="U488">
        <v>4.5999999999999996</v>
      </c>
      <c r="V488" t="s">
        <v>5613</v>
      </c>
      <c r="W488">
        <v>45.2</v>
      </c>
      <c r="X488">
        <v>344</v>
      </c>
      <c r="Y488">
        <v>13.2</v>
      </c>
      <c r="Z488">
        <v>650</v>
      </c>
      <c r="AA488">
        <v>29.4</v>
      </c>
      <c r="AB488" t="s">
        <v>5748</v>
      </c>
      <c r="AC488">
        <v>24</v>
      </c>
    </row>
    <row r="489" spans="1:29">
      <c r="A489">
        <v>485</v>
      </c>
      <c r="B489" t="s">
        <v>6126</v>
      </c>
      <c r="C489" t="s">
        <v>6127</v>
      </c>
      <c r="D489" t="s">
        <v>5772</v>
      </c>
      <c r="E489" t="s">
        <v>386</v>
      </c>
      <c r="F489" t="s">
        <v>5605</v>
      </c>
      <c r="G489" t="s">
        <v>5594</v>
      </c>
      <c r="H489" t="s">
        <v>5590</v>
      </c>
      <c r="I489">
        <v>5</v>
      </c>
      <c r="J489" t="s">
        <v>5595</v>
      </c>
      <c r="K489">
        <v>33.9</v>
      </c>
      <c r="L489">
        <v>255</v>
      </c>
      <c r="M489">
        <v>7.3</v>
      </c>
      <c r="N489" t="s">
        <v>5737</v>
      </c>
      <c r="O489">
        <v>10.9</v>
      </c>
      <c r="P489" t="s">
        <v>5613</v>
      </c>
      <c r="Q489">
        <v>22.4</v>
      </c>
      <c r="R489">
        <v>523</v>
      </c>
      <c r="S489">
        <v>2.2999999999999998</v>
      </c>
      <c r="T489" t="s">
        <v>5613</v>
      </c>
      <c r="U489">
        <v>16.600000000000001</v>
      </c>
      <c r="V489">
        <v>588</v>
      </c>
      <c r="W489">
        <v>83.4</v>
      </c>
      <c r="X489">
        <v>128</v>
      </c>
      <c r="Y489">
        <v>6.6</v>
      </c>
      <c r="Z489" t="s">
        <v>5613</v>
      </c>
      <c r="AA489">
        <v>31.6</v>
      </c>
      <c r="AB489" t="s">
        <v>5950</v>
      </c>
      <c r="AC489">
        <v>23.8</v>
      </c>
    </row>
    <row r="490" spans="1:29">
      <c r="A490">
        <f>486</f>
        <v>486</v>
      </c>
      <c r="B490" t="s">
        <v>6079</v>
      </c>
      <c r="C490" t="s">
        <v>868</v>
      </c>
      <c r="D490" t="s">
        <v>5616</v>
      </c>
      <c r="E490" t="s">
        <v>54</v>
      </c>
      <c r="F490" t="s">
        <v>5605</v>
      </c>
      <c r="G490" t="s">
        <v>5589</v>
      </c>
      <c r="H490" t="s">
        <v>5590</v>
      </c>
      <c r="I490">
        <v>4</v>
      </c>
      <c r="J490" t="s">
        <v>5595</v>
      </c>
      <c r="K490">
        <v>4.3</v>
      </c>
      <c r="L490" t="s">
        <v>5737</v>
      </c>
      <c r="M490">
        <v>3</v>
      </c>
      <c r="N490" t="s">
        <v>5737</v>
      </c>
      <c r="O490">
        <v>8.6</v>
      </c>
      <c r="P490" t="s">
        <v>5613</v>
      </c>
      <c r="Q490">
        <v>96.4</v>
      </c>
      <c r="R490">
        <v>46</v>
      </c>
      <c r="S490">
        <v>3.4</v>
      </c>
      <c r="T490" t="s">
        <v>5613</v>
      </c>
      <c r="U490">
        <v>2.6</v>
      </c>
      <c r="V490" t="s">
        <v>5613</v>
      </c>
      <c r="W490">
        <v>21.7</v>
      </c>
      <c r="X490">
        <v>530</v>
      </c>
      <c r="Y490">
        <v>7.6</v>
      </c>
      <c r="Z490" t="s">
        <v>5613</v>
      </c>
      <c r="AA490">
        <v>3.5</v>
      </c>
      <c r="AB490" t="s">
        <v>5613</v>
      </c>
      <c r="AC490">
        <v>23.7</v>
      </c>
    </row>
    <row r="491" spans="1:29">
      <c r="A491">
        <f>486</f>
        <v>486</v>
      </c>
      <c r="B491" t="s">
        <v>5968</v>
      </c>
      <c r="C491" t="s">
        <v>1020</v>
      </c>
      <c r="D491" t="s">
        <v>5620</v>
      </c>
      <c r="E491" t="s">
        <v>76</v>
      </c>
      <c r="F491" t="s">
        <v>5593</v>
      </c>
      <c r="G491" t="s">
        <v>5589</v>
      </c>
      <c r="H491" t="s">
        <v>5590</v>
      </c>
      <c r="I491">
        <v>4</v>
      </c>
      <c r="J491" t="s">
        <v>5595</v>
      </c>
      <c r="K491">
        <v>13.5</v>
      </c>
      <c r="L491" t="s">
        <v>5737</v>
      </c>
      <c r="M491">
        <v>20.9</v>
      </c>
      <c r="N491">
        <v>444</v>
      </c>
      <c r="O491">
        <v>5.8</v>
      </c>
      <c r="P491" t="s">
        <v>5613</v>
      </c>
      <c r="Q491">
        <v>47.5</v>
      </c>
      <c r="R491">
        <v>286</v>
      </c>
      <c r="S491">
        <v>43.5</v>
      </c>
      <c r="T491">
        <v>384</v>
      </c>
      <c r="U491">
        <v>15.1</v>
      </c>
      <c r="V491">
        <v>618</v>
      </c>
      <c r="W491">
        <v>22.3</v>
      </c>
      <c r="X491">
        <v>525</v>
      </c>
      <c r="Y491">
        <v>13.1</v>
      </c>
      <c r="Z491">
        <v>658</v>
      </c>
      <c r="AA491">
        <v>36.299999999999997</v>
      </c>
      <c r="AB491" t="s">
        <v>5783</v>
      </c>
      <c r="AC491">
        <v>23.7</v>
      </c>
    </row>
    <row r="492" spans="1:29">
      <c r="A492">
        <f>489</f>
        <v>489</v>
      </c>
      <c r="B492" t="s">
        <v>6078</v>
      </c>
      <c r="C492" t="s">
        <v>2846</v>
      </c>
      <c r="D492" t="s">
        <v>5872</v>
      </c>
      <c r="E492" t="s">
        <v>1955</v>
      </c>
      <c r="F492" t="s">
        <v>5593</v>
      </c>
      <c r="G492" t="s">
        <v>5589</v>
      </c>
      <c r="H492" t="s">
        <v>5590</v>
      </c>
      <c r="I492">
        <v>4</v>
      </c>
      <c r="J492" t="s">
        <v>5595</v>
      </c>
      <c r="K492">
        <v>21.6</v>
      </c>
      <c r="L492">
        <v>399</v>
      </c>
      <c r="M492">
        <v>39</v>
      </c>
      <c r="N492">
        <v>244</v>
      </c>
      <c r="O492">
        <v>66.099999999999994</v>
      </c>
      <c r="P492">
        <v>203</v>
      </c>
      <c r="Q492">
        <v>1.7</v>
      </c>
      <c r="R492" t="s">
        <v>5613</v>
      </c>
      <c r="S492">
        <v>54.6</v>
      </c>
      <c r="T492">
        <v>339</v>
      </c>
      <c r="U492">
        <v>3.8</v>
      </c>
      <c r="V492" t="s">
        <v>5613</v>
      </c>
      <c r="W492">
        <v>1.2</v>
      </c>
      <c r="X492" t="s">
        <v>5613</v>
      </c>
      <c r="Y492">
        <v>24.1</v>
      </c>
      <c r="Z492">
        <v>347</v>
      </c>
      <c r="AA492">
        <v>3.4</v>
      </c>
      <c r="AB492" t="s">
        <v>5613</v>
      </c>
      <c r="AC492">
        <v>23.6</v>
      </c>
    </row>
    <row r="493" spans="1:29">
      <c r="A493">
        <f>489</f>
        <v>489</v>
      </c>
      <c r="B493" t="s">
        <v>6098</v>
      </c>
      <c r="C493" t="s">
        <v>6128</v>
      </c>
      <c r="D493" t="s">
        <v>5747</v>
      </c>
      <c r="E493" t="s">
        <v>397</v>
      </c>
      <c r="F493" t="s">
        <v>5593</v>
      </c>
      <c r="G493" t="s">
        <v>5589</v>
      </c>
      <c r="H493" t="s">
        <v>5590</v>
      </c>
      <c r="I493">
        <v>3</v>
      </c>
      <c r="J493" t="s">
        <v>5595</v>
      </c>
      <c r="K493">
        <v>31.5</v>
      </c>
      <c r="L493">
        <v>277</v>
      </c>
      <c r="M493">
        <v>12.6</v>
      </c>
      <c r="N493" t="s">
        <v>5737</v>
      </c>
      <c r="O493">
        <v>7.6</v>
      </c>
      <c r="P493" t="s">
        <v>5613</v>
      </c>
      <c r="Q493">
        <v>38.1</v>
      </c>
      <c r="R493">
        <v>367</v>
      </c>
      <c r="S493">
        <v>7.1</v>
      </c>
      <c r="T493" t="s">
        <v>5613</v>
      </c>
      <c r="U493">
        <v>16.2</v>
      </c>
      <c r="V493">
        <v>596</v>
      </c>
      <c r="W493">
        <v>32.799999999999997</v>
      </c>
      <c r="X493">
        <v>435</v>
      </c>
      <c r="Y493">
        <v>7.8</v>
      </c>
      <c r="Z493" t="s">
        <v>5613</v>
      </c>
      <c r="AA493">
        <v>15.2</v>
      </c>
      <c r="AB493" t="s">
        <v>6116</v>
      </c>
      <c r="AC493">
        <v>23.6</v>
      </c>
    </row>
    <row r="494" spans="1:29">
      <c r="A494">
        <f>491</f>
        <v>491</v>
      </c>
      <c r="B494" t="s">
        <v>6079</v>
      </c>
      <c r="C494" t="s">
        <v>998</v>
      </c>
      <c r="D494" t="s">
        <v>5616</v>
      </c>
      <c r="E494" t="s">
        <v>54</v>
      </c>
      <c r="F494" t="s">
        <v>5605</v>
      </c>
      <c r="G494" t="s">
        <v>5589</v>
      </c>
      <c r="H494" t="s">
        <v>5590</v>
      </c>
      <c r="I494">
        <v>4</v>
      </c>
      <c r="J494" t="s">
        <v>5595</v>
      </c>
      <c r="K494">
        <v>9.1</v>
      </c>
      <c r="L494" t="s">
        <v>5737</v>
      </c>
      <c r="M494">
        <v>3.2</v>
      </c>
      <c r="N494" t="s">
        <v>5737</v>
      </c>
      <c r="O494">
        <v>16.8</v>
      </c>
      <c r="P494" t="s">
        <v>5613</v>
      </c>
      <c r="Q494">
        <v>79.8</v>
      </c>
      <c r="R494">
        <v>110</v>
      </c>
      <c r="S494">
        <v>12.2</v>
      </c>
      <c r="T494" t="s">
        <v>5613</v>
      </c>
      <c r="U494">
        <v>3.2</v>
      </c>
      <c r="V494" t="s">
        <v>5613</v>
      </c>
      <c r="W494">
        <v>16.3</v>
      </c>
      <c r="X494">
        <v>582</v>
      </c>
      <c r="Y494">
        <v>13.7</v>
      </c>
      <c r="Z494">
        <v>627</v>
      </c>
      <c r="AA494">
        <v>8.6999999999999993</v>
      </c>
      <c r="AB494" t="s">
        <v>6082</v>
      </c>
      <c r="AC494">
        <v>23.5</v>
      </c>
    </row>
    <row r="495" spans="1:29">
      <c r="A495">
        <f>491</f>
        <v>491</v>
      </c>
      <c r="B495" t="s">
        <v>5950</v>
      </c>
      <c r="C495" t="s">
        <v>6129</v>
      </c>
      <c r="D495" t="s">
        <v>5587</v>
      </c>
      <c r="E495" t="s">
        <v>29</v>
      </c>
      <c r="F495" t="s">
        <v>5593</v>
      </c>
      <c r="G495" t="s">
        <v>5594</v>
      </c>
      <c r="H495" t="s">
        <v>5590</v>
      </c>
      <c r="I495">
        <v>5</v>
      </c>
      <c r="J495" t="s">
        <v>5595</v>
      </c>
      <c r="K495">
        <v>18</v>
      </c>
      <c r="L495">
        <v>499</v>
      </c>
      <c r="M495">
        <v>8.3000000000000007</v>
      </c>
      <c r="N495" t="s">
        <v>5737</v>
      </c>
      <c r="O495">
        <v>7.8</v>
      </c>
      <c r="P495" t="s">
        <v>5613</v>
      </c>
      <c r="Q495">
        <v>37.200000000000003</v>
      </c>
      <c r="R495">
        <v>378</v>
      </c>
      <c r="S495">
        <v>42.8</v>
      </c>
      <c r="T495">
        <v>389</v>
      </c>
      <c r="U495">
        <v>33.299999999999997</v>
      </c>
      <c r="V495">
        <v>390</v>
      </c>
      <c r="W495">
        <v>23.3</v>
      </c>
      <c r="X495">
        <v>516</v>
      </c>
      <c r="Y495">
        <v>24.6</v>
      </c>
      <c r="Z495">
        <v>340</v>
      </c>
      <c r="AA495">
        <v>50.6</v>
      </c>
      <c r="AB495" t="s">
        <v>5804</v>
      </c>
      <c r="AC495">
        <v>23.5</v>
      </c>
    </row>
    <row r="496" spans="1:29">
      <c r="A496">
        <f>491</f>
        <v>491</v>
      </c>
      <c r="B496" t="s">
        <v>6122</v>
      </c>
      <c r="C496" t="s">
        <v>531</v>
      </c>
      <c r="D496" t="s">
        <v>5587</v>
      </c>
      <c r="E496" t="s">
        <v>29</v>
      </c>
      <c r="F496" t="s">
        <v>5593</v>
      </c>
      <c r="G496" t="s">
        <v>5594</v>
      </c>
      <c r="H496" t="s">
        <v>5590</v>
      </c>
      <c r="I496">
        <v>5</v>
      </c>
      <c r="J496" t="s">
        <v>5595</v>
      </c>
      <c r="K496">
        <v>19.899999999999999</v>
      </c>
      <c r="L496">
        <v>444</v>
      </c>
      <c r="M496">
        <v>11.2</v>
      </c>
      <c r="N496" t="s">
        <v>5737</v>
      </c>
      <c r="O496">
        <v>48.2</v>
      </c>
      <c r="P496">
        <v>325</v>
      </c>
      <c r="Q496">
        <v>20.9</v>
      </c>
      <c r="R496">
        <v>548</v>
      </c>
      <c r="S496">
        <v>22.3</v>
      </c>
      <c r="T496">
        <v>569</v>
      </c>
      <c r="U496">
        <v>4.5999999999999996</v>
      </c>
      <c r="V496" t="s">
        <v>5613</v>
      </c>
      <c r="W496">
        <v>51.3</v>
      </c>
      <c r="X496">
        <v>304</v>
      </c>
      <c r="Y496">
        <v>22.1</v>
      </c>
      <c r="Z496">
        <v>374</v>
      </c>
      <c r="AA496">
        <v>38.4</v>
      </c>
      <c r="AB496" t="s">
        <v>5849</v>
      </c>
      <c r="AC496">
        <v>23.5</v>
      </c>
    </row>
    <row r="497" spans="1:29">
      <c r="A497">
        <f>494</f>
        <v>494</v>
      </c>
      <c r="B497" t="s">
        <v>5958</v>
      </c>
      <c r="C497" t="s">
        <v>986</v>
      </c>
      <c r="D497" t="s">
        <v>5644</v>
      </c>
      <c r="E497" t="s">
        <v>181</v>
      </c>
      <c r="F497" t="s">
        <v>5593</v>
      </c>
      <c r="G497" t="s">
        <v>5594</v>
      </c>
      <c r="H497" t="s">
        <v>5590</v>
      </c>
      <c r="I497">
        <v>4</v>
      </c>
      <c r="J497" t="s">
        <v>5591</v>
      </c>
      <c r="K497">
        <v>19.8</v>
      </c>
      <c r="L497">
        <v>445</v>
      </c>
      <c r="M497">
        <v>36.200000000000003</v>
      </c>
      <c r="N497">
        <v>271</v>
      </c>
      <c r="O497">
        <v>69.5</v>
      </c>
      <c r="P497">
        <v>186</v>
      </c>
      <c r="Q497">
        <v>8.9</v>
      </c>
      <c r="R497" t="s">
        <v>5613</v>
      </c>
      <c r="S497">
        <v>13.8</v>
      </c>
      <c r="T497">
        <v>690</v>
      </c>
      <c r="U497">
        <v>36.299999999999997</v>
      </c>
      <c r="V497">
        <v>373</v>
      </c>
      <c r="W497">
        <v>1.7</v>
      </c>
      <c r="X497" t="s">
        <v>5613</v>
      </c>
      <c r="Y497">
        <v>12.8</v>
      </c>
      <c r="Z497">
        <v>672</v>
      </c>
      <c r="AA497">
        <v>2.5</v>
      </c>
      <c r="AB497" t="s">
        <v>5613</v>
      </c>
      <c r="AC497">
        <v>23.4</v>
      </c>
    </row>
    <row r="498" spans="1:29">
      <c r="A498">
        <f>494</f>
        <v>494</v>
      </c>
      <c r="B498" t="s">
        <v>5968</v>
      </c>
      <c r="C498" t="s">
        <v>6130</v>
      </c>
      <c r="D498" t="s">
        <v>5616</v>
      </c>
      <c r="E498" t="s">
        <v>54</v>
      </c>
      <c r="F498" t="s">
        <v>5605</v>
      </c>
      <c r="G498" t="s">
        <v>5589</v>
      </c>
      <c r="H498" t="s">
        <v>5590</v>
      </c>
      <c r="I498">
        <v>4</v>
      </c>
      <c r="J498" t="s">
        <v>5595</v>
      </c>
      <c r="K498">
        <v>8.6</v>
      </c>
      <c r="L498" t="s">
        <v>5737</v>
      </c>
      <c r="M498">
        <v>8.4</v>
      </c>
      <c r="N498" t="s">
        <v>5737</v>
      </c>
      <c r="O498">
        <v>13.8</v>
      </c>
      <c r="P498" t="s">
        <v>5613</v>
      </c>
      <c r="Q498">
        <v>82</v>
      </c>
      <c r="R498">
        <v>104</v>
      </c>
      <c r="S498">
        <v>4.9000000000000004</v>
      </c>
      <c r="T498" t="s">
        <v>5613</v>
      </c>
      <c r="U498">
        <v>1.9</v>
      </c>
      <c r="V498" t="s">
        <v>5613</v>
      </c>
      <c r="W498">
        <v>3.8</v>
      </c>
      <c r="X498" t="s">
        <v>5613</v>
      </c>
      <c r="Y498">
        <v>18.7</v>
      </c>
      <c r="Z498">
        <v>447</v>
      </c>
      <c r="AA498">
        <v>7</v>
      </c>
      <c r="AB498" t="s">
        <v>5613</v>
      </c>
      <c r="AC498">
        <v>23.4</v>
      </c>
    </row>
    <row r="499" spans="1:29">
      <c r="A499">
        <f>494</f>
        <v>494</v>
      </c>
      <c r="B499" t="s">
        <v>6061</v>
      </c>
      <c r="C499" t="s">
        <v>1106</v>
      </c>
      <c r="D499" t="s">
        <v>5587</v>
      </c>
      <c r="E499" t="s">
        <v>29</v>
      </c>
      <c r="F499" t="s">
        <v>5588</v>
      </c>
      <c r="G499" t="s">
        <v>5589</v>
      </c>
      <c r="H499" t="s">
        <v>5590</v>
      </c>
      <c r="I499">
        <v>5</v>
      </c>
      <c r="J499" t="s">
        <v>5591</v>
      </c>
      <c r="K499">
        <v>8.3000000000000007</v>
      </c>
      <c r="L499" t="s">
        <v>5737</v>
      </c>
      <c r="M499">
        <v>7</v>
      </c>
      <c r="N499" t="s">
        <v>5737</v>
      </c>
      <c r="O499">
        <v>19.5</v>
      </c>
      <c r="P499">
        <v>682</v>
      </c>
      <c r="Q499">
        <v>70.7</v>
      </c>
      <c r="R499">
        <v>144</v>
      </c>
      <c r="S499">
        <v>4</v>
      </c>
      <c r="T499" t="s">
        <v>5613</v>
      </c>
      <c r="U499">
        <v>44.3</v>
      </c>
      <c r="V499">
        <v>326</v>
      </c>
      <c r="W499">
        <v>1.6</v>
      </c>
      <c r="X499" t="s">
        <v>5613</v>
      </c>
      <c r="Y499">
        <v>24.1</v>
      </c>
      <c r="Z499">
        <v>350</v>
      </c>
      <c r="AA499">
        <v>2.7</v>
      </c>
      <c r="AB499" t="s">
        <v>5613</v>
      </c>
      <c r="AC499">
        <v>23.4</v>
      </c>
    </row>
    <row r="500" spans="1:29">
      <c r="A500">
        <f>494</f>
        <v>494</v>
      </c>
      <c r="B500" t="s">
        <v>6079</v>
      </c>
      <c r="C500" t="s">
        <v>6131</v>
      </c>
      <c r="D500" t="s">
        <v>5772</v>
      </c>
      <c r="E500" t="s">
        <v>386</v>
      </c>
      <c r="F500" t="s">
        <v>5605</v>
      </c>
      <c r="G500" t="s">
        <v>5594</v>
      </c>
      <c r="H500" t="s">
        <v>5590</v>
      </c>
      <c r="I500">
        <v>5</v>
      </c>
      <c r="J500" t="s">
        <v>5595</v>
      </c>
      <c r="K500">
        <v>38.799999999999997</v>
      </c>
      <c r="L500">
        <v>220</v>
      </c>
      <c r="M500">
        <v>10.4</v>
      </c>
      <c r="N500" t="s">
        <v>5737</v>
      </c>
      <c r="O500">
        <v>16.7</v>
      </c>
      <c r="P500" t="s">
        <v>5613</v>
      </c>
      <c r="Q500">
        <v>8.5</v>
      </c>
      <c r="R500" t="s">
        <v>5613</v>
      </c>
      <c r="S500">
        <v>3.6</v>
      </c>
      <c r="T500" t="s">
        <v>5613</v>
      </c>
      <c r="U500">
        <v>16</v>
      </c>
      <c r="V500">
        <v>599</v>
      </c>
      <c r="W500">
        <v>82</v>
      </c>
      <c r="X500">
        <v>135</v>
      </c>
      <c r="Y500">
        <v>8</v>
      </c>
      <c r="Z500" t="s">
        <v>5613</v>
      </c>
      <c r="AA500">
        <v>29.1</v>
      </c>
      <c r="AB500" t="s">
        <v>5991</v>
      </c>
      <c r="AC500">
        <v>23.4</v>
      </c>
    </row>
    <row r="501" spans="1:29">
      <c r="A501">
        <f>498</f>
        <v>498</v>
      </c>
      <c r="B501">
        <v>346</v>
      </c>
      <c r="C501" t="s">
        <v>1489</v>
      </c>
      <c r="D501" t="s">
        <v>5644</v>
      </c>
      <c r="E501" t="s">
        <v>181</v>
      </c>
      <c r="F501" t="s">
        <v>5593</v>
      </c>
      <c r="G501" t="s">
        <v>5594</v>
      </c>
      <c r="H501" t="s">
        <v>5809</v>
      </c>
      <c r="I501">
        <v>4</v>
      </c>
      <c r="J501" t="s">
        <v>5591</v>
      </c>
      <c r="K501">
        <v>26.7</v>
      </c>
      <c r="L501">
        <v>325</v>
      </c>
      <c r="M501">
        <v>23</v>
      </c>
      <c r="N501">
        <v>413</v>
      </c>
      <c r="O501">
        <v>77.400000000000006</v>
      </c>
      <c r="P501">
        <v>150</v>
      </c>
      <c r="Q501">
        <v>7.7</v>
      </c>
      <c r="R501" t="s">
        <v>5613</v>
      </c>
      <c r="S501">
        <v>7.8</v>
      </c>
      <c r="T501" t="s">
        <v>5613</v>
      </c>
      <c r="U501">
        <v>19.8</v>
      </c>
      <c r="V501">
        <v>551</v>
      </c>
      <c r="W501">
        <v>1.6</v>
      </c>
      <c r="X501" t="s">
        <v>5613</v>
      </c>
      <c r="Y501">
        <v>15.3</v>
      </c>
      <c r="Z501">
        <v>552</v>
      </c>
      <c r="AA501">
        <v>6.9</v>
      </c>
      <c r="AB501" t="s">
        <v>5613</v>
      </c>
      <c r="AC501">
        <v>23.2</v>
      </c>
    </row>
    <row r="502" spans="1:29">
      <c r="A502">
        <f>498</f>
        <v>498</v>
      </c>
      <c r="B502" t="s">
        <v>6049</v>
      </c>
      <c r="C502" t="s">
        <v>1762</v>
      </c>
      <c r="D502" t="s">
        <v>5592</v>
      </c>
      <c r="E502" t="s">
        <v>26</v>
      </c>
      <c r="F502" t="s">
        <v>5593</v>
      </c>
      <c r="G502" t="s">
        <v>5589</v>
      </c>
      <c r="H502" t="s">
        <v>5590</v>
      </c>
      <c r="I502">
        <v>4</v>
      </c>
      <c r="J502" t="s">
        <v>5595</v>
      </c>
      <c r="K502">
        <v>8.4</v>
      </c>
      <c r="L502" t="s">
        <v>5737</v>
      </c>
      <c r="M502">
        <v>13</v>
      </c>
      <c r="N502" t="s">
        <v>5737</v>
      </c>
      <c r="O502">
        <v>11.9</v>
      </c>
      <c r="P502" t="s">
        <v>5613</v>
      </c>
      <c r="Q502">
        <v>12.1</v>
      </c>
      <c r="R502">
        <v>697</v>
      </c>
      <c r="S502">
        <v>100</v>
      </c>
      <c r="T502">
        <v>72</v>
      </c>
      <c r="U502">
        <v>90.5</v>
      </c>
      <c r="V502">
        <v>117</v>
      </c>
      <c r="W502">
        <v>38.5</v>
      </c>
      <c r="X502">
        <v>388</v>
      </c>
      <c r="Y502">
        <v>11.6</v>
      </c>
      <c r="Z502" t="s">
        <v>5613</v>
      </c>
      <c r="AA502">
        <v>63.7</v>
      </c>
      <c r="AB502">
        <v>230</v>
      </c>
      <c r="AC502">
        <v>23.2</v>
      </c>
    </row>
    <row r="503" spans="1:29">
      <c r="A503">
        <f>498</f>
        <v>498</v>
      </c>
      <c r="B503" t="s">
        <v>6132</v>
      </c>
      <c r="C503" t="s">
        <v>1000</v>
      </c>
      <c r="D503" t="s">
        <v>5587</v>
      </c>
      <c r="E503" t="s">
        <v>29</v>
      </c>
      <c r="F503" t="s">
        <v>5593</v>
      </c>
      <c r="G503" t="s">
        <v>5589</v>
      </c>
      <c r="H503" t="s">
        <v>5590</v>
      </c>
      <c r="I503">
        <v>5</v>
      </c>
      <c r="J503" t="s">
        <v>5595</v>
      </c>
      <c r="K503">
        <v>10.3</v>
      </c>
      <c r="L503" t="s">
        <v>5737</v>
      </c>
      <c r="M503">
        <v>7.9</v>
      </c>
      <c r="N503" t="s">
        <v>5737</v>
      </c>
      <c r="O503">
        <v>6.9</v>
      </c>
      <c r="P503" t="s">
        <v>5613</v>
      </c>
      <c r="Q503">
        <v>59.1</v>
      </c>
      <c r="R503">
        <v>212</v>
      </c>
      <c r="S503">
        <v>36.299999999999997</v>
      </c>
      <c r="T503">
        <v>444</v>
      </c>
      <c r="U503">
        <v>13.7</v>
      </c>
      <c r="V503">
        <v>649</v>
      </c>
      <c r="W503">
        <v>28.2</v>
      </c>
      <c r="X503">
        <v>468</v>
      </c>
      <c r="Y503">
        <v>19.8</v>
      </c>
      <c r="Z503">
        <v>419</v>
      </c>
      <c r="AA503">
        <v>31.8</v>
      </c>
      <c r="AB503">
        <v>424</v>
      </c>
      <c r="AC503">
        <v>23.2</v>
      </c>
    </row>
    <row r="504" spans="1:29">
      <c r="A504">
        <f>498</f>
        <v>498</v>
      </c>
      <c r="B504" t="s">
        <v>5968</v>
      </c>
      <c r="C504" t="s">
        <v>6133</v>
      </c>
      <c r="D504" t="s">
        <v>6134</v>
      </c>
      <c r="E504" t="s">
        <v>1554</v>
      </c>
      <c r="F504" t="s">
        <v>5605</v>
      </c>
      <c r="G504" t="s">
        <v>5594</v>
      </c>
      <c r="H504" t="s">
        <v>5809</v>
      </c>
      <c r="I504">
        <v>4</v>
      </c>
      <c r="J504" t="s">
        <v>5595</v>
      </c>
      <c r="K504">
        <v>29.1</v>
      </c>
      <c r="L504">
        <v>297</v>
      </c>
      <c r="M504">
        <v>38.799999999999997</v>
      </c>
      <c r="N504">
        <v>250</v>
      </c>
      <c r="O504">
        <v>17.399999999999999</v>
      </c>
      <c r="P504" t="s">
        <v>5613</v>
      </c>
      <c r="Q504">
        <v>3.3</v>
      </c>
      <c r="R504" t="s">
        <v>5613</v>
      </c>
      <c r="S504">
        <v>20.6</v>
      </c>
      <c r="T504">
        <v>586</v>
      </c>
      <c r="U504">
        <v>34.1</v>
      </c>
      <c r="V504">
        <v>385</v>
      </c>
      <c r="W504">
        <v>13.8</v>
      </c>
      <c r="X504">
        <v>613</v>
      </c>
      <c r="Y504">
        <v>29.8</v>
      </c>
      <c r="Z504">
        <v>264</v>
      </c>
      <c r="AA504">
        <v>28.9</v>
      </c>
      <c r="AB504" t="s">
        <v>5875</v>
      </c>
      <c r="AC504">
        <v>23.2</v>
      </c>
    </row>
    <row r="505" spans="1:29">
      <c r="A505">
        <f>502</f>
        <v>502</v>
      </c>
      <c r="B505" t="s">
        <v>6079</v>
      </c>
      <c r="C505" t="s">
        <v>1422</v>
      </c>
      <c r="D505" t="s">
        <v>5981</v>
      </c>
      <c r="E505" t="s">
        <v>895</v>
      </c>
      <c r="F505" t="s">
        <v>5588</v>
      </c>
      <c r="G505" t="s">
        <v>5589</v>
      </c>
      <c r="H505" t="s">
        <v>5590</v>
      </c>
      <c r="I505">
        <v>3</v>
      </c>
      <c r="J505" t="s">
        <v>5591</v>
      </c>
      <c r="K505">
        <v>22.2</v>
      </c>
      <c r="L505">
        <v>396</v>
      </c>
      <c r="M505">
        <v>44.9</v>
      </c>
      <c r="N505">
        <v>196</v>
      </c>
      <c r="O505">
        <v>17.2</v>
      </c>
      <c r="P505" t="s">
        <v>5613</v>
      </c>
      <c r="Q505">
        <v>12.9</v>
      </c>
      <c r="R505">
        <v>679</v>
      </c>
      <c r="S505">
        <v>72</v>
      </c>
      <c r="T505">
        <v>264</v>
      </c>
      <c r="U505">
        <v>5.7</v>
      </c>
      <c r="V505" t="s">
        <v>5613</v>
      </c>
      <c r="W505">
        <v>4.0999999999999996</v>
      </c>
      <c r="X505" t="s">
        <v>5613</v>
      </c>
      <c r="Y505">
        <v>14.3</v>
      </c>
      <c r="Z505">
        <v>588</v>
      </c>
      <c r="AA505">
        <v>14.2</v>
      </c>
      <c r="AB505" t="s">
        <v>5662</v>
      </c>
      <c r="AC505">
        <v>23.1</v>
      </c>
    </row>
    <row r="506" spans="1:29">
      <c r="A506">
        <f>502</f>
        <v>502</v>
      </c>
      <c r="B506" t="s">
        <v>5784</v>
      </c>
      <c r="C506" t="s">
        <v>6135</v>
      </c>
      <c r="D506" t="s">
        <v>5616</v>
      </c>
      <c r="E506" t="s">
        <v>54</v>
      </c>
      <c r="F506" t="s">
        <v>5605</v>
      </c>
      <c r="G506" t="s">
        <v>5594</v>
      </c>
      <c r="H506" t="s">
        <v>5590</v>
      </c>
      <c r="I506">
        <v>4</v>
      </c>
      <c r="J506" t="s">
        <v>5595</v>
      </c>
      <c r="K506">
        <v>14.3</v>
      </c>
      <c r="L506" t="s">
        <v>5737</v>
      </c>
      <c r="M506">
        <v>47.1</v>
      </c>
      <c r="N506">
        <v>189</v>
      </c>
      <c r="O506">
        <v>39.299999999999997</v>
      </c>
      <c r="P506">
        <v>405</v>
      </c>
      <c r="Q506">
        <v>23.6</v>
      </c>
      <c r="R506">
        <v>506</v>
      </c>
      <c r="S506">
        <v>12.4</v>
      </c>
      <c r="T506" t="s">
        <v>5613</v>
      </c>
      <c r="U506">
        <v>2.2000000000000002</v>
      </c>
      <c r="V506" t="s">
        <v>5613</v>
      </c>
      <c r="W506">
        <v>17.899999999999999</v>
      </c>
      <c r="X506">
        <v>563</v>
      </c>
      <c r="Y506">
        <v>18.3</v>
      </c>
      <c r="Z506">
        <v>458</v>
      </c>
      <c r="AA506">
        <v>13.7</v>
      </c>
      <c r="AB506" t="s">
        <v>5895</v>
      </c>
      <c r="AC506">
        <v>23.1</v>
      </c>
    </row>
    <row r="507" spans="1:29">
      <c r="A507">
        <f>502</f>
        <v>502</v>
      </c>
      <c r="B507" t="s">
        <v>6136</v>
      </c>
      <c r="C507" t="s">
        <v>1097</v>
      </c>
      <c r="D507" t="s">
        <v>5592</v>
      </c>
      <c r="E507" t="s">
        <v>26</v>
      </c>
      <c r="F507" t="s">
        <v>5593</v>
      </c>
      <c r="G507" t="s">
        <v>5589</v>
      </c>
      <c r="H507" t="s">
        <v>5590</v>
      </c>
      <c r="I507">
        <v>3</v>
      </c>
      <c r="J507" t="s">
        <v>5595</v>
      </c>
      <c r="K507">
        <v>8.4</v>
      </c>
      <c r="L507" t="s">
        <v>5737</v>
      </c>
      <c r="M507">
        <v>9.6</v>
      </c>
      <c r="N507" t="s">
        <v>5737</v>
      </c>
      <c r="O507">
        <v>8.6999999999999993</v>
      </c>
      <c r="P507" t="s">
        <v>5613</v>
      </c>
      <c r="Q507">
        <v>18.7</v>
      </c>
      <c r="R507">
        <v>572</v>
      </c>
      <c r="S507">
        <v>75.099999999999994</v>
      </c>
      <c r="T507">
        <v>253</v>
      </c>
      <c r="U507">
        <v>87.3</v>
      </c>
      <c r="V507">
        <v>134</v>
      </c>
      <c r="W507">
        <v>44.8</v>
      </c>
      <c r="X507">
        <v>348</v>
      </c>
      <c r="Y507">
        <v>12.6</v>
      </c>
      <c r="Z507">
        <v>690</v>
      </c>
      <c r="AA507">
        <v>73.099999999999994</v>
      </c>
      <c r="AB507" t="s">
        <v>5647</v>
      </c>
      <c r="AC507">
        <v>23.1</v>
      </c>
    </row>
    <row r="508" spans="1:29">
      <c r="A508">
        <f>505</f>
        <v>505</v>
      </c>
      <c r="B508" t="s">
        <v>6132</v>
      </c>
      <c r="C508" t="s">
        <v>660</v>
      </c>
      <c r="D508" t="s">
        <v>5890</v>
      </c>
      <c r="E508" t="s">
        <v>5891</v>
      </c>
      <c r="F508" t="s">
        <v>5593</v>
      </c>
      <c r="G508" t="s">
        <v>5589</v>
      </c>
      <c r="H508" t="s">
        <v>5590</v>
      </c>
      <c r="I508">
        <v>2</v>
      </c>
      <c r="J508" t="s">
        <v>5591</v>
      </c>
      <c r="K508">
        <v>4.2</v>
      </c>
      <c r="L508" t="s">
        <v>5737</v>
      </c>
      <c r="M508">
        <v>4.2</v>
      </c>
      <c r="N508" t="s">
        <v>5737</v>
      </c>
      <c r="O508">
        <v>4.5</v>
      </c>
      <c r="P508" t="s">
        <v>5613</v>
      </c>
      <c r="Q508">
        <v>47.8</v>
      </c>
      <c r="R508">
        <v>283</v>
      </c>
      <c r="S508">
        <v>100</v>
      </c>
      <c r="T508">
        <v>12</v>
      </c>
      <c r="U508">
        <v>100</v>
      </c>
      <c r="V508">
        <v>1</v>
      </c>
      <c r="W508">
        <v>2.4</v>
      </c>
      <c r="X508" t="s">
        <v>5613</v>
      </c>
      <c r="Y508">
        <v>20.9</v>
      </c>
      <c r="Z508">
        <v>394</v>
      </c>
      <c r="AA508">
        <v>1.1000000000000001</v>
      </c>
      <c r="AB508" t="s">
        <v>5613</v>
      </c>
      <c r="AC508">
        <v>23</v>
      </c>
    </row>
    <row r="509" spans="1:29">
      <c r="A509">
        <f>505</f>
        <v>505</v>
      </c>
      <c r="B509" t="s">
        <v>5904</v>
      </c>
      <c r="C509" t="s">
        <v>6137</v>
      </c>
      <c r="D509" t="s">
        <v>5678</v>
      </c>
      <c r="E509" t="s">
        <v>389</v>
      </c>
      <c r="F509" t="s">
        <v>5588</v>
      </c>
      <c r="G509" t="s">
        <v>5589</v>
      </c>
      <c r="H509" t="s">
        <v>5590</v>
      </c>
      <c r="I509">
        <v>3</v>
      </c>
      <c r="J509" t="s">
        <v>5595</v>
      </c>
      <c r="K509">
        <v>26.5</v>
      </c>
      <c r="L509">
        <v>330</v>
      </c>
      <c r="M509">
        <v>24.4</v>
      </c>
      <c r="N509">
        <v>395</v>
      </c>
      <c r="O509">
        <v>29.5</v>
      </c>
      <c r="P509">
        <v>527</v>
      </c>
      <c r="Q509">
        <v>25.2</v>
      </c>
      <c r="R509">
        <v>483</v>
      </c>
      <c r="S509">
        <v>23.8</v>
      </c>
      <c r="T509">
        <v>552</v>
      </c>
      <c r="U509">
        <v>10.3</v>
      </c>
      <c r="V509" t="s">
        <v>5613</v>
      </c>
      <c r="W509">
        <v>2.5</v>
      </c>
      <c r="X509" t="s">
        <v>5613</v>
      </c>
      <c r="Y509">
        <v>12.1</v>
      </c>
      <c r="Z509" t="s">
        <v>5613</v>
      </c>
      <c r="AA509">
        <v>20.9</v>
      </c>
      <c r="AB509" t="s">
        <v>5801</v>
      </c>
      <c r="AC509">
        <v>23</v>
      </c>
    </row>
    <row r="510" spans="1:29">
      <c r="A510">
        <f>505</f>
        <v>505</v>
      </c>
      <c r="B510" t="s">
        <v>6049</v>
      </c>
      <c r="C510" t="s">
        <v>6138</v>
      </c>
      <c r="D510" t="s">
        <v>5587</v>
      </c>
      <c r="E510" t="s">
        <v>29</v>
      </c>
      <c r="F510" t="s">
        <v>5593</v>
      </c>
      <c r="G510" t="s">
        <v>5589</v>
      </c>
      <c r="H510" t="s">
        <v>5590</v>
      </c>
      <c r="I510">
        <v>5</v>
      </c>
      <c r="J510" t="s">
        <v>5595</v>
      </c>
      <c r="K510">
        <v>15.7</v>
      </c>
      <c r="L510">
        <v>556</v>
      </c>
      <c r="M510">
        <v>4.5999999999999996</v>
      </c>
      <c r="N510" t="s">
        <v>5737</v>
      </c>
      <c r="O510">
        <v>18.899999999999999</v>
      </c>
      <c r="P510">
        <v>698</v>
      </c>
      <c r="Q510">
        <v>41.1</v>
      </c>
      <c r="R510">
        <v>334</v>
      </c>
      <c r="S510">
        <v>17</v>
      </c>
      <c r="T510">
        <v>627</v>
      </c>
      <c r="U510">
        <v>9.6</v>
      </c>
      <c r="V510" t="s">
        <v>5613</v>
      </c>
      <c r="W510">
        <v>58.2</v>
      </c>
      <c r="X510">
        <v>259</v>
      </c>
      <c r="Y510">
        <v>14.1</v>
      </c>
      <c r="Z510">
        <v>607</v>
      </c>
      <c r="AA510">
        <v>53.1</v>
      </c>
      <c r="AB510">
        <v>291</v>
      </c>
      <c r="AC510">
        <v>23</v>
      </c>
    </row>
    <row r="511" spans="1:29">
      <c r="A511">
        <f>505</f>
        <v>505</v>
      </c>
      <c r="B511" t="s">
        <v>6071</v>
      </c>
      <c r="C511" t="s">
        <v>6139</v>
      </c>
      <c r="D511" t="s">
        <v>5747</v>
      </c>
      <c r="E511" t="s">
        <v>397</v>
      </c>
      <c r="F511" t="s">
        <v>5593</v>
      </c>
      <c r="G511" t="s">
        <v>5602</v>
      </c>
      <c r="H511" t="s">
        <v>5590</v>
      </c>
      <c r="I511">
        <v>5</v>
      </c>
      <c r="J511" t="s">
        <v>5591</v>
      </c>
      <c r="K511">
        <v>23.5</v>
      </c>
      <c r="L511">
        <v>367</v>
      </c>
      <c r="M511">
        <v>31.4</v>
      </c>
      <c r="N511">
        <v>314</v>
      </c>
      <c r="O511">
        <v>35</v>
      </c>
      <c r="P511">
        <v>453</v>
      </c>
      <c r="Q511">
        <v>13.4</v>
      </c>
      <c r="R511">
        <v>672</v>
      </c>
      <c r="S511">
        <v>10.4</v>
      </c>
      <c r="T511" t="s">
        <v>5613</v>
      </c>
      <c r="U511">
        <v>12.7</v>
      </c>
      <c r="V511">
        <v>668</v>
      </c>
      <c r="W511">
        <v>9</v>
      </c>
      <c r="X511">
        <v>696</v>
      </c>
      <c r="Y511">
        <v>26</v>
      </c>
      <c r="Z511">
        <v>318</v>
      </c>
      <c r="AA511">
        <v>44.4</v>
      </c>
      <c r="AB511" t="s">
        <v>5823</v>
      </c>
      <c r="AC511">
        <v>23</v>
      </c>
    </row>
    <row r="512" spans="1:29">
      <c r="A512">
        <f>509</f>
        <v>509</v>
      </c>
      <c r="B512" t="s">
        <v>6036</v>
      </c>
      <c r="C512" t="s">
        <v>2148</v>
      </c>
      <c r="D512" t="s">
        <v>5644</v>
      </c>
      <c r="E512" t="s">
        <v>181</v>
      </c>
      <c r="F512" t="s">
        <v>5588</v>
      </c>
      <c r="G512" t="s">
        <v>5589</v>
      </c>
      <c r="H512" t="s">
        <v>5590</v>
      </c>
      <c r="I512">
        <v>4</v>
      </c>
      <c r="J512" t="s">
        <v>5591</v>
      </c>
      <c r="K512">
        <v>21.5</v>
      </c>
      <c r="L512">
        <v>401</v>
      </c>
      <c r="M512">
        <v>49.1</v>
      </c>
      <c r="N512">
        <v>178</v>
      </c>
      <c r="O512">
        <v>55.7</v>
      </c>
      <c r="P512">
        <v>269</v>
      </c>
      <c r="Q512">
        <v>5.5</v>
      </c>
      <c r="R512" t="s">
        <v>5613</v>
      </c>
      <c r="S512">
        <v>7.2</v>
      </c>
      <c r="T512" t="s">
        <v>5613</v>
      </c>
      <c r="U512">
        <v>24.3</v>
      </c>
      <c r="V512">
        <v>483</v>
      </c>
      <c r="W512">
        <v>1</v>
      </c>
      <c r="X512" t="s">
        <v>5613</v>
      </c>
      <c r="Y512">
        <v>16.5</v>
      </c>
      <c r="Z512">
        <v>513</v>
      </c>
      <c r="AA512">
        <v>1.4</v>
      </c>
      <c r="AB512" t="s">
        <v>5613</v>
      </c>
      <c r="AC512">
        <v>22.9</v>
      </c>
    </row>
    <row r="513" spans="1:29">
      <c r="A513">
        <f>509</f>
        <v>509</v>
      </c>
      <c r="B513" t="s">
        <v>6071</v>
      </c>
      <c r="C513" t="s">
        <v>845</v>
      </c>
      <c r="D513" t="s">
        <v>5639</v>
      </c>
      <c r="E513" t="s">
        <v>99</v>
      </c>
      <c r="F513" t="s">
        <v>5588</v>
      </c>
      <c r="G513" t="s">
        <v>5589</v>
      </c>
      <c r="H513" t="s">
        <v>5590</v>
      </c>
      <c r="I513">
        <v>3</v>
      </c>
      <c r="J513" t="s">
        <v>5595</v>
      </c>
      <c r="K513">
        <v>10.3</v>
      </c>
      <c r="L513" t="s">
        <v>5737</v>
      </c>
      <c r="M513">
        <v>19.3</v>
      </c>
      <c r="N513">
        <v>467</v>
      </c>
      <c r="O513">
        <v>46.4</v>
      </c>
      <c r="P513">
        <v>338</v>
      </c>
      <c r="Q513">
        <v>27</v>
      </c>
      <c r="R513">
        <v>464</v>
      </c>
      <c r="S513">
        <v>50.1</v>
      </c>
      <c r="T513">
        <v>357</v>
      </c>
      <c r="U513">
        <v>21.9</v>
      </c>
      <c r="V513">
        <v>515</v>
      </c>
      <c r="W513">
        <v>40.200000000000003</v>
      </c>
      <c r="X513">
        <v>374</v>
      </c>
      <c r="Y513">
        <v>12.1</v>
      </c>
      <c r="Z513" t="s">
        <v>5613</v>
      </c>
      <c r="AA513">
        <v>15.4</v>
      </c>
      <c r="AB513" t="s">
        <v>5893</v>
      </c>
      <c r="AC513">
        <v>22.9</v>
      </c>
    </row>
    <row r="514" spans="1:29">
      <c r="A514">
        <f>511</f>
        <v>511</v>
      </c>
      <c r="B514" t="s">
        <v>6104</v>
      </c>
      <c r="C514" t="s">
        <v>748</v>
      </c>
      <c r="D514" t="s">
        <v>5616</v>
      </c>
      <c r="E514" t="s">
        <v>54</v>
      </c>
      <c r="F514" t="s">
        <v>5593</v>
      </c>
      <c r="G514" t="s">
        <v>5589</v>
      </c>
      <c r="H514" t="s">
        <v>5590</v>
      </c>
      <c r="I514">
        <v>4</v>
      </c>
      <c r="J514" t="s">
        <v>5595</v>
      </c>
      <c r="K514">
        <v>15.2</v>
      </c>
      <c r="L514">
        <v>571</v>
      </c>
      <c r="M514">
        <v>3.7</v>
      </c>
      <c r="N514" t="s">
        <v>5737</v>
      </c>
      <c r="O514">
        <v>19.100000000000001</v>
      </c>
      <c r="P514">
        <v>693</v>
      </c>
      <c r="Q514">
        <v>53.1</v>
      </c>
      <c r="R514">
        <v>243</v>
      </c>
      <c r="S514">
        <v>23.3</v>
      </c>
      <c r="T514">
        <v>562</v>
      </c>
      <c r="U514">
        <v>19.600000000000001</v>
      </c>
      <c r="V514">
        <v>553</v>
      </c>
      <c r="W514">
        <v>31</v>
      </c>
      <c r="X514">
        <v>453</v>
      </c>
      <c r="Y514">
        <v>11.7</v>
      </c>
      <c r="Z514" t="s">
        <v>5613</v>
      </c>
      <c r="AA514">
        <v>19.7</v>
      </c>
      <c r="AB514">
        <v>548</v>
      </c>
      <c r="AC514">
        <v>22.8</v>
      </c>
    </row>
    <row r="515" spans="1:29">
      <c r="A515">
        <f>511</f>
        <v>511</v>
      </c>
      <c r="B515" t="s">
        <v>6020</v>
      </c>
      <c r="C515" t="s">
        <v>6140</v>
      </c>
      <c r="D515" t="s">
        <v>5592</v>
      </c>
      <c r="E515" t="s">
        <v>26</v>
      </c>
      <c r="F515" t="s">
        <v>5588</v>
      </c>
      <c r="G515" t="s">
        <v>5651</v>
      </c>
      <c r="I515">
        <v>5</v>
      </c>
      <c r="J515" t="s">
        <v>5595</v>
      </c>
      <c r="K515">
        <v>18.100000000000001</v>
      </c>
      <c r="L515">
        <v>494</v>
      </c>
      <c r="M515">
        <v>9.5</v>
      </c>
      <c r="N515" t="s">
        <v>5737</v>
      </c>
      <c r="O515">
        <v>18.3</v>
      </c>
      <c r="P515" t="s">
        <v>5613</v>
      </c>
      <c r="Q515">
        <v>15.2</v>
      </c>
      <c r="R515">
        <v>629</v>
      </c>
      <c r="S515">
        <v>100</v>
      </c>
      <c r="T515">
        <v>51</v>
      </c>
      <c r="U515">
        <v>99</v>
      </c>
      <c r="V515">
        <v>51</v>
      </c>
      <c r="W515">
        <v>1</v>
      </c>
      <c r="X515" t="s">
        <v>5613</v>
      </c>
      <c r="Y515">
        <v>19.600000000000001</v>
      </c>
      <c r="Z515">
        <v>427</v>
      </c>
      <c r="AA515">
        <v>3.8</v>
      </c>
      <c r="AB515" t="s">
        <v>5613</v>
      </c>
      <c r="AC515">
        <v>22.8</v>
      </c>
    </row>
    <row r="516" spans="1:29">
      <c r="A516">
        <f>511</f>
        <v>511</v>
      </c>
      <c r="B516" t="s">
        <v>6132</v>
      </c>
      <c r="C516" t="s">
        <v>6141</v>
      </c>
      <c r="D516" t="s">
        <v>5624</v>
      </c>
      <c r="E516" t="s">
        <v>125</v>
      </c>
      <c r="F516" t="s">
        <v>5593</v>
      </c>
      <c r="G516" t="s">
        <v>5602</v>
      </c>
      <c r="H516" t="s">
        <v>5590</v>
      </c>
      <c r="I516">
        <v>5</v>
      </c>
      <c r="J516" t="s">
        <v>5595</v>
      </c>
      <c r="K516">
        <v>18.399999999999999</v>
      </c>
      <c r="L516">
        <v>485</v>
      </c>
      <c r="M516">
        <v>3.4</v>
      </c>
      <c r="N516" t="s">
        <v>5737</v>
      </c>
      <c r="O516">
        <v>40.4</v>
      </c>
      <c r="P516">
        <v>388</v>
      </c>
      <c r="Q516">
        <v>24.8</v>
      </c>
      <c r="R516">
        <v>493</v>
      </c>
      <c r="S516">
        <v>5.5</v>
      </c>
      <c r="T516" t="s">
        <v>5613</v>
      </c>
      <c r="U516">
        <v>23.5</v>
      </c>
      <c r="V516">
        <v>493</v>
      </c>
      <c r="W516">
        <v>98.2</v>
      </c>
      <c r="X516">
        <v>20</v>
      </c>
      <c r="Y516">
        <v>7.4</v>
      </c>
      <c r="Z516" t="s">
        <v>5613</v>
      </c>
      <c r="AA516">
        <v>21.8</v>
      </c>
      <c r="AB516" t="s">
        <v>5920</v>
      </c>
      <c r="AC516">
        <v>22.8</v>
      </c>
    </row>
    <row r="517" spans="1:29">
      <c r="A517">
        <f>514</f>
        <v>514</v>
      </c>
      <c r="B517" t="s">
        <v>6136</v>
      </c>
      <c r="C517" t="s">
        <v>6142</v>
      </c>
      <c r="D517" t="s">
        <v>5981</v>
      </c>
      <c r="E517" t="s">
        <v>895</v>
      </c>
      <c r="F517" t="s">
        <v>5593</v>
      </c>
      <c r="G517" t="s">
        <v>5589</v>
      </c>
      <c r="H517" t="s">
        <v>5809</v>
      </c>
      <c r="I517">
        <v>5</v>
      </c>
      <c r="J517" t="s">
        <v>5595</v>
      </c>
      <c r="K517">
        <v>23</v>
      </c>
      <c r="L517">
        <v>378</v>
      </c>
      <c r="M517">
        <v>58.4</v>
      </c>
      <c r="N517">
        <v>138</v>
      </c>
      <c r="O517">
        <v>4</v>
      </c>
      <c r="P517" t="s">
        <v>5613</v>
      </c>
      <c r="Q517">
        <v>14.3</v>
      </c>
      <c r="R517">
        <v>649</v>
      </c>
      <c r="S517">
        <v>11.1</v>
      </c>
      <c r="T517" t="s">
        <v>5613</v>
      </c>
      <c r="U517">
        <v>2.6</v>
      </c>
      <c r="V517" t="s">
        <v>5613</v>
      </c>
      <c r="W517">
        <v>4.9000000000000004</v>
      </c>
      <c r="X517" t="s">
        <v>5613</v>
      </c>
      <c r="Y517">
        <v>52.7</v>
      </c>
      <c r="Z517">
        <v>121</v>
      </c>
      <c r="AA517">
        <v>6.2</v>
      </c>
      <c r="AB517" t="s">
        <v>5613</v>
      </c>
      <c r="AC517">
        <v>22.7</v>
      </c>
    </row>
    <row r="518" spans="1:29">
      <c r="A518">
        <f>514</f>
        <v>514</v>
      </c>
      <c r="B518" t="s">
        <v>6143</v>
      </c>
      <c r="C518" t="s">
        <v>1467</v>
      </c>
      <c r="D518" t="s">
        <v>6144</v>
      </c>
      <c r="E518" t="s">
        <v>1468</v>
      </c>
      <c r="F518" t="s">
        <v>5593</v>
      </c>
      <c r="G518" t="s">
        <v>5589</v>
      </c>
      <c r="H518" t="s">
        <v>5590</v>
      </c>
      <c r="I518">
        <v>3</v>
      </c>
      <c r="J518" t="s">
        <v>5926</v>
      </c>
      <c r="K518">
        <v>10.7</v>
      </c>
      <c r="L518" t="s">
        <v>5737</v>
      </c>
      <c r="M518">
        <v>26.3</v>
      </c>
      <c r="N518">
        <v>367</v>
      </c>
      <c r="O518">
        <v>3.8</v>
      </c>
      <c r="P518" t="s">
        <v>5613</v>
      </c>
      <c r="Q518">
        <v>33.6</v>
      </c>
      <c r="R518">
        <v>408</v>
      </c>
      <c r="S518">
        <v>37</v>
      </c>
      <c r="T518">
        <v>436</v>
      </c>
      <c r="U518">
        <v>1.2</v>
      </c>
      <c r="V518" t="s">
        <v>5613</v>
      </c>
      <c r="W518">
        <v>63.7</v>
      </c>
      <c r="X518">
        <v>222</v>
      </c>
      <c r="Y518">
        <v>10.9</v>
      </c>
      <c r="Z518" t="s">
        <v>5613</v>
      </c>
      <c r="AA518">
        <v>57.4</v>
      </c>
      <c r="AB518" t="s">
        <v>5888</v>
      </c>
      <c r="AC518">
        <v>22.7</v>
      </c>
    </row>
    <row r="519" spans="1:29">
      <c r="A519">
        <f>514</f>
        <v>514</v>
      </c>
      <c r="B519">
        <v>323</v>
      </c>
      <c r="C519" t="s">
        <v>6145</v>
      </c>
      <c r="D519" t="s">
        <v>5710</v>
      </c>
      <c r="E519" t="s">
        <v>3726</v>
      </c>
      <c r="F519" t="s">
        <v>5593</v>
      </c>
      <c r="G519" t="s">
        <v>5594</v>
      </c>
      <c r="H519" t="s">
        <v>6146</v>
      </c>
      <c r="I519">
        <v>4</v>
      </c>
      <c r="J519" t="s">
        <v>5591</v>
      </c>
      <c r="K519">
        <v>20.399999999999999</v>
      </c>
      <c r="L519">
        <v>431</v>
      </c>
      <c r="M519">
        <v>32.299999999999997</v>
      </c>
      <c r="N519">
        <v>303</v>
      </c>
      <c r="O519">
        <v>99.9</v>
      </c>
      <c r="P519">
        <v>22</v>
      </c>
      <c r="Q519">
        <v>1.1000000000000001</v>
      </c>
      <c r="R519" t="s">
        <v>5613</v>
      </c>
      <c r="S519">
        <v>1.9</v>
      </c>
      <c r="T519" t="s">
        <v>5613</v>
      </c>
      <c r="U519">
        <v>8.8000000000000007</v>
      </c>
      <c r="V519" t="s">
        <v>5613</v>
      </c>
      <c r="W519">
        <v>1</v>
      </c>
      <c r="X519" t="s">
        <v>5613</v>
      </c>
      <c r="Y519">
        <v>19.8</v>
      </c>
      <c r="Z519">
        <v>420</v>
      </c>
      <c r="AA519">
        <v>1</v>
      </c>
      <c r="AB519" t="s">
        <v>5613</v>
      </c>
      <c r="AC519">
        <v>22.7</v>
      </c>
    </row>
    <row r="520" spans="1:29">
      <c r="A520">
        <f>514</f>
        <v>514</v>
      </c>
      <c r="B520" t="s">
        <v>5988</v>
      </c>
      <c r="C520" t="s">
        <v>1335</v>
      </c>
      <c r="D520" t="s">
        <v>5616</v>
      </c>
      <c r="E520" t="s">
        <v>54</v>
      </c>
      <c r="F520" t="s">
        <v>5605</v>
      </c>
      <c r="G520" t="s">
        <v>5589</v>
      </c>
      <c r="H520" t="s">
        <v>5590</v>
      </c>
      <c r="I520">
        <v>3</v>
      </c>
      <c r="J520" t="s">
        <v>5595</v>
      </c>
      <c r="K520">
        <v>22.2</v>
      </c>
      <c r="L520">
        <v>397</v>
      </c>
      <c r="M520">
        <v>9</v>
      </c>
      <c r="N520" t="s">
        <v>5737</v>
      </c>
      <c r="O520">
        <v>53.3</v>
      </c>
      <c r="P520">
        <v>291</v>
      </c>
      <c r="Q520">
        <v>25.4</v>
      </c>
      <c r="R520">
        <v>476</v>
      </c>
      <c r="S520">
        <v>43.8</v>
      </c>
      <c r="T520">
        <v>383</v>
      </c>
      <c r="U520">
        <v>5.9</v>
      </c>
      <c r="V520" t="s">
        <v>5613</v>
      </c>
      <c r="W520">
        <v>11.5</v>
      </c>
      <c r="X520">
        <v>643</v>
      </c>
      <c r="Y520">
        <v>11.1</v>
      </c>
      <c r="Z520" t="s">
        <v>5613</v>
      </c>
      <c r="AA520">
        <v>15.8</v>
      </c>
      <c r="AB520" t="s">
        <v>6147</v>
      </c>
      <c r="AC520">
        <v>22.7</v>
      </c>
    </row>
    <row r="521" spans="1:29">
      <c r="A521">
        <f>514</f>
        <v>514</v>
      </c>
      <c r="B521" t="s">
        <v>6049</v>
      </c>
      <c r="C521" t="s">
        <v>6148</v>
      </c>
      <c r="D521" t="s">
        <v>5587</v>
      </c>
      <c r="E521" t="s">
        <v>29</v>
      </c>
      <c r="F521" t="s">
        <v>5605</v>
      </c>
      <c r="G521" t="s">
        <v>5594</v>
      </c>
      <c r="H521" t="s">
        <v>5590</v>
      </c>
      <c r="I521">
        <v>5</v>
      </c>
      <c r="J521" t="s">
        <v>5595</v>
      </c>
      <c r="K521">
        <v>20.9</v>
      </c>
      <c r="L521">
        <v>421</v>
      </c>
      <c r="M521">
        <v>18.2</v>
      </c>
      <c r="N521">
        <v>481</v>
      </c>
      <c r="O521">
        <v>9.6999999999999993</v>
      </c>
      <c r="P521" t="s">
        <v>5613</v>
      </c>
      <c r="Q521">
        <v>29.7</v>
      </c>
      <c r="R521">
        <v>435</v>
      </c>
      <c r="S521">
        <v>9.6999999999999993</v>
      </c>
      <c r="T521" t="s">
        <v>5613</v>
      </c>
      <c r="U521">
        <v>4.5</v>
      </c>
      <c r="V521" t="s">
        <v>5613</v>
      </c>
      <c r="W521">
        <v>59.1</v>
      </c>
      <c r="X521">
        <v>253</v>
      </c>
      <c r="Y521">
        <v>17.7</v>
      </c>
      <c r="Z521">
        <v>470</v>
      </c>
      <c r="AA521">
        <v>46.6</v>
      </c>
      <c r="AB521" t="s">
        <v>5945</v>
      </c>
      <c r="AC521">
        <v>22.7</v>
      </c>
    </row>
    <row r="522" spans="1:29">
      <c r="A522">
        <f>514</f>
        <v>514</v>
      </c>
      <c r="B522" t="s">
        <v>6049</v>
      </c>
      <c r="C522" t="s">
        <v>6149</v>
      </c>
      <c r="D522" t="s">
        <v>5639</v>
      </c>
      <c r="E522" t="s">
        <v>99</v>
      </c>
      <c r="F522" t="s">
        <v>5593</v>
      </c>
      <c r="G522" t="s">
        <v>5589</v>
      </c>
      <c r="H522" t="s">
        <v>5590</v>
      </c>
      <c r="I522">
        <v>4</v>
      </c>
      <c r="J522" t="s">
        <v>5595</v>
      </c>
      <c r="K522">
        <v>19.7</v>
      </c>
      <c r="L522">
        <v>450</v>
      </c>
      <c r="M522">
        <v>8.4</v>
      </c>
      <c r="N522" t="s">
        <v>5737</v>
      </c>
      <c r="O522">
        <v>16.3</v>
      </c>
      <c r="P522" t="s">
        <v>5613</v>
      </c>
      <c r="Q522">
        <v>24.4</v>
      </c>
      <c r="R522">
        <v>496</v>
      </c>
      <c r="S522">
        <v>41.7</v>
      </c>
      <c r="T522">
        <v>394</v>
      </c>
      <c r="U522">
        <v>26.7</v>
      </c>
      <c r="V522">
        <v>453</v>
      </c>
      <c r="W522">
        <v>77.7</v>
      </c>
      <c r="X522">
        <v>160</v>
      </c>
      <c r="Y522">
        <v>7.2</v>
      </c>
      <c r="Z522" t="s">
        <v>5613</v>
      </c>
      <c r="AA522">
        <v>28.1</v>
      </c>
      <c r="AB522" t="s">
        <v>6122</v>
      </c>
      <c r="AC522">
        <v>22.7</v>
      </c>
    </row>
    <row r="523" spans="1:29">
      <c r="A523">
        <f>520</f>
        <v>520</v>
      </c>
      <c r="B523" t="s">
        <v>5980</v>
      </c>
      <c r="C523" t="s">
        <v>1269</v>
      </c>
      <c r="D523" t="s">
        <v>5644</v>
      </c>
      <c r="E523" t="s">
        <v>181</v>
      </c>
      <c r="F523" t="s">
        <v>5593</v>
      </c>
      <c r="G523" t="s">
        <v>5594</v>
      </c>
      <c r="H523" t="s">
        <v>5590</v>
      </c>
      <c r="I523">
        <v>4</v>
      </c>
      <c r="J523" t="s">
        <v>5595</v>
      </c>
      <c r="K523">
        <v>11.1</v>
      </c>
      <c r="L523" t="s">
        <v>5737</v>
      </c>
      <c r="M523">
        <v>18</v>
      </c>
      <c r="N523">
        <v>486</v>
      </c>
      <c r="O523">
        <v>64.5</v>
      </c>
      <c r="P523">
        <v>217</v>
      </c>
      <c r="Q523">
        <v>17.2</v>
      </c>
      <c r="R523">
        <v>597</v>
      </c>
      <c r="S523">
        <v>9.8000000000000007</v>
      </c>
      <c r="T523" t="s">
        <v>5613</v>
      </c>
      <c r="U523">
        <v>20.100000000000001</v>
      </c>
      <c r="V523">
        <v>545</v>
      </c>
      <c r="W523">
        <v>7.7</v>
      </c>
      <c r="X523" t="s">
        <v>5613</v>
      </c>
      <c r="Y523">
        <v>43.1</v>
      </c>
      <c r="Z523">
        <v>168</v>
      </c>
      <c r="AA523">
        <v>54.6</v>
      </c>
      <c r="AB523" t="s">
        <v>5803</v>
      </c>
      <c r="AC523">
        <v>22.6</v>
      </c>
    </row>
    <row r="524" spans="1:29">
      <c r="A524">
        <f>520</f>
        <v>520</v>
      </c>
      <c r="B524">
        <v>432</v>
      </c>
      <c r="C524" t="s">
        <v>6150</v>
      </c>
      <c r="D524" t="s">
        <v>5710</v>
      </c>
      <c r="E524" t="s">
        <v>3726</v>
      </c>
      <c r="F524" t="s">
        <v>5615</v>
      </c>
      <c r="G524" t="s">
        <v>5602</v>
      </c>
      <c r="H524" t="s">
        <v>5590</v>
      </c>
      <c r="I524">
        <v>3</v>
      </c>
      <c r="J524" t="s">
        <v>5591</v>
      </c>
      <c r="K524">
        <v>19.399999999999999</v>
      </c>
      <c r="L524">
        <v>460</v>
      </c>
      <c r="M524">
        <v>52.5</v>
      </c>
      <c r="N524">
        <v>152</v>
      </c>
      <c r="O524">
        <v>75.400000000000006</v>
      </c>
      <c r="P524">
        <v>165</v>
      </c>
      <c r="Q524">
        <v>1.8</v>
      </c>
      <c r="R524" t="s">
        <v>5613</v>
      </c>
      <c r="S524">
        <v>2.4</v>
      </c>
      <c r="T524" t="s">
        <v>5613</v>
      </c>
      <c r="U524">
        <v>8.5</v>
      </c>
      <c r="V524" t="s">
        <v>5613</v>
      </c>
      <c r="W524">
        <v>1</v>
      </c>
      <c r="X524" t="s">
        <v>5613</v>
      </c>
      <c r="Y524">
        <v>9.4</v>
      </c>
      <c r="Z524" t="s">
        <v>5613</v>
      </c>
      <c r="AA524">
        <v>1.2</v>
      </c>
      <c r="AB524" t="s">
        <v>5613</v>
      </c>
      <c r="AC524">
        <v>22.6</v>
      </c>
    </row>
    <row r="525" spans="1:29">
      <c r="A525">
        <f>520</f>
        <v>520</v>
      </c>
      <c r="B525" t="s">
        <v>6052</v>
      </c>
      <c r="C525" t="s">
        <v>6151</v>
      </c>
      <c r="D525" t="s">
        <v>5587</v>
      </c>
      <c r="E525" t="s">
        <v>29</v>
      </c>
      <c r="F525" t="s">
        <v>5593</v>
      </c>
      <c r="G525" t="s">
        <v>5594</v>
      </c>
      <c r="H525" t="s">
        <v>5590</v>
      </c>
      <c r="I525">
        <v>4</v>
      </c>
      <c r="J525" t="s">
        <v>5595</v>
      </c>
      <c r="K525">
        <v>13.3</v>
      </c>
      <c r="L525" t="s">
        <v>5737</v>
      </c>
      <c r="M525">
        <v>11.6</v>
      </c>
      <c r="N525" t="s">
        <v>5737</v>
      </c>
      <c r="O525">
        <v>3.8</v>
      </c>
      <c r="P525" t="s">
        <v>5613</v>
      </c>
      <c r="Q525">
        <v>54.5</v>
      </c>
      <c r="R525">
        <v>236</v>
      </c>
      <c r="S525">
        <v>5.4</v>
      </c>
      <c r="T525" t="s">
        <v>5613</v>
      </c>
      <c r="U525">
        <v>35.5</v>
      </c>
      <c r="V525">
        <v>376</v>
      </c>
      <c r="W525">
        <v>23.8</v>
      </c>
      <c r="X525">
        <v>509</v>
      </c>
      <c r="Y525">
        <v>8.4</v>
      </c>
      <c r="Z525" t="s">
        <v>5613</v>
      </c>
      <c r="AA525">
        <v>41.1</v>
      </c>
      <c r="AB525" t="s">
        <v>6152</v>
      </c>
      <c r="AC525">
        <v>22.6</v>
      </c>
    </row>
    <row r="526" spans="1:29">
      <c r="A526">
        <f>523</f>
        <v>523</v>
      </c>
      <c r="B526" t="s">
        <v>6014</v>
      </c>
      <c r="C526" t="s">
        <v>6153</v>
      </c>
      <c r="D526" t="s">
        <v>5772</v>
      </c>
      <c r="E526" t="s">
        <v>386</v>
      </c>
      <c r="F526" t="s">
        <v>5593</v>
      </c>
      <c r="G526" t="s">
        <v>5594</v>
      </c>
      <c r="H526" t="s">
        <v>5590</v>
      </c>
      <c r="I526">
        <v>5</v>
      </c>
      <c r="J526" t="s">
        <v>5595</v>
      </c>
      <c r="K526">
        <v>22.9</v>
      </c>
      <c r="L526">
        <v>381</v>
      </c>
      <c r="M526">
        <v>4.5</v>
      </c>
      <c r="N526" t="s">
        <v>5737</v>
      </c>
      <c r="O526">
        <v>57.6</v>
      </c>
      <c r="P526">
        <v>252</v>
      </c>
      <c r="Q526">
        <v>7.1</v>
      </c>
      <c r="R526" t="s">
        <v>5613</v>
      </c>
      <c r="S526">
        <v>4.0999999999999996</v>
      </c>
      <c r="T526" t="s">
        <v>5613</v>
      </c>
      <c r="U526">
        <v>9.6999999999999993</v>
      </c>
      <c r="V526" t="s">
        <v>5613</v>
      </c>
      <c r="W526">
        <v>55.3</v>
      </c>
      <c r="X526">
        <v>282</v>
      </c>
      <c r="Y526">
        <v>8</v>
      </c>
      <c r="Z526" t="s">
        <v>5613</v>
      </c>
      <c r="AA526">
        <v>80.599999999999994</v>
      </c>
      <c r="AB526">
        <v>145</v>
      </c>
      <c r="AC526">
        <v>22.5</v>
      </c>
    </row>
    <row r="527" spans="1:29">
      <c r="A527">
        <f>523</f>
        <v>523</v>
      </c>
      <c r="B527" t="s">
        <v>6056</v>
      </c>
      <c r="C527" t="s">
        <v>1026</v>
      </c>
      <c r="D527" t="s">
        <v>5592</v>
      </c>
      <c r="E527" t="s">
        <v>26</v>
      </c>
      <c r="F527" t="s">
        <v>5593</v>
      </c>
      <c r="G527" t="s">
        <v>5594</v>
      </c>
      <c r="H527" t="s">
        <v>5809</v>
      </c>
      <c r="I527">
        <v>4</v>
      </c>
      <c r="J527" t="s">
        <v>5595</v>
      </c>
      <c r="K527">
        <v>8.5</v>
      </c>
      <c r="L527" t="s">
        <v>5737</v>
      </c>
      <c r="M527">
        <v>3.5</v>
      </c>
      <c r="N527" t="s">
        <v>5737</v>
      </c>
      <c r="O527">
        <v>13</v>
      </c>
      <c r="P527" t="s">
        <v>5613</v>
      </c>
      <c r="Q527">
        <v>25.4</v>
      </c>
      <c r="R527">
        <v>477</v>
      </c>
      <c r="S527">
        <v>57.4</v>
      </c>
      <c r="T527">
        <v>322</v>
      </c>
      <c r="U527">
        <v>67.400000000000006</v>
      </c>
      <c r="V527">
        <v>221</v>
      </c>
      <c r="W527">
        <v>36.4</v>
      </c>
      <c r="X527">
        <v>407</v>
      </c>
      <c r="Y527">
        <v>16.8</v>
      </c>
      <c r="Z527">
        <v>507</v>
      </c>
      <c r="AA527">
        <v>85.2</v>
      </c>
      <c r="AB527" t="s">
        <v>5714</v>
      </c>
      <c r="AC527">
        <v>22.5</v>
      </c>
    </row>
    <row r="528" spans="1:29">
      <c r="A528">
        <v>525</v>
      </c>
      <c r="B528" t="s">
        <v>5861</v>
      </c>
      <c r="C528" t="s">
        <v>5402</v>
      </c>
      <c r="D528" t="s">
        <v>6034</v>
      </c>
      <c r="E528" t="s">
        <v>6035</v>
      </c>
      <c r="F528" t="s">
        <v>5615</v>
      </c>
      <c r="G528" t="s">
        <v>5602</v>
      </c>
      <c r="H528" t="s">
        <v>5590</v>
      </c>
      <c r="I528">
        <v>3</v>
      </c>
      <c r="J528" t="s">
        <v>5595</v>
      </c>
      <c r="K528">
        <v>13.7</v>
      </c>
      <c r="L528" t="s">
        <v>5737</v>
      </c>
      <c r="M528">
        <v>3.9</v>
      </c>
      <c r="N528" t="s">
        <v>5737</v>
      </c>
      <c r="O528">
        <v>90.3</v>
      </c>
      <c r="P528">
        <v>86</v>
      </c>
      <c r="Q528">
        <v>8.6</v>
      </c>
      <c r="R528" t="s">
        <v>5613</v>
      </c>
      <c r="S528">
        <v>100</v>
      </c>
      <c r="T528">
        <v>46</v>
      </c>
      <c r="U528">
        <v>5.5</v>
      </c>
      <c r="V528" t="s">
        <v>5613</v>
      </c>
      <c r="W528">
        <v>1</v>
      </c>
      <c r="X528" t="s">
        <v>5613</v>
      </c>
      <c r="Y528">
        <v>34.200000000000003</v>
      </c>
      <c r="Z528">
        <v>226</v>
      </c>
      <c r="AA528">
        <v>1</v>
      </c>
      <c r="AB528" t="s">
        <v>5613</v>
      </c>
      <c r="AC528">
        <v>22.4</v>
      </c>
    </row>
    <row r="529" spans="1:29">
      <c r="A529">
        <f>526</f>
        <v>526</v>
      </c>
      <c r="B529">
        <v>345</v>
      </c>
      <c r="C529" t="s">
        <v>6154</v>
      </c>
      <c r="D529" t="s">
        <v>5696</v>
      </c>
      <c r="E529" t="s">
        <v>5697</v>
      </c>
      <c r="F529" t="s">
        <v>5588</v>
      </c>
      <c r="G529" t="s">
        <v>5651</v>
      </c>
      <c r="I529">
        <v>4</v>
      </c>
      <c r="J529" t="s">
        <v>5595</v>
      </c>
      <c r="K529">
        <v>11.8</v>
      </c>
      <c r="L529" t="s">
        <v>5737</v>
      </c>
      <c r="M529">
        <v>21.3</v>
      </c>
      <c r="N529">
        <v>436</v>
      </c>
      <c r="O529">
        <v>100</v>
      </c>
      <c r="P529">
        <v>17</v>
      </c>
      <c r="Q529">
        <v>1.4</v>
      </c>
      <c r="R529" t="s">
        <v>5613</v>
      </c>
      <c r="S529">
        <v>12.7</v>
      </c>
      <c r="T529" t="s">
        <v>5613</v>
      </c>
      <c r="U529">
        <v>46.2</v>
      </c>
      <c r="V529">
        <v>315</v>
      </c>
      <c r="W529">
        <v>1</v>
      </c>
      <c r="X529" t="s">
        <v>5613</v>
      </c>
      <c r="Y529">
        <v>47.6</v>
      </c>
      <c r="Z529">
        <v>144</v>
      </c>
      <c r="AA529">
        <v>1</v>
      </c>
      <c r="AB529" t="s">
        <v>5613</v>
      </c>
      <c r="AC529">
        <v>22.3</v>
      </c>
    </row>
    <row r="530" spans="1:29">
      <c r="A530">
        <f>526</f>
        <v>526</v>
      </c>
      <c r="B530" t="s">
        <v>6073</v>
      </c>
      <c r="C530" t="s">
        <v>6155</v>
      </c>
      <c r="D530" t="s">
        <v>5981</v>
      </c>
      <c r="E530" t="s">
        <v>895</v>
      </c>
      <c r="F530" t="s">
        <v>5615</v>
      </c>
      <c r="G530" t="s">
        <v>5589</v>
      </c>
      <c r="H530" t="s">
        <v>5590</v>
      </c>
      <c r="I530">
        <v>3</v>
      </c>
      <c r="J530" t="s">
        <v>5591</v>
      </c>
      <c r="K530">
        <v>18.100000000000001</v>
      </c>
      <c r="L530">
        <v>496</v>
      </c>
      <c r="M530">
        <v>37.5</v>
      </c>
      <c r="N530">
        <v>262</v>
      </c>
      <c r="O530">
        <v>34.5</v>
      </c>
      <c r="P530">
        <v>465</v>
      </c>
      <c r="Q530">
        <v>19.2</v>
      </c>
      <c r="R530">
        <v>567</v>
      </c>
      <c r="S530">
        <v>37</v>
      </c>
      <c r="T530">
        <v>437</v>
      </c>
      <c r="U530">
        <v>15</v>
      </c>
      <c r="V530">
        <v>620</v>
      </c>
      <c r="W530">
        <v>1.8</v>
      </c>
      <c r="X530" t="s">
        <v>5613</v>
      </c>
      <c r="Y530">
        <v>11.2</v>
      </c>
      <c r="Z530" t="s">
        <v>5613</v>
      </c>
      <c r="AA530">
        <v>15.4</v>
      </c>
      <c r="AB530" t="s">
        <v>5893</v>
      </c>
      <c r="AC530">
        <v>22.3</v>
      </c>
    </row>
    <row r="531" spans="1:29">
      <c r="A531">
        <f>526</f>
        <v>526</v>
      </c>
      <c r="B531" t="s">
        <v>6104</v>
      </c>
      <c r="C531" t="s">
        <v>6156</v>
      </c>
      <c r="D531" t="s">
        <v>5770</v>
      </c>
      <c r="E531" t="s">
        <v>528</v>
      </c>
      <c r="F531" t="s">
        <v>5615</v>
      </c>
      <c r="G531" t="s">
        <v>5589</v>
      </c>
      <c r="H531" t="s">
        <v>5590</v>
      </c>
      <c r="I531">
        <v>5</v>
      </c>
      <c r="J531" t="s">
        <v>5595</v>
      </c>
      <c r="K531">
        <v>8.6999999999999993</v>
      </c>
      <c r="L531" t="s">
        <v>5737</v>
      </c>
      <c r="M531">
        <v>3.6</v>
      </c>
      <c r="N531" t="s">
        <v>5737</v>
      </c>
      <c r="Q531">
        <v>95.4</v>
      </c>
      <c r="R531">
        <v>51</v>
      </c>
      <c r="W531">
        <v>2.4</v>
      </c>
      <c r="X531" t="s">
        <v>5613</v>
      </c>
      <c r="AA531">
        <v>1.1000000000000001</v>
      </c>
      <c r="AB531" t="s">
        <v>5613</v>
      </c>
      <c r="AC531">
        <v>22.3</v>
      </c>
    </row>
    <row r="532" spans="1:29">
      <c r="A532">
        <v>529</v>
      </c>
      <c r="B532" t="s">
        <v>6049</v>
      </c>
      <c r="C532" t="s">
        <v>6157</v>
      </c>
      <c r="D532" t="s">
        <v>5612</v>
      </c>
      <c r="E532" t="s">
        <v>116</v>
      </c>
      <c r="F532" t="s">
        <v>5593</v>
      </c>
      <c r="G532" t="s">
        <v>5589</v>
      </c>
      <c r="H532" t="s">
        <v>5590</v>
      </c>
      <c r="I532">
        <v>3</v>
      </c>
      <c r="J532" t="s">
        <v>5595</v>
      </c>
      <c r="K532">
        <v>8.6999999999999993</v>
      </c>
      <c r="L532" t="s">
        <v>5737</v>
      </c>
      <c r="M532">
        <v>8.1</v>
      </c>
      <c r="N532" t="s">
        <v>5737</v>
      </c>
      <c r="O532">
        <v>6.2</v>
      </c>
      <c r="P532" t="s">
        <v>5613</v>
      </c>
      <c r="Q532">
        <v>41</v>
      </c>
      <c r="R532">
        <v>335</v>
      </c>
      <c r="S532">
        <v>77.5</v>
      </c>
      <c r="T532">
        <v>240</v>
      </c>
      <c r="U532">
        <v>72.599999999999994</v>
      </c>
      <c r="V532">
        <v>197</v>
      </c>
      <c r="W532">
        <v>18.7</v>
      </c>
      <c r="X532">
        <v>554</v>
      </c>
      <c r="Y532">
        <v>12</v>
      </c>
      <c r="Z532" t="s">
        <v>5613</v>
      </c>
      <c r="AA532">
        <v>11.7</v>
      </c>
      <c r="AB532" t="s">
        <v>6087</v>
      </c>
      <c r="AC532">
        <v>22.2</v>
      </c>
    </row>
    <row r="533" spans="1:29">
      <c r="A533">
        <f>530</f>
        <v>530</v>
      </c>
      <c r="B533" t="s">
        <v>6056</v>
      </c>
      <c r="C533" t="s">
        <v>1824</v>
      </c>
      <c r="D533" t="s">
        <v>5989</v>
      </c>
      <c r="E533" t="s">
        <v>1220</v>
      </c>
      <c r="F533" t="s">
        <v>5605</v>
      </c>
      <c r="G533" t="s">
        <v>5594</v>
      </c>
      <c r="H533" t="s">
        <v>5590</v>
      </c>
      <c r="I533">
        <v>4</v>
      </c>
      <c r="J533" t="s">
        <v>5595</v>
      </c>
      <c r="K533">
        <v>28.7</v>
      </c>
      <c r="L533">
        <v>305</v>
      </c>
      <c r="M533">
        <v>25.9</v>
      </c>
      <c r="N533">
        <v>370</v>
      </c>
      <c r="O533">
        <v>3.8</v>
      </c>
      <c r="P533" t="s">
        <v>5613</v>
      </c>
      <c r="Q533">
        <v>13.5</v>
      </c>
      <c r="R533">
        <v>667</v>
      </c>
      <c r="S533">
        <v>1.4</v>
      </c>
      <c r="T533" t="s">
        <v>5613</v>
      </c>
      <c r="U533">
        <v>4</v>
      </c>
      <c r="V533" t="s">
        <v>5613</v>
      </c>
      <c r="W533">
        <v>75.400000000000006</v>
      </c>
      <c r="X533">
        <v>169</v>
      </c>
      <c r="Y533">
        <v>15.7</v>
      </c>
      <c r="Z533">
        <v>532</v>
      </c>
      <c r="AA533">
        <v>36.6</v>
      </c>
      <c r="AB533">
        <v>388</v>
      </c>
      <c r="AC533">
        <v>22.1</v>
      </c>
    </row>
    <row r="534" spans="1:29">
      <c r="A534">
        <f>530</f>
        <v>530</v>
      </c>
      <c r="B534" t="s">
        <v>6052</v>
      </c>
      <c r="C534" t="s">
        <v>6158</v>
      </c>
      <c r="D534" t="s">
        <v>5639</v>
      </c>
      <c r="E534" t="s">
        <v>99</v>
      </c>
      <c r="F534" t="s">
        <v>5593</v>
      </c>
      <c r="G534" t="s">
        <v>5594</v>
      </c>
      <c r="H534" t="s">
        <v>5590</v>
      </c>
      <c r="I534">
        <v>5</v>
      </c>
      <c r="J534" t="s">
        <v>5595</v>
      </c>
      <c r="K534">
        <v>18.600000000000001</v>
      </c>
      <c r="L534">
        <v>478</v>
      </c>
      <c r="M534">
        <v>10.1</v>
      </c>
      <c r="N534" t="s">
        <v>5737</v>
      </c>
      <c r="O534">
        <v>47.7</v>
      </c>
      <c r="P534">
        <v>328</v>
      </c>
      <c r="Q534">
        <v>16.100000000000001</v>
      </c>
      <c r="R534">
        <v>616</v>
      </c>
      <c r="U534">
        <v>9.4</v>
      </c>
      <c r="V534" t="s">
        <v>5613</v>
      </c>
      <c r="W534">
        <v>79.900000000000006</v>
      </c>
      <c r="X534">
        <v>145</v>
      </c>
      <c r="Y534">
        <v>10.5</v>
      </c>
      <c r="Z534" t="s">
        <v>5613</v>
      </c>
      <c r="AA534">
        <v>42.3</v>
      </c>
      <c r="AB534" t="s">
        <v>5638</v>
      </c>
      <c r="AC534">
        <v>22.1</v>
      </c>
    </row>
    <row r="535" spans="1:29">
      <c r="A535">
        <f>530</f>
        <v>530</v>
      </c>
      <c r="B535" t="s">
        <v>6159</v>
      </c>
      <c r="C535" t="s">
        <v>6160</v>
      </c>
      <c r="D535" t="s">
        <v>5710</v>
      </c>
      <c r="E535" t="s">
        <v>3726</v>
      </c>
      <c r="F535" t="s">
        <v>5615</v>
      </c>
      <c r="G535" t="s">
        <v>5602</v>
      </c>
      <c r="H535" t="s">
        <v>6146</v>
      </c>
      <c r="I535">
        <v>3</v>
      </c>
      <c r="J535" t="s">
        <v>5591</v>
      </c>
      <c r="K535">
        <v>9.3000000000000007</v>
      </c>
      <c r="L535" t="s">
        <v>5737</v>
      </c>
      <c r="M535">
        <v>17.8</v>
      </c>
      <c r="N535">
        <v>493</v>
      </c>
      <c r="O535">
        <v>90.5</v>
      </c>
      <c r="P535">
        <v>83</v>
      </c>
      <c r="Q535">
        <v>1.1000000000000001</v>
      </c>
      <c r="R535" t="s">
        <v>5613</v>
      </c>
      <c r="S535">
        <v>40.4</v>
      </c>
      <c r="T535">
        <v>411</v>
      </c>
      <c r="U535">
        <v>96.6</v>
      </c>
      <c r="V535">
        <v>79</v>
      </c>
      <c r="W535">
        <v>1</v>
      </c>
      <c r="X535" t="s">
        <v>5613</v>
      </c>
      <c r="Y535">
        <v>9.6</v>
      </c>
      <c r="Z535" t="s">
        <v>5613</v>
      </c>
      <c r="AA535">
        <v>1</v>
      </c>
      <c r="AB535" t="s">
        <v>5613</v>
      </c>
      <c r="AC535">
        <v>22.1</v>
      </c>
    </row>
    <row r="536" spans="1:29">
      <c r="A536">
        <f>530</f>
        <v>530</v>
      </c>
      <c r="B536" t="s">
        <v>6056</v>
      </c>
      <c r="C536" t="s">
        <v>1010</v>
      </c>
      <c r="D536" t="s">
        <v>5747</v>
      </c>
      <c r="E536" t="s">
        <v>397</v>
      </c>
      <c r="F536" t="s">
        <v>5593</v>
      </c>
      <c r="G536" t="s">
        <v>5594</v>
      </c>
      <c r="H536" t="s">
        <v>5590</v>
      </c>
      <c r="I536">
        <v>5</v>
      </c>
      <c r="J536" t="s">
        <v>5595</v>
      </c>
      <c r="K536">
        <v>17.399999999999999</v>
      </c>
      <c r="L536">
        <v>511</v>
      </c>
      <c r="M536">
        <v>3.8</v>
      </c>
      <c r="N536" t="s">
        <v>5737</v>
      </c>
      <c r="O536">
        <v>11.3</v>
      </c>
      <c r="P536" t="s">
        <v>5613</v>
      </c>
      <c r="Q536">
        <v>40.6</v>
      </c>
      <c r="R536">
        <v>340</v>
      </c>
      <c r="S536">
        <v>4.8</v>
      </c>
      <c r="T536" t="s">
        <v>5613</v>
      </c>
      <c r="U536">
        <v>8.8000000000000007</v>
      </c>
      <c r="V536" t="s">
        <v>5613</v>
      </c>
      <c r="W536">
        <v>54.3</v>
      </c>
      <c r="X536">
        <v>291</v>
      </c>
      <c r="Y536">
        <v>12.7</v>
      </c>
      <c r="Z536">
        <v>679</v>
      </c>
      <c r="AA536">
        <v>61.9</v>
      </c>
      <c r="AB536" t="s">
        <v>5852</v>
      </c>
      <c r="AC536">
        <v>22.1</v>
      </c>
    </row>
    <row r="537" spans="1:29">
      <c r="A537">
        <f>534</f>
        <v>534</v>
      </c>
      <c r="B537" t="s">
        <v>5968</v>
      </c>
      <c r="C537" t="s">
        <v>6161</v>
      </c>
      <c r="D537" t="s">
        <v>5616</v>
      </c>
      <c r="E537" t="s">
        <v>54</v>
      </c>
      <c r="F537" t="s">
        <v>5593</v>
      </c>
      <c r="G537" t="s">
        <v>5594</v>
      </c>
      <c r="H537" t="s">
        <v>5590</v>
      </c>
      <c r="I537">
        <v>3</v>
      </c>
      <c r="J537" t="s">
        <v>5595</v>
      </c>
      <c r="K537">
        <v>9.6</v>
      </c>
      <c r="L537" t="s">
        <v>5737</v>
      </c>
      <c r="M537">
        <v>2.1</v>
      </c>
      <c r="N537" t="s">
        <v>5737</v>
      </c>
      <c r="O537">
        <v>19.899999999999999</v>
      </c>
      <c r="P537">
        <v>667</v>
      </c>
      <c r="Q537">
        <v>78.7</v>
      </c>
      <c r="R537">
        <v>119</v>
      </c>
      <c r="S537">
        <v>3.4</v>
      </c>
      <c r="T537" t="s">
        <v>5613</v>
      </c>
      <c r="U537">
        <v>1.6</v>
      </c>
      <c r="V537" t="s">
        <v>5613</v>
      </c>
      <c r="W537">
        <v>3.3</v>
      </c>
      <c r="X537" t="s">
        <v>5613</v>
      </c>
      <c r="Y537">
        <v>6.5</v>
      </c>
      <c r="Z537" t="s">
        <v>5613</v>
      </c>
      <c r="AA537">
        <v>8.4</v>
      </c>
      <c r="AB537" t="s">
        <v>6162</v>
      </c>
      <c r="AC537">
        <v>22</v>
      </c>
    </row>
    <row r="538" spans="1:29">
      <c r="A538">
        <f>534</f>
        <v>534</v>
      </c>
      <c r="B538" t="s">
        <v>5745</v>
      </c>
      <c r="C538" t="s">
        <v>6163</v>
      </c>
      <c r="D538" t="s">
        <v>5696</v>
      </c>
      <c r="E538" t="s">
        <v>5697</v>
      </c>
      <c r="F538" t="s">
        <v>5593</v>
      </c>
      <c r="G538" t="s">
        <v>5602</v>
      </c>
      <c r="H538" t="s">
        <v>5590</v>
      </c>
      <c r="I538">
        <v>5</v>
      </c>
      <c r="J538" t="s">
        <v>5595</v>
      </c>
      <c r="K538">
        <v>16.7</v>
      </c>
      <c r="L538">
        <v>529</v>
      </c>
      <c r="M538">
        <v>9</v>
      </c>
      <c r="N538" t="s">
        <v>5737</v>
      </c>
      <c r="O538">
        <v>77.599999999999994</v>
      </c>
      <c r="P538">
        <v>148</v>
      </c>
      <c r="Q538">
        <v>3</v>
      </c>
      <c r="R538" t="s">
        <v>5613</v>
      </c>
      <c r="S538">
        <v>15</v>
      </c>
      <c r="T538">
        <v>669</v>
      </c>
      <c r="U538">
        <v>87.6</v>
      </c>
      <c r="V538">
        <v>131</v>
      </c>
      <c r="W538">
        <v>21.9</v>
      </c>
      <c r="X538">
        <v>528</v>
      </c>
      <c r="Y538">
        <v>4.3</v>
      </c>
      <c r="Z538" t="s">
        <v>5613</v>
      </c>
      <c r="AA538">
        <v>18.2</v>
      </c>
      <c r="AB538" t="s">
        <v>6114</v>
      </c>
      <c r="AC538">
        <v>22</v>
      </c>
    </row>
    <row r="539" spans="1:29">
      <c r="A539">
        <f>534</f>
        <v>534</v>
      </c>
      <c r="B539" t="s">
        <v>5968</v>
      </c>
      <c r="C539" t="s">
        <v>1219</v>
      </c>
      <c r="D539" t="s">
        <v>5989</v>
      </c>
      <c r="E539" t="s">
        <v>1220</v>
      </c>
      <c r="F539" t="s">
        <v>5593</v>
      </c>
      <c r="G539" t="s">
        <v>5594</v>
      </c>
      <c r="H539" t="s">
        <v>5809</v>
      </c>
      <c r="I539">
        <v>4</v>
      </c>
      <c r="J539" t="s">
        <v>5595</v>
      </c>
      <c r="K539">
        <v>15.1</v>
      </c>
      <c r="L539">
        <v>575</v>
      </c>
      <c r="M539">
        <v>14.3</v>
      </c>
      <c r="N539">
        <v>573</v>
      </c>
      <c r="O539">
        <v>3</v>
      </c>
      <c r="P539" t="s">
        <v>5613</v>
      </c>
      <c r="Q539">
        <v>67.900000000000006</v>
      </c>
      <c r="R539">
        <v>158</v>
      </c>
      <c r="S539">
        <v>1.7</v>
      </c>
      <c r="T539" t="s">
        <v>5613</v>
      </c>
      <c r="U539">
        <v>3.8</v>
      </c>
      <c r="V539" t="s">
        <v>5613</v>
      </c>
      <c r="W539">
        <v>13.4</v>
      </c>
      <c r="X539">
        <v>619</v>
      </c>
      <c r="Y539">
        <v>8.9</v>
      </c>
      <c r="Z539" t="s">
        <v>5613</v>
      </c>
      <c r="AA539">
        <v>3.5</v>
      </c>
      <c r="AB539" t="s">
        <v>5613</v>
      </c>
      <c r="AC539">
        <v>22</v>
      </c>
    </row>
    <row r="540" spans="1:29">
      <c r="A540">
        <f>534</f>
        <v>534</v>
      </c>
      <c r="B540" t="s">
        <v>6049</v>
      </c>
      <c r="C540" t="s">
        <v>2123</v>
      </c>
      <c r="D540" t="s">
        <v>5772</v>
      </c>
      <c r="E540" t="s">
        <v>386</v>
      </c>
      <c r="F540" t="s">
        <v>5593</v>
      </c>
      <c r="G540" t="s">
        <v>5594</v>
      </c>
      <c r="H540" t="s">
        <v>5590</v>
      </c>
      <c r="I540">
        <v>5</v>
      </c>
      <c r="J540" t="s">
        <v>5595</v>
      </c>
      <c r="K540">
        <v>26.8</v>
      </c>
      <c r="L540">
        <v>324</v>
      </c>
      <c r="M540">
        <v>15</v>
      </c>
      <c r="N540">
        <v>550</v>
      </c>
      <c r="O540">
        <v>23.2</v>
      </c>
      <c r="P540">
        <v>611</v>
      </c>
      <c r="Q540">
        <v>6.9</v>
      </c>
      <c r="R540" t="s">
        <v>5613</v>
      </c>
      <c r="S540">
        <v>6.7</v>
      </c>
      <c r="T540" t="s">
        <v>5613</v>
      </c>
      <c r="U540">
        <v>22.4</v>
      </c>
      <c r="V540">
        <v>510</v>
      </c>
      <c r="W540">
        <v>45.3</v>
      </c>
      <c r="X540">
        <v>343</v>
      </c>
      <c r="Y540">
        <v>15.3</v>
      </c>
      <c r="Z540">
        <v>550</v>
      </c>
      <c r="AA540">
        <v>72.5</v>
      </c>
      <c r="AB540" t="s">
        <v>5641</v>
      </c>
      <c r="AC540">
        <v>22</v>
      </c>
    </row>
    <row r="541" spans="1:29">
      <c r="A541">
        <f>538</f>
        <v>538</v>
      </c>
      <c r="B541" t="s">
        <v>6071</v>
      </c>
      <c r="C541" t="s">
        <v>6164</v>
      </c>
      <c r="D541" t="s">
        <v>5772</v>
      </c>
      <c r="E541" t="s">
        <v>386</v>
      </c>
      <c r="F541" t="s">
        <v>5593</v>
      </c>
      <c r="G541" t="s">
        <v>5594</v>
      </c>
      <c r="H541" t="s">
        <v>5809</v>
      </c>
      <c r="I541">
        <v>3</v>
      </c>
      <c r="J541" t="s">
        <v>5595</v>
      </c>
      <c r="K541">
        <v>10</v>
      </c>
      <c r="L541" t="s">
        <v>5737</v>
      </c>
      <c r="M541">
        <v>4.7</v>
      </c>
      <c r="N541" t="s">
        <v>5737</v>
      </c>
      <c r="O541">
        <v>68.8</v>
      </c>
      <c r="P541">
        <v>189</v>
      </c>
      <c r="Q541">
        <v>5.2</v>
      </c>
      <c r="R541" t="s">
        <v>5613</v>
      </c>
      <c r="S541">
        <v>20</v>
      </c>
      <c r="T541">
        <v>590</v>
      </c>
      <c r="U541">
        <v>66.3</v>
      </c>
      <c r="V541">
        <v>225</v>
      </c>
      <c r="W541">
        <v>37.9</v>
      </c>
      <c r="X541">
        <v>395</v>
      </c>
      <c r="Y541">
        <v>9.4</v>
      </c>
      <c r="Z541" t="s">
        <v>5613</v>
      </c>
      <c r="AA541">
        <v>74.3</v>
      </c>
      <c r="AB541">
        <v>179</v>
      </c>
      <c r="AC541">
        <v>21.9</v>
      </c>
    </row>
    <row r="542" spans="1:29">
      <c r="A542">
        <f>538</f>
        <v>538</v>
      </c>
      <c r="B542" t="s">
        <v>6033</v>
      </c>
      <c r="C542" t="s">
        <v>1146</v>
      </c>
      <c r="D542" t="s">
        <v>5672</v>
      </c>
      <c r="E542" t="s">
        <v>664</v>
      </c>
      <c r="F542" t="s">
        <v>5593</v>
      </c>
      <c r="G542" t="s">
        <v>5651</v>
      </c>
      <c r="I542">
        <v>3</v>
      </c>
      <c r="J542" t="s">
        <v>5595</v>
      </c>
      <c r="K542">
        <v>20.6</v>
      </c>
      <c r="L542">
        <v>423</v>
      </c>
      <c r="M542">
        <v>28</v>
      </c>
      <c r="N542">
        <v>345</v>
      </c>
      <c r="O542">
        <v>40.4</v>
      </c>
      <c r="P542">
        <v>389</v>
      </c>
      <c r="Q542">
        <v>7.1</v>
      </c>
      <c r="R542" t="s">
        <v>5613</v>
      </c>
      <c r="S542">
        <v>18.8</v>
      </c>
      <c r="T542">
        <v>603</v>
      </c>
      <c r="U542">
        <v>79.8</v>
      </c>
      <c r="V542">
        <v>164</v>
      </c>
      <c r="W542">
        <v>3.4</v>
      </c>
      <c r="X542" t="s">
        <v>5613</v>
      </c>
      <c r="Y542">
        <v>9.6999999999999993</v>
      </c>
      <c r="Z542" t="s">
        <v>5613</v>
      </c>
      <c r="AA542">
        <v>10.6</v>
      </c>
      <c r="AB542" t="s">
        <v>6165</v>
      </c>
      <c r="AC542">
        <v>21.9</v>
      </c>
    </row>
    <row r="543" spans="1:29">
      <c r="A543">
        <f>540</f>
        <v>540</v>
      </c>
      <c r="B543" t="s">
        <v>6049</v>
      </c>
      <c r="C543" t="s">
        <v>2016</v>
      </c>
      <c r="D543" t="s">
        <v>5959</v>
      </c>
      <c r="E543" t="s">
        <v>1102</v>
      </c>
      <c r="F543" t="s">
        <v>5615</v>
      </c>
      <c r="G543" t="s">
        <v>5589</v>
      </c>
      <c r="H543" t="s">
        <v>5590</v>
      </c>
      <c r="I543">
        <v>3</v>
      </c>
      <c r="J543" t="s">
        <v>5591</v>
      </c>
      <c r="K543">
        <v>15.7</v>
      </c>
      <c r="L543">
        <v>555</v>
      </c>
      <c r="M543">
        <v>72</v>
      </c>
      <c r="N543">
        <v>97</v>
      </c>
      <c r="O543">
        <v>35.1</v>
      </c>
      <c r="P543">
        <v>452</v>
      </c>
      <c r="Q543">
        <v>6</v>
      </c>
      <c r="R543" t="s">
        <v>5613</v>
      </c>
      <c r="S543">
        <v>7.3</v>
      </c>
      <c r="T543" t="s">
        <v>5613</v>
      </c>
      <c r="U543">
        <v>1.9</v>
      </c>
      <c r="V543" t="s">
        <v>5613</v>
      </c>
      <c r="W543">
        <v>1.1000000000000001</v>
      </c>
      <c r="X543" t="s">
        <v>5613</v>
      </c>
      <c r="Y543">
        <v>22.2</v>
      </c>
      <c r="Z543">
        <v>373</v>
      </c>
      <c r="AA543">
        <v>1.4</v>
      </c>
      <c r="AB543" t="s">
        <v>5613</v>
      </c>
      <c r="AC543">
        <v>21.8</v>
      </c>
    </row>
    <row r="544" spans="1:29">
      <c r="A544">
        <f>540</f>
        <v>540</v>
      </c>
      <c r="B544" t="s">
        <v>6104</v>
      </c>
      <c r="C544" t="s">
        <v>6166</v>
      </c>
      <c r="D544" t="s">
        <v>5710</v>
      </c>
      <c r="E544" t="s">
        <v>3726</v>
      </c>
      <c r="F544" t="s">
        <v>5605</v>
      </c>
      <c r="G544" t="s">
        <v>5594</v>
      </c>
      <c r="H544" t="s">
        <v>5809</v>
      </c>
      <c r="I544">
        <v>5</v>
      </c>
      <c r="J544" t="s">
        <v>5595</v>
      </c>
      <c r="K544">
        <v>38.700000000000003</v>
      </c>
      <c r="L544">
        <v>221</v>
      </c>
      <c r="M544">
        <v>31</v>
      </c>
      <c r="N544">
        <v>316</v>
      </c>
      <c r="O544">
        <v>23.8</v>
      </c>
      <c r="P544">
        <v>598</v>
      </c>
      <c r="Q544">
        <v>2.1</v>
      </c>
      <c r="R544" t="s">
        <v>5613</v>
      </c>
      <c r="S544">
        <v>3.6</v>
      </c>
      <c r="T544" t="s">
        <v>5613</v>
      </c>
      <c r="U544">
        <v>29.9</v>
      </c>
      <c r="V544">
        <v>423</v>
      </c>
      <c r="W544">
        <v>9.1</v>
      </c>
      <c r="X544">
        <v>695</v>
      </c>
      <c r="Y544">
        <v>8.6</v>
      </c>
      <c r="Z544" t="s">
        <v>5613</v>
      </c>
      <c r="AA544">
        <v>5.0999999999999996</v>
      </c>
      <c r="AB544" t="s">
        <v>5613</v>
      </c>
      <c r="AC544">
        <v>21.8</v>
      </c>
    </row>
    <row r="545" spans="1:29">
      <c r="A545">
        <f>542</f>
        <v>542</v>
      </c>
      <c r="B545" t="s">
        <v>5966</v>
      </c>
      <c r="C545" t="s">
        <v>1540</v>
      </c>
      <c r="D545" t="s">
        <v>5696</v>
      </c>
      <c r="E545" t="s">
        <v>5697</v>
      </c>
      <c r="F545" t="s">
        <v>5588</v>
      </c>
      <c r="G545" t="s">
        <v>5602</v>
      </c>
      <c r="H545" t="s">
        <v>5590</v>
      </c>
      <c r="I545">
        <v>5</v>
      </c>
      <c r="J545" t="s">
        <v>5595</v>
      </c>
      <c r="K545">
        <v>12</v>
      </c>
      <c r="L545" t="s">
        <v>5737</v>
      </c>
      <c r="M545">
        <v>11.6</v>
      </c>
      <c r="N545" t="s">
        <v>5737</v>
      </c>
      <c r="O545">
        <v>96.2</v>
      </c>
      <c r="P545">
        <v>55</v>
      </c>
      <c r="Q545">
        <v>6.9</v>
      </c>
      <c r="R545" t="s">
        <v>5613</v>
      </c>
      <c r="S545">
        <v>21.4</v>
      </c>
      <c r="T545">
        <v>579</v>
      </c>
      <c r="U545">
        <v>38.9</v>
      </c>
      <c r="V545">
        <v>354</v>
      </c>
      <c r="W545">
        <v>27.3</v>
      </c>
      <c r="X545">
        <v>476</v>
      </c>
      <c r="Y545">
        <v>7.3</v>
      </c>
      <c r="Z545" t="s">
        <v>5613</v>
      </c>
      <c r="AA545">
        <v>15</v>
      </c>
      <c r="AB545" t="s">
        <v>6167</v>
      </c>
      <c r="AC545">
        <v>21.7</v>
      </c>
    </row>
    <row r="546" spans="1:29">
      <c r="A546">
        <f>542</f>
        <v>542</v>
      </c>
      <c r="B546" t="s">
        <v>5974</v>
      </c>
      <c r="C546" t="s">
        <v>6168</v>
      </c>
      <c r="D546" t="s">
        <v>5639</v>
      </c>
      <c r="E546" t="s">
        <v>99</v>
      </c>
      <c r="F546" t="s">
        <v>5588</v>
      </c>
      <c r="G546" t="s">
        <v>5602</v>
      </c>
      <c r="H546" t="s">
        <v>5590</v>
      </c>
      <c r="I546">
        <v>4</v>
      </c>
      <c r="J546" t="s">
        <v>5595</v>
      </c>
      <c r="K546">
        <v>7.6</v>
      </c>
      <c r="L546" t="s">
        <v>5737</v>
      </c>
      <c r="M546">
        <v>3.9</v>
      </c>
      <c r="N546" t="s">
        <v>5737</v>
      </c>
      <c r="O546">
        <v>78.3</v>
      </c>
      <c r="P546">
        <v>144</v>
      </c>
      <c r="Q546">
        <v>33.700000000000003</v>
      </c>
      <c r="R546">
        <v>404</v>
      </c>
      <c r="S546">
        <v>41.1</v>
      </c>
      <c r="T546">
        <v>403</v>
      </c>
      <c r="U546">
        <v>21.1</v>
      </c>
      <c r="V546">
        <v>533</v>
      </c>
      <c r="W546">
        <v>14.5</v>
      </c>
      <c r="X546">
        <v>603</v>
      </c>
      <c r="Y546">
        <v>7.2</v>
      </c>
      <c r="Z546" t="s">
        <v>5613</v>
      </c>
      <c r="AA546">
        <v>3.2</v>
      </c>
      <c r="AB546" t="s">
        <v>5613</v>
      </c>
      <c r="AC546">
        <v>21.7</v>
      </c>
    </row>
    <row r="547" spans="1:29">
      <c r="A547">
        <v>544</v>
      </c>
      <c r="B547" t="s">
        <v>6071</v>
      </c>
      <c r="C547" t="s">
        <v>6169</v>
      </c>
      <c r="D547" t="s">
        <v>6170</v>
      </c>
      <c r="E547" t="s">
        <v>2723</v>
      </c>
      <c r="F547" t="s">
        <v>5593</v>
      </c>
      <c r="G547" t="s">
        <v>5589</v>
      </c>
      <c r="H547" t="s">
        <v>5809</v>
      </c>
      <c r="I547">
        <v>4</v>
      </c>
      <c r="J547" t="s">
        <v>5595</v>
      </c>
      <c r="K547">
        <v>33.5</v>
      </c>
      <c r="L547">
        <v>260</v>
      </c>
      <c r="M547">
        <v>37.6</v>
      </c>
      <c r="N547">
        <v>260</v>
      </c>
      <c r="O547">
        <v>34.700000000000003</v>
      </c>
      <c r="P547">
        <v>459</v>
      </c>
      <c r="Q547">
        <v>1.8</v>
      </c>
      <c r="R547" t="s">
        <v>5613</v>
      </c>
      <c r="W547">
        <v>6</v>
      </c>
      <c r="X547" t="s">
        <v>5613</v>
      </c>
      <c r="Y547">
        <v>33.700000000000003</v>
      </c>
      <c r="Z547">
        <v>227</v>
      </c>
      <c r="AA547">
        <v>4.7</v>
      </c>
      <c r="AB547" t="s">
        <v>5613</v>
      </c>
      <c r="AC547">
        <v>21.6</v>
      </c>
    </row>
    <row r="548" spans="1:29">
      <c r="A548">
        <f>545</f>
        <v>545</v>
      </c>
      <c r="B548" t="s">
        <v>5980</v>
      </c>
      <c r="C548" t="s">
        <v>1190</v>
      </c>
      <c r="D548" t="s">
        <v>5848</v>
      </c>
      <c r="E548" t="s">
        <v>588</v>
      </c>
      <c r="F548" t="s">
        <v>5593</v>
      </c>
      <c r="G548" t="s">
        <v>5594</v>
      </c>
      <c r="H548" t="s">
        <v>5590</v>
      </c>
      <c r="I548">
        <v>4</v>
      </c>
      <c r="J548" t="s">
        <v>5595</v>
      </c>
      <c r="K548">
        <v>8</v>
      </c>
      <c r="L548" t="s">
        <v>5737</v>
      </c>
      <c r="M548">
        <v>5.3</v>
      </c>
      <c r="N548" t="s">
        <v>5737</v>
      </c>
      <c r="O548">
        <v>7.8</v>
      </c>
      <c r="P548" t="s">
        <v>5613</v>
      </c>
      <c r="Q548">
        <v>62.2</v>
      </c>
      <c r="R548">
        <v>194</v>
      </c>
      <c r="S548">
        <v>47.9</v>
      </c>
      <c r="T548">
        <v>366</v>
      </c>
      <c r="U548">
        <v>2.9</v>
      </c>
      <c r="V548" t="s">
        <v>5613</v>
      </c>
      <c r="W548">
        <v>10.199999999999999</v>
      </c>
      <c r="X548">
        <v>667</v>
      </c>
      <c r="Y548">
        <v>15.2</v>
      </c>
      <c r="Z548">
        <v>554</v>
      </c>
      <c r="AA548">
        <v>28.4</v>
      </c>
      <c r="AB548" t="s">
        <v>6002</v>
      </c>
      <c r="AC548">
        <v>21.5</v>
      </c>
    </row>
    <row r="549" spans="1:29">
      <c r="A549">
        <f>545</f>
        <v>545</v>
      </c>
      <c r="B549" t="s">
        <v>6136</v>
      </c>
      <c r="C549" t="s">
        <v>6171</v>
      </c>
      <c r="D549" t="s">
        <v>5587</v>
      </c>
      <c r="E549" t="s">
        <v>29</v>
      </c>
      <c r="F549" t="s">
        <v>5605</v>
      </c>
      <c r="G549" t="s">
        <v>5594</v>
      </c>
      <c r="H549" t="s">
        <v>5590</v>
      </c>
      <c r="I549">
        <v>4</v>
      </c>
      <c r="J549" t="s">
        <v>5595</v>
      </c>
      <c r="K549">
        <v>22.7</v>
      </c>
      <c r="L549">
        <v>386</v>
      </c>
      <c r="M549">
        <v>34.1</v>
      </c>
      <c r="N549">
        <v>286</v>
      </c>
      <c r="O549">
        <v>9.4</v>
      </c>
      <c r="P549" t="s">
        <v>5613</v>
      </c>
      <c r="Q549">
        <v>5.8</v>
      </c>
      <c r="R549" t="s">
        <v>5613</v>
      </c>
      <c r="S549">
        <v>6.6</v>
      </c>
      <c r="T549" t="s">
        <v>5613</v>
      </c>
      <c r="U549">
        <v>4.9000000000000004</v>
      </c>
      <c r="V549" t="s">
        <v>5613</v>
      </c>
      <c r="W549">
        <v>89</v>
      </c>
      <c r="X549">
        <v>90</v>
      </c>
      <c r="Y549">
        <v>19.3</v>
      </c>
      <c r="Z549">
        <v>434</v>
      </c>
      <c r="AA549">
        <v>31.3</v>
      </c>
      <c r="AB549" t="s">
        <v>5904</v>
      </c>
      <c r="AC549">
        <v>21.5</v>
      </c>
    </row>
    <row r="550" spans="1:29">
      <c r="A550">
        <f>545</f>
        <v>545</v>
      </c>
      <c r="B550" t="s">
        <v>6079</v>
      </c>
      <c r="C550" t="s">
        <v>6172</v>
      </c>
      <c r="D550" t="s">
        <v>5604</v>
      </c>
      <c r="E550" t="s">
        <v>70</v>
      </c>
      <c r="F550" t="s">
        <v>5588</v>
      </c>
      <c r="G550" t="s">
        <v>5651</v>
      </c>
      <c r="I550">
        <v>2</v>
      </c>
      <c r="J550" t="s">
        <v>5595</v>
      </c>
      <c r="K550">
        <v>11.8</v>
      </c>
      <c r="L550" t="s">
        <v>5737</v>
      </c>
      <c r="M550">
        <v>15.3</v>
      </c>
      <c r="N550">
        <v>538</v>
      </c>
      <c r="O550">
        <v>10.5</v>
      </c>
      <c r="P550" t="s">
        <v>5613</v>
      </c>
      <c r="Q550">
        <v>20.9</v>
      </c>
      <c r="R550">
        <v>546</v>
      </c>
      <c r="S550">
        <v>100</v>
      </c>
      <c r="T550">
        <v>39</v>
      </c>
      <c r="U550">
        <v>63.3</v>
      </c>
      <c r="V550">
        <v>238</v>
      </c>
      <c r="W550">
        <v>1.2</v>
      </c>
      <c r="X550" t="s">
        <v>5613</v>
      </c>
      <c r="Y550">
        <v>25</v>
      </c>
      <c r="Z550">
        <v>331</v>
      </c>
      <c r="AA550">
        <v>21.4</v>
      </c>
      <c r="AB550" t="s">
        <v>6173</v>
      </c>
      <c r="AC550">
        <v>21.5</v>
      </c>
    </row>
    <row r="551" spans="1:29">
      <c r="A551">
        <f>548</f>
        <v>548</v>
      </c>
      <c r="B551" t="s">
        <v>5968</v>
      </c>
      <c r="C551" t="s">
        <v>1579</v>
      </c>
      <c r="D551" t="s">
        <v>5587</v>
      </c>
      <c r="E551" t="s">
        <v>29</v>
      </c>
      <c r="F551" t="s">
        <v>5588</v>
      </c>
      <c r="G551" t="s">
        <v>5589</v>
      </c>
      <c r="H551" t="s">
        <v>5590</v>
      </c>
      <c r="I551">
        <v>5</v>
      </c>
      <c r="J551" t="s">
        <v>5591</v>
      </c>
      <c r="K551">
        <v>5.8</v>
      </c>
      <c r="L551" t="s">
        <v>5737</v>
      </c>
      <c r="M551">
        <v>4.2</v>
      </c>
      <c r="N551" t="s">
        <v>5737</v>
      </c>
      <c r="O551">
        <v>26.2</v>
      </c>
      <c r="P551">
        <v>567</v>
      </c>
      <c r="Q551">
        <v>38.4</v>
      </c>
      <c r="R551">
        <v>362</v>
      </c>
      <c r="S551">
        <v>62.4</v>
      </c>
      <c r="T551">
        <v>311</v>
      </c>
      <c r="U551">
        <v>29.6</v>
      </c>
      <c r="V551">
        <v>426</v>
      </c>
      <c r="W551">
        <v>9.1</v>
      </c>
      <c r="X551">
        <v>693</v>
      </c>
      <c r="Y551">
        <v>28.3</v>
      </c>
      <c r="Z551">
        <v>285</v>
      </c>
      <c r="AA551">
        <v>47.5</v>
      </c>
      <c r="AB551" t="s">
        <v>5909</v>
      </c>
      <c r="AC551">
        <v>21.4</v>
      </c>
    </row>
    <row r="552" spans="1:29">
      <c r="A552">
        <f>548</f>
        <v>548</v>
      </c>
      <c r="B552" t="s">
        <v>6056</v>
      </c>
      <c r="C552" t="s">
        <v>6174</v>
      </c>
      <c r="D552" t="s">
        <v>5592</v>
      </c>
      <c r="E552" t="s">
        <v>26</v>
      </c>
      <c r="F552" t="s">
        <v>5593</v>
      </c>
      <c r="G552" t="s">
        <v>5589</v>
      </c>
      <c r="H552" t="s">
        <v>5590</v>
      </c>
      <c r="I552">
        <v>4</v>
      </c>
      <c r="J552" t="s">
        <v>5595</v>
      </c>
      <c r="K552">
        <v>10.5</v>
      </c>
      <c r="L552" t="s">
        <v>5737</v>
      </c>
      <c r="M552">
        <v>15.9</v>
      </c>
      <c r="N552">
        <v>530</v>
      </c>
      <c r="O552">
        <v>10.7</v>
      </c>
      <c r="P552" t="s">
        <v>5613</v>
      </c>
      <c r="Q552">
        <v>16</v>
      </c>
      <c r="R552">
        <v>621</v>
      </c>
      <c r="S552">
        <v>67.2</v>
      </c>
      <c r="T552">
        <v>291</v>
      </c>
      <c r="U552">
        <v>72.3</v>
      </c>
      <c r="V552">
        <v>199</v>
      </c>
      <c r="W552">
        <v>49.8</v>
      </c>
      <c r="X552">
        <v>314</v>
      </c>
      <c r="Y552">
        <v>16</v>
      </c>
      <c r="Z552">
        <v>523</v>
      </c>
      <c r="AA552">
        <v>29.1</v>
      </c>
      <c r="AB552" t="s">
        <v>5991</v>
      </c>
      <c r="AC552">
        <v>21.4</v>
      </c>
    </row>
    <row r="553" spans="1:29">
      <c r="A553">
        <f>548</f>
        <v>548</v>
      </c>
      <c r="B553" t="s">
        <v>6014</v>
      </c>
      <c r="C553" t="s">
        <v>1229</v>
      </c>
      <c r="D553" t="s">
        <v>5732</v>
      </c>
      <c r="E553" t="s">
        <v>313</v>
      </c>
      <c r="F553" t="s">
        <v>5593</v>
      </c>
      <c r="G553" t="s">
        <v>5589</v>
      </c>
      <c r="H553" t="s">
        <v>5590</v>
      </c>
      <c r="I553">
        <v>4</v>
      </c>
      <c r="J553" t="s">
        <v>5595</v>
      </c>
      <c r="K553">
        <v>14.8</v>
      </c>
      <c r="L553">
        <v>588</v>
      </c>
      <c r="M553">
        <v>9.6999999999999993</v>
      </c>
      <c r="N553" t="s">
        <v>5737</v>
      </c>
      <c r="O553">
        <v>39.4</v>
      </c>
      <c r="P553">
        <v>403</v>
      </c>
      <c r="Q553">
        <v>24.6</v>
      </c>
      <c r="R553">
        <v>494</v>
      </c>
      <c r="S553">
        <v>30.9</v>
      </c>
      <c r="T553">
        <v>482</v>
      </c>
      <c r="U553">
        <v>4.8</v>
      </c>
      <c r="V553" t="s">
        <v>5613</v>
      </c>
      <c r="W553">
        <v>62.4</v>
      </c>
      <c r="X553">
        <v>230</v>
      </c>
      <c r="Y553">
        <v>8.1</v>
      </c>
      <c r="Z553" t="s">
        <v>5613</v>
      </c>
      <c r="AA553">
        <v>28.4</v>
      </c>
      <c r="AB553" t="s">
        <v>6002</v>
      </c>
      <c r="AC553">
        <v>21.4</v>
      </c>
    </row>
    <row r="554" spans="1:29">
      <c r="A554">
        <f>551</f>
        <v>551</v>
      </c>
      <c r="B554" t="s">
        <v>6056</v>
      </c>
      <c r="C554" t="s">
        <v>4098</v>
      </c>
      <c r="D554" t="s">
        <v>5865</v>
      </c>
      <c r="E554" t="s">
        <v>608</v>
      </c>
      <c r="F554" t="s">
        <v>5615</v>
      </c>
      <c r="G554" t="s">
        <v>5589</v>
      </c>
      <c r="H554" t="s">
        <v>5809</v>
      </c>
      <c r="I554">
        <v>3</v>
      </c>
      <c r="J554" t="s">
        <v>5926</v>
      </c>
      <c r="K554">
        <v>13.6</v>
      </c>
      <c r="L554" t="s">
        <v>5737</v>
      </c>
      <c r="M554">
        <v>34.700000000000003</v>
      </c>
      <c r="N554">
        <v>279</v>
      </c>
      <c r="O554">
        <v>8.1999999999999993</v>
      </c>
      <c r="P554" t="s">
        <v>5613</v>
      </c>
      <c r="Q554">
        <v>2.2000000000000002</v>
      </c>
      <c r="R554" t="s">
        <v>5613</v>
      </c>
      <c r="S554">
        <v>100</v>
      </c>
      <c r="T554">
        <v>8</v>
      </c>
      <c r="U554">
        <v>100</v>
      </c>
      <c r="V554">
        <v>3</v>
      </c>
      <c r="W554">
        <v>2</v>
      </c>
      <c r="X554" t="s">
        <v>5613</v>
      </c>
      <c r="Y554">
        <v>13.3</v>
      </c>
      <c r="Z554">
        <v>644</v>
      </c>
      <c r="AA554">
        <v>3</v>
      </c>
      <c r="AB554" t="s">
        <v>5613</v>
      </c>
      <c r="AC554">
        <v>21.3</v>
      </c>
    </row>
    <row r="555" spans="1:29">
      <c r="A555">
        <f>551</f>
        <v>551</v>
      </c>
      <c r="B555" t="s">
        <v>6104</v>
      </c>
      <c r="C555" t="s">
        <v>6175</v>
      </c>
      <c r="D555" t="s">
        <v>5865</v>
      </c>
      <c r="E555" t="s">
        <v>608</v>
      </c>
      <c r="F555" t="s">
        <v>5615</v>
      </c>
      <c r="G555" t="s">
        <v>5602</v>
      </c>
      <c r="H555" t="s">
        <v>5809</v>
      </c>
      <c r="I555">
        <v>2</v>
      </c>
      <c r="J555" t="s">
        <v>5926</v>
      </c>
      <c r="K555">
        <v>14.7</v>
      </c>
      <c r="L555">
        <v>591</v>
      </c>
      <c r="M555">
        <v>14.4</v>
      </c>
      <c r="N555">
        <v>567</v>
      </c>
      <c r="O555">
        <v>31.3</v>
      </c>
      <c r="P555">
        <v>505</v>
      </c>
      <c r="Q555">
        <v>2.2999999999999998</v>
      </c>
      <c r="R555" t="s">
        <v>5613</v>
      </c>
      <c r="S555">
        <v>100</v>
      </c>
      <c r="T555">
        <v>4</v>
      </c>
      <c r="U555">
        <v>100</v>
      </c>
      <c r="V555">
        <v>5</v>
      </c>
      <c r="W555">
        <v>1</v>
      </c>
      <c r="X555" t="s">
        <v>5613</v>
      </c>
      <c r="Y555">
        <v>22.3</v>
      </c>
      <c r="Z555">
        <v>371</v>
      </c>
      <c r="AA555">
        <v>1</v>
      </c>
      <c r="AB555" t="s">
        <v>5613</v>
      </c>
      <c r="AC555">
        <v>21.3</v>
      </c>
    </row>
    <row r="556" spans="1:29">
      <c r="A556">
        <f>551</f>
        <v>551</v>
      </c>
      <c r="B556" t="s">
        <v>6078</v>
      </c>
      <c r="C556" t="s">
        <v>6176</v>
      </c>
      <c r="D556" t="s">
        <v>5667</v>
      </c>
      <c r="E556" t="s">
        <v>137</v>
      </c>
      <c r="F556" t="s">
        <v>5588</v>
      </c>
      <c r="G556" t="s">
        <v>5602</v>
      </c>
      <c r="H556" t="s">
        <v>5590</v>
      </c>
      <c r="I556">
        <v>4</v>
      </c>
      <c r="J556" t="s">
        <v>5595</v>
      </c>
      <c r="K556">
        <v>5.8</v>
      </c>
      <c r="L556" t="s">
        <v>5737</v>
      </c>
      <c r="M556">
        <v>3.4</v>
      </c>
      <c r="N556" t="s">
        <v>5737</v>
      </c>
      <c r="O556">
        <v>78.8</v>
      </c>
      <c r="P556">
        <v>143</v>
      </c>
      <c r="Q556">
        <v>18.3</v>
      </c>
      <c r="R556">
        <v>579</v>
      </c>
      <c r="S556">
        <v>76</v>
      </c>
      <c r="T556">
        <v>247</v>
      </c>
      <c r="U556">
        <v>23.9</v>
      </c>
      <c r="V556">
        <v>488</v>
      </c>
      <c r="W556">
        <v>27.2</v>
      </c>
      <c r="X556">
        <v>478</v>
      </c>
      <c r="Y556">
        <v>10.199999999999999</v>
      </c>
      <c r="Z556" t="s">
        <v>5613</v>
      </c>
      <c r="AA556">
        <v>15.9</v>
      </c>
      <c r="AB556" t="s">
        <v>6177</v>
      </c>
      <c r="AC556">
        <v>21.3</v>
      </c>
    </row>
    <row r="557" spans="1:29">
      <c r="A557">
        <f>551</f>
        <v>551</v>
      </c>
      <c r="B557" t="s">
        <v>6056</v>
      </c>
      <c r="C557" t="s">
        <v>6178</v>
      </c>
      <c r="D557" t="s">
        <v>5587</v>
      </c>
      <c r="E557" t="s">
        <v>29</v>
      </c>
      <c r="F557" t="s">
        <v>5593</v>
      </c>
      <c r="G557" t="s">
        <v>5589</v>
      </c>
      <c r="H557" t="s">
        <v>5590</v>
      </c>
      <c r="I557">
        <v>5</v>
      </c>
      <c r="J557" t="s">
        <v>5595</v>
      </c>
      <c r="K557">
        <v>10.8</v>
      </c>
      <c r="L557" t="s">
        <v>5737</v>
      </c>
      <c r="M557">
        <v>5.9</v>
      </c>
      <c r="N557" t="s">
        <v>5737</v>
      </c>
      <c r="O557">
        <v>18.8</v>
      </c>
      <c r="P557">
        <v>700</v>
      </c>
      <c r="Q557">
        <v>33.700000000000003</v>
      </c>
      <c r="R557">
        <v>406</v>
      </c>
      <c r="S557">
        <v>30.4</v>
      </c>
      <c r="T557">
        <v>488</v>
      </c>
      <c r="U557">
        <v>8.1999999999999993</v>
      </c>
      <c r="V557" t="s">
        <v>5613</v>
      </c>
      <c r="W557">
        <v>42.6</v>
      </c>
      <c r="X557">
        <v>357</v>
      </c>
      <c r="Y557">
        <v>12.2</v>
      </c>
      <c r="Z557" t="s">
        <v>5613</v>
      </c>
      <c r="AA557">
        <v>79.099999999999994</v>
      </c>
      <c r="AB557">
        <v>156</v>
      </c>
      <c r="AC557">
        <v>21.3</v>
      </c>
    </row>
    <row r="558" spans="1:29">
      <c r="A558">
        <v>555</v>
      </c>
      <c r="B558" t="s">
        <v>6056</v>
      </c>
      <c r="C558" t="s">
        <v>6179</v>
      </c>
      <c r="D558" t="s">
        <v>5672</v>
      </c>
      <c r="E558" t="s">
        <v>664</v>
      </c>
      <c r="F558" t="s">
        <v>5605</v>
      </c>
      <c r="G558" t="s">
        <v>5594</v>
      </c>
      <c r="H558" t="s">
        <v>5590</v>
      </c>
      <c r="I558">
        <v>2</v>
      </c>
      <c r="J558" t="s">
        <v>5595</v>
      </c>
      <c r="K558">
        <v>28.9</v>
      </c>
      <c r="L558">
        <v>303</v>
      </c>
      <c r="M558">
        <v>47.6</v>
      </c>
      <c r="N558">
        <v>184</v>
      </c>
      <c r="O558">
        <v>15.8</v>
      </c>
      <c r="P558" t="s">
        <v>5613</v>
      </c>
      <c r="Q558">
        <v>2.8</v>
      </c>
      <c r="R558" t="s">
        <v>5613</v>
      </c>
      <c r="S558">
        <v>1.9</v>
      </c>
      <c r="T558" t="s">
        <v>5613</v>
      </c>
      <c r="U558">
        <v>2.1</v>
      </c>
      <c r="V558" t="s">
        <v>5613</v>
      </c>
      <c r="W558">
        <v>24.3</v>
      </c>
      <c r="X558">
        <v>504</v>
      </c>
      <c r="Y558">
        <v>8.6999999999999993</v>
      </c>
      <c r="Z558" t="s">
        <v>5613</v>
      </c>
      <c r="AA558">
        <v>31</v>
      </c>
      <c r="AB558" t="s">
        <v>5666</v>
      </c>
      <c r="AC558">
        <v>21.2</v>
      </c>
    </row>
    <row r="559" spans="1:29">
      <c r="A559">
        <f>556</f>
        <v>556</v>
      </c>
      <c r="B559" t="s">
        <v>6180</v>
      </c>
      <c r="C559" t="s">
        <v>1006</v>
      </c>
      <c r="D559" t="s">
        <v>5587</v>
      </c>
      <c r="E559" t="s">
        <v>29</v>
      </c>
      <c r="F559" t="s">
        <v>5605</v>
      </c>
      <c r="G559" t="s">
        <v>5594</v>
      </c>
      <c r="H559" t="s">
        <v>5809</v>
      </c>
      <c r="I559">
        <v>4</v>
      </c>
      <c r="J559" t="s">
        <v>5595</v>
      </c>
      <c r="K559">
        <v>14.9</v>
      </c>
      <c r="L559">
        <v>586</v>
      </c>
      <c r="M559">
        <v>35.4</v>
      </c>
      <c r="N559">
        <v>274</v>
      </c>
      <c r="O559">
        <v>12</v>
      </c>
      <c r="P559" t="s">
        <v>5613</v>
      </c>
      <c r="Q559">
        <v>12.8</v>
      </c>
      <c r="R559">
        <v>682</v>
      </c>
      <c r="S559">
        <v>21.1</v>
      </c>
      <c r="T559">
        <v>581</v>
      </c>
      <c r="U559">
        <v>12.1</v>
      </c>
      <c r="V559">
        <v>676</v>
      </c>
      <c r="W559">
        <v>68.099999999999994</v>
      </c>
      <c r="X559">
        <v>207</v>
      </c>
      <c r="Y559">
        <v>14.2</v>
      </c>
      <c r="Z559">
        <v>594</v>
      </c>
      <c r="AA559">
        <v>39</v>
      </c>
      <c r="AB559" t="s">
        <v>5760</v>
      </c>
      <c r="AC559">
        <v>21.1</v>
      </c>
    </row>
    <row r="560" spans="1:29">
      <c r="A560">
        <f>556</f>
        <v>556</v>
      </c>
      <c r="C560" t="s">
        <v>6181</v>
      </c>
      <c r="D560" t="s">
        <v>5672</v>
      </c>
      <c r="E560" t="s">
        <v>664</v>
      </c>
      <c r="F560" t="s">
        <v>5615</v>
      </c>
      <c r="G560" t="s">
        <v>5602</v>
      </c>
      <c r="H560" t="s">
        <v>5809</v>
      </c>
      <c r="I560">
        <v>2</v>
      </c>
      <c r="J560" t="s">
        <v>5926</v>
      </c>
      <c r="K560">
        <v>5</v>
      </c>
      <c r="L560" t="s">
        <v>5737</v>
      </c>
      <c r="M560">
        <v>14.8</v>
      </c>
      <c r="N560">
        <v>556</v>
      </c>
      <c r="O560">
        <v>84.3</v>
      </c>
      <c r="P560">
        <v>112</v>
      </c>
      <c r="Q560">
        <v>1.7</v>
      </c>
      <c r="R560" t="s">
        <v>5613</v>
      </c>
      <c r="S560">
        <v>75.2</v>
      </c>
      <c r="T560">
        <v>252</v>
      </c>
      <c r="U560">
        <v>88.4</v>
      </c>
      <c r="V560">
        <v>126</v>
      </c>
      <c r="W560">
        <v>1</v>
      </c>
      <c r="X560" t="s">
        <v>5613</v>
      </c>
      <c r="Y560">
        <v>9.1</v>
      </c>
      <c r="Z560" t="s">
        <v>5613</v>
      </c>
      <c r="AA560">
        <v>1</v>
      </c>
      <c r="AB560" t="s">
        <v>5613</v>
      </c>
      <c r="AC560">
        <v>21.1</v>
      </c>
    </row>
    <row r="561" spans="1:29">
      <c r="A561">
        <f>556</f>
        <v>556</v>
      </c>
      <c r="B561" t="s">
        <v>5968</v>
      </c>
      <c r="C561" t="s">
        <v>6182</v>
      </c>
      <c r="D561" t="s">
        <v>5747</v>
      </c>
      <c r="E561" t="s">
        <v>397</v>
      </c>
      <c r="F561" t="s">
        <v>5615</v>
      </c>
      <c r="G561" t="s">
        <v>5651</v>
      </c>
      <c r="I561">
        <v>3</v>
      </c>
      <c r="J561" t="s">
        <v>5595</v>
      </c>
      <c r="K561">
        <v>6.5</v>
      </c>
      <c r="L561" t="s">
        <v>5737</v>
      </c>
      <c r="M561">
        <v>4.5999999999999996</v>
      </c>
      <c r="N561" t="s">
        <v>5737</v>
      </c>
      <c r="O561">
        <v>15.6</v>
      </c>
      <c r="P561" t="s">
        <v>5613</v>
      </c>
      <c r="Q561">
        <v>79.3</v>
      </c>
      <c r="R561">
        <v>114</v>
      </c>
      <c r="S561">
        <v>5</v>
      </c>
      <c r="T561" t="s">
        <v>5613</v>
      </c>
      <c r="U561">
        <v>7.9</v>
      </c>
      <c r="V561" t="s">
        <v>5613</v>
      </c>
      <c r="W561">
        <v>4.0999999999999996</v>
      </c>
      <c r="X561" t="s">
        <v>5613</v>
      </c>
      <c r="Y561">
        <v>5.5</v>
      </c>
      <c r="Z561" t="s">
        <v>5613</v>
      </c>
      <c r="AA561">
        <v>1.1000000000000001</v>
      </c>
      <c r="AB561" t="s">
        <v>5613</v>
      </c>
      <c r="AC561">
        <v>21.1</v>
      </c>
    </row>
    <row r="562" spans="1:29">
      <c r="A562">
        <f>556</f>
        <v>556</v>
      </c>
      <c r="B562" t="s">
        <v>6049</v>
      </c>
      <c r="C562" t="s">
        <v>6183</v>
      </c>
      <c r="D562" t="s">
        <v>5616</v>
      </c>
      <c r="E562" t="s">
        <v>54</v>
      </c>
      <c r="F562" t="s">
        <v>5593</v>
      </c>
      <c r="G562" t="s">
        <v>5602</v>
      </c>
      <c r="H562" t="s">
        <v>5590</v>
      </c>
      <c r="I562">
        <v>4</v>
      </c>
      <c r="J562" t="s">
        <v>5595</v>
      </c>
      <c r="K562">
        <v>23.7</v>
      </c>
      <c r="L562">
        <v>363</v>
      </c>
      <c r="M562">
        <v>40.4</v>
      </c>
      <c r="N562">
        <v>233</v>
      </c>
      <c r="O562">
        <v>17.2</v>
      </c>
      <c r="P562" t="s">
        <v>5613</v>
      </c>
      <c r="Q562">
        <v>8</v>
      </c>
      <c r="R562" t="s">
        <v>5613</v>
      </c>
      <c r="S562">
        <v>7</v>
      </c>
      <c r="T562" t="s">
        <v>5613</v>
      </c>
      <c r="U562">
        <v>5.3</v>
      </c>
      <c r="V562" t="s">
        <v>5613</v>
      </c>
      <c r="W562">
        <v>1.5</v>
      </c>
      <c r="X562" t="s">
        <v>5613</v>
      </c>
      <c r="Y562">
        <v>62.4</v>
      </c>
      <c r="Z562">
        <v>94</v>
      </c>
      <c r="AA562">
        <v>18.2</v>
      </c>
      <c r="AB562" t="s">
        <v>6114</v>
      </c>
      <c r="AC562">
        <v>21.1</v>
      </c>
    </row>
    <row r="563" spans="1:29">
      <c r="A563">
        <f>556</f>
        <v>556</v>
      </c>
      <c r="B563">
        <v>358</v>
      </c>
      <c r="C563" t="s">
        <v>2268</v>
      </c>
      <c r="D563" t="s">
        <v>5882</v>
      </c>
      <c r="E563" t="s">
        <v>984</v>
      </c>
      <c r="F563" t="s">
        <v>5615</v>
      </c>
      <c r="G563" t="s">
        <v>5602</v>
      </c>
      <c r="H563" t="s">
        <v>5590</v>
      </c>
      <c r="I563">
        <v>4</v>
      </c>
      <c r="J563" t="s">
        <v>5595</v>
      </c>
      <c r="K563">
        <v>6.1</v>
      </c>
      <c r="L563" t="s">
        <v>5737</v>
      </c>
      <c r="M563">
        <v>7.9</v>
      </c>
      <c r="N563" t="s">
        <v>5737</v>
      </c>
      <c r="O563">
        <v>99</v>
      </c>
      <c r="P563">
        <v>35</v>
      </c>
      <c r="Q563">
        <v>12.9</v>
      </c>
      <c r="R563">
        <v>680</v>
      </c>
      <c r="S563">
        <v>27.8</v>
      </c>
      <c r="T563">
        <v>502</v>
      </c>
      <c r="U563">
        <v>71.900000000000006</v>
      </c>
      <c r="V563">
        <v>201</v>
      </c>
      <c r="W563">
        <v>3.2</v>
      </c>
      <c r="X563" t="s">
        <v>5613</v>
      </c>
      <c r="Y563">
        <v>10.1</v>
      </c>
      <c r="Z563" t="s">
        <v>5613</v>
      </c>
      <c r="AA563">
        <v>1.3</v>
      </c>
      <c r="AB563" t="s">
        <v>5613</v>
      </c>
      <c r="AC563">
        <v>21.1</v>
      </c>
    </row>
    <row r="564" spans="1:29">
      <c r="A564">
        <f>561</f>
        <v>561</v>
      </c>
      <c r="B564" t="s">
        <v>6056</v>
      </c>
      <c r="C564" t="s">
        <v>855</v>
      </c>
      <c r="D564" t="s">
        <v>5616</v>
      </c>
      <c r="E564" t="s">
        <v>54</v>
      </c>
      <c r="F564" t="s">
        <v>5605</v>
      </c>
      <c r="G564" t="s">
        <v>5589</v>
      </c>
      <c r="H564" t="s">
        <v>5590</v>
      </c>
      <c r="I564">
        <v>4</v>
      </c>
      <c r="J564" t="s">
        <v>5595</v>
      </c>
      <c r="K564">
        <v>8.4</v>
      </c>
      <c r="L564" t="s">
        <v>5737</v>
      </c>
      <c r="M564">
        <v>3.8</v>
      </c>
      <c r="N564" t="s">
        <v>5737</v>
      </c>
      <c r="O564">
        <v>13.2</v>
      </c>
      <c r="P564" t="s">
        <v>5613</v>
      </c>
      <c r="Q564">
        <v>70.400000000000006</v>
      </c>
      <c r="R564">
        <v>146</v>
      </c>
      <c r="S564">
        <v>14.7</v>
      </c>
      <c r="T564">
        <v>672</v>
      </c>
      <c r="U564">
        <v>2.2000000000000002</v>
      </c>
      <c r="V564" t="s">
        <v>5613</v>
      </c>
      <c r="W564">
        <v>11.4</v>
      </c>
      <c r="X564">
        <v>645</v>
      </c>
      <c r="Y564">
        <v>13.6</v>
      </c>
      <c r="Z564">
        <v>630</v>
      </c>
      <c r="AA564">
        <v>10.3</v>
      </c>
      <c r="AB564" t="s">
        <v>6184</v>
      </c>
      <c r="AC564">
        <v>21</v>
      </c>
    </row>
    <row r="565" spans="1:29">
      <c r="A565">
        <f>561</f>
        <v>561</v>
      </c>
      <c r="B565" t="s">
        <v>6056</v>
      </c>
      <c r="C565" t="s">
        <v>1088</v>
      </c>
      <c r="D565" t="s">
        <v>5592</v>
      </c>
      <c r="E565" t="s">
        <v>26</v>
      </c>
      <c r="F565" t="s">
        <v>5593</v>
      </c>
      <c r="G565" t="s">
        <v>5594</v>
      </c>
      <c r="H565" t="s">
        <v>5809</v>
      </c>
      <c r="I565">
        <v>5</v>
      </c>
      <c r="J565" t="s">
        <v>5595</v>
      </c>
      <c r="K565">
        <v>9</v>
      </c>
      <c r="L565" t="s">
        <v>5737</v>
      </c>
      <c r="M565">
        <v>12.1</v>
      </c>
      <c r="N565" t="s">
        <v>5737</v>
      </c>
      <c r="O565">
        <v>12.2</v>
      </c>
      <c r="P565" t="s">
        <v>5613</v>
      </c>
      <c r="Q565">
        <v>29.1</v>
      </c>
      <c r="R565">
        <v>443</v>
      </c>
      <c r="S565">
        <v>51.3</v>
      </c>
      <c r="T565">
        <v>352</v>
      </c>
      <c r="U565">
        <v>38.9</v>
      </c>
      <c r="V565">
        <v>352</v>
      </c>
      <c r="W565">
        <v>45.4</v>
      </c>
      <c r="X565">
        <v>342</v>
      </c>
      <c r="Y565">
        <v>11.2</v>
      </c>
      <c r="Z565" t="s">
        <v>5613</v>
      </c>
      <c r="AA565">
        <v>45</v>
      </c>
      <c r="AB565">
        <v>335</v>
      </c>
      <c r="AC565">
        <v>21</v>
      </c>
    </row>
    <row r="566" spans="1:29">
      <c r="A566">
        <f>563</f>
        <v>563</v>
      </c>
      <c r="B566" t="s">
        <v>6056</v>
      </c>
      <c r="C566" t="s">
        <v>2228</v>
      </c>
      <c r="D566" t="s">
        <v>6050</v>
      </c>
      <c r="E566" t="s">
        <v>2229</v>
      </c>
      <c r="F566" t="s">
        <v>5593</v>
      </c>
      <c r="G566" t="s">
        <v>5594</v>
      </c>
      <c r="H566" t="s">
        <v>6146</v>
      </c>
      <c r="I566">
        <v>5</v>
      </c>
      <c r="J566" t="s">
        <v>5591</v>
      </c>
      <c r="K566">
        <v>19.7</v>
      </c>
      <c r="L566">
        <v>451</v>
      </c>
      <c r="M566">
        <v>57.9</v>
      </c>
      <c r="N566">
        <v>141</v>
      </c>
      <c r="O566">
        <v>29</v>
      </c>
      <c r="P566">
        <v>533</v>
      </c>
      <c r="Q566">
        <v>1.7</v>
      </c>
      <c r="R566" t="s">
        <v>5613</v>
      </c>
      <c r="S566">
        <v>3.3</v>
      </c>
      <c r="T566" t="s">
        <v>5613</v>
      </c>
      <c r="U566">
        <v>2.7</v>
      </c>
      <c r="V566" t="s">
        <v>5613</v>
      </c>
      <c r="W566">
        <v>1.1000000000000001</v>
      </c>
      <c r="X566" t="s">
        <v>5613</v>
      </c>
      <c r="Y566">
        <v>54.6</v>
      </c>
      <c r="Z566">
        <v>115</v>
      </c>
      <c r="AA566">
        <v>1.7</v>
      </c>
      <c r="AB566" t="s">
        <v>5613</v>
      </c>
      <c r="AC566">
        <v>20.9</v>
      </c>
    </row>
    <row r="567" spans="1:29">
      <c r="A567">
        <f>563</f>
        <v>563</v>
      </c>
      <c r="B567" t="s">
        <v>6126</v>
      </c>
      <c r="C567" t="s">
        <v>6185</v>
      </c>
      <c r="D567" t="s">
        <v>5601</v>
      </c>
      <c r="E567" t="s">
        <v>50</v>
      </c>
      <c r="F567" t="s">
        <v>5588</v>
      </c>
      <c r="G567" t="s">
        <v>5589</v>
      </c>
      <c r="H567" t="s">
        <v>5590</v>
      </c>
      <c r="I567">
        <v>5</v>
      </c>
      <c r="J567" t="s">
        <v>5595</v>
      </c>
      <c r="K567">
        <v>10.7</v>
      </c>
      <c r="L567" t="s">
        <v>5737</v>
      </c>
      <c r="M567">
        <v>3.8</v>
      </c>
      <c r="N567" t="s">
        <v>5737</v>
      </c>
      <c r="O567">
        <v>5.3</v>
      </c>
      <c r="P567" t="s">
        <v>5613</v>
      </c>
      <c r="Q567">
        <v>38.799999999999997</v>
      </c>
      <c r="R567">
        <v>355</v>
      </c>
      <c r="S567">
        <v>100</v>
      </c>
      <c r="T567">
        <v>76</v>
      </c>
      <c r="U567">
        <v>45.4</v>
      </c>
      <c r="V567">
        <v>319</v>
      </c>
      <c r="W567">
        <v>8.9</v>
      </c>
      <c r="X567" t="s">
        <v>5613</v>
      </c>
      <c r="Y567">
        <v>20.399999999999999</v>
      </c>
      <c r="Z567">
        <v>411</v>
      </c>
      <c r="AA567">
        <v>5.2</v>
      </c>
      <c r="AB567" t="s">
        <v>5613</v>
      </c>
      <c r="AC567">
        <v>20.9</v>
      </c>
    </row>
    <row r="568" spans="1:29">
      <c r="A568">
        <f>563</f>
        <v>563</v>
      </c>
      <c r="B568" t="s">
        <v>6049</v>
      </c>
      <c r="C568" t="s">
        <v>700</v>
      </c>
      <c r="D568" t="s">
        <v>5587</v>
      </c>
      <c r="E568" t="s">
        <v>29</v>
      </c>
      <c r="F568" t="s">
        <v>5605</v>
      </c>
      <c r="G568" t="s">
        <v>5589</v>
      </c>
      <c r="H568" t="s">
        <v>5590</v>
      </c>
      <c r="I568">
        <v>4</v>
      </c>
      <c r="J568" t="s">
        <v>5595</v>
      </c>
      <c r="K568">
        <v>13.2</v>
      </c>
      <c r="L568" t="s">
        <v>5737</v>
      </c>
      <c r="M568">
        <v>10.199999999999999</v>
      </c>
      <c r="N568" t="s">
        <v>5737</v>
      </c>
      <c r="O568">
        <v>7.9</v>
      </c>
      <c r="P568" t="s">
        <v>5613</v>
      </c>
      <c r="Q568">
        <v>36.6</v>
      </c>
      <c r="R568">
        <v>381</v>
      </c>
      <c r="S568">
        <v>30.7</v>
      </c>
      <c r="T568">
        <v>485</v>
      </c>
      <c r="U568">
        <v>13.8</v>
      </c>
      <c r="V568">
        <v>646</v>
      </c>
      <c r="W568">
        <v>57.8</v>
      </c>
      <c r="X568">
        <v>261</v>
      </c>
      <c r="Y568">
        <v>10.6</v>
      </c>
      <c r="Z568" t="s">
        <v>5613</v>
      </c>
      <c r="AA568">
        <v>34.9</v>
      </c>
      <c r="AB568" t="s">
        <v>6076</v>
      </c>
      <c r="AC568">
        <v>20.9</v>
      </c>
    </row>
    <row r="569" spans="1:29">
      <c r="A569">
        <f>567</f>
        <v>567</v>
      </c>
      <c r="B569" t="s">
        <v>6033</v>
      </c>
      <c r="C569" t="s">
        <v>962</v>
      </c>
      <c r="D569" t="s">
        <v>5612</v>
      </c>
      <c r="E569" t="s">
        <v>116</v>
      </c>
      <c r="F569" t="s">
        <v>5615</v>
      </c>
      <c r="G569" t="s">
        <v>5602</v>
      </c>
      <c r="H569" t="s">
        <v>5590</v>
      </c>
      <c r="I569">
        <v>3</v>
      </c>
      <c r="J569" t="s">
        <v>5591</v>
      </c>
      <c r="K569">
        <v>4.7</v>
      </c>
      <c r="L569" t="s">
        <v>5737</v>
      </c>
      <c r="M569">
        <v>5.2</v>
      </c>
      <c r="N569" t="s">
        <v>5737</v>
      </c>
      <c r="O569">
        <v>44.1</v>
      </c>
      <c r="P569">
        <v>356</v>
      </c>
      <c r="Q569">
        <v>22.8</v>
      </c>
      <c r="R569">
        <v>518</v>
      </c>
      <c r="S569">
        <v>87.7</v>
      </c>
      <c r="T569">
        <v>195</v>
      </c>
      <c r="U569">
        <v>93.6</v>
      </c>
      <c r="V569">
        <v>96</v>
      </c>
      <c r="W569">
        <v>1.1000000000000001</v>
      </c>
      <c r="X569" t="s">
        <v>5613</v>
      </c>
      <c r="Y569">
        <v>11.7</v>
      </c>
      <c r="Z569" t="s">
        <v>5613</v>
      </c>
      <c r="AA569">
        <v>1.1000000000000001</v>
      </c>
      <c r="AB569" t="s">
        <v>5613</v>
      </c>
      <c r="AC569">
        <v>20.8</v>
      </c>
    </row>
    <row r="570" spans="1:29">
      <c r="A570">
        <f>567</f>
        <v>567</v>
      </c>
      <c r="B570" t="s">
        <v>6049</v>
      </c>
      <c r="C570" t="s">
        <v>2453</v>
      </c>
      <c r="D570" t="s">
        <v>5678</v>
      </c>
      <c r="E570" t="s">
        <v>389</v>
      </c>
      <c r="F570" t="s">
        <v>5588</v>
      </c>
      <c r="G570" t="s">
        <v>5589</v>
      </c>
      <c r="H570" t="s">
        <v>5809</v>
      </c>
      <c r="I570">
        <v>4</v>
      </c>
      <c r="J570" t="s">
        <v>5595</v>
      </c>
      <c r="K570">
        <v>19.5</v>
      </c>
      <c r="L570">
        <v>455</v>
      </c>
      <c r="M570">
        <v>39</v>
      </c>
      <c r="N570">
        <v>245</v>
      </c>
      <c r="O570">
        <v>19.7</v>
      </c>
      <c r="P570">
        <v>674</v>
      </c>
      <c r="Q570">
        <v>2.7</v>
      </c>
      <c r="R570" t="s">
        <v>5613</v>
      </c>
      <c r="S570">
        <v>27.1</v>
      </c>
      <c r="T570">
        <v>507</v>
      </c>
      <c r="U570">
        <v>23.5</v>
      </c>
      <c r="V570">
        <v>491</v>
      </c>
      <c r="W570">
        <v>1</v>
      </c>
      <c r="X570" t="s">
        <v>5613</v>
      </c>
      <c r="Y570">
        <v>81</v>
      </c>
      <c r="Z570">
        <v>49</v>
      </c>
      <c r="AA570">
        <v>1.9</v>
      </c>
      <c r="AB570" t="s">
        <v>5613</v>
      </c>
      <c r="AC570">
        <v>20.8</v>
      </c>
    </row>
    <row r="571" spans="1:29">
      <c r="A571">
        <f>567</f>
        <v>567</v>
      </c>
      <c r="B571" t="s">
        <v>6180</v>
      </c>
      <c r="C571" t="s">
        <v>6186</v>
      </c>
      <c r="D571" t="s">
        <v>5723</v>
      </c>
      <c r="E571" t="s">
        <v>1093</v>
      </c>
      <c r="F571" t="s">
        <v>5588</v>
      </c>
      <c r="G571" t="s">
        <v>5602</v>
      </c>
      <c r="H571" t="s">
        <v>5590</v>
      </c>
      <c r="I571">
        <v>3</v>
      </c>
      <c r="J571" t="s">
        <v>5591</v>
      </c>
      <c r="K571">
        <v>19.100000000000001</v>
      </c>
      <c r="L571">
        <v>469</v>
      </c>
      <c r="M571">
        <v>73.5</v>
      </c>
      <c r="N571">
        <v>90</v>
      </c>
      <c r="O571">
        <v>4.2</v>
      </c>
      <c r="P571" t="s">
        <v>5613</v>
      </c>
      <c r="Q571">
        <v>4.4000000000000004</v>
      </c>
      <c r="R571" t="s">
        <v>5613</v>
      </c>
      <c r="S571">
        <v>37.700000000000003</v>
      </c>
      <c r="T571">
        <v>427</v>
      </c>
      <c r="U571">
        <v>4.2</v>
      </c>
      <c r="V571" t="s">
        <v>5613</v>
      </c>
      <c r="W571">
        <v>1.2</v>
      </c>
      <c r="X571" t="s">
        <v>5613</v>
      </c>
      <c r="Y571">
        <v>13.7</v>
      </c>
      <c r="Z571">
        <v>624</v>
      </c>
      <c r="AA571">
        <v>1.1000000000000001</v>
      </c>
      <c r="AB571" t="s">
        <v>5613</v>
      </c>
      <c r="AC571">
        <v>20.8</v>
      </c>
    </row>
    <row r="572" spans="1:29">
      <c r="A572">
        <f>567</f>
        <v>567</v>
      </c>
      <c r="B572" t="s">
        <v>6056</v>
      </c>
      <c r="C572" t="s">
        <v>1249</v>
      </c>
      <c r="D572" t="s">
        <v>5592</v>
      </c>
      <c r="E572" t="s">
        <v>26</v>
      </c>
      <c r="F572" t="s">
        <v>5593</v>
      </c>
      <c r="G572" t="s">
        <v>5589</v>
      </c>
      <c r="H572" t="s">
        <v>5590</v>
      </c>
      <c r="I572">
        <v>3</v>
      </c>
      <c r="J572" t="s">
        <v>5595</v>
      </c>
      <c r="K572">
        <v>12.5</v>
      </c>
      <c r="L572" t="s">
        <v>5737</v>
      </c>
      <c r="M572">
        <v>15</v>
      </c>
      <c r="N572">
        <v>548</v>
      </c>
      <c r="O572">
        <v>6.7</v>
      </c>
      <c r="P572" t="s">
        <v>5613</v>
      </c>
      <c r="Q572">
        <v>20.9</v>
      </c>
      <c r="R572">
        <v>547</v>
      </c>
      <c r="S572">
        <v>65.099999999999994</v>
      </c>
      <c r="T572">
        <v>295</v>
      </c>
      <c r="U572">
        <v>79.400000000000006</v>
      </c>
      <c r="V572">
        <v>165</v>
      </c>
      <c r="W572">
        <v>41.2</v>
      </c>
      <c r="X572">
        <v>367</v>
      </c>
      <c r="Y572">
        <v>9</v>
      </c>
      <c r="Z572" t="s">
        <v>5613</v>
      </c>
      <c r="AA572">
        <v>7.3</v>
      </c>
      <c r="AB572" t="s">
        <v>5613</v>
      </c>
      <c r="AC572">
        <v>20.8</v>
      </c>
    </row>
    <row r="573" spans="1:29">
      <c r="A573">
        <f>571</f>
        <v>571</v>
      </c>
      <c r="B573" t="s">
        <v>6049</v>
      </c>
      <c r="C573" t="s">
        <v>1875</v>
      </c>
      <c r="D573" t="s">
        <v>5843</v>
      </c>
      <c r="E573" t="s">
        <v>1448</v>
      </c>
      <c r="F573" t="s">
        <v>5605</v>
      </c>
      <c r="G573" t="s">
        <v>5594</v>
      </c>
      <c r="H573" t="s">
        <v>5809</v>
      </c>
      <c r="I573">
        <v>4</v>
      </c>
      <c r="J573" t="s">
        <v>5595</v>
      </c>
      <c r="K573">
        <v>33.799999999999997</v>
      </c>
      <c r="L573">
        <v>256</v>
      </c>
      <c r="M573">
        <v>19.3</v>
      </c>
      <c r="N573">
        <v>466</v>
      </c>
      <c r="O573">
        <v>16.399999999999999</v>
      </c>
      <c r="P573" t="s">
        <v>5613</v>
      </c>
      <c r="Q573">
        <v>3.9</v>
      </c>
      <c r="R573" t="s">
        <v>5613</v>
      </c>
      <c r="S573">
        <v>5.0999999999999996</v>
      </c>
      <c r="T573" t="s">
        <v>5613</v>
      </c>
      <c r="U573">
        <v>4.0999999999999996</v>
      </c>
      <c r="V573" t="s">
        <v>5613</v>
      </c>
      <c r="W573">
        <v>20.9</v>
      </c>
      <c r="X573">
        <v>538</v>
      </c>
      <c r="Y573">
        <v>17.100000000000001</v>
      </c>
      <c r="Z573">
        <v>495</v>
      </c>
      <c r="AA573">
        <v>59.2</v>
      </c>
      <c r="AB573" t="s">
        <v>5917</v>
      </c>
      <c r="AC573">
        <v>20.7</v>
      </c>
    </row>
    <row r="574" spans="1:29">
      <c r="A574">
        <f>571</f>
        <v>571</v>
      </c>
      <c r="B574" t="s">
        <v>6056</v>
      </c>
      <c r="C574" t="s">
        <v>1457</v>
      </c>
      <c r="D574" t="s">
        <v>5592</v>
      </c>
      <c r="E574" t="s">
        <v>26</v>
      </c>
      <c r="F574" t="s">
        <v>5605</v>
      </c>
      <c r="G574" t="s">
        <v>5589</v>
      </c>
      <c r="H574" t="s">
        <v>5590</v>
      </c>
      <c r="I574">
        <v>3</v>
      </c>
      <c r="J574" t="s">
        <v>5595</v>
      </c>
      <c r="K574">
        <v>9.1999999999999993</v>
      </c>
      <c r="L574" t="s">
        <v>5737</v>
      </c>
      <c r="M574">
        <v>12.5</v>
      </c>
      <c r="N574" t="s">
        <v>5737</v>
      </c>
      <c r="O574">
        <v>15.7</v>
      </c>
      <c r="P574" t="s">
        <v>5613</v>
      </c>
      <c r="Q574">
        <v>6.8</v>
      </c>
      <c r="R574" t="s">
        <v>5613</v>
      </c>
      <c r="S574">
        <v>74.8</v>
      </c>
      <c r="T574">
        <v>257</v>
      </c>
      <c r="U574">
        <v>100</v>
      </c>
      <c r="V574">
        <v>26</v>
      </c>
      <c r="W574">
        <v>50.7</v>
      </c>
      <c r="X574">
        <v>308</v>
      </c>
      <c r="Y574">
        <v>13.7</v>
      </c>
      <c r="Z574">
        <v>626</v>
      </c>
      <c r="AA574">
        <v>26.6</v>
      </c>
      <c r="AB574" t="s">
        <v>6033</v>
      </c>
      <c r="AC574">
        <v>20.7</v>
      </c>
    </row>
    <row r="575" spans="1:29">
      <c r="A575">
        <f>571</f>
        <v>571</v>
      </c>
      <c r="B575" t="s">
        <v>6056</v>
      </c>
      <c r="C575" t="s">
        <v>6187</v>
      </c>
      <c r="D575" t="s">
        <v>5770</v>
      </c>
      <c r="E575" t="s">
        <v>528</v>
      </c>
      <c r="F575" t="s">
        <v>5588</v>
      </c>
      <c r="G575" t="s">
        <v>5602</v>
      </c>
      <c r="H575" t="s">
        <v>5590</v>
      </c>
      <c r="I575">
        <v>5</v>
      </c>
      <c r="J575" t="s">
        <v>5595</v>
      </c>
      <c r="K575">
        <v>4.4000000000000004</v>
      </c>
      <c r="L575" t="s">
        <v>5737</v>
      </c>
      <c r="M575">
        <v>3.6</v>
      </c>
      <c r="N575" t="s">
        <v>5737</v>
      </c>
      <c r="O575">
        <v>3.9</v>
      </c>
      <c r="P575" t="s">
        <v>5613</v>
      </c>
      <c r="Q575">
        <v>88.7</v>
      </c>
      <c r="R575">
        <v>78</v>
      </c>
      <c r="S575">
        <v>1.4</v>
      </c>
      <c r="T575" t="s">
        <v>5613</v>
      </c>
      <c r="U575">
        <v>1.1000000000000001</v>
      </c>
      <c r="V575" t="s">
        <v>5613</v>
      </c>
      <c r="W575">
        <v>1.5</v>
      </c>
      <c r="X575" t="s">
        <v>5613</v>
      </c>
      <c r="Y575">
        <v>8.1999999999999993</v>
      </c>
      <c r="Z575" t="s">
        <v>5613</v>
      </c>
      <c r="AA575">
        <v>4</v>
      </c>
      <c r="AB575" t="s">
        <v>5613</v>
      </c>
      <c r="AC575">
        <v>20.7</v>
      </c>
    </row>
    <row r="576" spans="1:29">
      <c r="A576">
        <f>571</f>
        <v>571</v>
      </c>
      <c r="B576" t="s">
        <v>6052</v>
      </c>
      <c r="C576" t="s">
        <v>3205</v>
      </c>
      <c r="D576" t="s">
        <v>5901</v>
      </c>
      <c r="E576" t="s">
        <v>1543</v>
      </c>
      <c r="F576" t="s">
        <v>5593</v>
      </c>
      <c r="G576" t="s">
        <v>5602</v>
      </c>
      <c r="H576" t="s">
        <v>5590</v>
      </c>
      <c r="I576">
        <v>5</v>
      </c>
      <c r="J576" t="s">
        <v>5595</v>
      </c>
      <c r="K576">
        <v>22.8</v>
      </c>
      <c r="L576">
        <v>382</v>
      </c>
      <c r="M576">
        <v>49.8</v>
      </c>
      <c r="N576">
        <v>172</v>
      </c>
      <c r="O576">
        <v>38.700000000000003</v>
      </c>
      <c r="P576">
        <v>408</v>
      </c>
      <c r="Q576">
        <v>4.3</v>
      </c>
      <c r="R576" t="s">
        <v>5613</v>
      </c>
      <c r="S576">
        <v>1.8</v>
      </c>
      <c r="T576" t="s">
        <v>5613</v>
      </c>
      <c r="U576">
        <v>10.3</v>
      </c>
      <c r="V576" t="s">
        <v>5613</v>
      </c>
      <c r="W576">
        <v>9.6999999999999993</v>
      </c>
      <c r="X576">
        <v>676</v>
      </c>
      <c r="Y576">
        <v>11.5</v>
      </c>
      <c r="Z576" t="s">
        <v>5613</v>
      </c>
      <c r="AA576">
        <v>2.1</v>
      </c>
      <c r="AB576" t="s">
        <v>5613</v>
      </c>
      <c r="AC576">
        <v>20.7</v>
      </c>
    </row>
    <row r="577" spans="1:29">
      <c r="A577">
        <f>575</f>
        <v>575</v>
      </c>
      <c r="B577" t="s">
        <v>6085</v>
      </c>
      <c r="C577" t="s">
        <v>6188</v>
      </c>
      <c r="D577" t="s">
        <v>5644</v>
      </c>
      <c r="E577" t="s">
        <v>181</v>
      </c>
      <c r="F577" t="s">
        <v>5593</v>
      </c>
      <c r="G577" t="s">
        <v>5589</v>
      </c>
      <c r="H577" t="s">
        <v>5809</v>
      </c>
      <c r="I577">
        <v>3</v>
      </c>
      <c r="J577" t="s">
        <v>5591</v>
      </c>
      <c r="K577">
        <v>13.4</v>
      </c>
      <c r="L577" t="s">
        <v>5737</v>
      </c>
      <c r="M577">
        <v>23.9</v>
      </c>
      <c r="N577">
        <v>404</v>
      </c>
      <c r="O577">
        <v>85.3</v>
      </c>
      <c r="P577">
        <v>104</v>
      </c>
      <c r="Q577">
        <v>1.6</v>
      </c>
      <c r="R577" t="s">
        <v>5613</v>
      </c>
      <c r="S577">
        <v>32.299999999999997</v>
      </c>
      <c r="T577">
        <v>471</v>
      </c>
      <c r="U577">
        <v>45.1</v>
      </c>
      <c r="V577">
        <v>320</v>
      </c>
      <c r="W577">
        <v>1</v>
      </c>
      <c r="X577" t="s">
        <v>5613</v>
      </c>
      <c r="Y577">
        <v>5.7</v>
      </c>
      <c r="Z577" t="s">
        <v>5613</v>
      </c>
      <c r="AA577">
        <v>1.3</v>
      </c>
      <c r="AB577" t="s">
        <v>5613</v>
      </c>
      <c r="AC577">
        <v>20.6</v>
      </c>
    </row>
    <row r="578" spans="1:29">
      <c r="A578">
        <f>575</f>
        <v>575</v>
      </c>
      <c r="B578" t="s">
        <v>6136</v>
      </c>
      <c r="C578" t="s">
        <v>6189</v>
      </c>
      <c r="D578" t="s">
        <v>5587</v>
      </c>
      <c r="E578" t="s">
        <v>29</v>
      </c>
      <c r="F578" t="s">
        <v>5605</v>
      </c>
      <c r="G578" t="s">
        <v>5594</v>
      </c>
      <c r="H578" t="s">
        <v>5590</v>
      </c>
      <c r="I578">
        <v>5</v>
      </c>
      <c r="J578" t="s">
        <v>5595</v>
      </c>
      <c r="K578">
        <v>14.7</v>
      </c>
      <c r="L578">
        <v>590</v>
      </c>
      <c r="M578">
        <v>11.8</v>
      </c>
      <c r="N578" t="s">
        <v>5737</v>
      </c>
      <c r="O578">
        <v>8.9</v>
      </c>
      <c r="P578" t="s">
        <v>5613</v>
      </c>
      <c r="Q578">
        <v>33.6</v>
      </c>
      <c r="R578">
        <v>407</v>
      </c>
      <c r="S578">
        <v>37.799999999999997</v>
      </c>
      <c r="T578">
        <v>424</v>
      </c>
      <c r="U578">
        <v>3.5</v>
      </c>
      <c r="V578" t="s">
        <v>5613</v>
      </c>
      <c r="W578">
        <v>40.799999999999997</v>
      </c>
      <c r="X578">
        <v>370</v>
      </c>
      <c r="Y578">
        <v>17.100000000000001</v>
      </c>
      <c r="Z578">
        <v>494</v>
      </c>
      <c r="AA578">
        <v>39.6</v>
      </c>
      <c r="AB578">
        <v>365</v>
      </c>
      <c r="AC578">
        <v>20.6</v>
      </c>
    </row>
    <row r="579" spans="1:29">
      <c r="A579">
        <f>577</f>
        <v>577</v>
      </c>
      <c r="B579" t="s">
        <v>6049</v>
      </c>
      <c r="C579" t="s">
        <v>2020</v>
      </c>
      <c r="D579" t="s">
        <v>5857</v>
      </c>
      <c r="E579" t="s">
        <v>1178</v>
      </c>
      <c r="F579" t="s">
        <v>5605</v>
      </c>
      <c r="G579" t="s">
        <v>5594</v>
      </c>
      <c r="H579" t="s">
        <v>5809</v>
      </c>
      <c r="I579">
        <v>4</v>
      </c>
      <c r="J579" t="s">
        <v>5595</v>
      </c>
      <c r="K579">
        <v>23.7</v>
      </c>
      <c r="L579">
        <v>364</v>
      </c>
      <c r="M579">
        <v>49.8</v>
      </c>
      <c r="N579">
        <v>171</v>
      </c>
      <c r="O579">
        <v>11.6</v>
      </c>
      <c r="P579" t="s">
        <v>5613</v>
      </c>
      <c r="Q579">
        <v>2.1</v>
      </c>
      <c r="R579" t="s">
        <v>5613</v>
      </c>
      <c r="S579">
        <v>43.3</v>
      </c>
      <c r="T579">
        <v>387</v>
      </c>
      <c r="U579">
        <v>31.9</v>
      </c>
      <c r="V579">
        <v>401</v>
      </c>
      <c r="W579">
        <v>2.2999999999999998</v>
      </c>
      <c r="X579" t="s">
        <v>5613</v>
      </c>
      <c r="Y579">
        <v>9.9</v>
      </c>
      <c r="Z579" t="s">
        <v>5613</v>
      </c>
      <c r="AA579">
        <v>2.1</v>
      </c>
      <c r="AB579" t="s">
        <v>5613</v>
      </c>
      <c r="AC579">
        <v>20.5</v>
      </c>
    </row>
    <row r="580" spans="1:29">
      <c r="A580">
        <f>577</f>
        <v>577</v>
      </c>
      <c r="B580" t="s">
        <v>6008</v>
      </c>
      <c r="C580" t="s">
        <v>1127</v>
      </c>
      <c r="D580" t="s">
        <v>5678</v>
      </c>
      <c r="E580" t="s">
        <v>389</v>
      </c>
      <c r="F580" t="s">
        <v>5588</v>
      </c>
      <c r="G580" t="s">
        <v>5651</v>
      </c>
      <c r="I580">
        <v>2</v>
      </c>
      <c r="J580" t="s">
        <v>5591</v>
      </c>
      <c r="K580">
        <v>10.3</v>
      </c>
      <c r="L580" t="s">
        <v>5737</v>
      </c>
      <c r="M580">
        <v>15.4</v>
      </c>
      <c r="N580">
        <v>536</v>
      </c>
      <c r="O580">
        <v>91.1</v>
      </c>
      <c r="P580">
        <v>81</v>
      </c>
      <c r="Q580">
        <v>17.899999999999999</v>
      </c>
      <c r="R580">
        <v>585</v>
      </c>
      <c r="S580">
        <v>15.1</v>
      </c>
      <c r="T580">
        <v>667</v>
      </c>
      <c r="U580">
        <v>15.6</v>
      </c>
      <c r="V580">
        <v>609</v>
      </c>
      <c r="W580">
        <v>1.3</v>
      </c>
      <c r="X580" t="s">
        <v>5613</v>
      </c>
      <c r="Y580">
        <v>9.9</v>
      </c>
      <c r="Z580" t="s">
        <v>5613</v>
      </c>
      <c r="AA580">
        <v>9</v>
      </c>
      <c r="AB580">
        <v>688</v>
      </c>
      <c r="AC580">
        <v>20.5</v>
      </c>
    </row>
    <row r="581" spans="1:29">
      <c r="A581">
        <f>577</f>
        <v>577</v>
      </c>
      <c r="B581" t="s">
        <v>5924</v>
      </c>
      <c r="C581" t="s">
        <v>6190</v>
      </c>
      <c r="D581" t="s">
        <v>5736</v>
      </c>
      <c r="E581" t="s">
        <v>327</v>
      </c>
      <c r="F581" t="s">
        <v>5593</v>
      </c>
      <c r="G581" t="s">
        <v>5594</v>
      </c>
      <c r="H581" t="s">
        <v>5809</v>
      </c>
      <c r="I581">
        <v>4</v>
      </c>
      <c r="J581" t="s">
        <v>5595</v>
      </c>
      <c r="K581">
        <v>12.1</v>
      </c>
      <c r="L581" t="s">
        <v>5737</v>
      </c>
      <c r="M581">
        <v>3.7</v>
      </c>
      <c r="N581" t="s">
        <v>5737</v>
      </c>
      <c r="O581">
        <v>70.5</v>
      </c>
      <c r="P581">
        <v>182</v>
      </c>
      <c r="Q581">
        <v>8.9</v>
      </c>
      <c r="R581" t="s">
        <v>5613</v>
      </c>
      <c r="S581">
        <v>70.400000000000006</v>
      </c>
      <c r="T581">
        <v>273</v>
      </c>
      <c r="U581">
        <v>7.7</v>
      </c>
      <c r="V581" t="s">
        <v>5613</v>
      </c>
      <c r="W581">
        <v>42.5</v>
      </c>
      <c r="X581">
        <v>360</v>
      </c>
      <c r="Y581">
        <v>9.6</v>
      </c>
      <c r="Z581" t="s">
        <v>5613</v>
      </c>
      <c r="AA581">
        <v>21.8</v>
      </c>
      <c r="AB581" t="s">
        <v>5920</v>
      </c>
      <c r="AC581">
        <v>20.5</v>
      </c>
    </row>
    <row r="582" spans="1:29">
      <c r="A582">
        <f>580</f>
        <v>580</v>
      </c>
      <c r="B582" t="s">
        <v>6056</v>
      </c>
      <c r="C582" t="s">
        <v>606</v>
      </c>
      <c r="D582" t="s">
        <v>5865</v>
      </c>
      <c r="E582" t="s">
        <v>608</v>
      </c>
      <c r="F582" t="s">
        <v>5615</v>
      </c>
      <c r="G582" t="s">
        <v>5651</v>
      </c>
      <c r="I582">
        <v>2</v>
      </c>
      <c r="J582" t="s">
        <v>5926</v>
      </c>
      <c r="K582">
        <v>11.5</v>
      </c>
      <c r="L582" t="s">
        <v>5737</v>
      </c>
      <c r="M582">
        <v>17.899999999999999</v>
      </c>
      <c r="N582">
        <v>490</v>
      </c>
      <c r="O582">
        <v>12.6</v>
      </c>
      <c r="P582" t="s">
        <v>5613</v>
      </c>
      <c r="Q582">
        <v>12.4</v>
      </c>
      <c r="R582">
        <v>689</v>
      </c>
      <c r="S582">
        <v>100</v>
      </c>
      <c r="T582">
        <v>5</v>
      </c>
      <c r="U582">
        <v>99.9</v>
      </c>
      <c r="V582">
        <v>32</v>
      </c>
      <c r="W582">
        <v>1.2</v>
      </c>
      <c r="X582" t="s">
        <v>5613</v>
      </c>
      <c r="Y582">
        <v>11.3</v>
      </c>
      <c r="Z582" t="s">
        <v>5613</v>
      </c>
      <c r="AA582">
        <v>1.1000000000000001</v>
      </c>
      <c r="AB582" t="s">
        <v>5613</v>
      </c>
      <c r="AC582">
        <v>20.399999999999999</v>
      </c>
    </row>
    <row r="583" spans="1:29">
      <c r="A583">
        <f>580</f>
        <v>580</v>
      </c>
      <c r="B583" t="s">
        <v>6051</v>
      </c>
      <c r="C583" t="s">
        <v>1264</v>
      </c>
      <c r="D583" t="s">
        <v>5753</v>
      </c>
      <c r="E583" t="s">
        <v>310</v>
      </c>
      <c r="F583" t="s">
        <v>5615</v>
      </c>
      <c r="G583" t="s">
        <v>5602</v>
      </c>
      <c r="H583" t="s">
        <v>5590</v>
      </c>
      <c r="I583">
        <v>4</v>
      </c>
      <c r="J583" t="s">
        <v>5595</v>
      </c>
      <c r="K583">
        <v>5.5</v>
      </c>
      <c r="L583" t="s">
        <v>5737</v>
      </c>
      <c r="M583">
        <v>4.3</v>
      </c>
      <c r="N583" t="s">
        <v>5737</v>
      </c>
      <c r="O583">
        <v>60.2</v>
      </c>
      <c r="P583">
        <v>235</v>
      </c>
      <c r="Q583">
        <v>11.4</v>
      </c>
      <c r="R583" t="s">
        <v>5613</v>
      </c>
      <c r="S583">
        <v>95.2</v>
      </c>
      <c r="T583">
        <v>148</v>
      </c>
      <c r="U583">
        <v>86.6</v>
      </c>
      <c r="V583">
        <v>137</v>
      </c>
      <c r="W583">
        <v>3</v>
      </c>
      <c r="X583" t="s">
        <v>5613</v>
      </c>
      <c r="Y583">
        <v>12</v>
      </c>
      <c r="Z583" t="s">
        <v>5613</v>
      </c>
      <c r="AA583">
        <v>1.6</v>
      </c>
      <c r="AB583" t="s">
        <v>5613</v>
      </c>
      <c r="AC583">
        <v>20.399999999999999</v>
      </c>
    </row>
    <row r="584" spans="1:29">
      <c r="A584">
        <f>582</f>
        <v>582</v>
      </c>
      <c r="B584" t="s">
        <v>6079</v>
      </c>
      <c r="C584" t="s">
        <v>6191</v>
      </c>
      <c r="D584" t="s">
        <v>6192</v>
      </c>
      <c r="E584" t="s">
        <v>4229</v>
      </c>
      <c r="F584" t="s">
        <v>5615</v>
      </c>
      <c r="G584" t="s">
        <v>5602</v>
      </c>
      <c r="H584" t="s">
        <v>5809</v>
      </c>
      <c r="I584">
        <v>2</v>
      </c>
      <c r="J584" t="s">
        <v>5591</v>
      </c>
      <c r="K584">
        <v>18.2</v>
      </c>
      <c r="L584">
        <v>493</v>
      </c>
      <c r="M584">
        <v>21.9</v>
      </c>
      <c r="N584">
        <v>429</v>
      </c>
      <c r="O584">
        <v>36.799999999999997</v>
      </c>
      <c r="P584">
        <v>431</v>
      </c>
      <c r="Q584">
        <v>1.7</v>
      </c>
      <c r="R584" t="s">
        <v>5613</v>
      </c>
      <c r="S584">
        <v>100</v>
      </c>
      <c r="T584">
        <v>21</v>
      </c>
      <c r="U584">
        <v>44.9</v>
      </c>
      <c r="V584">
        <v>324</v>
      </c>
      <c r="W584">
        <v>1</v>
      </c>
      <c r="X584" t="s">
        <v>5613</v>
      </c>
      <c r="Y584">
        <v>8.3000000000000007</v>
      </c>
      <c r="Z584" t="s">
        <v>5613</v>
      </c>
      <c r="AC584">
        <v>20.3</v>
      </c>
    </row>
    <row r="585" spans="1:29">
      <c r="A585">
        <f>582</f>
        <v>582</v>
      </c>
      <c r="B585" t="s">
        <v>6180</v>
      </c>
      <c r="C585" t="s">
        <v>6193</v>
      </c>
      <c r="D585" t="s">
        <v>6194</v>
      </c>
      <c r="E585" t="s">
        <v>3283</v>
      </c>
      <c r="F585" t="s">
        <v>5588</v>
      </c>
      <c r="G585" t="s">
        <v>5602</v>
      </c>
      <c r="H585" t="s">
        <v>6146</v>
      </c>
      <c r="I585">
        <v>4</v>
      </c>
      <c r="J585" t="s">
        <v>5591</v>
      </c>
      <c r="K585">
        <v>26.6</v>
      </c>
      <c r="L585">
        <v>328</v>
      </c>
      <c r="M585">
        <v>67.7</v>
      </c>
      <c r="N585">
        <v>112</v>
      </c>
      <c r="O585">
        <v>3.7</v>
      </c>
      <c r="P585" t="s">
        <v>5613</v>
      </c>
      <c r="Q585">
        <v>1</v>
      </c>
      <c r="R585" t="s">
        <v>5613</v>
      </c>
      <c r="S585">
        <v>2.5</v>
      </c>
      <c r="T585" t="s">
        <v>5613</v>
      </c>
      <c r="U585">
        <v>2.9</v>
      </c>
      <c r="V585" t="s">
        <v>5613</v>
      </c>
      <c r="Y585">
        <v>29.8</v>
      </c>
      <c r="Z585">
        <v>266</v>
      </c>
      <c r="AC585">
        <v>20.3</v>
      </c>
    </row>
    <row r="586" spans="1:29">
      <c r="A586">
        <f>582</f>
        <v>582</v>
      </c>
      <c r="B586" t="s">
        <v>6049</v>
      </c>
      <c r="C586" t="s">
        <v>6195</v>
      </c>
      <c r="D586" t="s">
        <v>5772</v>
      </c>
      <c r="E586" t="s">
        <v>386</v>
      </c>
      <c r="F586" t="s">
        <v>5588</v>
      </c>
      <c r="G586" t="s">
        <v>5602</v>
      </c>
      <c r="H586" t="s">
        <v>5590</v>
      </c>
      <c r="I586">
        <v>3</v>
      </c>
      <c r="J586" t="s">
        <v>5591</v>
      </c>
      <c r="K586">
        <v>8.1</v>
      </c>
      <c r="L586" t="s">
        <v>5737</v>
      </c>
      <c r="M586">
        <v>65.900000000000006</v>
      </c>
      <c r="N586">
        <v>121</v>
      </c>
      <c r="O586">
        <v>39.9</v>
      </c>
      <c r="P586">
        <v>395</v>
      </c>
      <c r="Q586">
        <v>2.2999999999999998</v>
      </c>
      <c r="R586" t="s">
        <v>5613</v>
      </c>
      <c r="S586">
        <v>19.3</v>
      </c>
      <c r="T586">
        <v>597</v>
      </c>
      <c r="U586">
        <v>5.8</v>
      </c>
      <c r="V586" t="s">
        <v>5613</v>
      </c>
      <c r="W586">
        <v>1</v>
      </c>
      <c r="X586" t="s">
        <v>5613</v>
      </c>
      <c r="Y586">
        <v>45.5</v>
      </c>
      <c r="Z586">
        <v>154</v>
      </c>
      <c r="AA586">
        <v>2</v>
      </c>
      <c r="AB586" t="s">
        <v>5613</v>
      </c>
      <c r="AC586">
        <v>20.3</v>
      </c>
    </row>
    <row r="587" spans="1:29">
      <c r="A587">
        <f>586</f>
        <v>586</v>
      </c>
      <c r="B587" t="s">
        <v>6016</v>
      </c>
      <c r="C587" t="s">
        <v>6196</v>
      </c>
      <c r="D587" t="s">
        <v>5696</v>
      </c>
      <c r="E587" t="s">
        <v>5697</v>
      </c>
      <c r="F587" t="s">
        <v>5588</v>
      </c>
      <c r="G587" t="s">
        <v>5602</v>
      </c>
      <c r="H587" t="s">
        <v>5590</v>
      </c>
      <c r="I587">
        <v>5</v>
      </c>
      <c r="J587" t="s">
        <v>5595</v>
      </c>
      <c r="K587">
        <v>9.6999999999999993</v>
      </c>
      <c r="L587" t="s">
        <v>5737</v>
      </c>
      <c r="M587">
        <v>7.5</v>
      </c>
      <c r="N587" t="s">
        <v>5737</v>
      </c>
      <c r="O587">
        <v>93.9</v>
      </c>
      <c r="P587">
        <v>66</v>
      </c>
      <c r="Q587">
        <v>4</v>
      </c>
      <c r="R587" t="s">
        <v>5613</v>
      </c>
      <c r="S587">
        <v>8.1</v>
      </c>
      <c r="T587" t="s">
        <v>5613</v>
      </c>
      <c r="U587">
        <v>76.599999999999994</v>
      </c>
      <c r="V587">
        <v>177</v>
      </c>
      <c r="W587">
        <v>21.3</v>
      </c>
      <c r="X587">
        <v>535</v>
      </c>
      <c r="Y587">
        <v>8.1</v>
      </c>
      <c r="Z587" t="s">
        <v>5613</v>
      </c>
      <c r="AA587">
        <v>8.3000000000000007</v>
      </c>
      <c r="AB587" t="s">
        <v>5613</v>
      </c>
      <c r="AC587">
        <v>20.2</v>
      </c>
    </row>
    <row r="588" spans="1:29">
      <c r="A588">
        <f>586</f>
        <v>586</v>
      </c>
      <c r="B588" t="s">
        <v>6049</v>
      </c>
      <c r="C588" t="s">
        <v>1735</v>
      </c>
      <c r="D588" t="s">
        <v>5672</v>
      </c>
      <c r="E588" t="s">
        <v>664</v>
      </c>
      <c r="F588" t="s">
        <v>5615</v>
      </c>
      <c r="G588" t="s">
        <v>5589</v>
      </c>
      <c r="H588" t="s">
        <v>5590</v>
      </c>
      <c r="I588">
        <v>2</v>
      </c>
      <c r="J588" t="s">
        <v>5591</v>
      </c>
      <c r="K588">
        <v>10.5</v>
      </c>
      <c r="L588" t="s">
        <v>5737</v>
      </c>
      <c r="M588">
        <v>44.1</v>
      </c>
      <c r="N588">
        <v>204</v>
      </c>
      <c r="O588">
        <v>52.2</v>
      </c>
      <c r="P588">
        <v>303</v>
      </c>
      <c r="Q588">
        <v>7.2</v>
      </c>
      <c r="R588" t="s">
        <v>5613</v>
      </c>
      <c r="S588">
        <v>35.5</v>
      </c>
      <c r="T588">
        <v>450</v>
      </c>
      <c r="U588">
        <v>24.3</v>
      </c>
      <c r="V588">
        <v>482</v>
      </c>
      <c r="W588">
        <v>4.4000000000000004</v>
      </c>
      <c r="X588" t="s">
        <v>5613</v>
      </c>
      <c r="Y588">
        <v>9.1999999999999993</v>
      </c>
      <c r="Z588" t="s">
        <v>5613</v>
      </c>
      <c r="AA588">
        <v>5.4</v>
      </c>
      <c r="AB588" t="s">
        <v>5613</v>
      </c>
      <c r="AC588">
        <v>20.2</v>
      </c>
    </row>
    <row r="589" spans="1:29">
      <c r="A589">
        <f>586</f>
        <v>586</v>
      </c>
      <c r="B589" t="s">
        <v>6071</v>
      </c>
      <c r="C589" t="s">
        <v>6197</v>
      </c>
      <c r="D589" t="s">
        <v>5587</v>
      </c>
      <c r="E589" t="s">
        <v>29</v>
      </c>
      <c r="F589" t="s">
        <v>5593</v>
      </c>
      <c r="G589" t="s">
        <v>5594</v>
      </c>
      <c r="H589" t="s">
        <v>5590</v>
      </c>
      <c r="I589">
        <v>5</v>
      </c>
      <c r="J589" t="s">
        <v>5595</v>
      </c>
      <c r="K589">
        <v>14.2</v>
      </c>
      <c r="L589" t="s">
        <v>5737</v>
      </c>
      <c r="M589">
        <v>9.6</v>
      </c>
      <c r="N589" t="s">
        <v>5737</v>
      </c>
      <c r="O589">
        <v>40.200000000000003</v>
      </c>
      <c r="P589">
        <v>392</v>
      </c>
      <c r="Q589">
        <v>17.399999999999999</v>
      </c>
      <c r="R589">
        <v>591</v>
      </c>
      <c r="S589">
        <v>56.4</v>
      </c>
      <c r="T589">
        <v>329</v>
      </c>
      <c r="U589">
        <v>3.3</v>
      </c>
      <c r="V589" t="s">
        <v>5613</v>
      </c>
      <c r="W589">
        <v>23.9</v>
      </c>
      <c r="X589">
        <v>508</v>
      </c>
      <c r="Y589">
        <v>24.2</v>
      </c>
      <c r="Z589">
        <v>346</v>
      </c>
      <c r="AA589">
        <v>35.5</v>
      </c>
      <c r="AB589" t="s">
        <v>5790</v>
      </c>
      <c r="AC589">
        <v>20.2</v>
      </c>
    </row>
    <row r="590" spans="1:29">
      <c r="A590">
        <f>590</f>
        <v>590</v>
      </c>
      <c r="B590" t="s">
        <v>6056</v>
      </c>
      <c r="C590" t="s">
        <v>1208</v>
      </c>
      <c r="D590" t="s">
        <v>5612</v>
      </c>
      <c r="E590" t="s">
        <v>116</v>
      </c>
      <c r="F590" t="s">
        <v>5615</v>
      </c>
      <c r="G590" t="s">
        <v>5589</v>
      </c>
      <c r="H590" t="s">
        <v>5590</v>
      </c>
      <c r="I590">
        <v>3</v>
      </c>
      <c r="J590" t="s">
        <v>5595</v>
      </c>
      <c r="K590">
        <v>8.6999999999999993</v>
      </c>
      <c r="L590" t="s">
        <v>5737</v>
      </c>
      <c r="M590">
        <v>9.5</v>
      </c>
      <c r="N590" t="s">
        <v>5737</v>
      </c>
      <c r="O590">
        <v>24</v>
      </c>
      <c r="P590">
        <v>592</v>
      </c>
      <c r="Q590">
        <v>16</v>
      </c>
      <c r="R590">
        <v>619</v>
      </c>
      <c r="S590">
        <v>98</v>
      </c>
      <c r="T590">
        <v>113</v>
      </c>
      <c r="U590">
        <v>98.1</v>
      </c>
      <c r="V590">
        <v>61</v>
      </c>
      <c r="W590">
        <v>1.2</v>
      </c>
      <c r="X590" t="s">
        <v>5613</v>
      </c>
      <c r="Y590">
        <v>8.3000000000000007</v>
      </c>
      <c r="Z590" t="s">
        <v>5613</v>
      </c>
      <c r="AA590">
        <v>5.6</v>
      </c>
      <c r="AB590" t="s">
        <v>5613</v>
      </c>
      <c r="AC590">
        <v>20.100000000000001</v>
      </c>
    </row>
    <row r="591" spans="1:29">
      <c r="A591">
        <f>590</f>
        <v>590</v>
      </c>
      <c r="B591" t="s">
        <v>6143</v>
      </c>
      <c r="C591" t="s">
        <v>1281</v>
      </c>
      <c r="D591" t="s">
        <v>5592</v>
      </c>
      <c r="E591" t="s">
        <v>26</v>
      </c>
      <c r="F591" t="s">
        <v>5605</v>
      </c>
      <c r="G591" t="s">
        <v>5589</v>
      </c>
      <c r="H591" t="s">
        <v>5590</v>
      </c>
      <c r="I591">
        <v>4</v>
      </c>
      <c r="J591" t="s">
        <v>5595</v>
      </c>
      <c r="K591">
        <v>12</v>
      </c>
      <c r="L591" t="s">
        <v>5737</v>
      </c>
      <c r="M591">
        <v>13.4</v>
      </c>
      <c r="N591" t="s">
        <v>5737</v>
      </c>
      <c r="O591">
        <v>8.5</v>
      </c>
      <c r="P591" t="s">
        <v>5613</v>
      </c>
      <c r="Q591">
        <v>9.8000000000000007</v>
      </c>
      <c r="R591" t="s">
        <v>5613</v>
      </c>
      <c r="S591">
        <v>44.4</v>
      </c>
      <c r="T591">
        <v>380</v>
      </c>
      <c r="U591">
        <v>40.5</v>
      </c>
      <c r="V591">
        <v>339</v>
      </c>
      <c r="W591">
        <v>66.599999999999994</v>
      </c>
      <c r="X591">
        <v>210</v>
      </c>
      <c r="Y591">
        <v>14.6</v>
      </c>
      <c r="Z591">
        <v>576</v>
      </c>
      <c r="AA591">
        <v>69.3</v>
      </c>
      <c r="AB591" t="s">
        <v>5816</v>
      </c>
      <c r="AC591">
        <v>20.100000000000001</v>
      </c>
    </row>
    <row r="592" spans="1:29">
      <c r="A592">
        <f>590</f>
        <v>590</v>
      </c>
      <c r="B592" t="s">
        <v>6056</v>
      </c>
      <c r="C592" t="s">
        <v>6198</v>
      </c>
      <c r="D592" t="s">
        <v>5762</v>
      </c>
      <c r="E592" t="s">
        <v>534</v>
      </c>
      <c r="F592" t="s">
        <v>5615</v>
      </c>
      <c r="G592" t="s">
        <v>5651</v>
      </c>
      <c r="I592">
        <v>2</v>
      </c>
      <c r="J592" t="s">
        <v>5591</v>
      </c>
      <c r="K592">
        <v>15.4</v>
      </c>
      <c r="L592">
        <v>568</v>
      </c>
      <c r="M592">
        <v>19.100000000000001</v>
      </c>
      <c r="N592">
        <v>468</v>
      </c>
      <c r="O592">
        <v>20.8</v>
      </c>
      <c r="P592">
        <v>650</v>
      </c>
      <c r="Q592">
        <v>20.3</v>
      </c>
      <c r="R592">
        <v>555</v>
      </c>
      <c r="S592">
        <v>100</v>
      </c>
      <c r="T592">
        <v>11</v>
      </c>
      <c r="U592">
        <v>20.5</v>
      </c>
      <c r="V592">
        <v>542</v>
      </c>
      <c r="W592">
        <v>1.1000000000000001</v>
      </c>
      <c r="X592" t="s">
        <v>5613</v>
      </c>
      <c r="Y592">
        <v>9.4</v>
      </c>
      <c r="Z592" t="s">
        <v>5613</v>
      </c>
      <c r="AA592">
        <v>1</v>
      </c>
      <c r="AB592" t="s">
        <v>5613</v>
      </c>
      <c r="AC592">
        <v>20.100000000000001</v>
      </c>
    </row>
    <row r="593" spans="1:29">
      <c r="A593">
        <f>593</f>
        <v>593</v>
      </c>
      <c r="B593" t="s">
        <v>6071</v>
      </c>
      <c r="C593" t="s">
        <v>1016</v>
      </c>
      <c r="D593" t="s">
        <v>5592</v>
      </c>
      <c r="E593" t="s">
        <v>26</v>
      </c>
      <c r="F593" t="s">
        <v>5588</v>
      </c>
      <c r="G593" t="s">
        <v>5602</v>
      </c>
      <c r="H593" t="s">
        <v>5590</v>
      </c>
      <c r="I593">
        <v>5</v>
      </c>
      <c r="J593" t="s">
        <v>5595</v>
      </c>
      <c r="K593">
        <v>14.9</v>
      </c>
      <c r="L593">
        <v>587</v>
      </c>
      <c r="M593">
        <v>6</v>
      </c>
      <c r="N593" t="s">
        <v>5737</v>
      </c>
      <c r="O593">
        <v>14.7</v>
      </c>
      <c r="P593" t="s">
        <v>5613</v>
      </c>
      <c r="Q593">
        <v>13.6</v>
      </c>
      <c r="R593">
        <v>663</v>
      </c>
      <c r="S593">
        <v>97.8</v>
      </c>
      <c r="T593">
        <v>117</v>
      </c>
      <c r="U593">
        <v>92.8</v>
      </c>
      <c r="V593">
        <v>101</v>
      </c>
      <c r="W593">
        <v>1.2</v>
      </c>
      <c r="X593" t="s">
        <v>5613</v>
      </c>
      <c r="Y593">
        <v>17.2</v>
      </c>
      <c r="Z593">
        <v>490</v>
      </c>
      <c r="AA593">
        <v>1.8</v>
      </c>
      <c r="AB593" t="s">
        <v>5613</v>
      </c>
      <c r="AC593">
        <v>20</v>
      </c>
    </row>
    <row r="594" spans="1:29">
      <c r="A594">
        <f>593</f>
        <v>593</v>
      </c>
      <c r="B594" t="s">
        <v>6143</v>
      </c>
      <c r="C594" t="s">
        <v>979</v>
      </c>
      <c r="D594" t="s">
        <v>5587</v>
      </c>
      <c r="E594" t="s">
        <v>29</v>
      </c>
      <c r="F594" t="s">
        <v>5605</v>
      </c>
      <c r="G594" t="s">
        <v>5594</v>
      </c>
      <c r="H594" t="s">
        <v>5590</v>
      </c>
      <c r="I594">
        <v>4</v>
      </c>
      <c r="J594" t="s">
        <v>5595</v>
      </c>
      <c r="K594">
        <v>14.4</v>
      </c>
      <c r="L594" t="s">
        <v>5737</v>
      </c>
      <c r="M594">
        <v>37.1</v>
      </c>
      <c r="N594">
        <v>264</v>
      </c>
      <c r="O594">
        <v>2.8</v>
      </c>
      <c r="P594" t="s">
        <v>5613</v>
      </c>
      <c r="Q594">
        <v>25.7</v>
      </c>
      <c r="R594">
        <v>474</v>
      </c>
      <c r="S594">
        <v>17.100000000000001</v>
      </c>
      <c r="T594">
        <v>626</v>
      </c>
      <c r="U594">
        <v>4.5</v>
      </c>
      <c r="V594" t="s">
        <v>5613</v>
      </c>
      <c r="W594">
        <v>32.1</v>
      </c>
      <c r="X594">
        <v>445</v>
      </c>
      <c r="Y594">
        <v>11.1</v>
      </c>
      <c r="Z594" t="s">
        <v>5613</v>
      </c>
      <c r="AA594">
        <v>32.700000000000003</v>
      </c>
      <c r="AB594" t="s">
        <v>6109</v>
      </c>
      <c r="AC594">
        <v>20</v>
      </c>
    </row>
    <row r="595" spans="1:29">
      <c r="A595">
        <f>595</f>
        <v>595</v>
      </c>
      <c r="B595" t="s">
        <v>6064</v>
      </c>
      <c r="C595" t="s">
        <v>1520</v>
      </c>
      <c r="D595" t="s">
        <v>5762</v>
      </c>
      <c r="E595" t="s">
        <v>534</v>
      </c>
      <c r="F595" t="s">
        <v>5593</v>
      </c>
      <c r="G595" t="s">
        <v>5594</v>
      </c>
      <c r="H595" t="s">
        <v>5809</v>
      </c>
      <c r="I595">
        <v>3</v>
      </c>
      <c r="J595" t="s">
        <v>5595</v>
      </c>
      <c r="K595">
        <v>7.6</v>
      </c>
      <c r="L595" t="s">
        <v>5737</v>
      </c>
      <c r="M595">
        <v>7.1</v>
      </c>
      <c r="N595" t="s">
        <v>5737</v>
      </c>
      <c r="O595">
        <v>85.9</v>
      </c>
      <c r="P595">
        <v>101</v>
      </c>
      <c r="Q595">
        <v>2.2999999999999998</v>
      </c>
      <c r="R595" t="s">
        <v>5613</v>
      </c>
      <c r="S595">
        <v>98.5</v>
      </c>
      <c r="T595">
        <v>105</v>
      </c>
      <c r="U595">
        <v>16.5</v>
      </c>
      <c r="V595">
        <v>589</v>
      </c>
      <c r="W595">
        <v>11.6</v>
      </c>
      <c r="X595">
        <v>640</v>
      </c>
      <c r="Y595">
        <v>8.1</v>
      </c>
      <c r="Z595" t="s">
        <v>5613</v>
      </c>
      <c r="AA595">
        <v>19</v>
      </c>
      <c r="AB595" t="s">
        <v>5807</v>
      </c>
      <c r="AC595">
        <v>19.899999999999999</v>
      </c>
    </row>
    <row r="596" spans="1:29">
      <c r="A596">
        <f>595</f>
        <v>595</v>
      </c>
      <c r="B596" t="s">
        <v>6143</v>
      </c>
      <c r="C596" t="s">
        <v>1314</v>
      </c>
      <c r="D596" t="s">
        <v>5592</v>
      </c>
      <c r="E596" t="s">
        <v>26</v>
      </c>
      <c r="F596" t="s">
        <v>5605</v>
      </c>
      <c r="G596" t="s">
        <v>5589</v>
      </c>
      <c r="H596" t="s">
        <v>5809</v>
      </c>
      <c r="I596">
        <v>3</v>
      </c>
      <c r="J596" t="s">
        <v>5595</v>
      </c>
      <c r="K596">
        <v>10.6</v>
      </c>
      <c r="L596" t="s">
        <v>5737</v>
      </c>
      <c r="M596">
        <v>20.5</v>
      </c>
      <c r="N596">
        <v>450</v>
      </c>
      <c r="O596">
        <v>10.199999999999999</v>
      </c>
      <c r="P596" t="s">
        <v>5613</v>
      </c>
      <c r="Q596">
        <v>5.2</v>
      </c>
      <c r="R596" t="s">
        <v>5613</v>
      </c>
      <c r="S596">
        <v>56.9</v>
      </c>
      <c r="T596">
        <v>326</v>
      </c>
      <c r="U596">
        <v>61</v>
      </c>
      <c r="V596">
        <v>243</v>
      </c>
      <c r="W596">
        <v>52.1</v>
      </c>
      <c r="X596">
        <v>300</v>
      </c>
      <c r="Y596">
        <v>13.8</v>
      </c>
      <c r="Z596">
        <v>616</v>
      </c>
      <c r="AA596">
        <v>50.6</v>
      </c>
      <c r="AB596" t="s">
        <v>5804</v>
      </c>
      <c r="AC596">
        <v>19.899999999999999</v>
      </c>
    </row>
    <row r="597" spans="1:29">
      <c r="A597">
        <f>595</f>
        <v>595</v>
      </c>
      <c r="B597" t="s">
        <v>6049</v>
      </c>
      <c r="C597" t="s">
        <v>6199</v>
      </c>
      <c r="D597" t="s">
        <v>5695</v>
      </c>
      <c r="E597" t="s">
        <v>577</v>
      </c>
      <c r="F597" t="s">
        <v>5588</v>
      </c>
      <c r="G597" t="s">
        <v>5589</v>
      </c>
      <c r="H597" t="s">
        <v>5590</v>
      </c>
      <c r="I597">
        <v>4</v>
      </c>
      <c r="J597" t="s">
        <v>5591</v>
      </c>
      <c r="K597">
        <v>33.4</v>
      </c>
      <c r="L597">
        <v>261</v>
      </c>
      <c r="M597">
        <v>24.5</v>
      </c>
      <c r="N597">
        <v>392</v>
      </c>
      <c r="O597">
        <v>9.3000000000000007</v>
      </c>
      <c r="P597" t="s">
        <v>5613</v>
      </c>
      <c r="Q597">
        <v>7.7</v>
      </c>
      <c r="R597" t="s">
        <v>5613</v>
      </c>
      <c r="S597">
        <v>12.4</v>
      </c>
      <c r="T597" t="s">
        <v>5613</v>
      </c>
      <c r="U597">
        <v>1.6</v>
      </c>
      <c r="V597" t="s">
        <v>5613</v>
      </c>
      <c r="W597">
        <v>2.4</v>
      </c>
      <c r="X597" t="s">
        <v>5613</v>
      </c>
      <c r="Y597">
        <v>28.6</v>
      </c>
      <c r="Z597">
        <v>279</v>
      </c>
      <c r="AA597">
        <v>32.700000000000003</v>
      </c>
      <c r="AB597" t="s">
        <v>6109</v>
      </c>
      <c r="AC597">
        <v>19.899999999999999</v>
      </c>
    </row>
    <row r="598" spans="1:29">
      <c r="A598">
        <f>595</f>
        <v>595</v>
      </c>
      <c r="B598" t="s">
        <v>6132</v>
      </c>
      <c r="C598" t="s">
        <v>923</v>
      </c>
      <c r="D598" t="s">
        <v>5616</v>
      </c>
      <c r="E598" t="s">
        <v>54</v>
      </c>
      <c r="F598" t="s">
        <v>5605</v>
      </c>
      <c r="G598" t="s">
        <v>5589</v>
      </c>
      <c r="H598" t="s">
        <v>5590</v>
      </c>
      <c r="I598">
        <v>3</v>
      </c>
      <c r="J598" t="s">
        <v>5595</v>
      </c>
      <c r="K598">
        <v>8.4</v>
      </c>
      <c r="L598" t="s">
        <v>5737</v>
      </c>
      <c r="M598">
        <v>2.2999999999999998</v>
      </c>
      <c r="N598" t="s">
        <v>5737</v>
      </c>
      <c r="O598">
        <v>55.2</v>
      </c>
      <c r="P598">
        <v>275</v>
      </c>
      <c r="Q598">
        <v>42.6</v>
      </c>
      <c r="R598">
        <v>314</v>
      </c>
      <c r="S598">
        <v>13.2</v>
      </c>
      <c r="T598">
        <v>698</v>
      </c>
      <c r="U598">
        <v>1.4</v>
      </c>
      <c r="V598" t="s">
        <v>5613</v>
      </c>
      <c r="W598">
        <v>14.3</v>
      </c>
      <c r="X598">
        <v>609</v>
      </c>
      <c r="Y598">
        <v>17.600000000000001</v>
      </c>
      <c r="Z598">
        <v>472</v>
      </c>
      <c r="AA598">
        <v>15.8</v>
      </c>
      <c r="AB598" t="s">
        <v>6147</v>
      </c>
      <c r="AC598">
        <v>19.899999999999999</v>
      </c>
    </row>
    <row r="599" spans="1:29">
      <c r="A599">
        <f>595</f>
        <v>595</v>
      </c>
      <c r="B599" t="s">
        <v>6080</v>
      </c>
      <c r="C599" t="s">
        <v>6200</v>
      </c>
      <c r="D599" t="s">
        <v>5747</v>
      </c>
      <c r="E599" t="s">
        <v>397</v>
      </c>
      <c r="F599" t="s">
        <v>5615</v>
      </c>
      <c r="G599" t="s">
        <v>5651</v>
      </c>
      <c r="I599">
        <v>3</v>
      </c>
      <c r="J599" t="s">
        <v>5591</v>
      </c>
      <c r="K599">
        <v>3.1</v>
      </c>
      <c r="L599" t="s">
        <v>5737</v>
      </c>
      <c r="M599">
        <v>1.7</v>
      </c>
      <c r="N599" t="s">
        <v>5737</v>
      </c>
      <c r="O599">
        <v>98.8</v>
      </c>
      <c r="P599">
        <v>40</v>
      </c>
      <c r="Q599">
        <v>39</v>
      </c>
      <c r="R599">
        <v>352</v>
      </c>
      <c r="S599">
        <v>8.3000000000000007</v>
      </c>
      <c r="T599" t="s">
        <v>5613</v>
      </c>
      <c r="U599">
        <v>3.1</v>
      </c>
      <c r="V599" t="s">
        <v>5613</v>
      </c>
      <c r="W599">
        <v>3.6</v>
      </c>
      <c r="X599" t="s">
        <v>5613</v>
      </c>
      <c r="Y599">
        <v>7.6</v>
      </c>
      <c r="Z599" t="s">
        <v>5613</v>
      </c>
      <c r="AA599">
        <v>1</v>
      </c>
      <c r="AB599" t="s">
        <v>5613</v>
      </c>
      <c r="AC599">
        <v>19.899999999999999</v>
      </c>
    </row>
    <row r="600" spans="1:29">
      <c r="A600">
        <f>600</f>
        <v>600</v>
      </c>
      <c r="B600" t="s">
        <v>6049</v>
      </c>
      <c r="C600" t="s">
        <v>6201</v>
      </c>
      <c r="D600" t="s">
        <v>5616</v>
      </c>
      <c r="E600" t="s">
        <v>54</v>
      </c>
      <c r="F600" t="s">
        <v>5593</v>
      </c>
      <c r="G600" t="s">
        <v>5602</v>
      </c>
      <c r="H600" t="s">
        <v>5590</v>
      </c>
      <c r="I600">
        <v>2</v>
      </c>
      <c r="J600" t="s">
        <v>5595</v>
      </c>
      <c r="K600">
        <v>5.0999999999999996</v>
      </c>
      <c r="L600" t="s">
        <v>5737</v>
      </c>
      <c r="M600">
        <v>2.2000000000000002</v>
      </c>
      <c r="N600" t="s">
        <v>5737</v>
      </c>
      <c r="O600">
        <v>10.9</v>
      </c>
      <c r="P600" t="s">
        <v>5613</v>
      </c>
      <c r="Q600">
        <v>82.2</v>
      </c>
      <c r="R600">
        <v>103</v>
      </c>
      <c r="W600">
        <v>3.4</v>
      </c>
      <c r="X600" t="s">
        <v>5613</v>
      </c>
      <c r="Y600">
        <v>6.2</v>
      </c>
      <c r="Z600" t="s">
        <v>5613</v>
      </c>
      <c r="AA600">
        <v>1.8</v>
      </c>
      <c r="AB600" t="s">
        <v>5613</v>
      </c>
      <c r="AC600">
        <v>19.8</v>
      </c>
    </row>
    <row r="601" spans="1:29">
      <c r="A601">
        <f>600</f>
        <v>600</v>
      </c>
      <c r="B601" t="s">
        <v>6056</v>
      </c>
      <c r="C601" t="s">
        <v>3142</v>
      </c>
      <c r="D601" t="s">
        <v>5843</v>
      </c>
      <c r="E601" t="s">
        <v>1448</v>
      </c>
      <c r="F601" t="s">
        <v>5605</v>
      </c>
      <c r="G601" t="s">
        <v>5594</v>
      </c>
      <c r="H601" t="s">
        <v>5809</v>
      </c>
      <c r="I601">
        <v>4</v>
      </c>
      <c r="J601" t="s">
        <v>5595</v>
      </c>
      <c r="K601">
        <v>23.8</v>
      </c>
      <c r="L601">
        <v>360</v>
      </c>
      <c r="M601">
        <v>26.4</v>
      </c>
      <c r="N601">
        <v>365</v>
      </c>
      <c r="O601">
        <v>25.1</v>
      </c>
      <c r="P601">
        <v>583</v>
      </c>
      <c r="Q601">
        <v>2.1</v>
      </c>
      <c r="R601" t="s">
        <v>5613</v>
      </c>
      <c r="S601">
        <v>11.6</v>
      </c>
      <c r="T601" t="s">
        <v>5613</v>
      </c>
      <c r="U601">
        <v>1.7</v>
      </c>
      <c r="V601" t="s">
        <v>5613</v>
      </c>
      <c r="W601">
        <v>2</v>
      </c>
      <c r="X601" t="s">
        <v>5613</v>
      </c>
      <c r="Y601">
        <v>72.5</v>
      </c>
      <c r="Z601">
        <v>64</v>
      </c>
      <c r="AA601">
        <v>29.4</v>
      </c>
      <c r="AB601" t="s">
        <v>5748</v>
      </c>
      <c r="AC601">
        <v>19.8</v>
      </c>
    </row>
    <row r="602" spans="1:29">
      <c r="A602">
        <f>600</f>
        <v>600</v>
      </c>
      <c r="B602" t="s">
        <v>5766</v>
      </c>
      <c r="C602" t="s">
        <v>1140</v>
      </c>
      <c r="D602" t="s">
        <v>5587</v>
      </c>
      <c r="E602" t="s">
        <v>29</v>
      </c>
      <c r="F602" t="s">
        <v>5593</v>
      </c>
      <c r="G602" t="s">
        <v>5594</v>
      </c>
      <c r="H602" t="s">
        <v>5809</v>
      </c>
      <c r="I602">
        <v>5</v>
      </c>
      <c r="J602" t="s">
        <v>5591</v>
      </c>
      <c r="K602">
        <v>9.6</v>
      </c>
      <c r="L602" t="s">
        <v>5737</v>
      </c>
      <c r="M602">
        <v>5</v>
      </c>
      <c r="N602" t="s">
        <v>5737</v>
      </c>
      <c r="O602">
        <v>81.5</v>
      </c>
      <c r="P602">
        <v>134</v>
      </c>
      <c r="Q602">
        <v>10.4</v>
      </c>
      <c r="R602" t="s">
        <v>5613</v>
      </c>
      <c r="S602">
        <v>16.899999999999999</v>
      </c>
      <c r="T602">
        <v>631</v>
      </c>
      <c r="U602">
        <v>14.5</v>
      </c>
      <c r="V602">
        <v>630</v>
      </c>
      <c r="W602">
        <v>45.5</v>
      </c>
      <c r="X602">
        <v>339</v>
      </c>
      <c r="Y602">
        <v>22.7</v>
      </c>
      <c r="Z602">
        <v>367</v>
      </c>
      <c r="AA602">
        <v>21.4</v>
      </c>
      <c r="AB602" t="s">
        <v>6173</v>
      </c>
      <c r="AC602">
        <v>19.8</v>
      </c>
    </row>
    <row r="603" spans="1:29">
      <c r="A603">
        <f>600</f>
        <v>600</v>
      </c>
      <c r="B603" t="s">
        <v>6202</v>
      </c>
      <c r="C603" t="s">
        <v>6203</v>
      </c>
      <c r="D603" t="s">
        <v>5639</v>
      </c>
      <c r="E603" t="s">
        <v>99</v>
      </c>
      <c r="F603" t="s">
        <v>5593</v>
      </c>
      <c r="G603" t="s">
        <v>5594</v>
      </c>
      <c r="H603" t="s">
        <v>5590</v>
      </c>
      <c r="I603">
        <v>4</v>
      </c>
      <c r="J603" t="s">
        <v>5595</v>
      </c>
      <c r="K603">
        <v>11.1</v>
      </c>
      <c r="L603" t="s">
        <v>5737</v>
      </c>
      <c r="M603">
        <v>4.5</v>
      </c>
      <c r="N603" t="s">
        <v>5737</v>
      </c>
      <c r="O603">
        <v>89.9</v>
      </c>
      <c r="P603">
        <v>87</v>
      </c>
      <c r="Q603">
        <v>8.3000000000000007</v>
      </c>
      <c r="R603" t="s">
        <v>5613</v>
      </c>
      <c r="S603">
        <v>4.9000000000000004</v>
      </c>
      <c r="T603" t="s">
        <v>5613</v>
      </c>
      <c r="U603">
        <v>39.200000000000003</v>
      </c>
      <c r="V603">
        <v>350</v>
      </c>
      <c r="W603">
        <v>39</v>
      </c>
      <c r="X603">
        <v>384</v>
      </c>
      <c r="Y603">
        <v>20.100000000000001</v>
      </c>
      <c r="Z603">
        <v>416</v>
      </c>
      <c r="AA603">
        <v>2</v>
      </c>
      <c r="AB603" t="s">
        <v>5613</v>
      </c>
      <c r="AC603">
        <v>19.8</v>
      </c>
    </row>
    <row r="604" spans="1:29">
      <c r="A604" t="s">
        <v>6204</v>
      </c>
      <c r="B604" t="s">
        <v>6049</v>
      </c>
      <c r="C604" t="s">
        <v>6205</v>
      </c>
      <c r="D604" t="s">
        <v>5732</v>
      </c>
      <c r="E604" t="s">
        <v>313</v>
      </c>
      <c r="F604" t="s">
        <v>5588</v>
      </c>
      <c r="G604" t="s">
        <v>5589</v>
      </c>
      <c r="H604" t="s">
        <v>5590</v>
      </c>
      <c r="I604">
        <v>5</v>
      </c>
      <c r="J604" t="s">
        <v>5595</v>
      </c>
      <c r="K604">
        <v>8.3000000000000007</v>
      </c>
      <c r="L604" t="s">
        <v>5737</v>
      </c>
      <c r="M604">
        <v>6.2</v>
      </c>
      <c r="N604" t="s">
        <v>5737</v>
      </c>
      <c r="O604">
        <v>23.6</v>
      </c>
      <c r="P604">
        <v>605</v>
      </c>
      <c r="Q604">
        <v>40.700000000000003</v>
      </c>
      <c r="R604">
        <v>336</v>
      </c>
      <c r="S604">
        <v>45.2</v>
      </c>
      <c r="T604">
        <v>377</v>
      </c>
      <c r="U604">
        <v>15.5</v>
      </c>
      <c r="V604">
        <v>612</v>
      </c>
      <c r="W604">
        <v>29.5</v>
      </c>
      <c r="X604">
        <v>460</v>
      </c>
      <c r="Y604">
        <v>11.5</v>
      </c>
      <c r="Z604" t="s">
        <v>5613</v>
      </c>
      <c r="AA604">
        <v>11.8</v>
      </c>
      <c r="AB604" t="s">
        <v>6206</v>
      </c>
      <c r="AC604" t="s">
        <v>6207</v>
      </c>
    </row>
    <row r="605" spans="1:29">
      <c r="A605" t="s">
        <v>6204</v>
      </c>
      <c r="B605" t="s">
        <v>6056</v>
      </c>
      <c r="C605" t="s">
        <v>4190</v>
      </c>
      <c r="D605" t="s">
        <v>5865</v>
      </c>
      <c r="E605" t="s">
        <v>608</v>
      </c>
      <c r="F605" t="s">
        <v>5615</v>
      </c>
      <c r="G605" t="s">
        <v>5602</v>
      </c>
      <c r="H605" t="s">
        <v>5809</v>
      </c>
      <c r="I605">
        <v>3</v>
      </c>
      <c r="J605" t="s">
        <v>5926</v>
      </c>
      <c r="K605">
        <v>9.8000000000000007</v>
      </c>
      <c r="L605" t="s">
        <v>5737</v>
      </c>
      <c r="M605">
        <v>16.8</v>
      </c>
      <c r="N605">
        <v>513</v>
      </c>
      <c r="O605">
        <v>20.399999999999999</v>
      </c>
      <c r="P605">
        <v>657</v>
      </c>
      <c r="Q605">
        <v>1.9</v>
      </c>
      <c r="R605" t="s">
        <v>5613</v>
      </c>
      <c r="S605">
        <v>100</v>
      </c>
      <c r="T605">
        <v>3</v>
      </c>
      <c r="U605">
        <v>100</v>
      </c>
      <c r="V605">
        <v>8</v>
      </c>
      <c r="W605">
        <v>1</v>
      </c>
      <c r="X605" t="s">
        <v>5613</v>
      </c>
      <c r="Y605">
        <v>37.299999999999997</v>
      </c>
      <c r="Z605">
        <v>195</v>
      </c>
      <c r="AA605">
        <v>1</v>
      </c>
      <c r="AB605" t="s">
        <v>5613</v>
      </c>
      <c r="AC605" t="s">
        <v>6207</v>
      </c>
    </row>
    <row r="606" spans="1:29">
      <c r="A606" t="s">
        <v>6204</v>
      </c>
      <c r="B606" t="s">
        <v>6136</v>
      </c>
      <c r="C606" t="s">
        <v>6208</v>
      </c>
      <c r="D606" t="s">
        <v>5612</v>
      </c>
      <c r="E606" t="s">
        <v>116</v>
      </c>
      <c r="F606" t="s">
        <v>5588</v>
      </c>
      <c r="G606" t="s">
        <v>5589</v>
      </c>
      <c r="H606" t="s">
        <v>5590</v>
      </c>
      <c r="I606">
        <v>2</v>
      </c>
      <c r="J606" t="s">
        <v>5595</v>
      </c>
      <c r="K606">
        <v>5.8</v>
      </c>
      <c r="L606" t="s">
        <v>5737</v>
      </c>
      <c r="M606">
        <v>4.7</v>
      </c>
      <c r="N606" t="s">
        <v>5737</v>
      </c>
      <c r="O606">
        <v>4</v>
      </c>
      <c r="P606" t="s">
        <v>5613</v>
      </c>
      <c r="Q606">
        <v>41.3</v>
      </c>
      <c r="R606">
        <v>331</v>
      </c>
      <c r="S606">
        <v>37.4</v>
      </c>
      <c r="T606">
        <v>429</v>
      </c>
      <c r="U606">
        <v>76.7</v>
      </c>
      <c r="V606">
        <v>176</v>
      </c>
      <c r="W606">
        <v>3.6</v>
      </c>
      <c r="X606" t="s">
        <v>5613</v>
      </c>
      <c r="Y606">
        <v>8.5</v>
      </c>
      <c r="Z606" t="s">
        <v>5613</v>
      </c>
      <c r="AA606">
        <v>45.3</v>
      </c>
      <c r="AB606">
        <v>334</v>
      </c>
      <c r="AC606" t="s">
        <v>6207</v>
      </c>
    </row>
    <row r="607" spans="1:29">
      <c r="A607" t="s">
        <v>6204</v>
      </c>
      <c r="B607" t="s">
        <v>6056</v>
      </c>
      <c r="C607" t="s">
        <v>744</v>
      </c>
      <c r="D607" t="s">
        <v>5587</v>
      </c>
      <c r="E607" t="s">
        <v>29</v>
      </c>
      <c r="F607" t="s">
        <v>5593</v>
      </c>
      <c r="G607" t="s">
        <v>5594</v>
      </c>
      <c r="H607" t="s">
        <v>5590</v>
      </c>
      <c r="I607">
        <v>5</v>
      </c>
      <c r="J607" t="s">
        <v>5591</v>
      </c>
      <c r="K607">
        <v>8.4</v>
      </c>
      <c r="L607" t="s">
        <v>5737</v>
      </c>
      <c r="M607">
        <v>6.1</v>
      </c>
      <c r="N607" t="s">
        <v>5737</v>
      </c>
      <c r="O607">
        <v>21.1</v>
      </c>
      <c r="P607">
        <v>644</v>
      </c>
      <c r="Q607">
        <v>35.1</v>
      </c>
      <c r="R607">
        <v>388</v>
      </c>
      <c r="S607">
        <v>32.799999999999997</v>
      </c>
      <c r="T607">
        <v>468</v>
      </c>
      <c r="U607">
        <v>22.3</v>
      </c>
      <c r="V607">
        <v>511</v>
      </c>
      <c r="W607">
        <v>28.4</v>
      </c>
      <c r="X607">
        <v>467</v>
      </c>
      <c r="Y607">
        <v>26</v>
      </c>
      <c r="Z607">
        <v>316</v>
      </c>
      <c r="AA607">
        <v>34.6</v>
      </c>
      <c r="AB607" t="s">
        <v>5892</v>
      </c>
      <c r="AC607" t="s">
        <v>6207</v>
      </c>
    </row>
    <row r="608" spans="1:29">
      <c r="A608" t="s">
        <v>6204</v>
      </c>
      <c r="B608" t="s">
        <v>6049</v>
      </c>
      <c r="C608" t="s">
        <v>1547</v>
      </c>
      <c r="D608" t="s">
        <v>5770</v>
      </c>
      <c r="E608" t="s">
        <v>528</v>
      </c>
      <c r="F608" t="s">
        <v>5588</v>
      </c>
      <c r="G608" t="s">
        <v>5589</v>
      </c>
      <c r="H608" t="s">
        <v>5590</v>
      </c>
      <c r="I608">
        <v>4</v>
      </c>
      <c r="J608" t="s">
        <v>5595</v>
      </c>
      <c r="K608">
        <v>29.1</v>
      </c>
      <c r="L608">
        <v>298</v>
      </c>
      <c r="M608">
        <v>10.6</v>
      </c>
      <c r="N608" t="s">
        <v>5737</v>
      </c>
      <c r="O608">
        <v>12.2</v>
      </c>
      <c r="P608" t="s">
        <v>5613</v>
      </c>
      <c r="Q608">
        <v>24.1</v>
      </c>
      <c r="R608">
        <v>500</v>
      </c>
      <c r="U608">
        <v>1.6</v>
      </c>
      <c r="V608" t="s">
        <v>5613</v>
      </c>
      <c r="W608">
        <v>4.8</v>
      </c>
      <c r="X608" t="s">
        <v>5613</v>
      </c>
      <c r="Y608">
        <v>13.2</v>
      </c>
      <c r="Z608">
        <v>648</v>
      </c>
      <c r="AA608">
        <v>47.5</v>
      </c>
      <c r="AB608" t="s">
        <v>5909</v>
      </c>
      <c r="AC608" t="s">
        <v>6207</v>
      </c>
    </row>
    <row r="609" spans="1:29">
      <c r="A609" t="s">
        <v>6204</v>
      </c>
      <c r="B609" t="s">
        <v>6049</v>
      </c>
      <c r="C609" t="s">
        <v>6209</v>
      </c>
      <c r="D609" t="s">
        <v>5592</v>
      </c>
      <c r="E609" t="s">
        <v>26</v>
      </c>
      <c r="F609" t="s">
        <v>5593</v>
      </c>
      <c r="G609" t="s">
        <v>5589</v>
      </c>
      <c r="H609" t="s">
        <v>5809</v>
      </c>
      <c r="I609">
        <v>3</v>
      </c>
      <c r="J609" t="s">
        <v>5595</v>
      </c>
      <c r="K609">
        <v>17.5</v>
      </c>
      <c r="L609">
        <v>506</v>
      </c>
      <c r="M609">
        <v>12.6</v>
      </c>
      <c r="N609" t="s">
        <v>5737</v>
      </c>
      <c r="O609">
        <v>6.1</v>
      </c>
      <c r="P609" t="s">
        <v>5613</v>
      </c>
      <c r="Q609">
        <v>8.6999999999999993</v>
      </c>
      <c r="R609" t="s">
        <v>5613</v>
      </c>
      <c r="S609">
        <v>71.900000000000006</v>
      </c>
      <c r="T609">
        <v>265</v>
      </c>
      <c r="U609">
        <v>99.4</v>
      </c>
      <c r="V609">
        <v>45</v>
      </c>
      <c r="W609">
        <v>9.1999999999999993</v>
      </c>
      <c r="X609">
        <v>690</v>
      </c>
      <c r="Y609">
        <v>14.1</v>
      </c>
      <c r="Z609">
        <v>605</v>
      </c>
      <c r="AA609">
        <v>9.8000000000000007</v>
      </c>
      <c r="AB609" t="s">
        <v>6210</v>
      </c>
      <c r="AC609" t="s">
        <v>6207</v>
      </c>
    </row>
    <row r="610" spans="1:29">
      <c r="A610" t="s">
        <v>6204</v>
      </c>
      <c r="B610" t="s">
        <v>6078</v>
      </c>
      <c r="C610" t="s">
        <v>6211</v>
      </c>
      <c r="D610" t="s">
        <v>5762</v>
      </c>
      <c r="E610" t="s">
        <v>534</v>
      </c>
      <c r="F610" t="s">
        <v>5605</v>
      </c>
      <c r="G610" t="s">
        <v>5594</v>
      </c>
      <c r="H610" t="s">
        <v>5809</v>
      </c>
      <c r="I610">
        <v>4</v>
      </c>
      <c r="J610" t="s">
        <v>5595</v>
      </c>
      <c r="K610">
        <v>18.3</v>
      </c>
      <c r="L610">
        <v>489</v>
      </c>
      <c r="M610">
        <v>9.4</v>
      </c>
      <c r="N610" t="s">
        <v>5737</v>
      </c>
      <c r="O610">
        <v>56.9</v>
      </c>
      <c r="P610">
        <v>256</v>
      </c>
      <c r="Q610">
        <v>2</v>
      </c>
      <c r="R610" t="s">
        <v>5613</v>
      </c>
      <c r="S610">
        <v>100</v>
      </c>
      <c r="T610">
        <v>71</v>
      </c>
      <c r="U610">
        <v>17.600000000000001</v>
      </c>
      <c r="V610">
        <v>581</v>
      </c>
      <c r="W610">
        <v>4.5</v>
      </c>
      <c r="X610" t="s">
        <v>5613</v>
      </c>
      <c r="Y610">
        <v>8.1999999999999993</v>
      </c>
      <c r="Z610" t="s">
        <v>5613</v>
      </c>
      <c r="AA610">
        <v>3.1</v>
      </c>
      <c r="AB610" t="s">
        <v>5613</v>
      </c>
      <c r="AC610" t="s">
        <v>6207</v>
      </c>
    </row>
    <row r="611" spans="1:29">
      <c r="A611" t="s">
        <v>6204</v>
      </c>
      <c r="B611" t="s">
        <v>6049</v>
      </c>
      <c r="C611" t="s">
        <v>6212</v>
      </c>
      <c r="D611" t="s">
        <v>5723</v>
      </c>
      <c r="E611" t="s">
        <v>1093</v>
      </c>
      <c r="F611" t="s">
        <v>5593</v>
      </c>
      <c r="G611" t="s">
        <v>5594</v>
      </c>
      <c r="H611" t="s">
        <v>5809</v>
      </c>
      <c r="I611">
        <v>5</v>
      </c>
      <c r="J611" t="s">
        <v>5591</v>
      </c>
      <c r="K611">
        <v>27</v>
      </c>
      <c r="L611">
        <v>322</v>
      </c>
      <c r="M611">
        <v>35.6</v>
      </c>
      <c r="N611">
        <v>273</v>
      </c>
      <c r="O611">
        <v>13.1</v>
      </c>
      <c r="P611" t="s">
        <v>5613</v>
      </c>
      <c r="Q611">
        <v>7.4</v>
      </c>
      <c r="R611" t="s">
        <v>5613</v>
      </c>
      <c r="S611">
        <v>13.1</v>
      </c>
      <c r="T611">
        <v>699</v>
      </c>
      <c r="U611">
        <v>2.2000000000000002</v>
      </c>
      <c r="V611" t="s">
        <v>5613</v>
      </c>
      <c r="W611">
        <v>16.3</v>
      </c>
      <c r="X611">
        <v>581</v>
      </c>
      <c r="Y611">
        <v>9.5</v>
      </c>
      <c r="Z611" t="s">
        <v>5613</v>
      </c>
      <c r="AA611">
        <v>31.6</v>
      </c>
      <c r="AB611" t="s">
        <v>5950</v>
      </c>
      <c r="AC611" t="s">
        <v>6207</v>
      </c>
    </row>
    <row r="612" spans="1:29">
      <c r="A612" t="s">
        <v>6204</v>
      </c>
      <c r="B612" t="s">
        <v>6014</v>
      </c>
      <c r="C612" t="s">
        <v>2561</v>
      </c>
      <c r="D612" t="s">
        <v>6213</v>
      </c>
      <c r="E612" t="s">
        <v>691</v>
      </c>
      <c r="F612" t="s">
        <v>5593</v>
      </c>
      <c r="G612" t="s">
        <v>5594</v>
      </c>
      <c r="H612" t="s">
        <v>5809</v>
      </c>
      <c r="I612">
        <v>5</v>
      </c>
      <c r="J612" t="s">
        <v>5591</v>
      </c>
      <c r="K612">
        <v>18</v>
      </c>
      <c r="L612">
        <v>498</v>
      </c>
      <c r="M612">
        <v>12</v>
      </c>
      <c r="N612" t="s">
        <v>5737</v>
      </c>
      <c r="O612">
        <v>44.6</v>
      </c>
      <c r="P612">
        <v>352</v>
      </c>
      <c r="Q612">
        <v>4.9000000000000004</v>
      </c>
      <c r="R612" t="s">
        <v>5613</v>
      </c>
      <c r="S612">
        <v>11.9</v>
      </c>
      <c r="T612" t="s">
        <v>5613</v>
      </c>
      <c r="U612">
        <v>50.5</v>
      </c>
      <c r="V612">
        <v>288</v>
      </c>
      <c r="W612">
        <v>34.6</v>
      </c>
      <c r="X612">
        <v>420</v>
      </c>
      <c r="Y612">
        <v>9.1</v>
      </c>
      <c r="Z612" t="s">
        <v>5613</v>
      </c>
      <c r="AA612">
        <v>34.9</v>
      </c>
      <c r="AB612" t="s">
        <v>6076</v>
      </c>
      <c r="AC612" t="s">
        <v>6207</v>
      </c>
    </row>
    <row r="613" spans="1:29">
      <c r="A613" t="s">
        <v>6214</v>
      </c>
      <c r="B613" t="s">
        <v>6049</v>
      </c>
      <c r="C613" t="s">
        <v>4110</v>
      </c>
      <c r="D613" t="s">
        <v>5865</v>
      </c>
      <c r="E613" t="s">
        <v>608</v>
      </c>
      <c r="F613" t="s">
        <v>5615</v>
      </c>
      <c r="G613" t="s">
        <v>5602</v>
      </c>
      <c r="H613" t="s">
        <v>5590</v>
      </c>
      <c r="I613">
        <v>2</v>
      </c>
      <c r="J613" t="s">
        <v>5591</v>
      </c>
      <c r="K613">
        <v>17.399999999999999</v>
      </c>
      <c r="L613">
        <v>509</v>
      </c>
      <c r="M613">
        <v>11</v>
      </c>
      <c r="N613" t="s">
        <v>5737</v>
      </c>
      <c r="O613">
        <v>11.9</v>
      </c>
      <c r="P613" t="s">
        <v>5613</v>
      </c>
      <c r="Q613">
        <v>4.2</v>
      </c>
      <c r="R613" t="s">
        <v>5613</v>
      </c>
      <c r="S613">
        <v>100</v>
      </c>
      <c r="T613">
        <v>1</v>
      </c>
      <c r="U613">
        <v>100</v>
      </c>
      <c r="V613">
        <v>21</v>
      </c>
      <c r="W613">
        <v>1.4</v>
      </c>
      <c r="X613" t="s">
        <v>5613</v>
      </c>
      <c r="Y613">
        <v>11.4</v>
      </c>
      <c r="Z613" t="s">
        <v>5613</v>
      </c>
      <c r="AA613">
        <v>1</v>
      </c>
      <c r="AB613" t="s">
        <v>5613</v>
      </c>
      <c r="AC613" t="s">
        <v>6207</v>
      </c>
    </row>
    <row r="614" spans="1:29">
      <c r="A614" t="s">
        <v>6214</v>
      </c>
      <c r="B614" t="s">
        <v>6020</v>
      </c>
      <c r="C614" t="s">
        <v>6215</v>
      </c>
      <c r="D614" t="s">
        <v>5863</v>
      </c>
      <c r="E614" t="s">
        <v>1306</v>
      </c>
      <c r="F614" t="s">
        <v>5593</v>
      </c>
      <c r="G614" t="s">
        <v>5589</v>
      </c>
      <c r="H614" t="s">
        <v>6146</v>
      </c>
      <c r="I614">
        <v>4</v>
      </c>
      <c r="J614" t="s">
        <v>5595</v>
      </c>
      <c r="K614">
        <v>15.2</v>
      </c>
      <c r="L614">
        <v>574</v>
      </c>
      <c r="M614">
        <v>21.5</v>
      </c>
      <c r="N614">
        <v>432</v>
      </c>
      <c r="O614">
        <v>92</v>
      </c>
      <c r="P614">
        <v>76</v>
      </c>
      <c r="Q614">
        <v>1</v>
      </c>
      <c r="R614" t="s">
        <v>5613</v>
      </c>
      <c r="S614">
        <v>13.3</v>
      </c>
      <c r="T614">
        <v>697</v>
      </c>
      <c r="U614">
        <v>21.3</v>
      </c>
      <c r="V614">
        <v>526</v>
      </c>
      <c r="W614">
        <v>1</v>
      </c>
      <c r="X614" t="s">
        <v>5613</v>
      </c>
      <c r="Y614">
        <v>11.2</v>
      </c>
      <c r="Z614" t="s">
        <v>5613</v>
      </c>
      <c r="AA614">
        <v>1</v>
      </c>
      <c r="AB614" t="s">
        <v>5613</v>
      </c>
      <c r="AC614" t="s">
        <v>6207</v>
      </c>
    </row>
    <row r="615" spans="1:29">
      <c r="A615" t="s">
        <v>6214</v>
      </c>
      <c r="B615" t="s">
        <v>6136</v>
      </c>
      <c r="C615" t="s">
        <v>2254</v>
      </c>
      <c r="D615" t="s">
        <v>5882</v>
      </c>
      <c r="E615" t="s">
        <v>984</v>
      </c>
      <c r="F615" t="s">
        <v>5593</v>
      </c>
      <c r="G615" t="s">
        <v>5602</v>
      </c>
      <c r="H615" t="s">
        <v>5590</v>
      </c>
      <c r="I615">
        <v>5</v>
      </c>
      <c r="J615" t="s">
        <v>5595</v>
      </c>
      <c r="K615">
        <v>13.1</v>
      </c>
      <c r="L615" t="s">
        <v>5737</v>
      </c>
      <c r="M615">
        <v>34.700000000000003</v>
      </c>
      <c r="N615">
        <v>280</v>
      </c>
      <c r="O615">
        <v>22.7</v>
      </c>
      <c r="P615">
        <v>623</v>
      </c>
      <c r="Q615">
        <v>6.7</v>
      </c>
      <c r="R615" t="s">
        <v>5613</v>
      </c>
      <c r="S615">
        <v>9</v>
      </c>
      <c r="T615" t="s">
        <v>5613</v>
      </c>
      <c r="U615">
        <v>70.900000000000006</v>
      </c>
      <c r="V615">
        <v>204</v>
      </c>
      <c r="W615">
        <v>38.6</v>
      </c>
      <c r="X615">
        <v>387</v>
      </c>
      <c r="Y615">
        <v>14.2</v>
      </c>
      <c r="Z615">
        <v>597</v>
      </c>
      <c r="AA615">
        <v>2.7</v>
      </c>
      <c r="AB615" t="s">
        <v>5613</v>
      </c>
      <c r="AC615" t="s">
        <v>6207</v>
      </c>
    </row>
    <row r="616" spans="1:29">
      <c r="A616" t="s">
        <v>6214</v>
      </c>
      <c r="B616" t="s">
        <v>6064</v>
      </c>
      <c r="C616" t="s">
        <v>6216</v>
      </c>
      <c r="D616" t="s">
        <v>5639</v>
      </c>
      <c r="E616" t="s">
        <v>99</v>
      </c>
      <c r="F616" t="s">
        <v>5593</v>
      </c>
      <c r="G616" t="s">
        <v>5594</v>
      </c>
      <c r="H616" t="s">
        <v>5590</v>
      </c>
      <c r="I616">
        <v>5</v>
      </c>
      <c r="J616" t="s">
        <v>5595</v>
      </c>
      <c r="K616">
        <v>14.4</v>
      </c>
      <c r="L616">
        <v>599</v>
      </c>
      <c r="M616">
        <v>4.3</v>
      </c>
      <c r="N616" t="s">
        <v>5737</v>
      </c>
      <c r="O616">
        <v>82.8</v>
      </c>
      <c r="P616">
        <v>123</v>
      </c>
      <c r="Q616">
        <v>6.9</v>
      </c>
      <c r="R616" t="s">
        <v>5613</v>
      </c>
      <c r="U616">
        <v>9.8000000000000007</v>
      </c>
      <c r="V616" t="s">
        <v>5613</v>
      </c>
      <c r="W616">
        <v>73.400000000000006</v>
      </c>
      <c r="X616">
        <v>179</v>
      </c>
      <c r="Y616">
        <v>7.6</v>
      </c>
      <c r="Z616" t="s">
        <v>5613</v>
      </c>
      <c r="AA616">
        <v>5.8</v>
      </c>
      <c r="AB616" t="s">
        <v>5613</v>
      </c>
      <c r="AC616" t="s">
        <v>6207</v>
      </c>
    </row>
    <row r="617" spans="1:29">
      <c r="A617" t="s">
        <v>6214</v>
      </c>
      <c r="B617" t="s">
        <v>6132</v>
      </c>
      <c r="C617" t="s">
        <v>2451</v>
      </c>
      <c r="D617" t="s">
        <v>5678</v>
      </c>
      <c r="E617" t="s">
        <v>389</v>
      </c>
      <c r="F617" t="s">
        <v>5588</v>
      </c>
      <c r="G617" t="s">
        <v>5589</v>
      </c>
      <c r="H617" t="s">
        <v>5590</v>
      </c>
      <c r="I617">
        <v>4</v>
      </c>
      <c r="J617" t="s">
        <v>5595</v>
      </c>
      <c r="K617">
        <v>21.5</v>
      </c>
      <c r="L617">
        <v>402</v>
      </c>
      <c r="M617">
        <v>27.1</v>
      </c>
      <c r="N617">
        <v>358</v>
      </c>
      <c r="O617">
        <v>23</v>
      </c>
      <c r="P617">
        <v>617</v>
      </c>
      <c r="Q617">
        <v>17.8</v>
      </c>
      <c r="R617">
        <v>586</v>
      </c>
      <c r="S617">
        <v>12.9</v>
      </c>
      <c r="T617" t="s">
        <v>5613</v>
      </c>
      <c r="U617">
        <v>9.1</v>
      </c>
      <c r="V617" t="s">
        <v>5613</v>
      </c>
      <c r="W617">
        <v>2.1</v>
      </c>
      <c r="X617" t="s">
        <v>5613</v>
      </c>
      <c r="Y617">
        <v>6.5</v>
      </c>
      <c r="Z617" t="s">
        <v>5613</v>
      </c>
      <c r="AA617">
        <v>30.2</v>
      </c>
      <c r="AB617" t="s">
        <v>6097</v>
      </c>
      <c r="AC617" t="s">
        <v>6207</v>
      </c>
    </row>
    <row r="618" spans="1:29">
      <c r="A618" t="s">
        <v>6214</v>
      </c>
      <c r="B618" t="s">
        <v>6049</v>
      </c>
      <c r="C618" t="s">
        <v>1323</v>
      </c>
      <c r="D618" t="s">
        <v>5644</v>
      </c>
      <c r="E618" t="s">
        <v>181</v>
      </c>
      <c r="F618" t="s">
        <v>5593</v>
      </c>
      <c r="G618" t="s">
        <v>5594</v>
      </c>
      <c r="H618" t="s">
        <v>5590</v>
      </c>
      <c r="I618">
        <v>4</v>
      </c>
      <c r="J618" t="s">
        <v>5595</v>
      </c>
      <c r="K618">
        <v>23</v>
      </c>
      <c r="L618">
        <v>379</v>
      </c>
      <c r="M618">
        <v>18.5</v>
      </c>
      <c r="N618">
        <v>475</v>
      </c>
      <c r="O618">
        <v>38</v>
      </c>
      <c r="P618">
        <v>416</v>
      </c>
      <c r="Q618">
        <v>17.100000000000001</v>
      </c>
      <c r="R618">
        <v>599</v>
      </c>
      <c r="S618">
        <v>10.4</v>
      </c>
      <c r="T618" t="s">
        <v>5613</v>
      </c>
      <c r="U618">
        <v>12.4</v>
      </c>
      <c r="V618">
        <v>672</v>
      </c>
      <c r="W618">
        <v>7.9</v>
      </c>
      <c r="X618" t="s">
        <v>5613</v>
      </c>
      <c r="Y618">
        <v>13.3</v>
      </c>
      <c r="Z618">
        <v>643</v>
      </c>
      <c r="AA618">
        <v>8.1</v>
      </c>
      <c r="AB618" t="s">
        <v>5613</v>
      </c>
      <c r="AC618" t="s">
        <v>6207</v>
      </c>
    </row>
    <row r="619" spans="1:29">
      <c r="A619" t="s">
        <v>6214</v>
      </c>
      <c r="B619" t="s">
        <v>5958</v>
      </c>
      <c r="C619" t="s">
        <v>6217</v>
      </c>
      <c r="D619" t="s">
        <v>5631</v>
      </c>
      <c r="E619" t="s">
        <v>94</v>
      </c>
      <c r="F619" t="s">
        <v>5615</v>
      </c>
      <c r="G619" t="s">
        <v>5602</v>
      </c>
      <c r="H619" t="s">
        <v>5590</v>
      </c>
      <c r="I619">
        <v>4</v>
      </c>
      <c r="J619" t="s">
        <v>5595</v>
      </c>
      <c r="K619">
        <v>11.5</v>
      </c>
      <c r="L619" t="s">
        <v>5737</v>
      </c>
      <c r="M619">
        <v>5.8</v>
      </c>
      <c r="N619" t="s">
        <v>5737</v>
      </c>
      <c r="O619">
        <v>100</v>
      </c>
      <c r="P619">
        <v>10</v>
      </c>
      <c r="Q619">
        <v>18.2</v>
      </c>
      <c r="R619">
        <v>580</v>
      </c>
      <c r="S619">
        <v>3.5</v>
      </c>
      <c r="T619" t="s">
        <v>5613</v>
      </c>
      <c r="U619">
        <v>15.3</v>
      </c>
      <c r="V619">
        <v>614</v>
      </c>
      <c r="W619">
        <v>1.2</v>
      </c>
      <c r="X619" t="s">
        <v>5613</v>
      </c>
      <c r="Y619">
        <v>8</v>
      </c>
      <c r="Z619" t="s">
        <v>5613</v>
      </c>
      <c r="AA619">
        <v>1.1000000000000001</v>
      </c>
      <c r="AB619" t="s">
        <v>5613</v>
      </c>
      <c r="AC619" t="s">
        <v>6207</v>
      </c>
    </row>
    <row r="620" spans="1:29">
      <c r="A620" t="s">
        <v>6214</v>
      </c>
      <c r="B620" t="s">
        <v>5968</v>
      </c>
      <c r="C620" t="s">
        <v>1608</v>
      </c>
      <c r="D620" t="s">
        <v>5889</v>
      </c>
      <c r="E620" t="s">
        <v>992</v>
      </c>
      <c r="F620" t="s">
        <v>5593</v>
      </c>
      <c r="G620" t="s">
        <v>5594</v>
      </c>
      <c r="H620" t="s">
        <v>5590</v>
      </c>
      <c r="I620">
        <v>4</v>
      </c>
      <c r="J620" t="s">
        <v>5595</v>
      </c>
      <c r="K620">
        <v>15.6</v>
      </c>
      <c r="L620">
        <v>562</v>
      </c>
      <c r="M620">
        <v>8.6999999999999993</v>
      </c>
      <c r="N620" t="s">
        <v>5737</v>
      </c>
      <c r="O620">
        <v>32.799999999999997</v>
      </c>
      <c r="P620">
        <v>483</v>
      </c>
      <c r="Q620">
        <v>18.7</v>
      </c>
      <c r="R620">
        <v>573</v>
      </c>
      <c r="S620">
        <v>19.399999999999999</v>
      </c>
      <c r="T620">
        <v>596</v>
      </c>
      <c r="U620">
        <v>18</v>
      </c>
      <c r="V620">
        <v>575</v>
      </c>
      <c r="W620">
        <v>52.7</v>
      </c>
      <c r="X620">
        <v>297</v>
      </c>
      <c r="Y620">
        <v>10.199999999999999</v>
      </c>
      <c r="Z620" t="s">
        <v>5613</v>
      </c>
      <c r="AA620">
        <v>27.6</v>
      </c>
      <c r="AB620" t="s">
        <v>5766</v>
      </c>
      <c r="AC620" t="s">
        <v>6207</v>
      </c>
    </row>
    <row r="621" spans="1:29">
      <c r="A621" t="s">
        <v>6218</v>
      </c>
      <c r="C621" t="s">
        <v>6219</v>
      </c>
      <c r="D621" t="s">
        <v>5672</v>
      </c>
      <c r="E621" t="s">
        <v>664</v>
      </c>
      <c r="F621" t="s">
        <v>5615</v>
      </c>
      <c r="G621" t="s">
        <v>5602</v>
      </c>
      <c r="H621" t="s">
        <v>5590</v>
      </c>
      <c r="I621">
        <v>2</v>
      </c>
      <c r="J621" t="s">
        <v>5926</v>
      </c>
      <c r="K621">
        <v>6.4</v>
      </c>
      <c r="L621" t="s">
        <v>5737</v>
      </c>
      <c r="M621">
        <v>8.6</v>
      </c>
      <c r="N621" t="s">
        <v>5737</v>
      </c>
      <c r="O621">
        <v>57.8</v>
      </c>
      <c r="P621">
        <v>250</v>
      </c>
      <c r="Q621">
        <v>1.5</v>
      </c>
      <c r="R621" t="s">
        <v>5613</v>
      </c>
      <c r="S621">
        <v>89.8</v>
      </c>
      <c r="T621">
        <v>185</v>
      </c>
      <c r="U621">
        <v>100</v>
      </c>
      <c r="V621">
        <v>16</v>
      </c>
      <c r="W621">
        <v>1</v>
      </c>
      <c r="X621" t="s">
        <v>5613</v>
      </c>
      <c r="Y621">
        <v>9.4</v>
      </c>
      <c r="Z621" t="s">
        <v>5613</v>
      </c>
      <c r="AA621">
        <v>1</v>
      </c>
      <c r="AB621" t="s">
        <v>5613</v>
      </c>
      <c r="AC621" t="s">
        <v>6207</v>
      </c>
    </row>
    <row r="622" spans="1:29">
      <c r="A622" t="s">
        <v>6218</v>
      </c>
      <c r="B622" t="s">
        <v>6009</v>
      </c>
      <c r="C622" t="s">
        <v>1444</v>
      </c>
      <c r="D622" t="s">
        <v>5678</v>
      </c>
      <c r="E622" t="s">
        <v>389</v>
      </c>
      <c r="F622" t="s">
        <v>5588</v>
      </c>
      <c r="G622" t="s">
        <v>5602</v>
      </c>
      <c r="H622" t="s">
        <v>5590</v>
      </c>
      <c r="I622">
        <v>3</v>
      </c>
      <c r="J622" t="s">
        <v>5591</v>
      </c>
      <c r="K622">
        <v>5.7</v>
      </c>
      <c r="L622" t="s">
        <v>5737</v>
      </c>
      <c r="M622">
        <v>4.5999999999999996</v>
      </c>
      <c r="N622" t="s">
        <v>5737</v>
      </c>
      <c r="O622">
        <v>70</v>
      </c>
      <c r="P622">
        <v>184</v>
      </c>
      <c r="Q622">
        <v>43</v>
      </c>
      <c r="R622">
        <v>309</v>
      </c>
      <c r="S622">
        <v>4.3</v>
      </c>
      <c r="T622" t="s">
        <v>5613</v>
      </c>
      <c r="U622">
        <v>4.7</v>
      </c>
      <c r="V622" t="s">
        <v>5613</v>
      </c>
      <c r="W622">
        <v>1.4</v>
      </c>
      <c r="X622" t="s">
        <v>5613</v>
      </c>
      <c r="Y622">
        <v>7.9</v>
      </c>
      <c r="Z622" t="s">
        <v>5613</v>
      </c>
      <c r="AA622">
        <v>4.0999999999999996</v>
      </c>
      <c r="AB622" t="s">
        <v>5613</v>
      </c>
      <c r="AC622" t="s">
        <v>6207</v>
      </c>
    </row>
    <row r="623" spans="1:29">
      <c r="A623" t="s">
        <v>6218</v>
      </c>
      <c r="B623" t="s">
        <v>6136</v>
      </c>
      <c r="C623" t="s">
        <v>3136</v>
      </c>
      <c r="D623" t="s">
        <v>5872</v>
      </c>
      <c r="E623" t="s">
        <v>1955</v>
      </c>
      <c r="F623" t="s">
        <v>5593</v>
      </c>
      <c r="G623" t="s">
        <v>5651</v>
      </c>
      <c r="I623">
        <v>2</v>
      </c>
      <c r="J623" t="s">
        <v>5595</v>
      </c>
      <c r="K623">
        <v>15.3</v>
      </c>
      <c r="L623">
        <v>570</v>
      </c>
      <c r="M623">
        <v>41</v>
      </c>
      <c r="N623">
        <v>227</v>
      </c>
      <c r="O623">
        <v>36.9</v>
      </c>
      <c r="P623">
        <v>427</v>
      </c>
      <c r="Q623">
        <v>1.7</v>
      </c>
      <c r="R623" t="s">
        <v>5613</v>
      </c>
      <c r="S623">
        <v>43.1</v>
      </c>
      <c r="T623">
        <v>388</v>
      </c>
      <c r="U623">
        <v>5.2</v>
      </c>
      <c r="V623" t="s">
        <v>5613</v>
      </c>
      <c r="W623">
        <v>1</v>
      </c>
      <c r="X623" t="s">
        <v>5613</v>
      </c>
      <c r="Y623">
        <v>14.5</v>
      </c>
      <c r="Z623">
        <v>577</v>
      </c>
      <c r="AA623">
        <v>26.3</v>
      </c>
      <c r="AB623">
        <v>484</v>
      </c>
      <c r="AC623" t="s">
        <v>6207</v>
      </c>
    </row>
    <row r="624" spans="1:29">
      <c r="A624" t="s">
        <v>6218</v>
      </c>
      <c r="B624" t="s">
        <v>6049</v>
      </c>
      <c r="C624" t="s">
        <v>6220</v>
      </c>
      <c r="D624" t="s">
        <v>5672</v>
      </c>
      <c r="E624" t="s">
        <v>664</v>
      </c>
      <c r="F624" t="s">
        <v>5615</v>
      </c>
      <c r="G624" t="s">
        <v>5602</v>
      </c>
      <c r="H624" t="s">
        <v>5590</v>
      </c>
      <c r="I624">
        <v>2</v>
      </c>
      <c r="J624" t="s">
        <v>5926</v>
      </c>
      <c r="K624">
        <v>12.4</v>
      </c>
      <c r="L624" t="s">
        <v>5737</v>
      </c>
      <c r="M624">
        <v>12.2</v>
      </c>
      <c r="N624" t="s">
        <v>5737</v>
      </c>
      <c r="O624">
        <v>33.5</v>
      </c>
      <c r="P624">
        <v>476</v>
      </c>
      <c r="Q624">
        <v>1.6</v>
      </c>
      <c r="R624" t="s">
        <v>5613</v>
      </c>
      <c r="S624">
        <v>90.5</v>
      </c>
      <c r="T624">
        <v>180</v>
      </c>
      <c r="U624">
        <v>94.1</v>
      </c>
      <c r="V624">
        <v>92</v>
      </c>
      <c r="W624">
        <v>1</v>
      </c>
      <c r="X624" t="s">
        <v>5613</v>
      </c>
      <c r="Y624">
        <v>10.1</v>
      </c>
      <c r="Z624" t="s">
        <v>5613</v>
      </c>
      <c r="AA624">
        <v>1</v>
      </c>
      <c r="AB624" t="s">
        <v>5613</v>
      </c>
      <c r="AC624" t="s">
        <v>6207</v>
      </c>
    </row>
    <row r="625" spans="1:29">
      <c r="A625" t="s">
        <v>6218</v>
      </c>
      <c r="B625" t="s">
        <v>6014</v>
      </c>
      <c r="C625" t="s">
        <v>779</v>
      </c>
      <c r="D625" t="s">
        <v>5616</v>
      </c>
      <c r="E625" t="s">
        <v>54</v>
      </c>
      <c r="F625" t="s">
        <v>5605</v>
      </c>
      <c r="G625" t="s">
        <v>5589</v>
      </c>
      <c r="H625" t="s">
        <v>5590</v>
      </c>
      <c r="I625">
        <v>4</v>
      </c>
      <c r="J625" t="s">
        <v>5595</v>
      </c>
      <c r="K625">
        <v>5.9</v>
      </c>
      <c r="L625" t="s">
        <v>5737</v>
      </c>
      <c r="M625">
        <v>2.5</v>
      </c>
      <c r="N625" t="s">
        <v>5737</v>
      </c>
      <c r="O625">
        <v>46</v>
      </c>
      <c r="P625">
        <v>341</v>
      </c>
      <c r="Q625">
        <v>53.6</v>
      </c>
      <c r="R625">
        <v>239</v>
      </c>
      <c r="S625">
        <v>13.9</v>
      </c>
      <c r="T625">
        <v>686</v>
      </c>
      <c r="U625">
        <v>4.8</v>
      </c>
      <c r="V625" t="s">
        <v>5613</v>
      </c>
      <c r="W625">
        <v>6.1</v>
      </c>
      <c r="X625" t="s">
        <v>5613</v>
      </c>
      <c r="Y625">
        <v>10.1</v>
      </c>
      <c r="Z625" t="s">
        <v>5613</v>
      </c>
      <c r="AA625">
        <v>3.2</v>
      </c>
      <c r="AB625" t="s">
        <v>5613</v>
      </c>
      <c r="AC625" t="s">
        <v>6207</v>
      </c>
    </row>
    <row r="626" spans="1:29">
      <c r="A626" t="s">
        <v>6218</v>
      </c>
      <c r="B626" t="s">
        <v>6136</v>
      </c>
      <c r="C626" t="s">
        <v>1118</v>
      </c>
      <c r="D626" t="s">
        <v>5587</v>
      </c>
      <c r="E626" t="s">
        <v>29</v>
      </c>
      <c r="F626" t="s">
        <v>5588</v>
      </c>
      <c r="G626" t="s">
        <v>5589</v>
      </c>
      <c r="H626" t="s">
        <v>5590</v>
      </c>
      <c r="I626">
        <v>5</v>
      </c>
      <c r="J626" t="s">
        <v>5591</v>
      </c>
      <c r="K626">
        <v>2.7</v>
      </c>
      <c r="L626" t="s">
        <v>5737</v>
      </c>
      <c r="M626">
        <v>2.9</v>
      </c>
      <c r="N626" t="s">
        <v>5737</v>
      </c>
      <c r="O626">
        <v>4.7</v>
      </c>
      <c r="P626" t="s">
        <v>5613</v>
      </c>
      <c r="Q626">
        <v>52.4</v>
      </c>
      <c r="R626">
        <v>246</v>
      </c>
      <c r="S626">
        <v>37.5</v>
      </c>
      <c r="T626">
        <v>428</v>
      </c>
      <c r="U626">
        <v>91.4</v>
      </c>
      <c r="V626">
        <v>110</v>
      </c>
      <c r="W626">
        <v>1.2</v>
      </c>
      <c r="X626" t="s">
        <v>5613</v>
      </c>
      <c r="Y626">
        <v>12.2</v>
      </c>
      <c r="Z626" t="s">
        <v>5613</v>
      </c>
      <c r="AA626">
        <v>1.1000000000000001</v>
      </c>
      <c r="AB626" t="s">
        <v>5613</v>
      </c>
      <c r="AC626" t="s">
        <v>6207</v>
      </c>
    </row>
    <row r="627" spans="1:29">
      <c r="A627" t="s">
        <v>6218</v>
      </c>
      <c r="B627" t="s">
        <v>6056</v>
      </c>
      <c r="C627" t="s">
        <v>1696</v>
      </c>
      <c r="D627" t="s">
        <v>5772</v>
      </c>
      <c r="E627" t="s">
        <v>386</v>
      </c>
      <c r="F627" t="s">
        <v>5593</v>
      </c>
      <c r="G627" t="s">
        <v>5589</v>
      </c>
      <c r="H627" t="s">
        <v>5809</v>
      </c>
      <c r="I627">
        <v>3</v>
      </c>
      <c r="J627" t="s">
        <v>5591</v>
      </c>
      <c r="K627">
        <v>10.4</v>
      </c>
      <c r="L627" t="s">
        <v>5737</v>
      </c>
      <c r="M627">
        <v>43.7</v>
      </c>
      <c r="N627">
        <v>208</v>
      </c>
      <c r="O627">
        <v>6.3</v>
      </c>
      <c r="P627" t="s">
        <v>5613</v>
      </c>
      <c r="Q627">
        <v>8.5</v>
      </c>
      <c r="R627" t="s">
        <v>5613</v>
      </c>
      <c r="S627">
        <v>94.7</v>
      </c>
      <c r="T627">
        <v>153</v>
      </c>
      <c r="U627">
        <v>32.200000000000003</v>
      </c>
      <c r="V627">
        <v>399</v>
      </c>
      <c r="W627">
        <v>2.4</v>
      </c>
      <c r="X627" t="s">
        <v>5613</v>
      </c>
      <c r="Y627">
        <v>15.6</v>
      </c>
      <c r="Z627">
        <v>535</v>
      </c>
      <c r="AA627">
        <v>1.4</v>
      </c>
      <c r="AB627" t="s">
        <v>5613</v>
      </c>
      <c r="AC627" t="s">
        <v>6207</v>
      </c>
    </row>
    <row r="628" spans="1:29">
      <c r="A628" t="s">
        <v>6218</v>
      </c>
      <c r="B628" t="s">
        <v>6143</v>
      </c>
      <c r="C628" t="s">
        <v>6221</v>
      </c>
      <c r="D628" t="s">
        <v>5795</v>
      </c>
      <c r="E628" t="s">
        <v>421</v>
      </c>
      <c r="F628" t="s">
        <v>5593</v>
      </c>
      <c r="G628" t="s">
        <v>5594</v>
      </c>
      <c r="H628" t="s">
        <v>5590</v>
      </c>
      <c r="I628">
        <v>4</v>
      </c>
      <c r="J628" t="s">
        <v>5595</v>
      </c>
      <c r="K628">
        <v>12.9</v>
      </c>
      <c r="L628" t="s">
        <v>5737</v>
      </c>
      <c r="M628">
        <v>11.8</v>
      </c>
      <c r="N628" t="s">
        <v>5737</v>
      </c>
      <c r="O628">
        <v>6.5</v>
      </c>
      <c r="P628" t="s">
        <v>5613</v>
      </c>
      <c r="Q628">
        <v>22.8</v>
      </c>
      <c r="R628">
        <v>516</v>
      </c>
      <c r="S628">
        <v>25.1</v>
      </c>
      <c r="T628">
        <v>534</v>
      </c>
      <c r="U628">
        <v>1.9</v>
      </c>
      <c r="V628" t="s">
        <v>5613</v>
      </c>
      <c r="W628">
        <v>78.099999999999994</v>
      </c>
      <c r="X628">
        <v>157</v>
      </c>
      <c r="Y628">
        <v>28</v>
      </c>
      <c r="Z628">
        <v>287</v>
      </c>
      <c r="AA628">
        <v>37.799999999999997</v>
      </c>
      <c r="AB628" t="s">
        <v>6005</v>
      </c>
      <c r="AC628" t="s">
        <v>6207</v>
      </c>
    </row>
    <row r="629" spans="1:29">
      <c r="A629" t="s">
        <v>6218</v>
      </c>
      <c r="B629" t="s">
        <v>6049</v>
      </c>
      <c r="C629" t="s">
        <v>2028</v>
      </c>
      <c r="D629" t="s">
        <v>6222</v>
      </c>
      <c r="E629" t="s">
        <v>2029</v>
      </c>
      <c r="F629" t="s">
        <v>5605</v>
      </c>
      <c r="G629" t="s">
        <v>5594</v>
      </c>
      <c r="H629" t="s">
        <v>5590</v>
      </c>
      <c r="I629">
        <v>5</v>
      </c>
      <c r="J629" t="s">
        <v>5595</v>
      </c>
      <c r="K629">
        <v>20</v>
      </c>
      <c r="L629">
        <v>439</v>
      </c>
      <c r="M629">
        <v>9.5</v>
      </c>
      <c r="N629" t="s">
        <v>5737</v>
      </c>
      <c r="O629">
        <v>35.6</v>
      </c>
      <c r="P629">
        <v>446</v>
      </c>
      <c r="Q629">
        <v>6.3</v>
      </c>
      <c r="R629" t="s">
        <v>5613</v>
      </c>
      <c r="S629">
        <v>4.5</v>
      </c>
      <c r="T629" t="s">
        <v>5613</v>
      </c>
      <c r="U629">
        <v>10.7</v>
      </c>
      <c r="V629" t="s">
        <v>5613</v>
      </c>
      <c r="W629">
        <v>59.3</v>
      </c>
      <c r="X629">
        <v>250</v>
      </c>
      <c r="Y629">
        <v>48.9</v>
      </c>
      <c r="Z629">
        <v>139</v>
      </c>
      <c r="AA629">
        <v>17.2</v>
      </c>
      <c r="AB629" t="s">
        <v>5935</v>
      </c>
      <c r="AC629" t="s">
        <v>6207</v>
      </c>
    </row>
    <row r="630" spans="1:29">
      <c r="A630" t="s">
        <v>6218</v>
      </c>
      <c r="B630" t="s">
        <v>6136</v>
      </c>
      <c r="C630" t="s">
        <v>1413</v>
      </c>
      <c r="D630" t="s">
        <v>5772</v>
      </c>
      <c r="E630" t="s">
        <v>386</v>
      </c>
      <c r="F630" t="s">
        <v>5605</v>
      </c>
      <c r="G630" t="s">
        <v>5589</v>
      </c>
      <c r="H630" t="s">
        <v>5590</v>
      </c>
      <c r="I630">
        <v>3</v>
      </c>
      <c r="J630" t="s">
        <v>5595</v>
      </c>
      <c r="K630">
        <v>19.399999999999999</v>
      </c>
      <c r="L630">
        <v>457</v>
      </c>
      <c r="M630">
        <v>6.4</v>
      </c>
      <c r="N630" t="s">
        <v>5737</v>
      </c>
      <c r="O630">
        <v>34.700000000000003</v>
      </c>
      <c r="P630">
        <v>462</v>
      </c>
      <c r="Q630">
        <v>17.399999999999999</v>
      </c>
      <c r="R630">
        <v>593</v>
      </c>
      <c r="S630">
        <v>2.5</v>
      </c>
      <c r="T630" t="s">
        <v>5613</v>
      </c>
      <c r="U630">
        <v>3.8</v>
      </c>
      <c r="V630" t="s">
        <v>5613</v>
      </c>
      <c r="W630">
        <v>73.599999999999994</v>
      </c>
      <c r="X630">
        <v>178</v>
      </c>
      <c r="Y630">
        <v>7</v>
      </c>
      <c r="Z630" t="s">
        <v>5613</v>
      </c>
      <c r="AA630">
        <v>21.2</v>
      </c>
      <c r="AB630" t="s">
        <v>5923</v>
      </c>
      <c r="AC630" t="s">
        <v>6207</v>
      </c>
    </row>
    <row r="631" spans="1:29">
      <c r="A631" t="s">
        <v>6218</v>
      </c>
      <c r="B631" t="s">
        <v>6143</v>
      </c>
      <c r="C631" t="s">
        <v>1797</v>
      </c>
      <c r="D631" t="s">
        <v>5616</v>
      </c>
      <c r="E631" t="s">
        <v>54</v>
      </c>
      <c r="F631" t="s">
        <v>5605</v>
      </c>
      <c r="G631" t="s">
        <v>5594</v>
      </c>
      <c r="H631" t="s">
        <v>5590</v>
      </c>
      <c r="I631">
        <v>4</v>
      </c>
      <c r="J631" t="s">
        <v>5595</v>
      </c>
      <c r="K631">
        <v>5.4</v>
      </c>
      <c r="L631" t="s">
        <v>5737</v>
      </c>
      <c r="M631">
        <v>19.7</v>
      </c>
      <c r="N631">
        <v>461</v>
      </c>
      <c r="O631">
        <v>4.7</v>
      </c>
      <c r="P631" t="s">
        <v>5613</v>
      </c>
      <c r="Q631">
        <v>65.599999999999994</v>
      </c>
      <c r="R631">
        <v>168</v>
      </c>
      <c r="U631">
        <v>2.5</v>
      </c>
      <c r="V631" t="s">
        <v>5613</v>
      </c>
      <c r="W631">
        <v>4.4000000000000004</v>
      </c>
      <c r="X631" t="s">
        <v>5613</v>
      </c>
      <c r="Y631">
        <v>6.7</v>
      </c>
      <c r="Z631" t="s">
        <v>5613</v>
      </c>
      <c r="AA631">
        <v>3.2</v>
      </c>
      <c r="AB631" t="s">
        <v>5613</v>
      </c>
      <c r="AC631" t="s">
        <v>6207</v>
      </c>
    </row>
    <row r="632" spans="1:29">
      <c r="A632" t="s">
        <v>6223</v>
      </c>
      <c r="B632" t="s">
        <v>5992</v>
      </c>
      <c r="C632" t="s">
        <v>6224</v>
      </c>
      <c r="D632" t="s">
        <v>5644</v>
      </c>
      <c r="E632" t="s">
        <v>181</v>
      </c>
      <c r="F632" t="s">
        <v>5588</v>
      </c>
      <c r="G632" t="s">
        <v>5594</v>
      </c>
      <c r="H632" t="s">
        <v>5590</v>
      </c>
      <c r="I632">
        <v>4</v>
      </c>
      <c r="J632" t="s">
        <v>5591</v>
      </c>
      <c r="K632">
        <v>15.5</v>
      </c>
      <c r="L632">
        <v>563</v>
      </c>
      <c r="M632">
        <v>15.4</v>
      </c>
      <c r="N632">
        <v>535</v>
      </c>
      <c r="O632">
        <v>65.099999999999994</v>
      </c>
      <c r="P632">
        <v>211</v>
      </c>
      <c r="Q632">
        <v>17.399999999999999</v>
      </c>
      <c r="R632">
        <v>595</v>
      </c>
      <c r="S632">
        <v>6.2</v>
      </c>
      <c r="T632" t="s">
        <v>5613</v>
      </c>
      <c r="U632">
        <v>13.7</v>
      </c>
      <c r="V632">
        <v>648</v>
      </c>
      <c r="W632">
        <v>1.1000000000000001</v>
      </c>
      <c r="X632" t="s">
        <v>5613</v>
      </c>
      <c r="Y632">
        <v>8.3000000000000007</v>
      </c>
      <c r="Z632" t="s">
        <v>5613</v>
      </c>
      <c r="AA632">
        <v>5</v>
      </c>
      <c r="AB632" t="s">
        <v>5613</v>
      </c>
      <c r="AC632" t="s">
        <v>6207</v>
      </c>
    </row>
    <row r="633" spans="1:29">
      <c r="A633" t="s">
        <v>6223</v>
      </c>
      <c r="B633" t="s">
        <v>6079</v>
      </c>
      <c r="C633" t="s">
        <v>616</v>
      </c>
      <c r="D633" t="s">
        <v>5587</v>
      </c>
      <c r="E633" t="s">
        <v>29</v>
      </c>
      <c r="F633" t="s">
        <v>5593</v>
      </c>
      <c r="G633" t="s">
        <v>5589</v>
      </c>
      <c r="H633" t="s">
        <v>5590</v>
      </c>
      <c r="I633">
        <v>5</v>
      </c>
      <c r="J633" t="s">
        <v>5591</v>
      </c>
      <c r="K633">
        <v>20.5</v>
      </c>
      <c r="L633">
        <v>426</v>
      </c>
      <c r="M633">
        <v>12.9</v>
      </c>
      <c r="N633" t="s">
        <v>5737</v>
      </c>
      <c r="O633">
        <v>19.3</v>
      </c>
      <c r="P633">
        <v>684</v>
      </c>
      <c r="Q633">
        <v>21.5</v>
      </c>
      <c r="R633">
        <v>535</v>
      </c>
      <c r="S633">
        <v>12</v>
      </c>
      <c r="T633" t="s">
        <v>5613</v>
      </c>
      <c r="U633">
        <v>18.3</v>
      </c>
      <c r="V633">
        <v>568</v>
      </c>
      <c r="W633">
        <v>9.1</v>
      </c>
      <c r="X633">
        <v>694</v>
      </c>
      <c r="Y633">
        <v>38.4</v>
      </c>
      <c r="Z633">
        <v>189</v>
      </c>
      <c r="AA633">
        <v>15.9</v>
      </c>
      <c r="AB633" t="s">
        <v>6177</v>
      </c>
      <c r="AC633" t="s">
        <v>6207</v>
      </c>
    </row>
    <row r="634" spans="1:29">
      <c r="A634" t="s">
        <v>6223</v>
      </c>
      <c r="B634" t="s">
        <v>6136</v>
      </c>
      <c r="C634" t="s">
        <v>1258</v>
      </c>
      <c r="D634" t="s">
        <v>5616</v>
      </c>
      <c r="E634" t="s">
        <v>54</v>
      </c>
      <c r="F634" t="s">
        <v>5605</v>
      </c>
      <c r="G634" t="s">
        <v>5594</v>
      </c>
      <c r="H634" t="s">
        <v>5590</v>
      </c>
      <c r="I634">
        <v>4</v>
      </c>
      <c r="J634" t="s">
        <v>5595</v>
      </c>
      <c r="K634">
        <v>5.6</v>
      </c>
      <c r="L634" t="s">
        <v>5737</v>
      </c>
      <c r="M634">
        <v>2.1</v>
      </c>
      <c r="N634" t="s">
        <v>5737</v>
      </c>
      <c r="O634">
        <v>9.4</v>
      </c>
      <c r="P634" t="s">
        <v>5613</v>
      </c>
      <c r="Q634">
        <v>42.9</v>
      </c>
      <c r="R634">
        <v>310</v>
      </c>
      <c r="S634">
        <v>36.700000000000003</v>
      </c>
      <c r="T634">
        <v>440</v>
      </c>
      <c r="U634">
        <v>85.2</v>
      </c>
      <c r="V634">
        <v>142</v>
      </c>
      <c r="W634">
        <v>9.6</v>
      </c>
      <c r="X634">
        <v>677</v>
      </c>
      <c r="Y634">
        <v>7.3</v>
      </c>
      <c r="Z634" t="s">
        <v>5613</v>
      </c>
      <c r="AA634">
        <v>5</v>
      </c>
      <c r="AB634" t="s">
        <v>5613</v>
      </c>
      <c r="AC634" t="s">
        <v>6207</v>
      </c>
    </row>
    <row r="635" spans="1:29">
      <c r="A635" t="s">
        <v>6223</v>
      </c>
      <c r="B635" t="s">
        <v>6056</v>
      </c>
      <c r="C635" t="s">
        <v>6225</v>
      </c>
      <c r="D635" t="s">
        <v>5882</v>
      </c>
      <c r="E635" t="s">
        <v>984</v>
      </c>
      <c r="F635" t="s">
        <v>5593</v>
      </c>
      <c r="G635" t="s">
        <v>5602</v>
      </c>
      <c r="H635" t="s">
        <v>5590</v>
      </c>
      <c r="I635">
        <v>5</v>
      </c>
      <c r="J635" t="s">
        <v>5595</v>
      </c>
      <c r="K635">
        <v>15</v>
      </c>
      <c r="L635">
        <v>583</v>
      </c>
      <c r="M635">
        <v>17.899999999999999</v>
      </c>
      <c r="N635">
        <v>492</v>
      </c>
      <c r="O635">
        <v>29.6</v>
      </c>
      <c r="P635">
        <v>524</v>
      </c>
      <c r="Q635">
        <v>8.6</v>
      </c>
      <c r="R635" t="s">
        <v>5613</v>
      </c>
      <c r="S635">
        <v>33.299999999999997</v>
      </c>
      <c r="T635">
        <v>465</v>
      </c>
      <c r="U635">
        <v>19.5</v>
      </c>
      <c r="V635">
        <v>555</v>
      </c>
      <c r="W635">
        <v>54</v>
      </c>
      <c r="X635">
        <v>292</v>
      </c>
      <c r="Y635">
        <v>9.5</v>
      </c>
      <c r="Z635" t="s">
        <v>5613</v>
      </c>
      <c r="AA635">
        <v>23.7</v>
      </c>
      <c r="AB635" t="s">
        <v>5984</v>
      </c>
      <c r="AC635" t="s">
        <v>6207</v>
      </c>
    </row>
    <row r="636" spans="1:29">
      <c r="A636" t="s">
        <v>6223</v>
      </c>
      <c r="B636" t="s">
        <v>6136</v>
      </c>
      <c r="C636" t="s">
        <v>3038</v>
      </c>
      <c r="D636" t="s">
        <v>5631</v>
      </c>
      <c r="E636" t="s">
        <v>94</v>
      </c>
      <c r="F636" t="s">
        <v>5605</v>
      </c>
      <c r="G636" t="s">
        <v>5589</v>
      </c>
      <c r="H636" t="s">
        <v>5809</v>
      </c>
      <c r="I636">
        <v>5</v>
      </c>
      <c r="J636" t="s">
        <v>5591</v>
      </c>
      <c r="K636">
        <v>15.2</v>
      </c>
      <c r="L636">
        <v>572</v>
      </c>
      <c r="M636">
        <v>68.400000000000006</v>
      </c>
      <c r="N636">
        <v>108</v>
      </c>
      <c r="O636">
        <v>8.1</v>
      </c>
      <c r="P636" t="s">
        <v>5613</v>
      </c>
      <c r="Q636">
        <v>3.8</v>
      </c>
      <c r="R636" t="s">
        <v>5613</v>
      </c>
      <c r="S636">
        <v>24.7</v>
      </c>
      <c r="T636">
        <v>540</v>
      </c>
      <c r="U636">
        <v>10.199999999999999</v>
      </c>
      <c r="V636" t="s">
        <v>5613</v>
      </c>
      <c r="W636">
        <v>2</v>
      </c>
      <c r="X636" t="s">
        <v>5613</v>
      </c>
      <c r="Y636">
        <v>8.6999999999999993</v>
      </c>
      <c r="Z636" t="s">
        <v>5613</v>
      </c>
      <c r="AA636">
        <v>2.2000000000000002</v>
      </c>
      <c r="AB636" t="s">
        <v>5613</v>
      </c>
      <c r="AC636" t="s">
        <v>6207</v>
      </c>
    </row>
    <row r="637" spans="1:29">
      <c r="A637" t="s">
        <v>6223</v>
      </c>
      <c r="B637" t="s">
        <v>6073</v>
      </c>
      <c r="C637" t="s">
        <v>6226</v>
      </c>
      <c r="D637" t="s">
        <v>5857</v>
      </c>
      <c r="E637" t="s">
        <v>1178</v>
      </c>
      <c r="F637" t="s">
        <v>5588</v>
      </c>
      <c r="G637" t="s">
        <v>5594</v>
      </c>
      <c r="H637" t="s">
        <v>5809</v>
      </c>
      <c r="I637">
        <v>5</v>
      </c>
      <c r="J637" t="s">
        <v>5591</v>
      </c>
      <c r="K637">
        <v>9.1999999999999993</v>
      </c>
      <c r="L637" t="s">
        <v>5737</v>
      </c>
      <c r="M637">
        <v>27.6</v>
      </c>
      <c r="N637">
        <v>354</v>
      </c>
      <c r="O637">
        <v>46.8</v>
      </c>
      <c r="P637">
        <v>334</v>
      </c>
      <c r="Q637">
        <v>2.5</v>
      </c>
      <c r="R637" t="s">
        <v>5613</v>
      </c>
      <c r="S637">
        <v>90.8</v>
      </c>
      <c r="T637">
        <v>178</v>
      </c>
      <c r="U637">
        <v>19.7</v>
      </c>
      <c r="V637">
        <v>552</v>
      </c>
      <c r="W637">
        <v>1</v>
      </c>
      <c r="X637" t="s">
        <v>5613</v>
      </c>
      <c r="Y637">
        <v>13</v>
      </c>
      <c r="Z637">
        <v>664</v>
      </c>
      <c r="AA637">
        <v>9.6999999999999993</v>
      </c>
      <c r="AB637" t="s">
        <v>6227</v>
      </c>
      <c r="AC637" t="s">
        <v>6207</v>
      </c>
    </row>
    <row r="638" spans="1:29">
      <c r="A638" t="s">
        <v>6223</v>
      </c>
      <c r="B638" t="s">
        <v>6136</v>
      </c>
      <c r="C638" t="s">
        <v>6228</v>
      </c>
      <c r="D638" t="s">
        <v>6194</v>
      </c>
      <c r="E638" t="s">
        <v>3283</v>
      </c>
      <c r="F638" t="s">
        <v>5605</v>
      </c>
      <c r="G638" t="s">
        <v>5594</v>
      </c>
      <c r="H638" t="s">
        <v>6146</v>
      </c>
      <c r="I638">
        <v>5</v>
      </c>
      <c r="J638" t="s">
        <v>5595</v>
      </c>
      <c r="K638">
        <v>23.1</v>
      </c>
      <c r="L638">
        <v>374</v>
      </c>
      <c r="M638">
        <v>58.4</v>
      </c>
      <c r="N638">
        <v>139</v>
      </c>
      <c r="O638">
        <v>21</v>
      </c>
      <c r="P638">
        <v>648</v>
      </c>
      <c r="Q638">
        <v>1.1000000000000001</v>
      </c>
      <c r="R638" t="s">
        <v>5613</v>
      </c>
      <c r="W638">
        <v>1.2</v>
      </c>
      <c r="X638" t="s">
        <v>5613</v>
      </c>
      <c r="Y638">
        <v>14.3</v>
      </c>
      <c r="Z638">
        <v>590</v>
      </c>
      <c r="AA638">
        <v>1.1000000000000001</v>
      </c>
      <c r="AB638" t="s">
        <v>5613</v>
      </c>
      <c r="AC638" t="s">
        <v>6207</v>
      </c>
    </row>
    <row r="639" spans="1:29">
      <c r="A639" t="s">
        <v>6223</v>
      </c>
      <c r="B639" t="s">
        <v>6180</v>
      </c>
      <c r="C639" t="s">
        <v>6229</v>
      </c>
      <c r="D639" t="s">
        <v>5624</v>
      </c>
      <c r="E639" t="s">
        <v>125</v>
      </c>
      <c r="F639" t="s">
        <v>5605</v>
      </c>
      <c r="G639" t="s">
        <v>5602</v>
      </c>
      <c r="H639" t="s">
        <v>5590</v>
      </c>
      <c r="I639">
        <v>1</v>
      </c>
      <c r="J639" t="s">
        <v>5595</v>
      </c>
      <c r="K639">
        <v>25.3</v>
      </c>
      <c r="L639">
        <v>346</v>
      </c>
      <c r="M639">
        <v>4.2</v>
      </c>
      <c r="N639" t="s">
        <v>5737</v>
      </c>
      <c r="O639">
        <v>4.4000000000000004</v>
      </c>
      <c r="P639" t="s">
        <v>5613</v>
      </c>
      <c r="Q639">
        <v>14.6</v>
      </c>
      <c r="R639">
        <v>643</v>
      </c>
      <c r="S639">
        <v>16.8</v>
      </c>
      <c r="T639">
        <v>637</v>
      </c>
      <c r="U639">
        <v>17.600000000000001</v>
      </c>
      <c r="V639">
        <v>580</v>
      </c>
      <c r="W639">
        <v>86.3</v>
      </c>
      <c r="X639">
        <v>106</v>
      </c>
      <c r="Y639">
        <v>7</v>
      </c>
      <c r="Z639" t="s">
        <v>5613</v>
      </c>
      <c r="AA639">
        <v>17.2</v>
      </c>
      <c r="AB639" t="s">
        <v>5935</v>
      </c>
      <c r="AC639" t="s">
        <v>6207</v>
      </c>
    </row>
    <row r="640" spans="1:29">
      <c r="A640" t="s">
        <v>6223</v>
      </c>
      <c r="B640" t="s">
        <v>6136</v>
      </c>
      <c r="C640" t="s">
        <v>6230</v>
      </c>
      <c r="D640" t="s">
        <v>5587</v>
      </c>
      <c r="E640" t="s">
        <v>29</v>
      </c>
      <c r="F640" t="s">
        <v>5593</v>
      </c>
      <c r="G640" t="s">
        <v>5594</v>
      </c>
      <c r="H640" t="s">
        <v>5590</v>
      </c>
      <c r="I640">
        <v>5</v>
      </c>
      <c r="J640" t="s">
        <v>5595</v>
      </c>
      <c r="K640">
        <v>11.6</v>
      </c>
      <c r="L640" t="s">
        <v>5737</v>
      </c>
      <c r="M640">
        <v>13.9</v>
      </c>
      <c r="N640">
        <v>582</v>
      </c>
      <c r="O640">
        <v>38.299999999999997</v>
      </c>
      <c r="P640">
        <v>412</v>
      </c>
      <c r="Q640">
        <v>16.399999999999999</v>
      </c>
      <c r="R640">
        <v>608</v>
      </c>
      <c r="S640">
        <v>15.7</v>
      </c>
      <c r="T640">
        <v>658</v>
      </c>
      <c r="U640">
        <v>4</v>
      </c>
      <c r="V640" t="s">
        <v>5613</v>
      </c>
      <c r="W640">
        <v>57.5</v>
      </c>
      <c r="X640">
        <v>263</v>
      </c>
      <c r="Y640">
        <v>9.3000000000000007</v>
      </c>
      <c r="Z640" t="s">
        <v>5613</v>
      </c>
      <c r="AA640">
        <v>33.799999999999997</v>
      </c>
      <c r="AB640" t="s">
        <v>5956</v>
      </c>
      <c r="AC640" t="s">
        <v>6207</v>
      </c>
    </row>
    <row r="641" spans="1:29">
      <c r="A641" t="s">
        <v>6231</v>
      </c>
      <c r="B641" t="s">
        <v>6068</v>
      </c>
      <c r="C641" t="s">
        <v>2754</v>
      </c>
      <c r="D641" t="s">
        <v>5696</v>
      </c>
      <c r="E641" t="s">
        <v>5697</v>
      </c>
      <c r="F641" t="s">
        <v>5593</v>
      </c>
      <c r="G641" t="s">
        <v>5589</v>
      </c>
      <c r="H641" t="s">
        <v>5809</v>
      </c>
      <c r="I641">
        <v>5</v>
      </c>
      <c r="J641" t="s">
        <v>5595</v>
      </c>
      <c r="K641">
        <v>10.6</v>
      </c>
      <c r="L641" t="s">
        <v>5737</v>
      </c>
      <c r="M641">
        <v>3.5</v>
      </c>
      <c r="N641" t="s">
        <v>5737</v>
      </c>
      <c r="O641">
        <v>94.9</v>
      </c>
      <c r="P641">
        <v>62</v>
      </c>
      <c r="Q641">
        <v>1.8</v>
      </c>
      <c r="R641" t="s">
        <v>5613</v>
      </c>
      <c r="S641">
        <v>14.1</v>
      </c>
      <c r="T641">
        <v>685</v>
      </c>
      <c r="U641">
        <v>66.099999999999994</v>
      </c>
      <c r="V641">
        <v>227</v>
      </c>
      <c r="W641">
        <v>5.0999999999999996</v>
      </c>
      <c r="X641" t="s">
        <v>5613</v>
      </c>
      <c r="Y641">
        <v>8.1999999999999993</v>
      </c>
      <c r="Z641" t="s">
        <v>5613</v>
      </c>
      <c r="AA641">
        <v>1.2</v>
      </c>
      <c r="AB641" t="s">
        <v>5613</v>
      </c>
      <c r="AC641" t="s">
        <v>6207</v>
      </c>
    </row>
    <row r="642" spans="1:29">
      <c r="A642" t="s">
        <v>6231</v>
      </c>
      <c r="B642" t="s">
        <v>6136</v>
      </c>
      <c r="C642" t="s">
        <v>872</v>
      </c>
      <c r="D642" t="s">
        <v>5747</v>
      </c>
      <c r="E642" t="s">
        <v>397</v>
      </c>
      <c r="F642" t="s">
        <v>5615</v>
      </c>
      <c r="G642" t="s">
        <v>5602</v>
      </c>
      <c r="H642" t="s">
        <v>5590</v>
      </c>
      <c r="I642">
        <v>3</v>
      </c>
      <c r="J642" t="s">
        <v>5595</v>
      </c>
      <c r="K642">
        <v>5</v>
      </c>
      <c r="L642" t="s">
        <v>5737</v>
      </c>
      <c r="M642">
        <v>1.5</v>
      </c>
      <c r="N642" t="s">
        <v>5737</v>
      </c>
      <c r="O642">
        <v>11</v>
      </c>
      <c r="P642" t="s">
        <v>5613</v>
      </c>
      <c r="Q642">
        <v>47.6</v>
      </c>
      <c r="R642">
        <v>285</v>
      </c>
      <c r="S642">
        <v>74.8</v>
      </c>
      <c r="T642">
        <v>256</v>
      </c>
      <c r="U642">
        <v>26.3</v>
      </c>
      <c r="V642">
        <v>460</v>
      </c>
      <c r="W642">
        <v>11.1</v>
      </c>
      <c r="X642">
        <v>651</v>
      </c>
      <c r="Y642">
        <v>8</v>
      </c>
      <c r="Z642" t="s">
        <v>5613</v>
      </c>
      <c r="AA642">
        <v>1.9</v>
      </c>
      <c r="AB642" t="s">
        <v>5613</v>
      </c>
      <c r="AC642" t="s">
        <v>6207</v>
      </c>
    </row>
    <row r="643" spans="1:29">
      <c r="A643" t="s">
        <v>6231</v>
      </c>
      <c r="B643" t="s">
        <v>6033</v>
      </c>
      <c r="C643" t="s">
        <v>6232</v>
      </c>
      <c r="D643" t="s">
        <v>5863</v>
      </c>
      <c r="E643" t="s">
        <v>1306</v>
      </c>
      <c r="F643" t="s">
        <v>5588</v>
      </c>
      <c r="G643" t="s">
        <v>5651</v>
      </c>
      <c r="I643">
        <v>4</v>
      </c>
      <c r="J643" t="s">
        <v>5595</v>
      </c>
      <c r="K643">
        <v>17.399999999999999</v>
      </c>
      <c r="L643">
        <v>510</v>
      </c>
      <c r="M643">
        <v>13.1</v>
      </c>
      <c r="N643" t="s">
        <v>5737</v>
      </c>
      <c r="O643">
        <v>79.8</v>
      </c>
      <c r="P643">
        <v>139</v>
      </c>
      <c r="Q643">
        <v>1.1000000000000001</v>
      </c>
      <c r="R643" t="s">
        <v>5613</v>
      </c>
      <c r="S643">
        <v>20.2</v>
      </c>
      <c r="T643">
        <v>588</v>
      </c>
      <c r="U643">
        <v>24.3</v>
      </c>
      <c r="V643">
        <v>481</v>
      </c>
      <c r="W643">
        <v>1</v>
      </c>
      <c r="X643" t="s">
        <v>5613</v>
      </c>
      <c r="Y643">
        <v>11.8</v>
      </c>
      <c r="Z643" t="s">
        <v>5613</v>
      </c>
      <c r="AA643">
        <v>1.1000000000000001</v>
      </c>
      <c r="AB643" t="s">
        <v>5613</v>
      </c>
      <c r="AC643" t="s">
        <v>6207</v>
      </c>
    </row>
    <row r="644" spans="1:29">
      <c r="A644" t="s">
        <v>6231</v>
      </c>
      <c r="B644" t="s">
        <v>6049</v>
      </c>
      <c r="C644" t="s">
        <v>6233</v>
      </c>
      <c r="D644" t="s">
        <v>5629</v>
      </c>
      <c r="E644" t="s">
        <v>5630</v>
      </c>
      <c r="F644" t="s">
        <v>5615</v>
      </c>
      <c r="G644" t="s">
        <v>5651</v>
      </c>
      <c r="I644">
        <v>2</v>
      </c>
      <c r="J644" t="s">
        <v>5595</v>
      </c>
      <c r="K644">
        <v>9.3000000000000007</v>
      </c>
      <c r="L644" t="s">
        <v>5737</v>
      </c>
      <c r="M644">
        <v>5.5</v>
      </c>
      <c r="N644" t="s">
        <v>5737</v>
      </c>
      <c r="O644">
        <v>14.6</v>
      </c>
      <c r="P644" t="s">
        <v>5613</v>
      </c>
      <c r="Q644">
        <v>16.3</v>
      </c>
      <c r="R644">
        <v>611</v>
      </c>
      <c r="S644">
        <v>100</v>
      </c>
      <c r="T644">
        <v>32</v>
      </c>
      <c r="U644">
        <v>95</v>
      </c>
      <c r="V644">
        <v>88</v>
      </c>
      <c r="W644">
        <v>1.1000000000000001</v>
      </c>
      <c r="X644" t="s">
        <v>5613</v>
      </c>
      <c r="Y644">
        <v>8</v>
      </c>
      <c r="Z644" t="s">
        <v>5613</v>
      </c>
      <c r="AA644">
        <v>1.1000000000000001</v>
      </c>
      <c r="AB644" t="s">
        <v>5613</v>
      </c>
      <c r="AC644" t="s">
        <v>6207</v>
      </c>
    </row>
    <row r="645" spans="1:29">
      <c r="A645" t="s">
        <v>6231</v>
      </c>
      <c r="B645" t="s">
        <v>6180</v>
      </c>
      <c r="C645" t="s">
        <v>1285</v>
      </c>
      <c r="D645" t="s">
        <v>5620</v>
      </c>
      <c r="E645" t="s">
        <v>76</v>
      </c>
      <c r="F645" t="s">
        <v>5593</v>
      </c>
      <c r="G645" t="s">
        <v>5594</v>
      </c>
      <c r="H645" t="s">
        <v>5809</v>
      </c>
      <c r="I645">
        <v>4</v>
      </c>
      <c r="J645" t="s">
        <v>5595</v>
      </c>
      <c r="K645">
        <v>7</v>
      </c>
      <c r="L645" t="s">
        <v>5737</v>
      </c>
      <c r="M645">
        <v>4.5999999999999996</v>
      </c>
      <c r="N645" t="s">
        <v>5737</v>
      </c>
      <c r="O645">
        <v>11</v>
      </c>
      <c r="P645" t="s">
        <v>5613</v>
      </c>
      <c r="Q645">
        <v>28.5</v>
      </c>
      <c r="R645">
        <v>449</v>
      </c>
      <c r="S645">
        <v>25.3</v>
      </c>
      <c r="T645">
        <v>529</v>
      </c>
      <c r="U645">
        <v>71.900000000000006</v>
      </c>
      <c r="V645">
        <v>202</v>
      </c>
      <c r="W645">
        <v>36.5</v>
      </c>
      <c r="X645">
        <v>406</v>
      </c>
      <c r="Y645">
        <v>11.8</v>
      </c>
      <c r="Z645" t="s">
        <v>5613</v>
      </c>
      <c r="AA645">
        <v>31</v>
      </c>
      <c r="AB645" t="s">
        <v>5666</v>
      </c>
      <c r="AC645" t="s">
        <v>6207</v>
      </c>
    </row>
    <row r="646" spans="1:29">
      <c r="A646" t="s">
        <v>6231</v>
      </c>
      <c r="B646" t="s">
        <v>6056</v>
      </c>
      <c r="C646" t="s">
        <v>1080</v>
      </c>
      <c r="D646" t="s">
        <v>5587</v>
      </c>
      <c r="E646" t="s">
        <v>29</v>
      </c>
      <c r="F646" t="s">
        <v>5588</v>
      </c>
      <c r="G646" t="s">
        <v>5589</v>
      </c>
      <c r="H646" t="s">
        <v>5590</v>
      </c>
      <c r="I646">
        <v>5</v>
      </c>
      <c r="J646" t="s">
        <v>5595</v>
      </c>
      <c r="K646">
        <v>3.9</v>
      </c>
      <c r="L646" t="s">
        <v>5737</v>
      </c>
      <c r="M646">
        <v>6.1</v>
      </c>
      <c r="N646" t="s">
        <v>5737</v>
      </c>
      <c r="O646">
        <v>14</v>
      </c>
      <c r="P646" t="s">
        <v>5613</v>
      </c>
      <c r="Q646">
        <v>27.5</v>
      </c>
      <c r="R646">
        <v>454</v>
      </c>
      <c r="S646">
        <v>84.5</v>
      </c>
      <c r="T646">
        <v>211</v>
      </c>
      <c r="U646">
        <v>69.900000000000006</v>
      </c>
      <c r="V646">
        <v>211</v>
      </c>
      <c r="W646">
        <v>1.9</v>
      </c>
      <c r="X646" t="s">
        <v>5613</v>
      </c>
      <c r="Y646">
        <v>9.9</v>
      </c>
      <c r="Z646" t="s">
        <v>5613</v>
      </c>
      <c r="AA646">
        <v>20.5</v>
      </c>
      <c r="AB646" t="s">
        <v>6038</v>
      </c>
      <c r="AC646" t="s">
        <v>6207</v>
      </c>
    </row>
    <row r="647" spans="1:29">
      <c r="A647" t="s">
        <v>6231</v>
      </c>
      <c r="B647" t="s">
        <v>6159</v>
      </c>
      <c r="C647" t="s">
        <v>6234</v>
      </c>
      <c r="D647" t="s">
        <v>5959</v>
      </c>
      <c r="E647" t="s">
        <v>1102</v>
      </c>
      <c r="F647" t="s">
        <v>5615</v>
      </c>
      <c r="G647" t="s">
        <v>5602</v>
      </c>
      <c r="H647" t="s">
        <v>5590</v>
      </c>
      <c r="I647">
        <v>3</v>
      </c>
      <c r="J647" t="s">
        <v>5595</v>
      </c>
      <c r="K647">
        <v>5.5</v>
      </c>
      <c r="L647" t="s">
        <v>5737</v>
      </c>
      <c r="M647">
        <v>9.5</v>
      </c>
      <c r="N647" t="s">
        <v>5737</v>
      </c>
      <c r="O647">
        <v>76.599999999999994</v>
      </c>
      <c r="P647">
        <v>156</v>
      </c>
      <c r="Q647">
        <v>34.4</v>
      </c>
      <c r="R647">
        <v>396</v>
      </c>
      <c r="U647">
        <v>1</v>
      </c>
      <c r="V647" t="s">
        <v>5613</v>
      </c>
      <c r="W647">
        <v>1.1000000000000001</v>
      </c>
      <c r="X647" t="s">
        <v>5613</v>
      </c>
      <c r="Y647">
        <v>10.9</v>
      </c>
      <c r="Z647" t="s">
        <v>5613</v>
      </c>
      <c r="AA647">
        <v>1</v>
      </c>
      <c r="AB647" t="s">
        <v>5613</v>
      </c>
      <c r="AC647" t="s">
        <v>6207</v>
      </c>
    </row>
    <row r="648" spans="1:29">
      <c r="A648" t="s">
        <v>6231</v>
      </c>
      <c r="B648" t="s">
        <v>6052</v>
      </c>
      <c r="C648" t="s">
        <v>2070</v>
      </c>
      <c r="D648" t="s">
        <v>5587</v>
      </c>
      <c r="E648" t="s">
        <v>29</v>
      </c>
      <c r="F648" t="s">
        <v>5588</v>
      </c>
      <c r="G648" t="s">
        <v>5602</v>
      </c>
      <c r="H648" t="s">
        <v>5590</v>
      </c>
      <c r="I648">
        <v>5</v>
      </c>
      <c r="J648" t="s">
        <v>5591</v>
      </c>
      <c r="K648">
        <v>15.9</v>
      </c>
      <c r="L648">
        <v>549</v>
      </c>
      <c r="M648">
        <v>14.9</v>
      </c>
      <c r="N648">
        <v>551</v>
      </c>
      <c r="O648">
        <v>44.3</v>
      </c>
      <c r="P648">
        <v>355</v>
      </c>
      <c r="Q648">
        <v>2.8</v>
      </c>
      <c r="R648" t="s">
        <v>5613</v>
      </c>
      <c r="S648">
        <v>6</v>
      </c>
      <c r="T648" t="s">
        <v>5613</v>
      </c>
      <c r="U648">
        <v>91.7</v>
      </c>
      <c r="V648">
        <v>107</v>
      </c>
      <c r="W648">
        <v>1.2</v>
      </c>
      <c r="X648" t="s">
        <v>5613</v>
      </c>
      <c r="Y648">
        <v>24.7</v>
      </c>
      <c r="Z648">
        <v>337</v>
      </c>
      <c r="AA648">
        <v>1.1000000000000001</v>
      </c>
      <c r="AB648" t="s">
        <v>5613</v>
      </c>
      <c r="AC648" t="s">
        <v>6207</v>
      </c>
    </row>
    <row r="649" spans="1:29">
      <c r="A649" t="s">
        <v>6231</v>
      </c>
      <c r="B649" t="s">
        <v>6122</v>
      </c>
      <c r="C649" t="s">
        <v>6235</v>
      </c>
      <c r="D649" t="s">
        <v>6236</v>
      </c>
      <c r="E649" t="s">
        <v>3525</v>
      </c>
      <c r="F649" t="s">
        <v>5593</v>
      </c>
      <c r="G649" t="s">
        <v>5589</v>
      </c>
      <c r="H649" t="s">
        <v>5809</v>
      </c>
      <c r="I649">
        <v>5</v>
      </c>
      <c r="J649" t="s">
        <v>5595</v>
      </c>
      <c r="K649">
        <v>19.5</v>
      </c>
      <c r="L649">
        <v>454</v>
      </c>
      <c r="M649">
        <v>17.3</v>
      </c>
      <c r="N649">
        <v>501</v>
      </c>
      <c r="O649">
        <v>72.900000000000006</v>
      </c>
      <c r="P649">
        <v>173</v>
      </c>
      <c r="Q649">
        <v>1.6</v>
      </c>
      <c r="R649" t="s">
        <v>5613</v>
      </c>
      <c r="S649">
        <v>1.9</v>
      </c>
      <c r="T649" t="s">
        <v>5613</v>
      </c>
      <c r="U649">
        <v>4</v>
      </c>
      <c r="V649" t="s">
        <v>5613</v>
      </c>
      <c r="W649">
        <v>1.2</v>
      </c>
      <c r="X649" t="s">
        <v>5613</v>
      </c>
      <c r="Y649">
        <v>35.299999999999997</v>
      </c>
      <c r="Z649">
        <v>212</v>
      </c>
      <c r="AA649">
        <v>1.2</v>
      </c>
      <c r="AB649" t="s">
        <v>5613</v>
      </c>
      <c r="AC649" t="s">
        <v>6207</v>
      </c>
    </row>
    <row r="650" spans="1:29">
      <c r="A650" t="s">
        <v>6231</v>
      </c>
      <c r="B650" t="s">
        <v>6136</v>
      </c>
      <c r="C650" t="s">
        <v>1196</v>
      </c>
      <c r="D650" t="s">
        <v>5592</v>
      </c>
      <c r="E650" t="s">
        <v>26</v>
      </c>
      <c r="F650" t="s">
        <v>5588</v>
      </c>
      <c r="G650" t="s">
        <v>5589</v>
      </c>
      <c r="H650" t="s">
        <v>5590</v>
      </c>
      <c r="I650">
        <v>4</v>
      </c>
      <c r="J650" t="s">
        <v>5595</v>
      </c>
      <c r="K650">
        <v>8.6999999999999993</v>
      </c>
      <c r="L650" t="s">
        <v>5737</v>
      </c>
      <c r="M650">
        <v>7.3</v>
      </c>
      <c r="N650" t="s">
        <v>5737</v>
      </c>
      <c r="O650">
        <v>8.1999999999999993</v>
      </c>
      <c r="P650" t="s">
        <v>5613</v>
      </c>
      <c r="Q650">
        <v>18.100000000000001</v>
      </c>
      <c r="R650">
        <v>582</v>
      </c>
      <c r="S650">
        <v>63.8</v>
      </c>
      <c r="T650">
        <v>301</v>
      </c>
      <c r="U650">
        <v>93.2</v>
      </c>
      <c r="V650">
        <v>99</v>
      </c>
      <c r="W650">
        <v>20.100000000000001</v>
      </c>
      <c r="X650">
        <v>543</v>
      </c>
      <c r="Y650">
        <v>21.6</v>
      </c>
      <c r="Z650">
        <v>384</v>
      </c>
      <c r="AA650">
        <v>3.4</v>
      </c>
      <c r="AB650" t="s">
        <v>5613</v>
      </c>
      <c r="AC650" t="s">
        <v>6207</v>
      </c>
    </row>
    <row r="651" spans="1:29">
      <c r="A651" t="s">
        <v>6231</v>
      </c>
      <c r="B651" t="s">
        <v>6180</v>
      </c>
      <c r="C651" t="s">
        <v>1247</v>
      </c>
      <c r="D651" t="s">
        <v>5587</v>
      </c>
      <c r="E651" t="s">
        <v>29</v>
      </c>
      <c r="F651" t="s">
        <v>5605</v>
      </c>
      <c r="G651" t="s">
        <v>5589</v>
      </c>
      <c r="H651" t="s">
        <v>5590</v>
      </c>
      <c r="I651">
        <v>4</v>
      </c>
      <c r="J651" t="s">
        <v>5595</v>
      </c>
      <c r="K651">
        <v>13.9</v>
      </c>
      <c r="L651" t="s">
        <v>5737</v>
      </c>
      <c r="M651">
        <v>10.9</v>
      </c>
      <c r="N651" t="s">
        <v>5737</v>
      </c>
      <c r="O651">
        <v>4.5</v>
      </c>
      <c r="P651" t="s">
        <v>5613</v>
      </c>
      <c r="Q651">
        <v>34</v>
      </c>
      <c r="R651">
        <v>402</v>
      </c>
      <c r="S651">
        <v>8.5</v>
      </c>
      <c r="T651" t="s">
        <v>5613</v>
      </c>
      <c r="U651">
        <v>9.3000000000000007</v>
      </c>
      <c r="V651" t="s">
        <v>5613</v>
      </c>
      <c r="W651">
        <v>34</v>
      </c>
      <c r="X651">
        <v>426</v>
      </c>
      <c r="Y651">
        <v>29.2</v>
      </c>
      <c r="Z651">
        <v>273</v>
      </c>
      <c r="AA651">
        <v>27.8</v>
      </c>
      <c r="AB651" t="s">
        <v>6237</v>
      </c>
      <c r="AC651" t="s">
        <v>6207</v>
      </c>
    </row>
    <row r="652" spans="1:29">
      <c r="A652" t="s">
        <v>6231</v>
      </c>
      <c r="B652" t="s">
        <v>6143</v>
      </c>
      <c r="C652" t="s">
        <v>1066</v>
      </c>
      <c r="D652" t="s">
        <v>5747</v>
      </c>
      <c r="E652" t="s">
        <v>397</v>
      </c>
      <c r="F652" t="s">
        <v>5593</v>
      </c>
      <c r="G652" t="s">
        <v>5594</v>
      </c>
      <c r="H652" t="s">
        <v>5590</v>
      </c>
      <c r="I652">
        <v>5</v>
      </c>
      <c r="J652" t="s">
        <v>5595</v>
      </c>
      <c r="K652">
        <v>8.6999999999999993</v>
      </c>
      <c r="L652" t="s">
        <v>5737</v>
      </c>
      <c r="M652">
        <v>3.2</v>
      </c>
      <c r="N652" t="s">
        <v>5737</v>
      </c>
      <c r="O652">
        <v>2.2999999999999998</v>
      </c>
      <c r="P652" t="s">
        <v>5613</v>
      </c>
      <c r="Q652">
        <v>50.3</v>
      </c>
      <c r="R652">
        <v>262</v>
      </c>
      <c r="S652">
        <v>3.9</v>
      </c>
      <c r="T652" t="s">
        <v>5613</v>
      </c>
      <c r="U652">
        <v>3.8</v>
      </c>
      <c r="V652" t="s">
        <v>5613</v>
      </c>
      <c r="W652">
        <v>21.4</v>
      </c>
      <c r="X652">
        <v>532</v>
      </c>
      <c r="Y652">
        <v>13.9</v>
      </c>
      <c r="Z652">
        <v>613</v>
      </c>
      <c r="AA652">
        <v>57.4</v>
      </c>
      <c r="AB652" t="s">
        <v>5888</v>
      </c>
      <c r="AC652" t="s">
        <v>6207</v>
      </c>
    </row>
    <row r="653" spans="1:29">
      <c r="A653" t="s">
        <v>6231</v>
      </c>
      <c r="B653" t="s">
        <v>6136</v>
      </c>
      <c r="C653" t="s">
        <v>6238</v>
      </c>
      <c r="D653" t="s">
        <v>5587</v>
      </c>
      <c r="E653" t="s">
        <v>29</v>
      </c>
      <c r="F653" t="s">
        <v>5593</v>
      </c>
      <c r="G653" t="s">
        <v>5594</v>
      </c>
      <c r="H653" t="s">
        <v>5590</v>
      </c>
      <c r="I653">
        <v>5</v>
      </c>
      <c r="J653" t="s">
        <v>5595</v>
      </c>
      <c r="K653">
        <v>9.6</v>
      </c>
      <c r="L653" t="s">
        <v>5737</v>
      </c>
      <c r="M653">
        <v>10.6</v>
      </c>
      <c r="N653" t="s">
        <v>5737</v>
      </c>
      <c r="O653">
        <v>16.3</v>
      </c>
      <c r="P653" t="s">
        <v>5613</v>
      </c>
      <c r="Q653">
        <v>34.299999999999997</v>
      </c>
      <c r="R653">
        <v>397</v>
      </c>
      <c r="S653">
        <v>34.5</v>
      </c>
      <c r="T653">
        <v>459</v>
      </c>
      <c r="U653">
        <v>5.0999999999999996</v>
      </c>
      <c r="V653" t="s">
        <v>5613</v>
      </c>
      <c r="W653">
        <v>17.899999999999999</v>
      </c>
      <c r="X653">
        <v>562</v>
      </c>
      <c r="Y653">
        <v>17.2</v>
      </c>
      <c r="Z653">
        <v>488</v>
      </c>
      <c r="AA653">
        <v>33.5</v>
      </c>
      <c r="AB653" t="s">
        <v>5973</v>
      </c>
      <c r="AC653" t="s">
        <v>6207</v>
      </c>
    </row>
    <row r="654" spans="1:29">
      <c r="A654" t="s">
        <v>6231</v>
      </c>
      <c r="B654" t="s">
        <v>6180</v>
      </c>
      <c r="C654" t="s">
        <v>1376</v>
      </c>
      <c r="D654" t="s">
        <v>5620</v>
      </c>
      <c r="E654" t="s">
        <v>76</v>
      </c>
      <c r="F654" t="s">
        <v>5593</v>
      </c>
      <c r="G654" t="s">
        <v>5589</v>
      </c>
      <c r="H654" t="s">
        <v>5590</v>
      </c>
      <c r="I654">
        <v>5</v>
      </c>
      <c r="J654" t="s">
        <v>5595</v>
      </c>
      <c r="K654">
        <v>3.6</v>
      </c>
      <c r="L654" t="s">
        <v>5737</v>
      </c>
      <c r="M654">
        <v>4.8</v>
      </c>
      <c r="N654" t="s">
        <v>5737</v>
      </c>
      <c r="O654">
        <v>2.2999999999999998</v>
      </c>
      <c r="P654" t="s">
        <v>5613</v>
      </c>
      <c r="Q654">
        <v>33.1</v>
      </c>
      <c r="R654">
        <v>411</v>
      </c>
      <c r="S654">
        <v>87.6</v>
      </c>
      <c r="T654">
        <v>195</v>
      </c>
      <c r="U654">
        <v>75.099999999999994</v>
      </c>
      <c r="V654">
        <v>184</v>
      </c>
      <c r="W654">
        <v>6.1</v>
      </c>
      <c r="X654" t="s">
        <v>5613</v>
      </c>
      <c r="Y654">
        <v>20.399999999999999</v>
      </c>
      <c r="Z654">
        <v>409</v>
      </c>
      <c r="AA654">
        <v>6.4</v>
      </c>
      <c r="AB654" t="s">
        <v>5613</v>
      </c>
      <c r="AC654" t="s">
        <v>6207</v>
      </c>
    </row>
    <row r="655" spans="1:29">
      <c r="A655" t="s">
        <v>6239</v>
      </c>
      <c r="B655" t="s">
        <v>6240</v>
      </c>
      <c r="C655" t="s">
        <v>1453</v>
      </c>
      <c r="D655" t="s">
        <v>5959</v>
      </c>
      <c r="E655" t="s">
        <v>1102</v>
      </c>
      <c r="F655" t="s">
        <v>5605</v>
      </c>
      <c r="G655" t="s">
        <v>5589</v>
      </c>
      <c r="H655" t="s">
        <v>5590</v>
      </c>
      <c r="I655">
        <v>2</v>
      </c>
      <c r="J655" t="s">
        <v>5595</v>
      </c>
      <c r="K655">
        <v>10.4</v>
      </c>
      <c r="L655" t="s">
        <v>5737</v>
      </c>
      <c r="M655">
        <v>29.2</v>
      </c>
      <c r="N655">
        <v>333</v>
      </c>
      <c r="O655">
        <v>14.4</v>
      </c>
      <c r="P655" t="s">
        <v>5613</v>
      </c>
      <c r="Q655">
        <v>13.9</v>
      </c>
      <c r="R655">
        <v>658</v>
      </c>
      <c r="S655">
        <v>1.6</v>
      </c>
      <c r="T655" t="s">
        <v>5613</v>
      </c>
      <c r="U655">
        <v>1.6</v>
      </c>
      <c r="V655" t="s">
        <v>5613</v>
      </c>
      <c r="W655">
        <v>62.6</v>
      </c>
      <c r="X655">
        <v>229</v>
      </c>
      <c r="Y655">
        <v>8.1</v>
      </c>
      <c r="Z655" t="s">
        <v>5613</v>
      </c>
      <c r="AA655">
        <v>50.9</v>
      </c>
      <c r="AB655" t="s">
        <v>5885</v>
      </c>
      <c r="AC655" t="s">
        <v>6207</v>
      </c>
    </row>
    <row r="656" spans="1:29">
      <c r="A656" t="s">
        <v>6239</v>
      </c>
      <c r="B656" t="s">
        <v>6180</v>
      </c>
      <c r="C656" t="s">
        <v>6241</v>
      </c>
      <c r="D656" t="s">
        <v>5707</v>
      </c>
      <c r="E656" t="s">
        <v>1613</v>
      </c>
      <c r="F656" t="s">
        <v>5615</v>
      </c>
      <c r="G656" t="s">
        <v>5602</v>
      </c>
      <c r="H656" t="s">
        <v>5809</v>
      </c>
      <c r="I656">
        <v>4</v>
      </c>
      <c r="J656" t="s">
        <v>5591</v>
      </c>
      <c r="K656">
        <v>15.5</v>
      </c>
      <c r="L656">
        <v>565</v>
      </c>
      <c r="M656">
        <v>35.1</v>
      </c>
      <c r="N656">
        <v>276</v>
      </c>
      <c r="O656">
        <v>11.7</v>
      </c>
      <c r="P656" t="s">
        <v>5613</v>
      </c>
      <c r="Q656">
        <v>1.8</v>
      </c>
      <c r="R656" t="s">
        <v>5613</v>
      </c>
      <c r="S656">
        <v>65.599999999999994</v>
      </c>
      <c r="T656">
        <v>293</v>
      </c>
      <c r="U656">
        <v>1.5</v>
      </c>
      <c r="V656" t="s">
        <v>5613</v>
      </c>
      <c r="W656">
        <v>1</v>
      </c>
      <c r="X656" t="s">
        <v>5613</v>
      </c>
      <c r="Y656">
        <v>64.900000000000006</v>
      </c>
      <c r="Z656">
        <v>88</v>
      </c>
      <c r="AA656">
        <v>1.2</v>
      </c>
      <c r="AB656" t="s">
        <v>5613</v>
      </c>
      <c r="AC656" t="s">
        <v>6207</v>
      </c>
    </row>
    <row r="657" spans="1:29">
      <c r="A657" t="s">
        <v>6239</v>
      </c>
      <c r="B657" t="s">
        <v>6136</v>
      </c>
      <c r="C657" t="s">
        <v>6242</v>
      </c>
      <c r="D657" t="s">
        <v>5612</v>
      </c>
      <c r="E657" t="s">
        <v>116</v>
      </c>
      <c r="F657" t="s">
        <v>5588</v>
      </c>
      <c r="G657" t="s">
        <v>5589</v>
      </c>
      <c r="H657" t="s">
        <v>5590</v>
      </c>
      <c r="I657">
        <v>2</v>
      </c>
      <c r="J657" t="s">
        <v>5595</v>
      </c>
      <c r="K657">
        <v>4.7</v>
      </c>
      <c r="L657" t="s">
        <v>5737</v>
      </c>
      <c r="M657">
        <v>3.4</v>
      </c>
      <c r="N657" t="s">
        <v>5737</v>
      </c>
      <c r="O657">
        <v>3.2</v>
      </c>
      <c r="P657" t="s">
        <v>5613</v>
      </c>
      <c r="Q657">
        <v>38.6</v>
      </c>
      <c r="R657">
        <v>361</v>
      </c>
      <c r="S657">
        <v>71.2</v>
      </c>
      <c r="T657">
        <v>270</v>
      </c>
      <c r="U657">
        <v>66.2</v>
      </c>
      <c r="V657">
        <v>226</v>
      </c>
      <c r="W657">
        <v>9.3000000000000007</v>
      </c>
      <c r="X657">
        <v>687</v>
      </c>
      <c r="Y657">
        <v>6.9</v>
      </c>
      <c r="Z657" t="s">
        <v>5613</v>
      </c>
      <c r="AA657">
        <v>11</v>
      </c>
      <c r="AB657" t="s">
        <v>6243</v>
      </c>
      <c r="AC657" t="s">
        <v>6207</v>
      </c>
    </row>
    <row r="658" spans="1:29">
      <c r="A658" t="s">
        <v>6239</v>
      </c>
      <c r="B658" t="s">
        <v>6136</v>
      </c>
      <c r="C658" t="s">
        <v>1739</v>
      </c>
      <c r="D658" t="s">
        <v>5999</v>
      </c>
      <c r="E658" t="s">
        <v>813</v>
      </c>
      <c r="F658" t="s">
        <v>5588</v>
      </c>
      <c r="G658" t="s">
        <v>5602</v>
      </c>
      <c r="H658" t="s">
        <v>5590</v>
      </c>
      <c r="I658">
        <v>5</v>
      </c>
      <c r="J658" t="s">
        <v>5595</v>
      </c>
      <c r="K658">
        <v>12.9</v>
      </c>
      <c r="L658" t="s">
        <v>5737</v>
      </c>
      <c r="M658">
        <v>11.4</v>
      </c>
      <c r="N658" t="s">
        <v>5737</v>
      </c>
      <c r="O658">
        <v>27.6</v>
      </c>
      <c r="P658">
        <v>553</v>
      </c>
      <c r="Q658">
        <v>9.6</v>
      </c>
      <c r="R658" t="s">
        <v>5613</v>
      </c>
      <c r="S658">
        <v>49.5</v>
      </c>
      <c r="T658">
        <v>360</v>
      </c>
      <c r="U658">
        <v>25</v>
      </c>
      <c r="V658">
        <v>475</v>
      </c>
      <c r="W658">
        <v>48.5</v>
      </c>
      <c r="X658">
        <v>323</v>
      </c>
      <c r="Y658">
        <v>32</v>
      </c>
      <c r="Z658">
        <v>239</v>
      </c>
      <c r="AA658">
        <v>3.5</v>
      </c>
      <c r="AB658" t="s">
        <v>5613</v>
      </c>
      <c r="AC658" t="s">
        <v>6207</v>
      </c>
    </row>
    <row r="659" spans="1:29">
      <c r="A659" t="s">
        <v>6239</v>
      </c>
      <c r="B659" t="s">
        <v>6078</v>
      </c>
      <c r="C659" t="s">
        <v>6244</v>
      </c>
      <c r="D659" t="s">
        <v>6245</v>
      </c>
      <c r="E659" t="s">
        <v>5106</v>
      </c>
      <c r="F659" t="s">
        <v>5615</v>
      </c>
      <c r="G659" t="s">
        <v>5594</v>
      </c>
      <c r="H659" t="s">
        <v>6146</v>
      </c>
      <c r="I659">
        <v>3</v>
      </c>
      <c r="J659" t="s">
        <v>5591</v>
      </c>
      <c r="K659">
        <v>18.600000000000001</v>
      </c>
      <c r="L659">
        <v>479</v>
      </c>
      <c r="M659">
        <v>13.5</v>
      </c>
      <c r="N659">
        <v>599</v>
      </c>
      <c r="O659">
        <v>80.2</v>
      </c>
      <c r="P659">
        <v>138</v>
      </c>
      <c r="Q659">
        <v>1.1000000000000001</v>
      </c>
      <c r="R659" t="s">
        <v>5613</v>
      </c>
      <c r="S659">
        <v>23.7</v>
      </c>
      <c r="T659">
        <v>556</v>
      </c>
      <c r="U659">
        <v>3.3</v>
      </c>
      <c r="V659" t="s">
        <v>5613</v>
      </c>
      <c r="W659">
        <v>1</v>
      </c>
      <c r="X659" t="s">
        <v>5613</v>
      </c>
      <c r="Y659">
        <v>18.8</v>
      </c>
      <c r="Z659">
        <v>443</v>
      </c>
      <c r="AC659" t="s">
        <v>6207</v>
      </c>
    </row>
    <row r="660" spans="1:29">
      <c r="A660" t="s">
        <v>6239</v>
      </c>
      <c r="B660" t="s">
        <v>6136</v>
      </c>
      <c r="C660" t="s">
        <v>1510</v>
      </c>
      <c r="D660" t="s">
        <v>5848</v>
      </c>
      <c r="E660" t="s">
        <v>588</v>
      </c>
      <c r="F660" t="s">
        <v>5593</v>
      </c>
      <c r="G660" t="s">
        <v>5602</v>
      </c>
      <c r="H660" t="s">
        <v>5590</v>
      </c>
      <c r="I660">
        <v>4</v>
      </c>
      <c r="J660" t="s">
        <v>5595</v>
      </c>
      <c r="K660">
        <v>13.1</v>
      </c>
      <c r="L660" t="s">
        <v>5737</v>
      </c>
      <c r="M660">
        <v>7.4</v>
      </c>
      <c r="N660" t="s">
        <v>5737</v>
      </c>
      <c r="O660">
        <v>19.600000000000001</v>
      </c>
      <c r="P660">
        <v>678</v>
      </c>
      <c r="Q660">
        <v>30.1</v>
      </c>
      <c r="R660">
        <v>433</v>
      </c>
      <c r="S660">
        <v>14.2</v>
      </c>
      <c r="T660">
        <v>681</v>
      </c>
      <c r="U660">
        <v>3.9</v>
      </c>
      <c r="V660" t="s">
        <v>5613</v>
      </c>
      <c r="W660">
        <v>13.5</v>
      </c>
      <c r="X660">
        <v>617</v>
      </c>
      <c r="Y660">
        <v>14.1</v>
      </c>
      <c r="Z660">
        <v>601</v>
      </c>
      <c r="AA660">
        <v>51.8</v>
      </c>
      <c r="AB660" t="s">
        <v>6046</v>
      </c>
      <c r="AC660" t="s">
        <v>6207</v>
      </c>
    </row>
    <row r="661" spans="1:29">
      <c r="A661" t="s">
        <v>6239</v>
      </c>
      <c r="B661" t="s">
        <v>6143</v>
      </c>
      <c r="C661" t="s">
        <v>634</v>
      </c>
      <c r="D661" t="s">
        <v>5639</v>
      </c>
      <c r="E661" t="s">
        <v>99</v>
      </c>
      <c r="F661" t="s">
        <v>5588</v>
      </c>
      <c r="G661" t="s">
        <v>5651</v>
      </c>
      <c r="I661">
        <v>5</v>
      </c>
      <c r="J661" t="s">
        <v>5595</v>
      </c>
      <c r="K661">
        <v>9.8000000000000007</v>
      </c>
      <c r="L661" t="s">
        <v>5737</v>
      </c>
      <c r="M661">
        <v>5.3</v>
      </c>
      <c r="N661" t="s">
        <v>5737</v>
      </c>
      <c r="O661">
        <v>10</v>
      </c>
      <c r="P661" t="s">
        <v>5613</v>
      </c>
      <c r="Q661">
        <v>39.4</v>
      </c>
      <c r="R661">
        <v>348</v>
      </c>
      <c r="S661">
        <v>26.4</v>
      </c>
      <c r="T661">
        <v>515</v>
      </c>
      <c r="U661">
        <v>24.2</v>
      </c>
      <c r="V661">
        <v>484</v>
      </c>
      <c r="W661">
        <v>36.299999999999997</v>
      </c>
      <c r="X661">
        <v>410</v>
      </c>
      <c r="Y661">
        <v>8.8000000000000007</v>
      </c>
      <c r="Z661" t="s">
        <v>5613</v>
      </c>
      <c r="AA661">
        <v>15</v>
      </c>
      <c r="AB661" t="s">
        <v>6167</v>
      </c>
      <c r="AC661" t="s">
        <v>6207</v>
      </c>
    </row>
    <row r="662" spans="1:29">
      <c r="A662" t="s">
        <v>6246</v>
      </c>
      <c r="B662" t="s">
        <v>6056</v>
      </c>
      <c r="C662" t="s">
        <v>1166</v>
      </c>
      <c r="D662" t="s">
        <v>5592</v>
      </c>
      <c r="E662" t="s">
        <v>26</v>
      </c>
      <c r="F662" t="s">
        <v>5588</v>
      </c>
      <c r="G662" t="s">
        <v>5589</v>
      </c>
      <c r="H662" t="s">
        <v>5590</v>
      </c>
      <c r="I662">
        <v>5</v>
      </c>
      <c r="J662" t="s">
        <v>5595</v>
      </c>
      <c r="K662">
        <v>9.5</v>
      </c>
      <c r="L662" t="s">
        <v>5737</v>
      </c>
      <c r="M662">
        <v>6.4</v>
      </c>
      <c r="N662" t="s">
        <v>5737</v>
      </c>
      <c r="O662">
        <v>19.5</v>
      </c>
      <c r="P662">
        <v>680</v>
      </c>
      <c r="Q662">
        <v>23.5</v>
      </c>
      <c r="R662">
        <v>507</v>
      </c>
      <c r="S662">
        <v>46.1</v>
      </c>
      <c r="T662">
        <v>374</v>
      </c>
      <c r="U662">
        <v>49.5</v>
      </c>
      <c r="V662">
        <v>300</v>
      </c>
      <c r="W662">
        <v>27.1</v>
      </c>
      <c r="X662">
        <v>482</v>
      </c>
      <c r="Y662">
        <v>10.5</v>
      </c>
      <c r="Z662" t="s">
        <v>5613</v>
      </c>
      <c r="AA662">
        <v>9.6</v>
      </c>
      <c r="AB662" t="s">
        <v>5997</v>
      </c>
      <c r="AC662" t="s">
        <v>6207</v>
      </c>
    </row>
    <row r="663" spans="1:29">
      <c r="A663" t="s">
        <v>6246</v>
      </c>
      <c r="B663" t="s">
        <v>5784</v>
      </c>
      <c r="C663" t="s">
        <v>618</v>
      </c>
      <c r="D663" t="s">
        <v>5587</v>
      </c>
      <c r="E663" t="s">
        <v>29</v>
      </c>
      <c r="F663" t="s">
        <v>5588</v>
      </c>
      <c r="G663" t="s">
        <v>5589</v>
      </c>
      <c r="H663" t="s">
        <v>5590</v>
      </c>
      <c r="I663">
        <v>4</v>
      </c>
      <c r="J663" t="s">
        <v>5591</v>
      </c>
      <c r="K663">
        <v>9.8000000000000007</v>
      </c>
      <c r="L663" t="s">
        <v>5737</v>
      </c>
      <c r="M663">
        <v>4.3</v>
      </c>
      <c r="N663" t="s">
        <v>5737</v>
      </c>
      <c r="O663">
        <v>49.9</v>
      </c>
      <c r="P663">
        <v>311</v>
      </c>
      <c r="Q663">
        <v>16.3</v>
      </c>
      <c r="R663">
        <v>609</v>
      </c>
      <c r="S663">
        <v>26.2</v>
      </c>
      <c r="T663">
        <v>521</v>
      </c>
      <c r="U663">
        <v>70.599999999999994</v>
      </c>
      <c r="V663">
        <v>207</v>
      </c>
      <c r="W663">
        <v>1.4</v>
      </c>
      <c r="X663" t="s">
        <v>5613</v>
      </c>
      <c r="Y663">
        <v>17.399999999999999</v>
      </c>
      <c r="Z663">
        <v>477</v>
      </c>
      <c r="AA663">
        <v>1.5</v>
      </c>
      <c r="AB663" t="s">
        <v>5613</v>
      </c>
      <c r="AC663" t="s">
        <v>6207</v>
      </c>
    </row>
    <row r="664" spans="1:29">
      <c r="A664" t="s">
        <v>6246</v>
      </c>
      <c r="B664" t="s">
        <v>6143</v>
      </c>
      <c r="C664" t="s">
        <v>6247</v>
      </c>
      <c r="D664" t="s">
        <v>5747</v>
      </c>
      <c r="E664" t="s">
        <v>397</v>
      </c>
      <c r="F664" t="s">
        <v>5593</v>
      </c>
      <c r="G664" t="s">
        <v>5602</v>
      </c>
      <c r="H664" t="s">
        <v>5590</v>
      </c>
      <c r="I664">
        <v>5</v>
      </c>
      <c r="J664" t="s">
        <v>5595</v>
      </c>
      <c r="K664">
        <v>18.8</v>
      </c>
      <c r="L664">
        <v>474</v>
      </c>
      <c r="M664">
        <v>14.8</v>
      </c>
      <c r="N664">
        <v>554</v>
      </c>
      <c r="O664">
        <v>4.9000000000000004</v>
      </c>
      <c r="P664" t="s">
        <v>5613</v>
      </c>
      <c r="Q664">
        <v>14.2</v>
      </c>
      <c r="R664">
        <v>653</v>
      </c>
      <c r="S664">
        <v>35.1</v>
      </c>
      <c r="T664">
        <v>454</v>
      </c>
      <c r="U664">
        <v>8.1999999999999993</v>
      </c>
      <c r="V664" t="s">
        <v>5613</v>
      </c>
      <c r="W664">
        <v>15.5</v>
      </c>
      <c r="X664">
        <v>590</v>
      </c>
      <c r="Y664">
        <v>10.8</v>
      </c>
      <c r="Z664" t="s">
        <v>5613</v>
      </c>
      <c r="AA664">
        <v>62.8</v>
      </c>
      <c r="AB664" t="s">
        <v>5911</v>
      </c>
      <c r="AC664" t="s">
        <v>6207</v>
      </c>
    </row>
    <row r="665" spans="1:29">
      <c r="A665" t="s">
        <v>6246</v>
      </c>
      <c r="B665" t="s">
        <v>6126</v>
      </c>
      <c r="C665" t="s">
        <v>6248</v>
      </c>
      <c r="D665" t="s">
        <v>5857</v>
      </c>
      <c r="E665" t="s">
        <v>1178</v>
      </c>
      <c r="F665" t="s">
        <v>5588</v>
      </c>
      <c r="G665" t="s">
        <v>5594</v>
      </c>
      <c r="H665" t="s">
        <v>6146</v>
      </c>
      <c r="I665">
        <v>4</v>
      </c>
      <c r="J665" t="s">
        <v>5591</v>
      </c>
      <c r="K665">
        <v>6</v>
      </c>
      <c r="L665" t="s">
        <v>5737</v>
      </c>
      <c r="M665">
        <v>12</v>
      </c>
      <c r="N665" t="s">
        <v>5737</v>
      </c>
      <c r="O665">
        <v>60.6</v>
      </c>
      <c r="P665">
        <v>234</v>
      </c>
      <c r="Q665">
        <v>2</v>
      </c>
      <c r="R665" t="s">
        <v>5613</v>
      </c>
      <c r="S665">
        <v>99</v>
      </c>
      <c r="T665">
        <v>98</v>
      </c>
      <c r="U665">
        <v>38.299999999999997</v>
      </c>
      <c r="V665">
        <v>358</v>
      </c>
      <c r="W665">
        <v>1</v>
      </c>
      <c r="X665" t="s">
        <v>5613</v>
      </c>
      <c r="Y665">
        <v>9.5</v>
      </c>
      <c r="Z665" t="s">
        <v>5613</v>
      </c>
      <c r="AA665">
        <v>2.6</v>
      </c>
      <c r="AB665" t="s">
        <v>5613</v>
      </c>
      <c r="AC665" t="s">
        <v>6207</v>
      </c>
    </row>
    <row r="666" spans="1:29">
      <c r="A666" t="s">
        <v>6246</v>
      </c>
      <c r="B666" t="s">
        <v>6056</v>
      </c>
      <c r="C666" t="s">
        <v>6249</v>
      </c>
      <c r="D666" t="s">
        <v>5753</v>
      </c>
      <c r="E666" t="s">
        <v>310</v>
      </c>
      <c r="F666" t="s">
        <v>5593</v>
      </c>
      <c r="G666" t="s">
        <v>5589</v>
      </c>
      <c r="H666" t="s">
        <v>5590</v>
      </c>
      <c r="I666">
        <v>5</v>
      </c>
      <c r="J666" t="s">
        <v>5595</v>
      </c>
      <c r="K666">
        <v>21.3</v>
      </c>
      <c r="L666">
        <v>407</v>
      </c>
      <c r="M666">
        <v>9.5</v>
      </c>
      <c r="N666" t="s">
        <v>5737</v>
      </c>
      <c r="O666">
        <v>12.3</v>
      </c>
      <c r="P666" t="s">
        <v>5613</v>
      </c>
      <c r="Q666">
        <v>10.9</v>
      </c>
      <c r="R666" t="s">
        <v>5613</v>
      </c>
      <c r="S666">
        <v>46.9</v>
      </c>
      <c r="T666">
        <v>369</v>
      </c>
      <c r="U666">
        <v>28.4</v>
      </c>
      <c r="V666">
        <v>439</v>
      </c>
      <c r="W666">
        <v>15.2</v>
      </c>
      <c r="X666">
        <v>596</v>
      </c>
      <c r="Y666">
        <v>18.3</v>
      </c>
      <c r="Z666">
        <v>456</v>
      </c>
      <c r="AA666">
        <v>19.2</v>
      </c>
      <c r="AB666" t="s">
        <v>5822</v>
      </c>
      <c r="AC666" t="s">
        <v>6207</v>
      </c>
    </row>
    <row r="667" spans="1:29">
      <c r="A667" t="s">
        <v>6246</v>
      </c>
      <c r="B667" t="s">
        <v>6049</v>
      </c>
      <c r="C667" t="s">
        <v>1271</v>
      </c>
      <c r="D667" t="s">
        <v>5857</v>
      </c>
      <c r="E667" t="s">
        <v>1178</v>
      </c>
      <c r="F667" t="s">
        <v>5588</v>
      </c>
      <c r="G667" t="s">
        <v>5594</v>
      </c>
      <c r="H667" t="s">
        <v>5809</v>
      </c>
      <c r="I667">
        <v>4</v>
      </c>
      <c r="J667" t="s">
        <v>5591</v>
      </c>
      <c r="K667">
        <v>10.5</v>
      </c>
      <c r="L667" t="s">
        <v>5737</v>
      </c>
      <c r="M667">
        <v>28.2</v>
      </c>
      <c r="N667">
        <v>342</v>
      </c>
      <c r="O667">
        <v>35.5</v>
      </c>
      <c r="P667">
        <v>447</v>
      </c>
      <c r="Q667">
        <v>3.2</v>
      </c>
      <c r="R667" t="s">
        <v>5613</v>
      </c>
      <c r="S667">
        <v>78.900000000000006</v>
      </c>
      <c r="T667">
        <v>233</v>
      </c>
      <c r="U667">
        <v>26.4</v>
      </c>
      <c r="V667">
        <v>457</v>
      </c>
      <c r="W667">
        <v>1</v>
      </c>
      <c r="X667" t="s">
        <v>5613</v>
      </c>
      <c r="Y667">
        <v>10.4</v>
      </c>
      <c r="Z667" t="s">
        <v>5613</v>
      </c>
      <c r="AA667">
        <v>7.8</v>
      </c>
      <c r="AB667" t="s">
        <v>5613</v>
      </c>
      <c r="AC667" t="s">
        <v>6207</v>
      </c>
    </row>
    <row r="668" spans="1:29">
      <c r="A668" t="s">
        <v>6246</v>
      </c>
      <c r="B668" t="s">
        <v>6180</v>
      </c>
      <c r="C668" t="s">
        <v>1289</v>
      </c>
      <c r="D668" t="s">
        <v>5592</v>
      </c>
      <c r="E668" t="s">
        <v>26</v>
      </c>
      <c r="F668" t="s">
        <v>5593</v>
      </c>
      <c r="G668" t="s">
        <v>5589</v>
      </c>
      <c r="H668" t="s">
        <v>5809</v>
      </c>
      <c r="I668">
        <v>4</v>
      </c>
      <c r="J668" t="s">
        <v>5595</v>
      </c>
      <c r="K668">
        <v>5.6</v>
      </c>
      <c r="L668" t="s">
        <v>5737</v>
      </c>
      <c r="M668">
        <v>4.8</v>
      </c>
      <c r="N668" t="s">
        <v>5737</v>
      </c>
      <c r="O668">
        <v>8.3000000000000007</v>
      </c>
      <c r="P668" t="s">
        <v>5613</v>
      </c>
      <c r="Q668">
        <v>14.3</v>
      </c>
      <c r="R668">
        <v>650</v>
      </c>
      <c r="S668">
        <v>85.1</v>
      </c>
      <c r="T668">
        <v>209</v>
      </c>
      <c r="U668">
        <v>99.6</v>
      </c>
      <c r="V668">
        <v>38</v>
      </c>
      <c r="W668">
        <v>20.6</v>
      </c>
      <c r="X668">
        <v>540</v>
      </c>
      <c r="Y668">
        <v>15.8</v>
      </c>
      <c r="Z668">
        <v>529</v>
      </c>
      <c r="AA668">
        <v>8.6</v>
      </c>
      <c r="AB668">
        <v>693</v>
      </c>
      <c r="AC668" t="s">
        <v>6207</v>
      </c>
    </row>
    <row r="669" spans="1:29">
      <c r="A669" t="s">
        <v>6246</v>
      </c>
      <c r="B669" t="s">
        <v>6056</v>
      </c>
      <c r="C669" t="s">
        <v>2455</v>
      </c>
      <c r="D669" t="s">
        <v>5678</v>
      </c>
      <c r="E669" t="s">
        <v>389</v>
      </c>
      <c r="F669" t="s">
        <v>5593</v>
      </c>
      <c r="G669" t="s">
        <v>5589</v>
      </c>
      <c r="H669" t="s">
        <v>5590</v>
      </c>
      <c r="I669">
        <v>4</v>
      </c>
      <c r="J669" t="s">
        <v>5595</v>
      </c>
      <c r="K669">
        <v>20.2</v>
      </c>
      <c r="L669">
        <v>434</v>
      </c>
      <c r="M669">
        <v>24.1</v>
      </c>
      <c r="N669">
        <v>400</v>
      </c>
      <c r="O669">
        <v>27.6</v>
      </c>
      <c r="P669">
        <v>552</v>
      </c>
      <c r="Q669">
        <v>11.8</v>
      </c>
      <c r="R669" t="s">
        <v>5613</v>
      </c>
      <c r="S669">
        <v>7.9</v>
      </c>
      <c r="T669" t="s">
        <v>5613</v>
      </c>
      <c r="U669">
        <v>5.6</v>
      </c>
      <c r="V669" t="s">
        <v>5613</v>
      </c>
      <c r="W669">
        <v>2.2000000000000002</v>
      </c>
      <c r="X669" t="s">
        <v>5613</v>
      </c>
      <c r="Y669">
        <v>20.399999999999999</v>
      </c>
      <c r="Z669">
        <v>410</v>
      </c>
      <c r="AA669">
        <v>20.100000000000001</v>
      </c>
      <c r="AB669">
        <v>544</v>
      </c>
      <c r="AC669" t="s">
        <v>6207</v>
      </c>
    </row>
    <row r="670" spans="1:29">
      <c r="A670" t="s">
        <v>6246</v>
      </c>
      <c r="B670" t="s">
        <v>6136</v>
      </c>
      <c r="C670" t="s">
        <v>1691</v>
      </c>
      <c r="D670" t="s">
        <v>5762</v>
      </c>
      <c r="E670" t="s">
        <v>534</v>
      </c>
      <c r="F670" t="s">
        <v>5593</v>
      </c>
      <c r="G670" t="s">
        <v>5589</v>
      </c>
      <c r="H670" t="s">
        <v>5809</v>
      </c>
      <c r="I670">
        <v>4</v>
      </c>
      <c r="J670" t="s">
        <v>5595</v>
      </c>
      <c r="K670">
        <v>16.600000000000001</v>
      </c>
      <c r="L670">
        <v>532</v>
      </c>
      <c r="M670">
        <v>16.5</v>
      </c>
      <c r="N670">
        <v>519</v>
      </c>
      <c r="O670">
        <v>19.399999999999999</v>
      </c>
      <c r="P670">
        <v>683</v>
      </c>
      <c r="Q670">
        <v>1.9</v>
      </c>
      <c r="R670" t="s">
        <v>5613</v>
      </c>
      <c r="S670">
        <v>92.5</v>
      </c>
      <c r="T670">
        <v>167</v>
      </c>
      <c r="U670">
        <v>47.7</v>
      </c>
      <c r="V670">
        <v>307</v>
      </c>
      <c r="W670">
        <v>6.3</v>
      </c>
      <c r="X670" t="s">
        <v>5613</v>
      </c>
      <c r="Y670">
        <v>8.1999999999999993</v>
      </c>
      <c r="Z670" t="s">
        <v>5613</v>
      </c>
      <c r="AA670">
        <v>2.5</v>
      </c>
      <c r="AB670" t="s">
        <v>5613</v>
      </c>
      <c r="AC670" t="s">
        <v>6207</v>
      </c>
    </row>
    <row r="671" spans="1:29">
      <c r="A671" t="s">
        <v>6246</v>
      </c>
      <c r="B671" t="s">
        <v>6143</v>
      </c>
      <c r="C671" t="s">
        <v>3154</v>
      </c>
      <c r="D671" t="s">
        <v>5631</v>
      </c>
      <c r="E671" t="s">
        <v>94</v>
      </c>
      <c r="F671" t="s">
        <v>5593</v>
      </c>
      <c r="G671" t="s">
        <v>5602</v>
      </c>
      <c r="H671" t="s">
        <v>5590</v>
      </c>
      <c r="I671">
        <v>4</v>
      </c>
      <c r="J671" t="s">
        <v>5591</v>
      </c>
      <c r="K671">
        <v>11</v>
      </c>
      <c r="L671" t="s">
        <v>5737</v>
      </c>
      <c r="M671">
        <v>54.8</v>
      </c>
      <c r="N671">
        <v>149</v>
      </c>
      <c r="O671">
        <v>10.6</v>
      </c>
      <c r="P671" t="s">
        <v>5613</v>
      </c>
      <c r="Q671">
        <v>11.7</v>
      </c>
      <c r="R671" t="s">
        <v>5613</v>
      </c>
      <c r="S671">
        <v>13.3</v>
      </c>
      <c r="T671">
        <v>696</v>
      </c>
      <c r="U671">
        <v>3.8</v>
      </c>
      <c r="V671" t="s">
        <v>5613</v>
      </c>
      <c r="W671">
        <v>1.2</v>
      </c>
      <c r="X671" t="s">
        <v>5613</v>
      </c>
      <c r="Y671">
        <v>29.8</v>
      </c>
      <c r="Z671">
        <v>267</v>
      </c>
      <c r="AA671">
        <v>7</v>
      </c>
      <c r="AB671" t="s">
        <v>5613</v>
      </c>
      <c r="AC671" t="s">
        <v>6207</v>
      </c>
    </row>
    <row r="672" spans="1:29">
      <c r="A672" t="s">
        <v>6246</v>
      </c>
      <c r="B672" t="s">
        <v>6104</v>
      </c>
      <c r="C672" t="s">
        <v>6250</v>
      </c>
      <c r="D672" t="s">
        <v>5707</v>
      </c>
      <c r="E672" t="s">
        <v>1613</v>
      </c>
      <c r="F672" t="s">
        <v>5593</v>
      </c>
      <c r="G672" t="s">
        <v>5602</v>
      </c>
      <c r="H672" t="s">
        <v>5809</v>
      </c>
      <c r="I672">
        <v>4</v>
      </c>
      <c r="J672" t="s">
        <v>5591</v>
      </c>
      <c r="K672">
        <v>8.6999999999999993</v>
      </c>
      <c r="L672" t="s">
        <v>5737</v>
      </c>
      <c r="M672">
        <v>22</v>
      </c>
      <c r="N672">
        <v>427</v>
      </c>
      <c r="O672">
        <v>81.5</v>
      </c>
      <c r="P672">
        <v>133</v>
      </c>
      <c r="Q672">
        <v>1.2</v>
      </c>
      <c r="R672" t="s">
        <v>5613</v>
      </c>
      <c r="S672">
        <v>10.5</v>
      </c>
      <c r="T672" t="s">
        <v>5613</v>
      </c>
      <c r="U672">
        <v>2.5</v>
      </c>
      <c r="V672" t="s">
        <v>5613</v>
      </c>
      <c r="W672">
        <v>1.2</v>
      </c>
      <c r="X672" t="s">
        <v>5613</v>
      </c>
      <c r="Y672">
        <v>49.4</v>
      </c>
      <c r="Z672">
        <v>137</v>
      </c>
      <c r="AA672">
        <v>1</v>
      </c>
      <c r="AB672" t="s">
        <v>5613</v>
      </c>
      <c r="AC672" t="s">
        <v>6207</v>
      </c>
    </row>
    <row r="673" spans="1:29">
      <c r="A673" t="s">
        <v>6246</v>
      </c>
      <c r="B673" t="s">
        <v>6143</v>
      </c>
      <c r="C673" t="s">
        <v>6251</v>
      </c>
      <c r="D673" t="s">
        <v>5747</v>
      </c>
      <c r="E673" t="s">
        <v>397</v>
      </c>
      <c r="F673" t="s">
        <v>5593</v>
      </c>
      <c r="G673" t="s">
        <v>5594</v>
      </c>
      <c r="H673" t="s">
        <v>5590</v>
      </c>
      <c r="I673">
        <v>5</v>
      </c>
      <c r="J673" t="s">
        <v>5595</v>
      </c>
      <c r="K673">
        <v>9.3000000000000007</v>
      </c>
      <c r="L673" t="s">
        <v>5737</v>
      </c>
      <c r="M673">
        <v>2.2999999999999998</v>
      </c>
      <c r="N673" t="s">
        <v>5737</v>
      </c>
      <c r="O673">
        <v>3.6</v>
      </c>
      <c r="P673" t="s">
        <v>5613</v>
      </c>
      <c r="Q673">
        <v>42.4</v>
      </c>
      <c r="R673">
        <v>318</v>
      </c>
      <c r="S673">
        <v>6.9</v>
      </c>
      <c r="T673" t="s">
        <v>5613</v>
      </c>
      <c r="U673">
        <v>5.9</v>
      </c>
      <c r="V673" t="s">
        <v>5613</v>
      </c>
      <c r="W673">
        <v>27.3</v>
      </c>
      <c r="X673">
        <v>477</v>
      </c>
      <c r="Y673">
        <v>6</v>
      </c>
      <c r="Z673" t="s">
        <v>5613</v>
      </c>
      <c r="AA673">
        <v>66</v>
      </c>
      <c r="AB673">
        <v>222</v>
      </c>
      <c r="AC673" t="s">
        <v>6207</v>
      </c>
    </row>
    <row r="674" spans="1:29">
      <c r="A674" t="s">
        <v>6246</v>
      </c>
      <c r="B674" t="s">
        <v>6180</v>
      </c>
      <c r="C674" t="s">
        <v>3813</v>
      </c>
      <c r="D674" t="s">
        <v>5872</v>
      </c>
      <c r="E674" t="s">
        <v>1955</v>
      </c>
      <c r="F674" t="s">
        <v>5605</v>
      </c>
      <c r="G674" t="s">
        <v>5602</v>
      </c>
      <c r="H674" t="s">
        <v>5590</v>
      </c>
      <c r="I674">
        <v>4</v>
      </c>
      <c r="J674" t="s">
        <v>5595</v>
      </c>
      <c r="K674">
        <v>16.8</v>
      </c>
      <c r="L674">
        <v>525</v>
      </c>
      <c r="M674">
        <v>34</v>
      </c>
      <c r="N674">
        <v>287</v>
      </c>
      <c r="O674">
        <v>36.6</v>
      </c>
      <c r="P674">
        <v>433</v>
      </c>
      <c r="Q674">
        <v>1.4</v>
      </c>
      <c r="R674" t="s">
        <v>5613</v>
      </c>
      <c r="S674">
        <v>24</v>
      </c>
      <c r="T674">
        <v>549</v>
      </c>
      <c r="U674">
        <v>1.7</v>
      </c>
      <c r="V674" t="s">
        <v>5613</v>
      </c>
      <c r="W674">
        <v>1.2</v>
      </c>
      <c r="X674" t="s">
        <v>5613</v>
      </c>
      <c r="Y674">
        <v>22</v>
      </c>
      <c r="Z674">
        <v>375</v>
      </c>
      <c r="AA674">
        <v>24.8</v>
      </c>
      <c r="AB674" t="s">
        <v>6030</v>
      </c>
      <c r="AC674" t="s">
        <v>6207</v>
      </c>
    </row>
    <row r="675" spans="1:29">
      <c r="A675" t="s">
        <v>6246</v>
      </c>
      <c r="B675" t="s">
        <v>6180</v>
      </c>
      <c r="C675" t="s">
        <v>6252</v>
      </c>
      <c r="D675" t="s">
        <v>5772</v>
      </c>
      <c r="E675" t="s">
        <v>386</v>
      </c>
      <c r="F675" t="s">
        <v>5593</v>
      </c>
      <c r="G675" t="s">
        <v>5594</v>
      </c>
      <c r="H675" t="s">
        <v>5809</v>
      </c>
      <c r="I675">
        <v>3</v>
      </c>
      <c r="J675" t="s">
        <v>5595</v>
      </c>
      <c r="K675">
        <v>6.7</v>
      </c>
      <c r="L675" t="s">
        <v>5737</v>
      </c>
      <c r="M675">
        <v>2</v>
      </c>
      <c r="N675" t="s">
        <v>5737</v>
      </c>
      <c r="O675">
        <v>16.600000000000001</v>
      </c>
      <c r="P675" t="s">
        <v>5613</v>
      </c>
      <c r="Q675">
        <v>37.4</v>
      </c>
      <c r="R675">
        <v>375</v>
      </c>
      <c r="S675">
        <v>7.6</v>
      </c>
      <c r="T675" t="s">
        <v>5613</v>
      </c>
      <c r="U675">
        <v>22.5</v>
      </c>
      <c r="V675">
        <v>507</v>
      </c>
      <c r="W675">
        <v>38.6</v>
      </c>
      <c r="X675">
        <v>386</v>
      </c>
      <c r="Y675">
        <v>7.5</v>
      </c>
      <c r="Z675" t="s">
        <v>5613</v>
      </c>
      <c r="AA675">
        <v>47.2</v>
      </c>
      <c r="AB675" t="s">
        <v>5657</v>
      </c>
      <c r="AC675" t="s">
        <v>6207</v>
      </c>
    </row>
    <row r="676" spans="1:29">
      <c r="A676" t="s">
        <v>6253</v>
      </c>
      <c r="B676" t="s">
        <v>6136</v>
      </c>
      <c r="C676" t="s">
        <v>6254</v>
      </c>
      <c r="D676" t="s">
        <v>6255</v>
      </c>
      <c r="E676" t="s">
        <v>2399</v>
      </c>
      <c r="F676" t="s">
        <v>5588</v>
      </c>
      <c r="G676" t="s">
        <v>5651</v>
      </c>
      <c r="I676">
        <v>2</v>
      </c>
      <c r="J676" t="s">
        <v>5926</v>
      </c>
      <c r="K676">
        <v>17.7</v>
      </c>
      <c r="L676">
        <v>504</v>
      </c>
      <c r="M676">
        <v>18</v>
      </c>
      <c r="N676">
        <v>487</v>
      </c>
      <c r="O676">
        <v>17.8</v>
      </c>
      <c r="P676" t="s">
        <v>5613</v>
      </c>
      <c r="Q676">
        <v>3.3</v>
      </c>
      <c r="R676" t="s">
        <v>5613</v>
      </c>
      <c r="S676">
        <v>100</v>
      </c>
      <c r="T676">
        <v>6</v>
      </c>
      <c r="U676">
        <v>25</v>
      </c>
      <c r="V676">
        <v>474</v>
      </c>
      <c r="W676">
        <v>1.3</v>
      </c>
      <c r="X676" t="s">
        <v>5613</v>
      </c>
      <c r="Y676">
        <v>12.7</v>
      </c>
      <c r="Z676">
        <v>680</v>
      </c>
      <c r="AA676">
        <v>1.1000000000000001</v>
      </c>
      <c r="AB676" t="s">
        <v>5613</v>
      </c>
      <c r="AC676" t="s">
        <v>6207</v>
      </c>
    </row>
    <row r="677" spans="1:29">
      <c r="A677" t="s">
        <v>6253</v>
      </c>
      <c r="B677" t="s">
        <v>6049</v>
      </c>
      <c r="C677" t="s">
        <v>1206</v>
      </c>
      <c r="D677" t="s">
        <v>5620</v>
      </c>
      <c r="E677" t="s">
        <v>76</v>
      </c>
      <c r="F677" t="s">
        <v>5593</v>
      </c>
      <c r="G677" t="s">
        <v>5589</v>
      </c>
      <c r="H677" t="s">
        <v>5590</v>
      </c>
      <c r="I677">
        <v>4</v>
      </c>
      <c r="J677" t="s">
        <v>5595</v>
      </c>
      <c r="K677">
        <v>10.9</v>
      </c>
      <c r="L677" t="s">
        <v>5737</v>
      </c>
      <c r="M677">
        <v>13.9</v>
      </c>
      <c r="N677">
        <v>584</v>
      </c>
      <c r="O677">
        <v>3.1</v>
      </c>
      <c r="P677" t="s">
        <v>5613</v>
      </c>
      <c r="Q677">
        <v>21.8</v>
      </c>
      <c r="R677">
        <v>531</v>
      </c>
      <c r="S677">
        <v>21.6</v>
      </c>
      <c r="T677">
        <v>575</v>
      </c>
      <c r="U677">
        <v>46</v>
      </c>
      <c r="V677">
        <v>316</v>
      </c>
      <c r="W677">
        <v>16.8</v>
      </c>
      <c r="X677">
        <v>576</v>
      </c>
      <c r="Y677">
        <v>28.5</v>
      </c>
      <c r="Z677">
        <v>281</v>
      </c>
      <c r="AA677">
        <v>35.799999999999997</v>
      </c>
      <c r="AB677" t="s">
        <v>5979</v>
      </c>
      <c r="AC677" t="s">
        <v>6207</v>
      </c>
    </row>
    <row r="678" spans="1:29">
      <c r="A678" t="s">
        <v>6253</v>
      </c>
      <c r="B678" t="s">
        <v>6033</v>
      </c>
      <c r="C678" t="s">
        <v>6256</v>
      </c>
      <c r="D678" t="s">
        <v>5644</v>
      </c>
      <c r="E678" t="s">
        <v>181</v>
      </c>
      <c r="F678" t="s">
        <v>5593</v>
      </c>
      <c r="G678" t="s">
        <v>5594</v>
      </c>
      <c r="H678" t="s">
        <v>5809</v>
      </c>
      <c r="I678">
        <v>4</v>
      </c>
      <c r="J678" t="s">
        <v>5591</v>
      </c>
      <c r="K678">
        <v>10.4</v>
      </c>
      <c r="L678" t="s">
        <v>5737</v>
      </c>
      <c r="M678">
        <v>11.5</v>
      </c>
      <c r="N678" t="s">
        <v>5737</v>
      </c>
      <c r="O678">
        <v>88.5</v>
      </c>
      <c r="P678">
        <v>90</v>
      </c>
      <c r="Q678">
        <v>8.5</v>
      </c>
      <c r="R678" t="s">
        <v>5613</v>
      </c>
      <c r="S678">
        <v>8.5</v>
      </c>
      <c r="T678" t="s">
        <v>5613</v>
      </c>
      <c r="U678">
        <v>23.4</v>
      </c>
      <c r="V678">
        <v>495</v>
      </c>
      <c r="W678">
        <v>2.8</v>
      </c>
      <c r="X678" t="s">
        <v>5613</v>
      </c>
      <c r="Y678">
        <v>4.9000000000000004</v>
      </c>
      <c r="Z678" t="s">
        <v>5613</v>
      </c>
      <c r="AA678">
        <v>1.6</v>
      </c>
      <c r="AB678" t="s">
        <v>5613</v>
      </c>
      <c r="AC678" t="s">
        <v>6207</v>
      </c>
    </row>
    <row r="679" spans="1:29">
      <c r="A679" t="s">
        <v>6253</v>
      </c>
      <c r="B679" t="s">
        <v>6056</v>
      </c>
      <c r="C679" t="s">
        <v>1461</v>
      </c>
      <c r="D679" t="s">
        <v>6213</v>
      </c>
      <c r="E679" t="s">
        <v>691</v>
      </c>
      <c r="F679" t="s">
        <v>5593</v>
      </c>
      <c r="G679" t="s">
        <v>5594</v>
      </c>
      <c r="H679" t="s">
        <v>5809</v>
      </c>
      <c r="I679">
        <v>5</v>
      </c>
      <c r="J679" t="s">
        <v>5595</v>
      </c>
      <c r="K679">
        <v>17.3</v>
      </c>
      <c r="L679">
        <v>515</v>
      </c>
      <c r="M679">
        <v>10.3</v>
      </c>
      <c r="N679" t="s">
        <v>5737</v>
      </c>
      <c r="O679">
        <v>30.4</v>
      </c>
      <c r="P679">
        <v>516</v>
      </c>
      <c r="Q679">
        <v>3.7</v>
      </c>
      <c r="R679" t="s">
        <v>5613</v>
      </c>
      <c r="S679">
        <v>10.6</v>
      </c>
      <c r="T679" t="s">
        <v>5613</v>
      </c>
      <c r="U679">
        <v>68</v>
      </c>
      <c r="V679">
        <v>218</v>
      </c>
      <c r="W679">
        <v>39.6</v>
      </c>
      <c r="X679">
        <v>381</v>
      </c>
      <c r="Y679">
        <v>16.899999999999999</v>
      </c>
      <c r="Z679">
        <v>500</v>
      </c>
      <c r="AA679">
        <v>3.5</v>
      </c>
      <c r="AB679" t="s">
        <v>5613</v>
      </c>
      <c r="AC679" t="s">
        <v>6207</v>
      </c>
    </row>
    <row r="680" spans="1:29">
      <c r="A680" t="s">
        <v>6253</v>
      </c>
      <c r="B680" t="s">
        <v>6143</v>
      </c>
      <c r="C680" t="s">
        <v>1243</v>
      </c>
      <c r="D680" t="s">
        <v>5592</v>
      </c>
      <c r="E680" t="s">
        <v>26</v>
      </c>
      <c r="F680" t="s">
        <v>5593</v>
      </c>
      <c r="G680" t="s">
        <v>5589</v>
      </c>
      <c r="H680" t="s">
        <v>5809</v>
      </c>
      <c r="I680">
        <v>3</v>
      </c>
      <c r="J680" t="s">
        <v>5595</v>
      </c>
      <c r="K680">
        <v>4.5</v>
      </c>
      <c r="L680" t="s">
        <v>5737</v>
      </c>
      <c r="M680">
        <v>4.2</v>
      </c>
      <c r="N680" t="s">
        <v>5737</v>
      </c>
      <c r="O680">
        <v>4.5999999999999996</v>
      </c>
      <c r="P680" t="s">
        <v>5613</v>
      </c>
      <c r="Q680">
        <v>10.6</v>
      </c>
      <c r="R680" t="s">
        <v>5613</v>
      </c>
      <c r="S680">
        <v>91.9</v>
      </c>
      <c r="T680">
        <v>173</v>
      </c>
      <c r="U680">
        <v>100</v>
      </c>
      <c r="V680">
        <v>30</v>
      </c>
      <c r="W680">
        <v>41.1</v>
      </c>
      <c r="X680">
        <v>368</v>
      </c>
      <c r="Y680">
        <v>12.8</v>
      </c>
      <c r="Z680">
        <v>671</v>
      </c>
      <c r="AA680">
        <v>12.7</v>
      </c>
      <c r="AB680" t="s">
        <v>6257</v>
      </c>
      <c r="AC680" t="s">
        <v>6207</v>
      </c>
    </row>
    <row r="681" spans="1:29">
      <c r="A681" t="s">
        <v>6253</v>
      </c>
      <c r="B681" t="s">
        <v>6056</v>
      </c>
      <c r="C681" t="s">
        <v>900</v>
      </c>
      <c r="D681" t="s">
        <v>5620</v>
      </c>
      <c r="E681" t="s">
        <v>76</v>
      </c>
      <c r="F681" t="s">
        <v>5605</v>
      </c>
      <c r="G681" t="s">
        <v>5594</v>
      </c>
      <c r="H681" t="s">
        <v>5590</v>
      </c>
      <c r="I681">
        <v>5</v>
      </c>
      <c r="J681" t="s">
        <v>5595</v>
      </c>
      <c r="K681">
        <v>14.5</v>
      </c>
      <c r="L681">
        <v>596</v>
      </c>
      <c r="M681">
        <v>12</v>
      </c>
      <c r="N681" t="s">
        <v>5737</v>
      </c>
      <c r="O681">
        <v>36.299999999999997</v>
      </c>
      <c r="P681">
        <v>438</v>
      </c>
      <c r="Q681">
        <v>10</v>
      </c>
      <c r="R681" t="s">
        <v>5613</v>
      </c>
      <c r="U681">
        <v>27.8</v>
      </c>
      <c r="V681">
        <v>442</v>
      </c>
      <c r="W681">
        <v>29.3</v>
      </c>
      <c r="X681">
        <v>461</v>
      </c>
      <c r="Y681">
        <v>24.1</v>
      </c>
      <c r="Z681">
        <v>348</v>
      </c>
      <c r="AA681">
        <v>32.9</v>
      </c>
      <c r="AB681">
        <v>419</v>
      </c>
      <c r="AC681" t="s">
        <v>6207</v>
      </c>
    </row>
    <row r="682" spans="1:29">
      <c r="A682" t="s">
        <v>6258</v>
      </c>
      <c r="B682" t="s">
        <v>6071</v>
      </c>
      <c r="C682" t="s">
        <v>6259</v>
      </c>
      <c r="D682" t="s">
        <v>5863</v>
      </c>
      <c r="E682" t="s">
        <v>1306</v>
      </c>
      <c r="F682" t="s">
        <v>5593</v>
      </c>
      <c r="G682" t="s">
        <v>5589</v>
      </c>
      <c r="H682" t="s">
        <v>6146</v>
      </c>
      <c r="I682">
        <v>4</v>
      </c>
      <c r="J682" t="s">
        <v>5595</v>
      </c>
      <c r="K682">
        <v>23.2</v>
      </c>
      <c r="L682">
        <v>372</v>
      </c>
      <c r="M682">
        <v>17</v>
      </c>
      <c r="N682">
        <v>510</v>
      </c>
      <c r="O682">
        <v>47.8</v>
      </c>
      <c r="P682">
        <v>327</v>
      </c>
      <c r="Q682">
        <v>1.2</v>
      </c>
      <c r="R682" t="s">
        <v>5613</v>
      </c>
      <c r="S682">
        <v>38</v>
      </c>
      <c r="T682">
        <v>423</v>
      </c>
      <c r="U682">
        <v>2.8</v>
      </c>
      <c r="V682" t="s">
        <v>5613</v>
      </c>
      <c r="W682">
        <v>1</v>
      </c>
      <c r="X682" t="s">
        <v>5613</v>
      </c>
      <c r="Y682">
        <v>12.1</v>
      </c>
      <c r="Z682" t="s">
        <v>5613</v>
      </c>
      <c r="AA682">
        <v>1</v>
      </c>
      <c r="AB682" t="s">
        <v>5613</v>
      </c>
      <c r="AC682" t="s">
        <v>6207</v>
      </c>
    </row>
    <row r="683" spans="1:29">
      <c r="A683" t="s">
        <v>6258</v>
      </c>
      <c r="B683" t="s">
        <v>6059</v>
      </c>
      <c r="C683" t="s">
        <v>6260</v>
      </c>
      <c r="D683" t="s">
        <v>5707</v>
      </c>
      <c r="E683" t="s">
        <v>1613</v>
      </c>
      <c r="F683" t="s">
        <v>5615</v>
      </c>
      <c r="G683" t="s">
        <v>5602</v>
      </c>
      <c r="H683" t="s">
        <v>5809</v>
      </c>
      <c r="I683">
        <v>4</v>
      </c>
      <c r="J683" t="s">
        <v>5595</v>
      </c>
      <c r="K683">
        <v>15.6</v>
      </c>
      <c r="L683">
        <v>559</v>
      </c>
      <c r="M683">
        <v>3.1</v>
      </c>
      <c r="N683" t="s">
        <v>5737</v>
      </c>
      <c r="O683">
        <v>100</v>
      </c>
      <c r="P683">
        <v>2</v>
      </c>
      <c r="Q683">
        <v>1.6</v>
      </c>
      <c r="R683" t="s">
        <v>5613</v>
      </c>
      <c r="S683">
        <v>9.1</v>
      </c>
      <c r="T683" t="s">
        <v>5613</v>
      </c>
      <c r="U683">
        <v>18</v>
      </c>
      <c r="V683">
        <v>576</v>
      </c>
      <c r="W683">
        <v>1</v>
      </c>
      <c r="X683" t="s">
        <v>5613</v>
      </c>
      <c r="Y683">
        <v>7.7</v>
      </c>
      <c r="Z683" t="s">
        <v>5613</v>
      </c>
      <c r="AA683">
        <v>1</v>
      </c>
      <c r="AB683" t="s">
        <v>5613</v>
      </c>
      <c r="AC683" t="s">
        <v>6207</v>
      </c>
    </row>
    <row r="684" spans="1:29">
      <c r="A684" t="s">
        <v>6258</v>
      </c>
      <c r="B684" t="s">
        <v>6143</v>
      </c>
      <c r="C684" t="s">
        <v>3424</v>
      </c>
      <c r="D684" t="s">
        <v>6050</v>
      </c>
      <c r="E684" t="s">
        <v>2229</v>
      </c>
      <c r="F684" t="s">
        <v>5593</v>
      </c>
      <c r="G684" t="s">
        <v>5589</v>
      </c>
      <c r="H684" t="s">
        <v>5809</v>
      </c>
      <c r="I684">
        <v>4</v>
      </c>
      <c r="J684" t="s">
        <v>5591</v>
      </c>
      <c r="K684">
        <v>21</v>
      </c>
      <c r="L684">
        <v>419</v>
      </c>
      <c r="M684">
        <v>45.1</v>
      </c>
      <c r="N684">
        <v>191</v>
      </c>
      <c r="O684">
        <v>10.5</v>
      </c>
      <c r="P684" t="s">
        <v>5613</v>
      </c>
      <c r="Q684">
        <v>4.2</v>
      </c>
      <c r="R684" t="s">
        <v>5613</v>
      </c>
      <c r="S684">
        <v>2</v>
      </c>
      <c r="T684" t="s">
        <v>5613</v>
      </c>
      <c r="U684">
        <v>2.7</v>
      </c>
      <c r="V684" t="s">
        <v>5613</v>
      </c>
      <c r="W684">
        <v>1.3</v>
      </c>
      <c r="X684" t="s">
        <v>5613</v>
      </c>
      <c r="Y684">
        <v>35.6</v>
      </c>
      <c r="Z684">
        <v>210</v>
      </c>
      <c r="AA684">
        <v>5.6</v>
      </c>
      <c r="AB684" t="s">
        <v>5613</v>
      </c>
      <c r="AC684" t="s">
        <v>6207</v>
      </c>
    </row>
    <row r="685" spans="1:29">
      <c r="A685" t="s">
        <v>6258</v>
      </c>
      <c r="B685" t="s">
        <v>6049</v>
      </c>
      <c r="C685" t="s">
        <v>1470</v>
      </c>
      <c r="D685" t="s">
        <v>5616</v>
      </c>
      <c r="E685" t="s">
        <v>54</v>
      </c>
      <c r="F685" t="s">
        <v>5593</v>
      </c>
      <c r="G685" t="s">
        <v>5589</v>
      </c>
      <c r="H685" t="s">
        <v>5590</v>
      </c>
      <c r="I685">
        <v>4</v>
      </c>
      <c r="J685" t="s">
        <v>5595</v>
      </c>
      <c r="K685">
        <v>7.5</v>
      </c>
      <c r="L685" t="s">
        <v>5737</v>
      </c>
      <c r="M685">
        <v>2.6</v>
      </c>
      <c r="N685" t="s">
        <v>5737</v>
      </c>
      <c r="O685">
        <v>13</v>
      </c>
      <c r="P685" t="s">
        <v>5613</v>
      </c>
      <c r="Q685">
        <v>61.4</v>
      </c>
      <c r="R685">
        <v>200</v>
      </c>
      <c r="S685">
        <v>2.7</v>
      </c>
      <c r="T685" t="s">
        <v>5613</v>
      </c>
      <c r="U685">
        <v>1.8</v>
      </c>
      <c r="V685" t="s">
        <v>5613</v>
      </c>
      <c r="W685">
        <v>2.8</v>
      </c>
      <c r="X685" t="s">
        <v>5613</v>
      </c>
      <c r="Y685">
        <v>11.7</v>
      </c>
      <c r="Z685" t="s">
        <v>5613</v>
      </c>
      <c r="AA685">
        <v>3.6</v>
      </c>
      <c r="AB685" t="s">
        <v>5613</v>
      </c>
      <c r="AC685" t="s">
        <v>6207</v>
      </c>
    </row>
    <row r="686" spans="1:29">
      <c r="A686" t="s">
        <v>6258</v>
      </c>
      <c r="B686" t="s">
        <v>6180</v>
      </c>
      <c r="C686" t="s">
        <v>6261</v>
      </c>
      <c r="D686" t="s">
        <v>5753</v>
      </c>
      <c r="E686" t="s">
        <v>310</v>
      </c>
      <c r="F686" t="s">
        <v>5588</v>
      </c>
      <c r="G686" t="s">
        <v>5589</v>
      </c>
      <c r="H686" t="s">
        <v>5590</v>
      </c>
      <c r="I686">
        <v>5</v>
      </c>
      <c r="J686" t="s">
        <v>5595</v>
      </c>
      <c r="K686">
        <v>9.4</v>
      </c>
      <c r="L686" t="s">
        <v>5737</v>
      </c>
      <c r="M686">
        <v>2.2999999999999998</v>
      </c>
      <c r="N686" t="s">
        <v>5737</v>
      </c>
      <c r="O686">
        <v>13</v>
      </c>
      <c r="P686" t="s">
        <v>5613</v>
      </c>
      <c r="Q686">
        <v>8</v>
      </c>
      <c r="R686" t="s">
        <v>5613</v>
      </c>
      <c r="S686">
        <v>95.1</v>
      </c>
      <c r="T686">
        <v>150</v>
      </c>
      <c r="U686">
        <v>97.5</v>
      </c>
      <c r="V686">
        <v>68</v>
      </c>
      <c r="W686">
        <v>13.3</v>
      </c>
      <c r="X686">
        <v>621</v>
      </c>
      <c r="Y686">
        <v>12</v>
      </c>
      <c r="Z686" t="s">
        <v>5613</v>
      </c>
      <c r="AA686">
        <v>6.3</v>
      </c>
      <c r="AB686" t="s">
        <v>5613</v>
      </c>
      <c r="AC686" t="s">
        <v>6207</v>
      </c>
    </row>
    <row r="687" spans="1:29">
      <c r="A687" t="s">
        <v>6258</v>
      </c>
      <c r="B687" t="s">
        <v>6180</v>
      </c>
      <c r="C687" t="s">
        <v>6262</v>
      </c>
      <c r="D687" t="s">
        <v>5723</v>
      </c>
      <c r="E687" t="s">
        <v>1093</v>
      </c>
      <c r="F687" t="s">
        <v>5593</v>
      </c>
      <c r="G687" t="s">
        <v>5589</v>
      </c>
      <c r="H687" t="s">
        <v>5590</v>
      </c>
      <c r="I687">
        <v>4</v>
      </c>
      <c r="J687" t="s">
        <v>5591</v>
      </c>
      <c r="K687">
        <v>27.3</v>
      </c>
      <c r="L687">
        <v>319</v>
      </c>
      <c r="M687">
        <v>39.6</v>
      </c>
      <c r="N687">
        <v>239</v>
      </c>
      <c r="O687">
        <v>4.9000000000000004</v>
      </c>
      <c r="P687" t="s">
        <v>5613</v>
      </c>
      <c r="Q687">
        <v>6.6</v>
      </c>
      <c r="R687" t="s">
        <v>5613</v>
      </c>
      <c r="S687">
        <v>10.4</v>
      </c>
      <c r="T687" t="s">
        <v>5613</v>
      </c>
      <c r="U687">
        <v>1.6</v>
      </c>
      <c r="V687" t="s">
        <v>5613</v>
      </c>
      <c r="W687">
        <v>5.3</v>
      </c>
      <c r="X687" t="s">
        <v>5613</v>
      </c>
      <c r="Y687">
        <v>8.6999999999999993</v>
      </c>
      <c r="Z687" t="s">
        <v>5613</v>
      </c>
      <c r="AA687">
        <v>1.8</v>
      </c>
      <c r="AB687" t="s">
        <v>5613</v>
      </c>
      <c r="AC687" t="s">
        <v>6207</v>
      </c>
    </row>
    <row r="688" spans="1:29">
      <c r="A688" t="s">
        <v>6258</v>
      </c>
      <c r="B688" t="s">
        <v>6180</v>
      </c>
      <c r="C688" t="s">
        <v>2142</v>
      </c>
      <c r="D688" t="s">
        <v>5976</v>
      </c>
      <c r="E688" t="s">
        <v>5977</v>
      </c>
      <c r="F688" t="s">
        <v>5593</v>
      </c>
      <c r="G688" t="s">
        <v>5589</v>
      </c>
      <c r="H688" t="s">
        <v>5590</v>
      </c>
      <c r="I688">
        <v>4</v>
      </c>
      <c r="J688" t="s">
        <v>5595</v>
      </c>
      <c r="K688">
        <v>5.7</v>
      </c>
      <c r="L688" t="s">
        <v>5737</v>
      </c>
      <c r="M688">
        <v>10.4</v>
      </c>
      <c r="N688" t="s">
        <v>5737</v>
      </c>
      <c r="O688">
        <v>5.0999999999999996</v>
      </c>
      <c r="P688" t="s">
        <v>5613</v>
      </c>
      <c r="Q688">
        <v>54.9</v>
      </c>
      <c r="R688">
        <v>234</v>
      </c>
      <c r="S688">
        <v>1.2</v>
      </c>
      <c r="T688" t="s">
        <v>5613</v>
      </c>
      <c r="U688">
        <v>1.8</v>
      </c>
      <c r="V688" t="s">
        <v>5613</v>
      </c>
      <c r="W688">
        <v>6.4</v>
      </c>
      <c r="X688" t="s">
        <v>5613</v>
      </c>
      <c r="Y688">
        <v>13.4</v>
      </c>
      <c r="Z688">
        <v>640</v>
      </c>
      <c r="AA688">
        <v>27.6</v>
      </c>
      <c r="AB688" t="s">
        <v>5766</v>
      </c>
      <c r="AC688" t="s">
        <v>6207</v>
      </c>
    </row>
    <row r="689" spans="1:29">
      <c r="A689" t="s">
        <v>6258</v>
      </c>
      <c r="B689" t="s">
        <v>6056</v>
      </c>
      <c r="C689" t="s">
        <v>6263</v>
      </c>
      <c r="D689" t="s">
        <v>5616</v>
      </c>
      <c r="E689" t="s">
        <v>54</v>
      </c>
      <c r="F689" t="s">
        <v>5605</v>
      </c>
      <c r="G689" t="s">
        <v>5589</v>
      </c>
      <c r="H689" t="s">
        <v>5590</v>
      </c>
      <c r="I689">
        <v>3</v>
      </c>
      <c r="J689" t="s">
        <v>5595</v>
      </c>
      <c r="K689">
        <v>6.2</v>
      </c>
      <c r="L689" t="s">
        <v>5737</v>
      </c>
      <c r="M689">
        <v>2.2999999999999998</v>
      </c>
      <c r="N689" t="s">
        <v>5737</v>
      </c>
      <c r="O689">
        <v>16.8</v>
      </c>
      <c r="P689" t="s">
        <v>5613</v>
      </c>
      <c r="Q689">
        <v>58.5</v>
      </c>
      <c r="R689">
        <v>218</v>
      </c>
      <c r="S689">
        <v>6.7</v>
      </c>
      <c r="T689" t="s">
        <v>5613</v>
      </c>
      <c r="U689">
        <v>2.7</v>
      </c>
      <c r="V689" t="s">
        <v>5613</v>
      </c>
      <c r="W689">
        <v>10.4</v>
      </c>
      <c r="X689">
        <v>665</v>
      </c>
      <c r="Y689">
        <v>11.1</v>
      </c>
      <c r="Z689" t="s">
        <v>5613</v>
      </c>
      <c r="AA689">
        <v>3.8</v>
      </c>
      <c r="AB689" t="s">
        <v>5613</v>
      </c>
      <c r="AC689" t="s">
        <v>6207</v>
      </c>
    </row>
    <row r="690" spans="1:29">
      <c r="A690" t="s">
        <v>6258</v>
      </c>
      <c r="B690" t="s">
        <v>6056</v>
      </c>
      <c r="C690" t="s">
        <v>3124</v>
      </c>
      <c r="D690" t="s">
        <v>6264</v>
      </c>
      <c r="E690" t="s">
        <v>1123</v>
      </c>
      <c r="F690" t="s">
        <v>5593</v>
      </c>
      <c r="G690" t="s">
        <v>5589</v>
      </c>
      <c r="H690" t="s">
        <v>5590</v>
      </c>
      <c r="I690">
        <v>5</v>
      </c>
      <c r="J690" t="s">
        <v>5595</v>
      </c>
      <c r="K690">
        <v>19.2</v>
      </c>
      <c r="L690">
        <v>467</v>
      </c>
      <c r="M690">
        <v>38.6</v>
      </c>
      <c r="N690">
        <v>252</v>
      </c>
      <c r="O690">
        <v>33.4</v>
      </c>
      <c r="P690">
        <v>477</v>
      </c>
      <c r="Q690">
        <v>2.2999999999999998</v>
      </c>
      <c r="R690" t="s">
        <v>5613</v>
      </c>
      <c r="S690">
        <v>1.5</v>
      </c>
      <c r="T690" t="s">
        <v>5613</v>
      </c>
      <c r="U690">
        <v>5.0999999999999996</v>
      </c>
      <c r="V690" t="s">
        <v>5613</v>
      </c>
      <c r="W690">
        <v>2.9</v>
      </c>
      <c r="X690" t="s">
        <v>5613</v>
      </c>
      <c r="Y690">
        <v>28</v>
      </c>
      <c r="Z690">
        <v>288</v>
      </c>
      <c r="AA690">
        <v>1.9</v>
      </c>
      <c r="AB690" t="s">
        <v>5613</v>
      </c>
      <c r="AC690" t="s">
        <v>6207</v>
      </c>
    </row>
    <row r="691" spans="1:29">
      <c r="A691" t="s">
        <v>6258</v>
      </c>
      <c r="B691" t="s">
        <v>6122</v>
      </c>
      <c r="C691" t="s">
        <v>6265</v>
      </c>
      <c r="D691" t="s">
        <v>5696</v>
      </c>
      <c r="E691" t="s">
        <v>5697</v>
      </c>
      <c r="F691" t="s">
        <v>5588</v>
      </c>
      <c r="G691" t="s">
        <v>5651</v>
      </c>
      <c r="I691">
        <v>2</v>
      </c>
      <c r="J691" t="s">
        <v>5595</v>
      </c>
      <c r="K691">
        <v>6.5</v>
      </c>
      <c r="L691" t="s">
        <v>5737</v>
      </c>
      <c r="M691">
        <v>8</v>
      </c>
      <c r="N691" t="s">
        <v>5737</v>
      </c>
      <c r="O691">
        <v>75.5</v>
      </c>
      <c r="P691">
        <v>163</v>
      </c>
      <c r="Q691">
        <v>14.7</v>
      </c>
      <c r="R691">
        <v>642</v>
      </c>
      <c r="S691">
        <v>7.9</v>
      </c>
      <c r="T691" t="s">
        <v>5613</v>
      </c>
      <c r="U691">
        <v>49.9</v>
      </c>
      <c r="V691">
        <v>295</v>
      </c>
      <c r="W691">
        <v>3.6</v>
      </c>
      <c r="X691" t="s">
        <v>5613</v>
      </c>
      <c r="Y691">
        <v>9.8000000000000007</v>
      </c>
      <c r="Z691" t="s">
        <v>5613</v>
      </c>
      <c r="AA691">
        <v>1.1000000000000001</v>
      </c>
      <c r="AB691" t="s">
        <v>5613</v>
      </c>
      <c r="AC691" t="s">
        <v>6207</v>
      </c>
    </row>
    <row r="692" spans="1:29">
      <c r="A692" t="s">
        <v>6258</v>
      </c>
      <c r="B692" t="s">
        <v>6136</v>
      </c>
      <c r="C692" t="s">
        <v>1047</v>
      </c>
      <c r="D692" t="s">
        <v>5587</v>
      </c>
      <c r="E692" t="s">
        <v>29</v>
      </c>
      <c r="F692" t="s">
        <v>5593</v>
      </c>
      <c r="G692" t="s">
        <v>5594</v>
      </c>
      <c r="H692" t="s">
        <v>5590</v>
      </c>
      <c r="I692">
        <v>5</v>
      </c>
      <c r="J692" t="s">
        <v>5595</v>
      </c>
      <c r="K692">
        <v>10.9</v>
      </c>
      <c r="L692" t="s">
        <v>5737</v>
      </c>
      <c r="M692">
        <v>11.5</v>
      </c>
      <c r="N692" t="s">
        <v>5737</v>
      </c>
      <c r="O692">
        <v>18.899999999999999</v>
      </c>
      <c r="P692">
        <v>696</v>
      </c>
      <c r="Q692">
        <v>26.1</v>
      </c>
      <c r="R692">
        <v>470</v>
      </c>
      <c r="S692">
        <v>20.9</v>
      </c>
      <c r="T692">
        <v>584</v>
      </c>
      <c r="U692">
        <v>3.7</v>
      </c>
      <c r="V692" t="s">
        <v>5613</v>
      </c>
      <c r="W692">
        <v>40.6</v>
      </c>
      <c r="X692">
        <v>371</v>
      </c>
      <c r="Y692">
        <v>13.6</v>
      </c>
      <c r="Z692">
        <v>634</v>
      </c>
      <c r="AA692">
        <v>24.1</v>
      </c>
      <c r="AB692" t="s">
        <v>5798</v>
      </c>
      <c r="AC692" t="s">
        <v>6207</v>
      </c>
    </row>
    <row r="693" spans="1:29">
      <c r="A693" t="s">
        <v>6266</v>
      </c>
      <c r="B693" t="s">
        <v>6132</v>
      </c>
      <c r="C693" t="s">
        <v>6267</v>
      </c>
      <c r="D693" t="s">
        <v>5770</v>
      </c>
      <c r="E693" t="s">
        <v>528</v>
      </c>
      <c r="F693" t="s">
        <v>5615</v>
      </c>
      <c r="G693" t="s">
        <v>5589</v>
      </c>
      <c r="H693" t="s">
        <v>5590</v>
      </c>
      <c r="I693">
        <v>2</v>
      </c>
      <c r="J693" t="s">
        <v>5595</v>
      </c>
      <c r="K693">
        <v>5.0999999999999996</v>
      </c>
      <c r="L693" t="s">
        <v>5737</v>
      </c>
      <c r="M693">
        <v>2.7</v>
      </c>
      <c r="N693" t="s">
        <v>5737</v>
      </c>
      <c r="O693">
        <v>16.600000000000001</v>
      </c>
      <c r="P693" t="s">
        <v>5613</v>
      </c>
      <c r="Q693">
        <v>64.3</v>
      </c>
      <c r="R693">
        <v>181</v>
      </c>
      <c r="S693">
        <v>1.2</v>
      </c>
      <c r="T693" t="s">
        <v>5613</v>
      </c>
      <c r="U693">
        <v>1.1000000000000001</v>
      </c>
      <c r="V693" t="s">
        <v>5613</v>
      </c>
      <c r="W693">
        <v>1</v>
      </c>
      <c r="X693" t="s">
        <v>5613</v>
      </c>
      <c r="Y693">
        <v>8.1999999999999993</v>
      </c>
      <c r="Z693" t="s">
        <v>5613</v>
      </c>
      <c r="AA693">
        <v>2.6</v>
      </c>
      <c r="AB693" t="s">
        <v>5613</v>
      </c>
      <c r="AC693" t="s">
        <v>6207</v>
      </c>
    </row>
    <row r="694" spans="1:29">
      <c r="A694" t="s">
        <v>6266</v>
      </c>
      <c r="B694" t="s">
        <v>6073</v>
      </c>
      <c r="C694" t="s">
        <v>1960</v>
      </c>
      <c r="D694" t="s">
        <v>5644</v>
      </c>
      <c r="E694" t="s">
        <v>181</v>
      </c>
      <c r="F694" t="s">
        <v>5593</v>
      </c>
      <c r="G694" t="s">
        <v>5594</v>
      </c>
      <c r="H694" t="s">
        <v>5590</v>
      </c>
      <c r="I694">
        <v>4</v>
      </c>
      <c r="J694" t="s">
        <v>5591</v>
      </c>
      <c r="K694">
        <v>10.9</v>
      </c>
      <c r="L694" t="s">
        <v>5737</v>
      </c>
      <c r="M694">
        <v>15.3</v>
      </c>
      <c r="N694">
        <v>539</v>
      </c>
      <c r="O694">
        <v>72.900000000000006</v>
      </c>
      <c r="P694">
        <v>172</v>
      </c>
      <c r="Q694">
        <v>11.7</v>
      </c>
      <c r="R694" t="s">
        <v>5613</v>
      </c>
      <c r="S694">
        <v>8.8000000000000007</v>
      </c>
      <c r="T694" t="s">
        <v>5613</v>
      </c>
      <c r="U694">
        <v>14.4</v>
      </c>
      <c r="V694">
        <v>634</v>
      </c>
      <c r="W694">
        <v>1.4</v>
      </c>
      <c r="X694" t="s">
        <v>5613</v>
      </c>
      <c r="Y694">
        <v>12.4</v>
      </c>
      <c r="Z694">
        <v>700</v>
      </c>
      <c r="AA694">
        <v>3</v>
      </c>
      <c r="AB694" t="s">
        <v>5613</v>
      </c>
      <c r="AC694" t="s">
        <v>6207</v>
      </c>
    </row>
    <row r="695" spans="1:29">
      <c r="A695" t="s">
        <v>6266</v>
      </c>
      <c r="B695" t="s">
        <v>6136</v>
      </c>
      <c r="C695" t="s">
        <v>6268</v>
      </c>
      <c r="D695" t="s">
        <v>5707</v>
      </c>
      <c r="E695" t="s">
        <v>1613</v>
      </c>
      <c r="F695" t="s">
        <v>5593</v>
      </c>
      <c r="G695" t="s">
        <v>5594</v>
      </c>
      <c r="H695" t="s">
        <v>6146</v>
      </c>
      <c r="I695">
        <v>4</v>
      </c>
      <c r="J695" t="s">
        <v>5591</v>
      </c>
      <c r="K695">
        <v>19.100000000000001</v>
      </c>
      <c r="L695">
        <v>468</v>
      </c>
      <c r="M695">
        <v>31.1</v>
      </c>
      <c r="N695">
        <v>315</v>
      </c>
      <c r="O695">
        <v>31.6</v>
      </c>
      <c r="P695">
        <v>496</v>
      </c>
      <c r="Q695">
        <v>1.3</v>
      </c>
      <c r="R695" t="s">
        <v>5613</v>
      </c>
      <c r="S695">
        <v>5.5</v>
      </c>
      <c r="T695" t="s">
        <v>5613</v>
      </c>
      <c r="U695">
        <v>2.4</v>
      </c>
      <c r="V695" t="s">
        <v>5613</v>
      </c>
      <c r="W695">
        <v>1</v>
      </c>
      <c r="X695" t="s">
        <v>5613</v>
      </c>
      <c r="Y695">
        <v>51.4</v>
      </c>
      <c r="Z695">
        <v>127</v>
      </c>
      <c r="AA695">
        <v>7.4</v>
      </c>
      <c r="AB695" t="s">
        <v>5613</v>
      </c>
      <c r="AC695" t="s">
        <v>6207</v>
      </c>
    </row>
    <row r="696" spans="1:29">
      <c r="A696" t="s">
        <v>6266</v>
      </c>
      <c r="B696" t="s">
        <v>6136</v>
      </c>
      <c r="C696" t="s">
        <v>6269</v>
      </c>
      <c r="D696" t="s">
        <v>5695</v>
      </c>
      <c r="E696" t="s">
        <v>577</v>
      </c>
      <c r="F696" t="s">
        <v>5605</v>
      </c>
      <c r="G696" t="s">
        <v>5594</v>
      </c>
      <c r="H696" t="s">
        <v>5590</v>
      </c>
      <c r="I696">
        <v>5</v>
      </c>
      <c r="J696" t="s">
        <v>5595</v>
      </c>
      <c r="K696">
        <v>32.700000000000003</v>
      </c>
      <c r="L696">
        <v>268</v>
      </c>
      <c r="M696">
        <v>5.7</v>
      </c>
      <c r="N696" t="s">
        <v>5737</v>
      </c>
      <c r="O696">
        <v>12.4</v>
      </c>
      <c r="P696" t="s">
        <v>5613</v>
      </c>
      <c r="Q696">
        <v>7.6</v>
      </c>
      <c r="R696" t="s">
        <v>5613</v>
      </c>
      <c r="S696">
        <v>7.1</v>
      </c>
      <c r="T696" t="s">
        <v>5613</v>
      </c>
      <c r="U696">
        <v>1.8</v>
      </c>
      <c r="V696" t="s">
        <v>5613</v>
      </c>
      <c r="W696">
        <v>24.7</v>
      </c>
      <c r="X696">
        <v>501</v>
      </c>
      <c r="Y696">
        <v>25.6</v>
      </c>
      <c r="Z696">
        <v>322</v>
      </c>
      <c r="AA696">
        <v>13.7</v>
      </c>
      <c r="AB696" t="s">
        <v>5895</v>
      </c>
      <c r="AC696" t="s">
        <v>6207</v>
      </c>
    </row>
    <row r="697" spans="1:29">
      <c r="A697" t="s">
        <v>6266</v>
      </c>
      <c r="B697" t="s">
        <v>6180</v>
      </c>
      <c r="C697" t="s">
        <v>6270</v>
      </c>
      <c r="D697" t="s">
        <v>5695</v>
      </c>
      <c r="E697" t="s">
        <v>577</v>
      </c>
      <c r="F697" t="s">
        <v>5605</v>
      </c>
      <c r="G697" t="s">
        <v>5594</v>
      </c>
      <c r="H697" t="s">
        <v>5590</v>
      </c>
      <c r="I697">
        <v>5</v>
      </c>
      <c r="J697" t="s">
        <v>5595</v>
      </c>
      <c r="K697">
        <v>28.6</v>
      </c>
      <c r="L697">
        <v>307</v>
      </c>
      <c r="M697">
        <v>3.8</v>
      </c>
      <c r="N697" t="s">
        <v>5737</v>
      </c>
      <c r="O697">
        <v>10.9</v>
      </c>
      <c r="P697" t="s">
        <v>5613</v>
      </c>
      <c r="Q697">
        <v>10.1</v>
      </c>
      <c r="R697" t="s">
        <v>5613</v>
      </c>
      <c r="S697">
        <v>2.2000000000000002</v>
      </c>
      <c r="T697" t="s">
        <v>5613</v>
      </c>
      <c r="U697">
        <v>1.6</v>
      </c>
      <c r="V697" t="s">
        <v>5613</v>
      </c>
      <c r="W697">
        <v>36</v>
      </c>
      <c r="X697">
        <v>412</v>
      </c>
      <c r="Y697">
        <v>9.5</v>
      </c>
      <c r="Z697" t="s">
        <v>5613</v>
      </c>
      <c r="AA697">
        <v>46.3</v>
      </c>
      <c r="AB697">
        <v>330</v>
      </c>
      <c r="AC697" t="s">
        <v>6207</v>
      </c>
    </row>
    <row r="698" spans="1:29">
      <c r="A698" t="s">
        <v>6266</v>
      </c>
      <c r="B698" t="s">
        <v>6136</v>
      </c>
      <c r="C698" t="s">
        <v>6271</v>
      </c>
      <c r="D698" t="s">
        <v>5587</v>
      </c>
      <c r="E698" t="s">
        <v>29</v>
      </c>
      <c r="F698" t="s">
        <v>5605</v>
      </c>
      <c r="G698" t="s">
        <v>5594</v>
      </c>
      <c r="H698" t="s">
        <v>5590</v>
      </c>
      <c r="I698">
        <v>5</v>
      </c>
      <c r="J698" t="s">
        <v>5595</v>
      </c>
      <c r="K698">
        <v>12.3</v>
      </c>
      <c r="L698" t="s">
        <v>5737</v>
      </c>
      <c r="M698">
        <v>7.6</v>
      </c>
      <c r="N698" t="s">
        <v>5737</v>
      </c>
      <c r="O698">
        <v>21</v>
      </c>
      <c r="P698">
        <v>647</v>
      </c>
      <c r="Q698">
        <v>25.8</v>
      </c>
      <c r="R698">
        <v>471</v>
      </c>
      <c r="S698">
        <v>6</v>
      </c>
      <c r="T698" t="s">
        <v>5613</v>
      </c>
      <c r="U698">
        <v>10.8</v>
      </c>
      <c r="V698">
        <v>698</v>
      </c>
      <c r="W698">
        <v>32.1</v>
      </c>
      <c r="X698">
        <v>446</v>
      </c>
      <c r="Y698">
        <v>20</v>
      </c>
      <c r="Z698">
        <v>417</v>
      </c>
      <c r="AA698">
        <v>31.3</v>
      </c>
      <c r="AB698" t="s">
        <v>5904</v>
      </c>
      <c r="AC698" t="s">
        <v>6207</v>
      </c>
    </row>
    <row r="699" spans="1:29">
      <c r="A699" t="s">
        <v>6266</v>
      </c>
      <c r="B699" t="s">
        <v>6143</v>
      </c>
      <c r="C699" t="s">
        <v>1910</v>
      </c>
      <c r="D699" t="s">
        <v>6272</v>
      </c>
      <c r="E699" t="s">
        <v>1846</v>
      </c>
      <c r="F699" t="s">
        <v>5605</v>
      </c>
      <c r="G699" t="s">
        <v>5594</v>
      </c>
      <c r="H699" t="s">
        <v>6146</v>
      </c>
      <c r="I699">
        <v>5</v>
      </c>
      <c r="J699" t="s">
        <v>5595</v>
      </c>
      <c r="K699">
        <v>21.3</v>
      </c>
      <c r="L699">
        <v>409</v>
      </c>
      <c r="M699">
        <v>44.9</v>
      </c>
      <c r="N699">
        <v>195</v>
      </c>
      <c r="O699">
        <v>11.7</v>
      </c>
      <c r="P699" t="s">
        <v>5613</v>
      </c>
      <c r="Q699">
        <v>2.6</v>
      </c>
      <c r="R699" t="s">
        <v>5613</v>
      </c>
      <c r="S699">
        <v>1.7</v>
      </c>
      <c r="T699" t="s">
        <v>5613</v>
      </c>
      <c r="U699">
        <v>1</v>
      </c>
      <c r="V699" t="s">
        <v>5613</v>
      </c>
      <c r="W699">
        <v>2.1</v>
      </c>
      <c r="X699" t="s">
        <v>5613</v>
      </c>
      <c r="Y699">
        <v>30.3</v>
      </c>
      <c r="Z699">
        <v>253</v>
      </c>
      <c r="AA699">
        <v>11.6</v>
      </c>
      <c r="AB699" t="s">
        <v>6273</v>
      </c>
      <c r="AC699" t="s">
        <v>6207</v>
      </c>
    </row>
    <row r="700" spans="1:29">
      <c r="A700" t="s">
        <v>6266</v>
      </c>
      <c r="B700" t="s">
        <v>6136</v>
      </c>
      <c r="C700" t="s">
        <v>6274</v>
      </c>
      <c r="D700" t="s">
        <v>5667</v>
      </c>
      <c r="E700" t="s">
        <v>137</v>
      </c>
      <c r="F700" t="s">
        <v>5588</v>
      </c>
      <c r="G700" t="s">
        <v>5589</v>
      </c>
      <c r="H700" t="s">
        <v>5590</v>
      </c>
      <c r="I700">
        <v>2</v>
      </c>
      <c r="J700" t="s">
        <v>5595</v>
      </c>
      <c r="K700">
        <v>6.7</v>
      </c>
      <c r="L700" t="s">
        <v>5737</v>
      </c>
      <c r="M700">
        <v>13</v>
      </c>
      <c r="N700" t="s">
        <v>5737</v>
      </c>
      <c r="O700">
        <v>3.1</v>
      </c>
      <c r="P700" t="s">
        <v>5613</v>
      </c>
      <c r="Q700">
        <v>40.299999999999997</v>
      </c>
      <c r="R700">
        <v>343</v>
      </c>
      <c r="S700">
        <v>35.9</v>
      </c>
      <c r="T700">
        <v>448</v>
      </c>
      <c r="U700">
        <v>43.6</v>
      </c>
      <c r="V700">
        <v>331</v>
      </c>
      <c r="W700">
        <v>5.2</v>
      </c>
      <c r="X700" t="s">
        <v>5613</v>
      </c>
      <c r="Y700">
        <v>11.3</v>
      </c>
      <c r="Z700" t="s">
        <v>5613</v>
      </c>
      <c r="AA700">
        <v>1.8</v>
      </c>
      <c r="AB700" t="s">
        <v>5613</v>
      </c>
      <c r="AC700" t="s">
        <v>6207</v>
      </c>
    </row>
    <row r="701" spans="1:29">
      <c r="A701" t="s">
        <v>6266</v>
      </c>
      <c r="B701" t="s">
        <v>6136</v>
      </c>
      <c r="C701" t="s">
        <v>1360</v>
      </c>
      <c r="D701" t="s">
        <v>5747</v>
      </c>
      <c r="E701" t="s">
        <v>397</v>
      </c>
      <c r="F701" t="s">
        <v>5593</v>
      </c>
      <c r="G701" t="s">
        <v>5594</v>
      </c>
      <c r="H701" t="s">
        <v>5809</v>
      </c>
      <c r="I701">
        <v>4</v>
      </c>
      <c r="J701" t="s">
        <v>5595</v>
      </c>
      <c r="K701">
        <v>11.9</v>
      </c>
      <c r="L701" t="s">
        <v>5737</v>
      </c>
      <c r="M701">
        <v>3.6</v>
      </c>
      <c r="N701" t="s">
        <v>5737</v>
      </c>
      <c r="O701">
        <v>4</v>
      </c>
      <c r="P701" t="s">
        <v>5613</v>
      </c>
      <c r="Q701">
        <v>45.5</v>
      </c>
      <c r="R701">
        <v>297</v>
      </c>
      <c r="S701">
        <v>6.4</v>
      </c>
      <c r="T701" t="s">
        <v>5613</v>
      </c>
      <c r="U701">
        <v>7.6</v>
      </c>
      <c r="V701" t="s">
        <v>5613</v>
      </c>
      <c r="W701">
        <v>37.6</v>
      </c>
      <c r="X701">
        <v>397</v>
      </c>
      <c r="Y701">
        <v>12.9</v>
      </c>
      <c r="Z701">
        <v>666</v>
      </c>
      <c r="AA701">
        <v>4</v>
      </c>
      <c r="AB701" t="s">
        <v>5613</v>
      </c>
      <c r="AC701" t="s">
        <v>6207</v>
      </c>
    </row>
    <row r="702" spans="1:29">
      <c r="A702" t="s">
        <v>6266</v>
      </c>
      <c r="B702" t="s">
        <v>6104</v>
      </c>
      <c r="C702" t="s">
        <v>6275</v>
      </c>
      <c r="D702" t="s">
        <v>6264</v>
      </c>
      <c r="E702" t="s">
        <v>1123</v>
      </c>
      <c r="F702" t="s">
        <v>5593</v>
      </c>
      <c r="G702" t="s">
        <v>5594</v>
      </c>
      <c r="H702" t="s">
        <v>5809</v>
      </c>
      <c r="I702">
        <v>5</v>
      </c>
      <c r="J702" t="s">
        <v>5595</v>
      </c>
      <c r="K702">
        <v>12.6</v>
      </c>
      <c r="L702" t="s">
        <v>5737</v>
      </c>
      <c r="M702">
        <v>17.899999999999999</v>
      </c>
      <c r="N702">
        <v>491</v>
      </c>
      <c r="O702">
        <v>66</v>
      </c>
      <c r="P702">
        <v>204</v>
      </c>
      <c r="Q702">
        <v>1.4</v>
      </c>
      <c r="R702" t="s">
        <v>5613</v>
      </c>
      <c r="S702">
        <v>3.1</v>
      </c>
      <c r="T702" t="s">
        <v>5613</v>
      </c>
      <c r="U702">
        <v>58.8</v>
      </c>
      <c r="V702">
        <v>257</v>
      </c>
      <c r="W702">
        <v>1.6</v>
      </c>
      <c r="X702" t="s">
        <v>5613</v>
      </c>
      <c r="Y702">
        <v>9.9</v>
      </c>
      <c r="Z702" t="s">
        <v>5613</v>
      </c>
      <c r="AA702">
        <v>1.1000000000000001</v>
      </c>
      <c r="AB702" t="s">
        <v>5613</v>
      </c>
      <c r="AC702" t="s">
        <v>6207</v>
      </c>
    </row>
    <row r="703" spans="1:29">
      <c r="A703" t="s">
        <v>6276</v>
      </c>
      <c r="B703" t="s">
        <v>6052</v>
      </c>
      <c r="C703" t="s">
        <v>3273</v>
      </c>
      <c r="D703" t="s">
        <v>5696</v>
      </c>
      <c r="E703" t="s">
        <v>5697</v>
      </c>
      <c r="F703" t="s">
        <v>5588</v>
      </c>
      <c r="G703" t="s">
        <v>5602</v>
      </c>
      <c r="H703" t="s">
        <v>5590</v>
      </c>
      <c r="I703">
        <v>4</v>
      </c>
      <c r="J703" t="s">
        <v>5595</v>
      </c>
      <c r="K703">
        <v>10</v>
      </c>
      <c r="L703" t="s">
        <v>5737</v>
      </c>
      <c r="M703">
        <v>3.7</v>
      </c>
      <c r="N703" t="s">
        <v>5737</v>
      </c>
      <c r="O703">
        <v>84.4</v>
      </c>
      <c r="P703">
        <v>110</v>
      </c>
      <c r="Q703">
        <v>1.4</v>
      </c>
      <c r="R703" t="s">
        <v>5613</v>
      </c>
      <c r="S703">
        <v>6.7</v>
      </c>
      <c r="T703" t="s">
        <v>5613</v>
      </c>
      <c r="U703">
        <v>69.900000000000006</v>
      </c>
      <c r="V703">
        <v>212</v>
      </c>
      <c r="W703">
        <v>1</v>
      </c>
      <c r="X703" t="s">
        <v>5613</v>
      </c>
      <c r="Y703">
        <v>7.6</v>
      </c>
      <c r="Z703" t="s">
        <v>5613</v>
      </c>
      <c r="AA703">
        <v>6.1</v>
      </c>
      <c r="AB703" t="s">
        <v>5613</v>
      </c>
      <c r="AC703" t="s">
        <v>6207</v>
      </c>
    </row>
    <row r="704" spans="1:29">
      <c r="A704" t="s">
        <v>6276</v>
      </c>
      <c r="B704" t="s">
        <v>6030</v>
      </c>
      <c r="C704" t="s">
        <v>1877</v>
      </c>
      <c r="D704" t="s">
        <v>5631</v>
      </c>
      <c r="E704" t="s">
        <v>94</v>
      </c>
      <c r="F704" t="s">
        <v>5593</v>
      </c>
      <c r="G704" t="s">
        <v>5594</v>
      </c>
      <c r="H704" t="s">
        <v>5590</v>
      </c>
      <c r="I704">
        <v>4</v>
      </c>
      <c r="J704" t="s">
        <v>5595</v>
      </c>
      <c r="K704">
        <v>16.8</v>
      </c>
      <c r="L704">
        <v>527</v>
      </c>
      <c r="M704">
        <v>8.4</v>
      </c>
      <c r="N704" t="s">
        <v>5737</v>
      </c>
      <c r="O704">
        <v>62.3</v>
      </c>
      <c r="P704">
        <v>226</v>
      </c>
      <c r="Q704">
        <v>10.9</v>
      </c>
      <c r="R704" t="s">
        <v>5613</v>
      </c>
      <c r="S704">
        <v>7.5</v>
      </c>
      <c r="T704" t="s">
        <v>5613</v>
      </c>
      <c r="U704">
        <v>5.2</v>
      </c>
      <c r="V704" t="s">
        <v>5613</v>
      </c>
      <c r="W704">
        <v>2.5</v>
      </c>
      <c r="X704" t="s">
        <v>5613</v>
      </c>
      <c r="Y704">
        <v>8.6</v>
      </c>
      <c r="Z704" t="s">
        <v>5613</v>
      </c>
      <c r="AA704">
        <v>18.8</v>
      </c>
      <c r="AB704" t="s">
        <v>5711</v>
      </c>
      <c r="AC704" t="s">
        <v>6207</v>
      </c>
    </row>
    <row r="705" spans="1:29">
      <c r="A705" t="s">
        <v>6276</v>
      </c>
      <c r="B705" t="s">
        <v>6143</v>
      </c>
      <c r="C705" t="s">
        <v>6277</v>
      </c>
      <c r="D705" t="s">
        <v>5882</v>
      </c>
      <c r="E705" t="s">
        <v>984</v>
      </c>
      <c r="F705" t="s">
        <v>5593</v>
      </c>
      <c r="G705" t="s">
        <v>5602</v>
      </c>
      <c r="H705" t="s">
        <v>5590</v>
      </c>
      <c r="I705">
        <v>5</v>
      </c>
      <c r="J705" t="s">
        <v>5595</v>
      </c>
      <c r="K705">
        <v>11</v>
      </c>
      <c r="L705" t="s">
        <v>5737</v>
      </c>
      <c r="M705">
        <v>8.8000000000000007</v>
      </c>
      <c r="N705" t="s">
        <v>5737</v>
      </c>
      <c r="O705">
        <v>9.1999999999999993</v>
      </c>
      <c r="P705" t="s">
        <v>5613</v>
      </c>
      <c r="Q705">
        <v>9.5</v>
      </c>
      <c r="R705" t="s">
        <v>5613</v>
      </c>
      <c r="S705">
        <v>26.6</v>
      </c>
      <c r="T705">
        <v>514</v>
      </c>
      <c r="U705">
        <v>64.5</v>
      </c>
      <c r="V705">
        <v>233</v>
      </c>
      <c r="W705">
        <v>54.7</v>
      </c>
      <c r="X705">
        <v>288</v>
      </c>
      <c r="Y705">
        <v>9.4</v>
      </c>
      <c r="Z705" t="s">
        <v>5613</v>
      </c>
      <c r="AA705">
        <v>35.799999999999997</v>
      </c>
      <c r="AB705" t="s">
        <v>5979</v>
      </c>
      <c r="AC705" t="s">
        <v>6207</v>
      </c>
    </row>
    <row r="706" spans="1:29">
      <c r="A706" t="s">
        <v>6276</v>
      </c>
      <c r="B706" t="s">
        <v>6136</v>
      </c>
      <c r="C706" t="s">
        <v>6278</v>
      </c>
      <c r="D706" t="s">
        <v>6213</v>
      </c>
      <c r="E706" t="s">
        <v>691</v>
      </c>
      <c r="F706" t="s">
        <v>5593</v>
      </c>
      <c r="G706" t="s">
        <v>5589</v>
      </c>
      <c r="H706" t="s">
        <v>5590</v>
      </c>
      <c r="I706">
        <v>5</v>
      </c>
      <c r="J706" t="s">
        <v>5595</v>
      </c>
      <c r="K706">
        <v>23.9</v>
      </c>
      <c r="L706">
        <v>359</v>
      </c>
      <c r="M706">
        <v>16.8</v>
      </c>
      <c r="N706">
        <v>515</v>
      </c>
      <c r="O706">
        <v>13.2</v>
      </c>
      <c r="P706" t="s">
        <v>5613</v>
      </c>
      <c r="Q706">
        <v>7.8</v>
      </c>
      <c r="R706" t="s">
        <v>5613</v>
      </c>
      <c r="S706">
        <v>5</v>
      </c>
      <c r="T706" t="s">
        <v>5613</v>
      </c>
      <c r="U706">
        <v>11.3</v>
      </c>
      <c r="V706">
        <v>685</v>
      </c>
      <c r="W706">
        <v>31.1</v>
      </c>
      <c r="X706">
        <v>452</v>
      </c>
      <c r="Y706">
        <v>30.8</v>
      </c>
      <c r="Z706">
        <v>248</v>
      </c>
      <c r="AA706">
        <v>10.199999999999999</v>
      </c>
      <c r="AB706" t="s">
        <v>6039</v>
      </c>
      <c r="AC706" t="s">
        <v>6207</v>
      </c>
    </row>
    <row r="707" spans="1:29">
      <c r="A707" t="s">
        <v>6276</v>
      </c>
      <c r="B707" t="s">
        <v>6056</v>
      </c>
      <c r="C707" t="s">
        <v>6279</v>
      </c>
      <c r="D707" t="s">
        <v>5589</v>
      </c>
      <c r="E707" t="s">
        <v>1820</v>
      </c>
      <c r="F707" t="s">
        <v>5605</v>
      </c>
      <c r="G707" t="s">
        <v>5594</v>
      </c>
      <c r="H707" t="s">
        <v>5809</v>
      </c>
      <c r="I707">
        <v>5</v>
      </c>
      <c r="J707" t="s">
        <v>5595</v>
      </c>
      <c r="K707">
        <v>31</v>
      </c>
      <c r="L707">
        <v>281</v>
      </c>
      <c r="M707">
        <v>33.9</v>
      </c>
      <c r="N707">
        <v>288</v>
      </c>
      <c r="O707">
        <v>4.2</v>
      </c>
      <c r="P707" t="s">
        <v>5613</v>
      </c>
      <c r="Q707">
        <v>4.3</v>
      </c>
      <c r="R707" t="s">
        <v>5613</v>
      </c>
      <c r="S707">
        <v>3.9</v>
      </c>
      <c r="T707" t="s">
        <v>5613</v>
      </c>
      <c r="U707">
        <v>1.3</v>
      </c>
      <c r="V707" t="s">
        <v>5613</v>
      </c>
      <c r="W707">
        <v>3.9</v>
      </c>
      <c r="X707" t="s">
        <v>5613</v>
      </c>
      <c r="Y707">
        <v>9.6</v>
      </c>
      <c r="Z707" t="s">
        <v>5613</v>
      </c>
      <c r="AA707">
        <v>5.2</v>
      </c>
      <c r="AB707" t="s">
        <v>5613</v>
      </c>
      <c r="AC707" t="s">
        <v>6207</v>
      </c>
    </row>
    <row r="708" spans="1:29">
      <c r="A708" t="s">
        <v>6276</v>
      </c>
      <c r="B708" t="s">
        <v>6180</v>
      </c>
      <c r="C708" t="s">
        <v>6280</v>
      </c>
      <c r="D708" t="s">
        <v>5772</v>
      </c>
      <c r="E708" t="s">
        <v>386</v>
      </c>
      <c r="F708" t="s">
        <v>5593</v>
      </c>
      <c r="G708" t="s">
        <v>5589</v>
      </c>
      <c r="H708" t="s">
        <v>5590</v>
      </c>
      <c r="I708">
        <v>5</v>
      </c>
      <c r="J708" t="s">
        <v>5595</v>
      </c>
      <c r="K708">
        <v>23.5</v>
      </c>
      <c r="L708">
        <v>368</v>
      </c>
      <c r="M708">
        <v>10.3</v>
      </c>
      <c r="N708" t="s">
        <v>5737</v>
      </c>
      <c r="O708">
        <v>13</v>
      </c>
      <c r="P708" t="s">
        <v>5613</v>
      </c>
      <c r="Q708">
        <v>16.100000000000001</v>
      </c>
      <c r="R708">
        <v>618</v>
      </c>
      <c r="S708">
        <v>2.8</v>
      </c>
      <c r="T708" t="s">
        <v>5613</v>
      </c>
      <c r="U708">
        <v>6</v>
      </c>
      <c r="V708" t="s">
        <v>5613</v>
      </c>
      <c r="W708">
        <v>38</v>
      </c>
      <c r="X708">
        <v>394</v>
      </c>
      <c r="Y708">
        <v>8.1</v>
      </c>
      <c r="Z708" t="s">
        <v>5613</v>
      </c>
      <c r="AA708">
        <v>23.2</v>
      </c>
      <c r="AB708" t="s">
        <v>5781</v>
      </c>
      <c r="AC708" t="s">
        <v>6207</v>
      </c>
    </row>
    <row r="709" spans="1:29">
      <c r="A709" t="s">
        <v>6276</v>
      </c>
      <c r="B709" t="s">
        <v>5825</v>
      </c>
      <c r="C709" t="s">
        <v>1161</v>
      </c>
      <c r="D709" t="s">
        <v>5587</v>
      </c>
      <c r="E709" t="s">
        <v>29</v>
      </c>
      <c r="F709" t="s">
        <v>5588</v>
      </c>
      <c r="G709" t="s">
        <v>5594</v>
      </c>
      <c r="H709" t="s">
        <v>5590</v>
      </c>
      <c r="I709">
        <v>5</v>
      </c>
      <c r="J709" t="s">
        <v>5591</v>
      </c>
      <c r="K709">
        <v>5.4</v>
      </c>
      <c r="L709" t="s">
        <v>5737</v>
      </c>
      <c r="M709">
        <v>6.1</v>
      </c>
      <c r="N709" t="s">
        <v>5737</v>
      </c>
      <c r="O709">
        <v>100</v>
      </c>
      <c r="P709">
        <v>13</v>
      </c>
      <c r="Q709">
        <v>11</v>
      </c>
      <c r="R709" t="s">
        <v>5613</v>
      </c>
      <c r="S709">
        <v>5.4</v>
      </c>
      <c r="T709" t="s">
        <v>5613</v>
      </c>
      <c r="U709">
        <v>13.5</v>
      </c>
      <c r="V709">
        <v>654</v>
      </c>
      <c r="W709">
        <v>5.5</v>
      </c>
      <c r="X709" t="s">
        <v>5613</v>
      </c>
      <c r="Y709">
        <v>16.5</v>
      </c>
      <c r="Z709">
        <v>514</v>
      </c>
      <c r="AA709">
        <v>2.2999999999999998</v>
      </c>
      <c r="AB709" t="s">
        <v>5613</v>
      </c>
      <c r="AC709" t="s">
        <v>6207</v>
      </c>
    </row>
    <row r="710" spans="1:29">
      <c r="A710" t="s">
        <v>6276</v>
      </c>
      <c r="B710" t="s">
        <v>6136</v>
      </c>
      <c r="C710" t="s">
        <v>1163</v>
      </c>
      <c r="D710" t="s">
        <v>5865</v>
      </c>
      <c r="E710" t="s">
        <v>608</v>
      </c>
      <c r="F710" t="s">
        <v>5588</v>
      </c>
      <c r="G710" t="s">
        <v>5589</v>
      </c>
      <c r="H710" t="s">
        <v>5809</v>
      </c>
      <c r="I710">
        <v>3</v>
      </c>
      <c r="J710" t="s">
        <v>5595</v>
      </c>
      <c r="K710">
        <v>14.5</v>
      </c>
      <c r="L710">
        <v>597</v>
      </c>
      <c r="M710">
        <v>17.3</v>
      </c>
      <c r="N710">
        <v>503</v>
      </c>
      <c r="O710">
        <v>22</v>
      </c>
      <c r="P710">
        <v>628</v>
      </c>
      <c r="Q710">
        <v>6.3</v>
      </c>
      <c r="R710" t="s">
        <v>5613</v>
      </c>
      <c r="S710">
        <v>100</v>
      </c>
      <c r="T710">
        <v>13</v>
      </c>
      <c r="U710">
        <v>2</v>
      </c>
      <c r="V710" t="s">
        <v>5613</v>
      </c>
      <c r="W710">
        <v>8.3000000000000007</v>
      </c>
      <c r="X710" t="s">
        <v>5613</v>
      </c>
      <c r="Y710">
        <v>17</v>
      </c>
      <c r="Z710">
        <v>499</v>
      </c>
      <c r="AA710">
        <v>2.8</v>
      </c>
      <c r="AB710" t="s">
        <v>5613</v>
      </c>
      <c r="AC710" t="s">
        <v>6207</v>
      </c>
    </row>
    <row r="711" spans="1:29">
      <c r="A711" t="s">
        <v>6281</v>
      </c>
      <c r="B711" t="s">
        <v>6143</v>
      </c>
      <c r="C711" t="s">
        <v>6282</v>
      </c>
      <c r="D711" t="s">
        <v>5857</v>
      </c>
      <c r="E711" t="s">
        <v>1178</v>
      </c>
      <c r="F711" t="s">
        <v>5615</v>
      </c>
      <c r="G711" t="s">
        <v>5594</v>
      </c>
      <c r="H711" t="s">
        <v>5809</v>
      </c>
      <c r="I711">
        <v>4</v>
      </c>
      <c r="J711" t="s">
        <v>5591</v>
      </c>
      <c r="K711">
        <v>13.4</v>
      </c>
      <c r="L711" t="s">
        <v>5737</v>
      </c>
      <c r="M711">
        <v>18.8</v>
      </c>
      <c r="N711">
        <v>474</v>
      </c>
      <c r="O711">
        <v>16.5</v>
      </c>
      <c r="P711" t="s">
        <v>5613</v>
      </c>
      <c r="Q711">
        <v>2.7</v>
      </c>
      <c r="R711" t="s">
        <v>5613</v>
      </c>
      <c r="S711">
        <v>80.099999999999994</v>
      </c>
      <c r="T711">
        <v>228</v>
      </c>
      <c r="U711">
        <v>51.3</v>
      </c>
      <c r="V711">
        <v>281</v>
      </c>
      <c r="W711">
        <v>1.1000000000000001</v>
      </c>
      <c r="X711" t="s">
        <v>5613</v>
      </c>
      <c r="Y711">
        <v>18.2</v>
      </c>
      <c r="Z711">
        <v>460</v>
      </c>
      <c r="AA711">
        <v>1.1000000000000001</v>
      </c>
      <c r="AB711" t="s">
        <v>5613</v>
      </c>
      <c r="AC711" t="s">
        <v>6207</v>
      </c>
    </row>
    <row r="712" spans="1:29">
      <c r="A712" t="s">
        <v>6281</v>
      </c>
      <c r="B712" t="s">
        <v>6104</v>
      </c>
      <c r="C712" t="s">
        <v>6283</v>
      </c>
      <c r="D712" t="s">
        <v>5616</v>
      </c>
      <c r="E712" t="s">
        <v>54</v>
      </c>
      <c r="F712" t="s">
        <v>5593</v>
      </c>
      <c r="G712" t="s">
        <v>5589</v>
      </c>
      <c r="H712" t="s">
        <v>5590</v>
      </c>
      <c r="I712">
        <v>3</v>
      </c>
      <c r="J712" t="s">
        <v>5595</v>
      </c>
      <c r="K712">
        <v>3.8</v>
      </c>
      <c r="L712" t="s">
        <v>5737</v>
      </c>
      <c r="M712">
        <v>1.5</v>
      </c>
      <c r="N712" t="s">
        <v>5737</v>
      </c>
      <c r="O712">
        <v>9.8000000000000007</v>
      </c>
      <c r="P712" t="s">
        <v>5613</v>
      </c>
      <c r="Q712">
        <v>64.8</v>
      </c>
      <c r="R712">
        <v>178</v>
      </c>
      <c r="S712">
        <v>1.5</v>
      </c>
      <c r="T712" t="s">
        <v>5613</v>
      </c>
      <c r="U712">
        <v>3.2</v>
      </c>
      <c r="V712" t="s">
        <v>5613</v>
      </c>
      <c r="W712">
        <v>1.2</v>
      </c>
      <c r="X712" t="s">
        <v>5613</v>
      </c>
      <c r="Y712">
        <v>17.100000000000001</v>
      </c>
      <c r="Z712">
        <v>493</v>
      </c>
      <c r="AA712">
        <v>2.5</v>
      </c>
      <c r="AB712" t="s">
        <v>5613</v>
      </c>
      <c r="AC712" t="s">
        <v>6207</v>
      </c>
    </row>
    <row r="713" spans="1:29">
      <c r="A713" t="s">
        <v>6281</v>
      </c>
      <c r="B713" t="s">
        <v>6056</v>
      </c>
      <c r="C713" t="s">
        <v>6284</v>
      </c>
      <c r="D713" t="s">
        <v>5672</v>
      </c>
      <c r="E713" t="s">
        <v>664</v>
      </c>
      <c r="F713" t="s">
        <v>5593</v>
      </c>
      <c r="G713" t="s">
        <v>5594</v>
      </c>
      <c r="H713" t="s">
        <v>5809</v>
      </c>
      <c r="I713">
        <v>3</v>
      </c>
      <c r="J713" t="s">
        <v>5595</v>
      </c>
      <c r="K713">
        <v>22.8</v>
      </c>
      <c r="L713">
        <v>383</v>
      </c>
      <c r="M713">
        <v>17.2</v>
      </c>
      <c r="N713">
        <v>506</v>
      </c>
      <c r="O713">
        <v>14.2</v>
      </c>
      <c r="P713" t="s">
        <v>5613</v>
      </c>
      <c r="Q713">
        <v>2.9</v>
      </c>
      <c r="R713" t="s">
        <v>5613</v>
      </c>
      <c r="S713">
        <v>24</v>
      </c>
      <c r="T713">
        <v>546</v>
      </c>
      <c r="U713">
        <v>60.2</v>
      </c>
      <c r="V713">
        <v>246</v>
      </c>
      <c r="W713">
        <v>12.2</v>
      </c>
      <c r="X713">
        <v>632</v>
      </c>
      <c r="Y713">
        <v>7.2</v>
      </c>
      <c r="Z713" t="s">
        <v>5613</v>
      </c>
      <c r="AA713">
        <v>3</v>
      </c>
      <c r="AB713" t="s">
        <v>5613</v>
      </c>
      <c r="AC713" t="s">
        <v>6207</v>
      </c>
    </row>
    <row r="714" spans="1:29">
      <c r="A714" t="s">
        <v>6281</v>
      </c>
      <c r="B714" t="s">
        <v>6143</v>
      </c>
      <c r="C714" t="s">
        <v>2367</v>
      </c>
      <c r="D714" t="s">
        <v>5981</v>
      </c>
      <c r="E714" t="s">
        <v>895</v>
      </c>
      <c r="F714" t="s">
        <v>5605</v>
      </c>
      <c r="G714" t="s">
        <v>5594</v>
      </c>
      <c r="H714" t="s">
        <v>5809</v>
      </c>
      <c r="I714">
        <v>5</v>
      </c>
      <c r="J714" t="s">
        <v>5595</v>
      </c>
      <c r="K714">
        <v>26.4</v>
      </c>
      <c r="L714">
        <v>333</v>
      </c>
      <c r="M714">
        <v>19.100000000000001</v>
      </c>
      <c r="N714">
        <v>469</v>
      </c>
      <c r="O714">
        <v>3</v>
      </c>
      <c r="P714" t="s">
        <v>5613</v>
      </c>
      <c r="Q714">
        <v>4.2</v>
      </c>
      <c r="R714" t="s">
        <v>5613</v>
      </c>
      <c r="S714">
        <v>6.4</v>
      </c>
      <c r="T714" t="s">
        <v>5613</v>
      </c>
      <c r="U714">
        <v>15.7</v>
      </c>
      <c r="V714">
        <v>606</v>
      </c>
      <c r="W714">
        <v>36.1</v>
      </c>
      <c r="X714">
        <v>411</v>
      </c>
      <c r="Y714">
        <v>34.700000000000003</v>
      </c>
      <c r="Z714">
        <v>220</v>
      </c>
      <c r="AA714">
        <v>3.4</v>
      </c>
      <c r="AB714" t="s">
        <v>5613</v>
      </c>
      <c r="AC714" t="s">
        <v>6207</v>
      </c>
    </row>
    <row r="715" spans="1:29">
      <c r="A715" t="s">
        <v>6281</v>
      </c>
      <c r="B715" t="s">
        <v>6104</v>
      </c>
      <c r="C715" t="s">
        <v>2129</v>
      </c>
      <c r="D715" t="s">
        <v>5770</v>
      </c>
      <c r="E715" t="s">
        <v>528</v>
      </c>
      <c r="F715" t="s">
        <v>5588</v>
      </c>
      <c r="G715" t="s">
        <v>5589</v>
      </c>
      <c r="H715" t="s">
        <v>5590</v>
      </c>
      <c r="I715">
        <v>4</v>
      </c>
      <c r="J715" t="s">
        <v>5595</v>
      </c>
      <c r="K715">
        <v>7.8</v>
      </c>
      <c r="L715" t="s">
        <v>5737</v>
      </c>
      <c r="M715">
        <v>11.3</v>
      </c>
      <c r="N715" t="s">
        <v>5737</v>
      </c>
      <c r="O715">
        <v>55.1</v>
      </c>
      <c r="P715">
        <v>276</v>
      </c>
      <c r="Q715">
        <v>30.4</v>
      </c>
      <c r="R715">
        <v>432</v>
      </c>
      <c r="S715">
        <v>1.2</v>
      </c>
      <c r="T715" t="s">
        <v>5613</v>
      </c>
      <c r="U715">
        <v>3.3</v>
      </c>
      <c r="V715" t="s">
        <v>5613</v>
      </c>
      <c r="W715">
        <v>3</v>
      </c>
      <c r="X715" t="s">
        <v>5613</v>
      </c>
      <c r="Y715">
        <v>7.2</v>
      </c>
      <c r="Z715" t="s">
        <v>5613</v>
      </c>
      <c r="AA715">
        <v>4.9000000000000004</v>
      </c>
      <c r="AB715" t="s">
        <v>5613</v>
      </c>
      <c r="AC715" t="s">
        <v>6207</v>
      </c>
    </row>
    <row r="716" spans="1:29">
      <c r="A716" t="s">
        <v>6281</v>
      </c>
      <c r="B716" t="s">
        <v>6180</v>
      </c>
      <c r="C716" t="s">
        <v>6285</v>
      </c>
      <c r="D716" t="s">
        <v>5589</v>
      </c>
      <c r="E716" t="s">
        <v>1820</v>
      </c>
      <c r="F716" t="s">
        <v>5588</v>
      </c>
      <c r="G716" t="s">
        <v>5602</v>
      </c>
      <c r="H716" t="s">
        <v>5590</v>
      </c>
      <c r="I716">
        <v>5</v>
      </c>
      <c r="J716" t="s">
        <v>5591</v>
      </c>
      <c r="K716">
        <v>14.4</v>
      </c>
      <c r="L716" t="s">
        <v>5737</v>
      </c>
      <c r="M716">
        <v>43.4</v>
      </c>
      <c r="N716">
        <v>213</v>
      </c>
      <c r="O716">
        <v>21</v>
      </c>
      <c r="P716">
        <v>645</v>
      </c>
      <c r="Q716">
        <v>2.7</v>
      </c>
      <c r="R716" t="s">
        <v>5613</v>
      </c>
      <c r="S716">
        <v>9.5</v>
      </c>
      <c r="T716" t="s">
        <v>5613</v>
      </c>
      <c r="U716">
        <v>2.4</v>
      </c>
      <c r="V716" t="s">
        <v>5613</v>
      </c>
      <c r="W716">
        <v>1.1000000000000001</v>
      </c>
      <c r="X716" t="s">
        <v>5613</v>
      </c>
      <c r="Y716">
        <v>27.5</v>
      </c>
      <c r="Z716">
        <v>295</v>
      </c>
      <c r="AA716">
        <v>22.5</v>
      </c>
      <c r="AB716" t="s">
        <v>6027</v>
      </c>
      <c r="AC716" t="s">
        <v>6207</v>
      </c>
    </row>
    <row r="717" spans="1:29">
      <c r="A717" t="s">
        <v>6281</v>
      </c>
      <c r="B717" t="s">
        <v>6143</v>
      </c>
      <c r="C717" t="s">
        <v>6286</v>
      </c>
      <c r="D717" t="s">
        <v>5624</v>
      </c>
      <c r="E717" t="s">
        <v>125</v>
      </c>
      <c r="F717" t="s">
        <v>5593</v>
      </c>
      <c r="G717" t="s">
        <v>5602</v>
      </c>
      <c r="H717" t="s">
        <v>5590</v>
      </c>
      <c r="I717">
        <v>5</v>
      </c>
      <c r="J717" t="s">
        <v>5595</v>
      </c>
      <c r="K717">
        <v>15.8</v>
      </c>
      <c r="L717">
        <v>550</v>
      </c>
      <c r="M717">
        <v>4</v>
      </c>
      <c r="N717" t="s">
        <v>5737</v>
      </c>
      <c r="O717">
        <v>12.2</v>
      </c>
      <c r="P717" t="s">
        <v>5613</v>
      </c>
      <c r="Q717">
        <v>25</v>
      </c>
      <c r="R717">
        <v>487</v>
      </c>
      <c r="S717">
        <v>12.6</v>
      </c>
      <c r="T717" t="s">
        <v>5613</v>
      </c>
      <c r="U717">
        <v>12.1</v>
      </c>
      <c r="V717">
        <v>677</v>
      </c>
      <c r="W717">
        <v>57.3</v>
      </c>
      <c r="X717">
        <v>265</v>
      </c>
      <c r="Y717">
        <v>7.4</v>
      </c>
      <c r="Z717" t="s">
        <v>5613</v>
      </c>
      <c r="AA717">
        <v>13.4</v>
      </c>
      <c r="AB717" t="s">
        <v>5698</v>
      </c>
      <c r="AC717" t="s">
        <v>6207</v>
      </c>
    </row>
    <row r="718" spans="1:29">
      <c r="A718" t="s">
        <v>6281</v>
      </c>
      <c r="B718" t="s">
        <v>6143</v>
      </c>
      <c r="C718" t="s">
        <v>1601</v>
      </c>
      <c r="D718" t="s">
        <v>5587</v>
      </c>
      <c r="E718" t="s">
        <v>29</v>
      </c>
      <c r="F718" t="s">
        <v>5588</v>
      </c>
      <c r="G718" t="s">
        <v>5594</v>
      </c>
      <c r="H718" t="s">
        <v>5590</v>
      </c>
      <c r="I718">
        <v>4</v>
      </c>
      <c r="J718" t="s">
        <v>5595</v>
      </c>
      <c r="K718">
        <v>10.6</v>
      </c>
      <c r="L718" t="s">
        <v>5737</v>
      </c>
      <c r="M718">
        <v>13.1</v>
      </c>
      <c r="N718" t="s">
        <v>5737</v>
      </c>
      <c r="O718">
        <v>13.4</v>
      </c>
      <c r="P718" t="s">
        <v>5613</v>
      </c>
      <c r="Q718">
        <v>18.100000000000001</v>
      </c>
      <c r="R718">
        <v>581</v>
      </c>
      <c r="S718">
        <v>59.4</v>
      </c>
      <c r="T718">
        <v>318</v>
      </c>
      <c r="U718">
        <v>15.9</v>
      </c>
      <c r="V718">
        <v>601</v>
      </c>
      <c r="W718">
        <v>6.2</v>
      </c>
      <c r="X718" t="s">
        <v>5613</v>
      </c>
      <c r="Y718">
        <v>10.8</v>
      </c>
      <c r="Z718" t="s">
        <v>5613</v>
      </c>
      <c r="AA718">
        <v>38.700000000000003</v>
      </c>
      <c r="AB718" t="s">
        <v>6025</v>
      </c>
      <c r="AC718" t="s">
        <v>6207</v>
      </c>
    </row>
    <row r="719" spans="1:29">
      <c r="A719" t="s">
        <v>6281</v>
      </c>
      <c r="B719" t="s">
        <v>6136</v>
      </c>
      <c r="C719" t="s">
        <v>6287</v>
      </c>
      <c r="D719" t="s">
        <v>5620</v>
      </c>
      <c r="E719" t="s">
        <v>76</v>
      </c>
      <c r="F719" t="s">
        <v>5588</v>
      </c>
      <c r="G719" t="s">
        <v>5589</v>
      </c>
      <c r="H719" t="s">
        <v>5590</v>
      </c>
      <c r="I719">
        <v>5</v>
      </c>
      <c r="J719" t="s">
        <v>5595</v>
      </c>
      <c r="K719">
        <v>4.5999999999999996</v>
      </c>
      <c r="L719" t="s">
        <v>5737</v>
      </c>
      <c r="M719">
        <v>6.9</v>
      </c>
      <c r="N719" t="s">
        <v>5737</v>
      </c>
      <c r="O719">
        <v>23</v>
      </c>
      <c r="P719">
        <v>618</v>
      </c>
      <c r="Q719">
        <v>24.9</v>
      </c>
      <c r="R719">
        <v>490</v>
      </c>
      <c r="S719">
        <v>63.8</v>
      </c>
      <c r="T719">
        <v>303</v>
      </c>
      <c r="U719">
        <v>24.8</v>
      </c>
      <c r="V719">
        <v>476</v>
      </c>
      <c r="W719">
        <v>5.9</v>
      </c>
      <c r="X719" t="s">
        <v>5613</v>
      </c>
      <c r="Y719">
        <v>14.4</v>
      </c>
      <c r="Z719">
        <v>583</v>
      </c>
      <c r="AA719">
        <v>32.700000000000003</v>
      </c>
      <c r="AB719" t="s">
        <v>6109</v>
      </c>
      <c r="AC719" t="s">
        <v>6207</v>
      </c>
    </row>
    <row r="720" spans="1:29">
      <c r="A720" t="s">
        <v>6281</v>
      </c>
      <c r="B720" t="s">
        <v>6136</v>
      </c>
      <c r="C720" t="s">
        <v>2190</v>
      </c>
      <c r="D720" t="s">
        <v>5592</v>
      </c>
      <c r="E720" t="s">
        <v>26</v>
      </c>
      <c r="F720" t="s">
        <v>5593</v>
      </c>
      <c r="G720" t="s">
        <v>5589</v>
      </c>
      <c r="H720" t="s">
        <v>5809</v>
      </c>
      <c r="I720">
        <v>3</v>
      </c>
      <c r="J720" t="s">
        <v>5595</v>
      </c>
      <c r="K720">
        <v>12.9</v>
      </c>
      <c r="L720" t="s">
        <v>5737</v>
      </c>
      <c r="M720">
        <v>6.7</v>
      </c>
      <c r="N720" t="s">
        <v>5737</v>
      </c>
      <c r="O720">
        <v>5.9</v>
      </c>
      <c r="P720" t="s">
        <v>5613</v>
      </c>
      <c r="Q720">
        <v>6</v>
      </c>
      <c r="R720" t="s">
        <v>5613</v>
      </c>
      <c r="S720">
        <v>78.400000000000006</v>
      </c>
      <c r="T720">
        <v>235</v>
      </c>
      <c r="U720">
        <v>100</v>
      </c>
      <c r="V720">
        <v>28</v>
      </c>
      <c r="W720">
        <v>1.9</v>
      </c>
      <c r="X720" t="s">
        <v>5613</v>
      </c>
      <c r="Y720">
        <v>16.3</v>
      </c>
      <c r="Z720">
        <v>515</v>
      </c>
      <c r="AA720">
        <v>1.9</v>
      </c>
      <c r="AB720" t="s">
        <v>5613</v>
      </c>
      <c r="AC720" t="s">
        <v>6207</v>
      </c>
    </row>
    <row r="721" spans="1:29">
      <c r="A721" t="s">
        <v>6281</v>
      </c>
      <c r="B721" t="s">
        <v>6136</v>
      </c>
      <c r="C721" t="s">
        <v>6288</v>
      </c>
      <c r="D721" t="s">
        <v>5612</v>
      </c>
      <c r="E721" t="s">
        <v>116</v>
      </c>
      <c r="F721" t="s">
        <v>5593</v>
      </c>
      <c r="G721" t="s">
        <v>5589</v>
      </c>
      <c r="H721" t="s">
        <v>5809</v>
      </c>
      <c r="I721">
        <v>3</v>
      </c>
      <c r="J721" t="s">
        <v>5595</v>
      </c>
      <c r="K721">
        <v>7.6</v>
      </c>
      <c r="L721" t="s">
        <v>5737</v>
      </c>
      <c r="M721">
        <v>6.5</v>
      </c>
      <c r="N721" t="s">
        <v>5737</v>
      </c>
      <c r="O721">
        <v>2.4</v>
      </c>
      <c r="P721" t="s">
        <v>5613</v>
      </c>
      <c r="Q721">
        <v>34.6</v>
      </c>
      <c r="R721">
        <v>395</v>
      </c>
      <c r="S721">
        <v>34.1</v>
      </c>
      <c r="T721">
        <v>462</v>
      </c>
      <c r="U721">
        <v>57.6</v>
      </c>
      <c r="V721">
        <v>260</v>
      </c>
      <c r="W721">
        <v>15</v>
      </c>
      <c r="X721">
        <v>598</v>
      </c>
      <c r="Y721">
        <v>12.3</v>
      </c>
      <c r="Z721" t="s">
        <v>5613</v>
      </c>
      <c r="AA721">
        <v>4.0999999999999996</v>
      </c>
      <c r="AB721" t="s">
        <v>5613</v>
      </c>
      <c r="AC721" t="s">
        <v>6207</v>
      </c>
    </row>
    <row r="722" spans="1:29">
      <c r="A722" t="s">
        <v>6289</v>
      </c>
      <c r="B722" t="s">
        <v>6143</v>
      </c>
      <c r="C722" t="s">
        <v>6290</v>
      </c>
      <c r="D722" t="s">
        <v>6015</v>
      </c>
      <c r="E722" t="s">
        <v>1483</v>
      </c>
      <c r="F722" t="s">
        <v>5605</v>
      </c>
      <c r="G722" t="s">
        <v>5594</v>
      </c>
      <c r="H722" t="s">
        <v>5590</v>
      </c>
      <c r="I722">
        <v>4</v>
      </c>
      <c r="J722" t="s">
        <v>5595</v>
      </c>
      <c r="K722">
        <v>22.4</v>
      </c>
      <c r="L722">
        <v>394</v>
      </c>
      <c r="M722">
        <v>25.4</v>
      </c>
      <c r="N722">
        <v>377</v>
      </c>
      <c r="O722">
        <v>10.199999999999999</v>
      </c>
      <c r="P722" t="s">
        <v>5613</v>
      </c>
      <c r="Q722">
        <v>1.9</v>
      </c>
      <c r="R722" t="s">
        <v>5613</v>
      </c>
      <c r="S722">
        <v>25</v>
      </c>
      <c r="T722">
        <v>536</v>
      </c>
      <c r="U722">
        <v>5.6</v>
      </c>
      <c r="V722" t="s">
        <v>5613</v>
      </c>
      <c r="W722">
        <v>22.2</v>
      </c>
      <c r="X722">
        <v>526</v>
      </c>
      <c r="Y722">
        <v>30.2</v>
      </c>
      <c r="Z722">
        <v>255</v>
      </c>
      <c r="AA722">
        <v>7</v>
      </c>
      <c r="AB722" t="s">
        <v>5613</v>
      </c>
      <c r="AC722" t="s">
        <v>6207</v>
      </c>
    </row>
    <row r="723" spans="1:29">
      <c r="A723" t="s">
        <v>6289</v>
      </c>
      <c r="B723" t="s">
        <v>6052</v>
      </c>
      <c r="C723" t="s">
        <v>6291</v>
      </c>
      <c r="D723" t="s">
        <v>5616</v>
      </c>
      <c r="E723" t="s">
        <v>54</v>
      </c>
      <c r="F723" t="s">
        <v>5605</v>
      </c>
      <c r="G723" t="s">
        <v>5589</v>
      </c>
      <c r="H723" t="s">
        <v>5590</v>
      </c>
      <c r="I723">
        <v>4</v>
      </c>
      <c r="J723" t="s">
        <v>5595</v>
      </c>
      <c r="K723">
        <v>4.8</v>
      </c>
      <c r="L723" t="s">
        <v>5737</v>
      </c>
      <c r="M723">
        <v>1.8</v>
      </c>
      <c r="N723" t="s">
        <v>5737</v>
      </c>
      <c r="O723">
        <v>15.6</v>
      </c>
      <c r="P723" t="s">
        <v>5613</v>
      </c>
      <c r="Q723">
        <v>62.7</v>
      </c>
      <c r="R723">
        <v>192</v>
      </c>
      <c r="W723">
        <v>2</v>
      </c>
      <c r="X723" t="s">
        <v>5613</v>
      </c>
      <c r="Y723">
        <v>5.9</v>
      </c>
      <c r="Z723" t="s">
        <v>5613</v>
      </c>
      <c r="AA723">
        <v>1.4</v>
      </c>
      <c r="AB723" t="s">
        <v>5613</v>
      </c>
      <c r="AC723" t="s">
        <v>6207</v>
      </c>
    </row>
    <row r="724" spans="1:29">
      <c r="A724" t="s">
        <v>6289</v>
      </c>
      <c r="B724" t="s">
        <v>6014</v>
      </c>
      <c r="C724" t="s">
        <v>1981</v>
      </c>
      <c r="D724" t="s">
        <v>5644</v>
      </c>
      <c r="E724" t="s">
        <v>181</v>
      </c>
      <c r="F724" t="s">
        <v>5593</v>
      </c>
      <c r="G724" t="s">
        <v>5594</v>
      </c>
      <c r="H724" t="s">
        <v>5590</v>
      </c>
      <c r="I724">
        <v>4</v>
      </c>
      <c r="J724" t="s">
        <v>5595</v>
      </c>
      <c r="K724">
        <v>16.7</v>
      </c>
      <c r="L724">
        <v>531</v>
      </c>
      <c r="M724">
        <v>10.7</v>
      </c>
      <c r="N724" t="s">
        <v>5737</v>
      </c>
      <c r="O724">
        <v>65.8</v>
      </c>
      <c r="P724">
        <v>207</v>
      </c>
      <c r="Q724">
        <v>9.6999999999999993</v>
      </c>
      <c r="R724" t="s">
        <v>5613</v>
      </c>
      <c r="S724">
        <v>8.1999999999999993</v>
      </c>
      <c r="T724" t="s">
        <v>5613</v>
      </c>
      <c r="U724">
        <v>7.4</v>
      </c>
      <c r="V724" t="s">
        <v>5613</v>
      </c>
      <c r="W724">
        <v>2.9</v>
      </c>
      <c r="X724" t="s">
        <v>5613</v>
      </c>
      <c r="Y724">
        <v>5.0999999999999996</v>
      </c>
      <c r="Z724" t="s">
        <v>5613</v>
      </c>
      <c r="AA724">
        <v>3.1</v>
      </c>
      <c r="AB724" t="s">
        <v>5613</v>
      </c>
      <c r="AC724" t="s">
        <v>6207</v>
      </c>
    </row>
    <row r="725" spans="1:29">
      <c r="A725" t="s">
        <v>6289</v>
      </c>
      <c r="B725" t="s">
        <v>6180</v>
      </c>
      <c r="C725" t="s">
        <v>933</v>
      </c>
      <c r="D725" t="s">
        <v>5587</v>
      </c>
      <c r="E725" t="s">
        <v>29</v>
      </c>
      <c r="F725" t="s">
        <v>5593</v>
      </c>
      <c r="G725" t="s">
        <v>5594</v>
      </c>
      <c r="H725" t="s">
        <v>5590</v>
      </c>
      <c r="I725">
        <v>5</v>
      </c>
      <c r="J725" t="s">
        <v>5595</v>
      </c>
      <c r="K725">
        <v>12.5</v>
      </c>
      <c r="L725" t="s">
        <v>5737</v>
      </c>
      <c r="M725">
        <v>7.9</v>
      </c>
      <c r="N725" t="s">
        <v>5737</v>
      </c>
      <c r="O725">
        <v>26.4</v>
      </c>
      <c r="P725">
        <v>565</v>
      </c>
      <c r="Q725">
        <v>18.8</v>
      </c>
      <c r="R725">
        <v>570</v>
      </c>
      <c r="S725">
        <v>3.4</v>
      </c>
      <c r="T725" t="s">
        <v>5613</v>
      </c>
      <c r="U725">
        <v>5.7</v>
      </c>
      <c r="V725" t="s">
        <v>5613</v>
      </c>
      <c r="W725">
        <v>48.1</v>
      </c>
      <c r="X725">
        <v>326</v>
      </c>
      <c r="Y725">
        <v>18.3</v>
      </c>
      <c r="Z725">
        <v>455</v>
      </c>
      <c r="AA725">
        <v>23</v>
      </c>
      <c r="AB725" t="s">
        <v>5960</v>
      </c>
      <c r="AC725" t="s">
        <v>6207</v>
      </c>
    </row>
    <row r="726" spans="1:29">
      <c r="A726" t="s">
        <v>6289</v>
      </c>
      <c r="B726" t="s">
        <v>6240</v>
      </c>
      <c r="C726" t="s">
        <v>1753</v>
      </c>
      <c r="D726" t="s">
        <v>6144</v>
      </c>
      <c r="E726" t="s">
        <v>1468</v>
      </c>
      <c r="F726" t="s">
        <v>5593</v>
      </c>
      <c r="G726" t="s">
        <v>5602</v>
      </c>
      <c r="H726" t="s">
        <v>5590</v>
      </c>
      <c r="I726">
        <v>3</v>
      </c>
      <c r="J726" t="s">
        <v>5591</v>
      </c>
      <c r="K726">
        <v>4.2</v>
      </c>
      <c r="L726" t="s">
        <v>5737</v>
      </c>
      <c r="M726">
        <v>10.199999999999999</v>
      </c>
      <c r="N726" t="s">
        <v>5737</v>
      </c>
      <c r="O726">
        <v>5.0999999999999996</v>
      </c>
      <c r="P726" t="s">
        <v>5613</v>
      </c>
      <c r="Q726">
        <v>34.6</v>
      </c>
      <c r="R726">
        <v>394</v>
      </c>
      <c r="S726">
        <v>18.399999999999999</v>
      </c>
      <c r="T726">
        <v>610</v>
      </c>
      <c r="U726">
        <v>1.6</v>
      </c>
      <c r="V726" t="s">
        <v>5613</v>
      </c>
      <c r="W726">
        <v>84.9</v>
      </c>
      <c r="X726">
        <v>117</v>
      </c>
      <c r="Y726">
        <v>11.8</v>
      </c>
      <c r="Z726" t="s">
        <v>5613</v>
      </c>
      <c r="AA726">
        <v>6.8</v>
      </c>
      <c r="AB726" t="s">
        <v>5613</v>
      </c>
      <c r="AC726" t="s">
        <v>6207</v>
      </c>
    </row>
    <row r="727" spans="1:29">
      <c r="A727" t="s">
        <v>6289</v>
      </c>
      <c r="B727" t="s">
        <v>6143</v>
      </c>
      <c r="C727" t="s">
        <v>6292</v>
      </c>
      <c r="D727" t="s">
        <v>5747</v>
      </c>
      <c r="E727" t="s">
        <v>397</v>
      </c>
      <c r="F727" t="s">
        <v>5588</v>
      </c>
      <c r="G727" t="s">
        <v>5602</v>
      </c>
      <c r="H727" t="s">
        <v>5590</v>
      </c>
      <c r="I727">
        <v>4</v>
      </c>
      <c r="J727" t="s">
        <v>5595</v>
      </c>
      <c r="K727">
        <v>6</v>
      </c>
      <c r="L727" t="s">
        <v>5737</v>
      </c>
      <c r="M727">
        <v>2.8</v>
      </c>
      <c r="N727" t="s">
        <v>5737</v>
      </c>
      <c r="O727">
        <v>11</v>
      </c>
      <c r="P727" t="s">
        <v>5613</v>
      </c>
      <c r="Q727">
        <v>49.1</v>
      </c>
      <c r="R727">
        <v>273</v>
      </c>
      <c r="S727">
        <v>3.9</v>
      </c>
      <c r="T727" t="s">
        <v>5613</v>
      </c>
      <c r="U727">
        <v>4.8</v>
      </c>
      <c r="V727" t="s">
        <v>5613</v>
      </c>
      <c r="W727">
        <v>40.9</v>
      </c>
      <c r="X727">
        <v>369</v>
      </c>
      <c r="Y727">
        <v>6.9</v>
      </c>
      <c r="Z727" t="s">
        <v>5613</v>
      </c>
      <c r="AA727">
        <v>6.5</v>
      </c>
      <c r="AB727" t="s">
        <v>5613</v>
      </c>
      <c r="AC727" t="s">
        <v>6207</v>
      </c>
    </row>
    <row r="728" spans="1:29">
      <c r="A728" t="s">
        <v>6289</v>
      </c>
      <c r="B728" t="s">
        <v>6180</v>
      </c>
      <c r="C728" t="s">
        <v>6293</v>
      </c>
      <c r="D728" t="s">
        <v>5624</v>
      </c>
      <c r="E728" t="s">
        <v>125</v>
      </c>
      <c r="F728" t="s">
        <v>5605</v>
      </c>
      <c r="G728" t="s">
        <v>5594</v>
      </c>
      <c r="H728" t="s">
        <v>5590</v>
      </c>
      <c r="I728">
        <v>1</v>
      </c>
      <c r="J728" t="s">
        <v>5595</v>
      </c>
      <c r="K728">
        <v>15.8</v>
      </c>
      <c r="L728">
        <v>551</v>
      </c>
      <c r="M728">
        <v>3</v>
      </c>
      <c r="N728" t="s">
        <v>5737</v>
      </c>
      <c r="O728">
        <v>5.2</v>
      </c>
      <c r="P728" t="s">
        <v>5613</v>
      </c>
      <c r="Q728">
        <v>21.8</v>
      </c>
      <c r="R728">
        <v>530</v>
      </c>
      <c r="S728">
        <v>32.799999999999997</v>
      </c>
      <c r="T728">
        <v>467</v>
      </c>
      <c r="U728">
        <v>39.700000000000003</v>
      </c>
      <c r="V728">
        <v>345</v>
      </c>
      <c r="W728">
        <v>42.6</v>
      </c>
      <c r="X728">
        <v>356</v>
      </c>
      <c r="Y728">
        <v>7.8</v>
      </c>
      <c r="Z728" t="s">
        <v>5613</v>
      </c>
      <c r="AA728">
        <v>5.6</v>
      </c>
      <c r="AB728" t="s">
        <v>5613</v>
      </c>
      <c r="AC728" t="s">
        <v>6207</v>
      </c>
    </row>
    <row r="729" spans="1:29">
      <c r="A729" t="s">
        <v>6289</v>
      </c>
      <c r="B729" t="s">
        <v>6143</v>
      </c>
      <c r="C729" t="s">
        <v>6294</v>
      </c>
      <c r="D729" t="s">
        <v>5624</v>
      </c>
      <c r="E729" t="s">
        <v>125</v>
      </c>
      <c r="F729" t="s">
        <v>5605</v>
      </c>
      <c r="G729" t="s">
        <v>5602</v>
      </c>
      <c r="H729" t="s">
        <v>5590</v>
      </c>
      <c r="I729">
        <v>5</v>
      </c>
      <c r="J729" t="s">
        <v>5595</v>
      </c>
      <c r="K729">
        <v>13.7</v>
      </c>
      <c r="L729" t="s">
        <v>5737</v>
      </c>
      <c r="M729">
        <v>3.6</v>
      </c>
      <c r="N729" t="s">
        <v>5737</v>
      </c>
      <c r="O729">
        <v>6.4</v>
      </c>
      <c r="P729" t="s">
        <v>5613</v>
      </c>
      <c r="Q729">
        <v>11.4</v>
      </c>
      <c r="R729" t="s">
        <v>5613</v>
      </c>
      <c r="S729">
        <v>28.9</v>
      </c>
      <c r="T729">
        <v>496</v>
      </c>
      <c r="U729">
        <v>28.4</v>
      </c>
      <c r="V729">
        <v>438</v>
      </c>
      <c r="W729">
        <v>93.1</v>
      </c>
      <c r="X729">
        <v>63</v>
      </c>
      <c r="Y729">
        <v>10.199999999999999</v>
      </c>
      <c r="Z729" t="s">
        <v>5613</v>
      </c>
      <c r="AA729">
        <v>17.2</v>
      </c>
      <c r="AB729" t="s">
        <v>5935</v>
      </c>
      <c r="AC729" t="s">
        <v>6207</v>
      </c>
    </row>
    <row r="730" spans="1:29">
      <c r="A730" t="s">
        <v>6289</v>
      </c>
      <c r="B730" t="s">
        <v>6240</v>
      </c>
      <c r="C730" t="s">
        <v>1838</v>
      </c>
      <c r="D730" t="s">
        <v>6295</v>
      </c>
      <c r="E730" t="s">
        <v>1839</v>
      </c>
      <c r="F730" t="s">
        <v>5605</v>
      </c>
      <c r="G730" t="s">
        <v>5594</v>
      </c>
      <c r="H730" t="s">
        <v>5590</v>
      </c>
      <c r="I730">
        <v>5</v>
      </c>
      <c r="J730" t="s">
        <v>5595</v>
      </c>
      <c r="K730">
        <v>17.8</v>
      </c>
      <c r="L730">
        <v>501</v>
      </c>
      <c r="M730">
        <v>5.2</v>
      </c>
      <c r="N730" t="s">
        <v>5737</v>
      </c>
      <c r="O730">
        <v>4.3</v>
      </c>
      <c r="P730" t="s">
        <v>5613</v>
      </c>
      <c r="Q730">
        <v>5.3</v>
      </c>
      <c r="R730" t="s">
        <v>5613</v>
      </c>
      <c r="S730">
        <v>2.9</v>
      </c>
      <c r="T730" t="s">
        <v>5613</v>
      </c>
      <c r="U730">
        <v>4.3</v>
      </c>
      <c r="V730" t="s">
        <v>5613</v>
      </c>
      <c r="W730">
        <v>95.4</v>
      </c>
      <c r="X730">
        <v>50</v>
      </c>
      <c r="Y730">
        <v>56.7</v>
      </c>
      <c r="Z730">
        <v>110</v>
      </c>
      <c r="AA730">
        <v>16.100000000000001</v>
      </c>
      <c r="AB730" t="s">
        <v>6090</v>
      </c>
      <c r="AC730" t="s">
        <v>6207</v>
      </c>
    </row>
    <row r="731" spans="1:29">
      <c r="A731" t="s">
        <v>6289</v>
      </c>
      <c r="B731" t="s">
        <v>5904</v>
      </c>
      <c r="C731" t="s">
        <v>6296</v>
      </c>
      <c r="D731" t="s">
        <v>5587</v>
      </c>
      <c r="E731" t="s">
        <v>29</v>
      </c>
      <c r="F731" t="s">
        <v>5593</v>
      </c>
      <c r="G731" t="s">
        <v>5594</v>
      </c>
      <c r="H731" t="s">
        <v>5809</v>
      </c>
      <c r="I731">
        <v>5</v>
      </c>
      <c r="J731" t="s">
        <v>5595</v>
      </c>
      <c r="K731">
        <v>8.4</v>
      </c>
      <c r="L731" t="s">
        <v>5737</v>
      </c>
      <c r="M731">
        <v>6.3</v>
      </c>
      <c r="N731" t="s">
        <v>5737</v>
      </c>
      <c r="O731">
        <v>100</v>
      </c>
      <c r="P731">
        <v>6</v>
      </c>
      <c r="Q731">
        <v>4.9000000000000004</v>
      </c>
      <c r="R731" t="s">
        <v>5613</v>
      </c>
      <c r="S731">
        <v>3.6</v>
      </c>
      <c r="T731" t="s">
        <v>5613</v>
      </c>
      <c r="U731">
        <v>9</v>
      </c>
      <c r="V731" t="s">
        <v>5613</v>
      </c>
      <c r="W731">
        <v>2.2999999999999998</v>
      </c>
      <c r="X731" t="s">
        <v>5613</v>
      </c>
      <c r="Y731">
        <v>8.4</v>
      </c>
      <c r="Z731" t="s">
        <v>5613</v>
      </c>
      <c r="AA731">
        <v>15.2</v>
      </c>
      <c r="AB731" t="s">
        <v>6116</v>
      </c>
      <c r="AC731" t="s">
        <v>6207</v>
      </c>
    </row>
    <row r="732" spans="1:29">
      <c r="A732" t="s">
        <v>6289</v>
      </c>
      <c r="B732" t="s">
        <v>6136</v>
      </c>
      <c r="C732" t="s">
        <v>1082</v>
      </c>
      <c r="D732" t="s">
        <v>5587</v>
      </c>
      <c r="E732" t="s">
        <v>29</v>
      </c>
      <c r="F732" t="s">
        <v>5593</v>
      </c>
      <c r="G732" t="s">
        <v>5589</v>
      </c>
      <c r="H732" t="s">
        <v>5590</v>
      </c>
      <c r="I732">
        <v>5</v>
      </c>
      <c r="J732" t="s">
        <v>5595</v>
      </c>
      <c r="K732">
        <v>17.7</v>
      </c>
      <c r="L732">
        <v>503</v>
      </c>
      <c r="M732">
        <v>8.6</v>
      </c>
      <c r="N732" t="s">
        <v>5737</v>
      </c>
      <c r="O732">
        <v>11.2</v>
      </c>
      <c r="P732" t="s">
        <v>5613</v>
      </c>
      <c r="Q732">
        <v>24</v>
      </c>
      <c r="R732">
        <v>502</v>
      </c>
      <c r="S732">
        <v>12.5</v>
      </c>
      <c r="T732" t="s">
        <v>5613</v>
      </c>
      <c r="U732">
        <v>4.5</v>
      </c>
      <c r="V732" t="s">
        <v>5613</v>
      </c>
      <c r="W732">
        <v>8.9</v>
      </c>
      <c r="X732">
        <v>699</v>
      </c>
      <c r="Y732">
        <v>18.3</v>
      </c>
      <c r="Z732">
        <v>457</v>
      </c>
      <c r="AA732">
        <v>30.7</v>
      </c>
      <c r="AB732" t="s">
        <v>5825</v>
      </c>
      <c r="AC732" t="s">
        <v>6207</v>
      </c>
    </row>
    <row r="733" spans="1:29">
      <c r="A733" t="s">
        <v>6297</v>
      </c>
      <c r="B733" t="s">
        <v>6143</v>
      </c>
      <c r="C733" t="s">
        <v>6298</v>
      </c>
      <c r="D733" t="s">
        <v>5901</v>
      </c>
      <c r="E733" t="s">
        <v>1543</v>
      </c>
      <c r="F733" t="s">
        <v>5593</v>
      </c>
      <c r="G733" t="s">
        <v>5589</v>
      </c>
      <c r="H733" t="s">
        <v>5590</v>
      </c>
      <c r="I733">
        <v>5</v>
      </c>
      <c r="J733" t="s">
        <v>5595</v>
      </c>
      <c r="K733">
        <v>15.8</v>
      </c>
      <c r="L733">
        <v>554</v>
      </c>
      <c r="M733">
        <v>8.6999999999999993</v>
      </c>
      <c r="N733" t="s">
        <v>5737</v>
      </c>
      <c r="O733">
        <v>29.7</v>
      </c>
      <c r="P733">
        <v>523</v>
      </c>
      <c r="Q733">
        <v>5</v>
      </c>
      <c r="R733" t="s">
        <v>5613</v>
      </c>
      <c r="S733">
        <v>7</v>
      </c>
      <c r="T733" t="s">
        <v>5613</v>
      </c>
      <c r="U733">
        <v>7</v>
      </c>
      <c r="V733" t="s">
        <v>5613</v>
      </c>
      <c r="W733">
        <v>59.5</v>
      </c>
      <c r="X733">
        <v>247</v>
      </c>
      <c r="Y733">
        <v>12.6</v>
      </c>
      <c r="Z733">
        <v>689</v>
      </c>
      <c r="AA733">
        <v>38.4</v>
      </c>
      <c r="AB733" t="s">
        <v>5849</v>
      </c>
      <c r="AC733" t="s">
        <v>6207</v>
      </c>
    </row>
    <row r="734" spans="1:29">
      <c r="A734" t="s">
        <v>6297</v>
      </c>
      <c r="B734" t="s">
        <v>6056</v>
      </c>
      <c r="C734" t="s">
        <v>1175</v>
      </c>
      <c r="D734" t="s">
        <v>5762</v>
      </c>
      <c r="E734" t="s">
        <v>534</v>
      </c>
      <c r="F734" t="s">
        <v>5615</v>
      </c>
      <c r="G734" t="s">
        <v>5602</v>
      </c>
      <c r="H734" t="s">
        <v>5590</v>
      </c>
      <c r="I734">
        <v>2</v>
      </c>
      <c r="J734" t="s">
        <v>5591</v>
      </c>
      <c r="K734">
        <v>3.9</v>
      </c>
      <c r="L734" t="s">
        <v>5737</v>
      </c>
      <c r="M734">
        <v>3.2</v>
      </c>
      <c r="N734" t="s">
        <v>5737</v>
      </c>
      <c r="O734">
        <v>23.9</v>
      </c>
      <c r="P734">
        <v>594</v>
      </c>
      <c r="Q734">
        <v>10.7</v>
      </c>
      <c r="R734" t="s">
        <v>5613</v>
      </c>
      <c r="S734">
        <v>100</v>
      </c>
      <c r="T734">
        <v>26</v>
      </c>
      <c r="U734">
        <v>89.4</v>
      </c>
      <c r="V734">
        <v>120</v>
      </c>
      <c r="W734">
        <v>1.1000000000000001</v>
      </c>
      <c r="X734" t="s">
        <v>5613</v>
      </c>
      <c r="Y734">
        <v>9.1999999999999993</v>
      </c>
      <c r="Z734" t="s">
        <v>5613</v>
      </c>
      <c r="AA734">
        <v>1.2</v>
      </c>
      <c r="AB734" t="s">
        <v>5613</v>
      </c>
      <c r="AC734" t="s">
        <v>6207</v>
      </c>
    </row>
    <row r="735" spans="1:29">
      <c r="A735" t="s">
        <v>6297</v>
      </c>
      <c r="B735" t="s">
        <v>6143</v>
      </c>
      <c r="C735" t="s">
        <v>964</v>
      </c>
      <c r="D735" t="s">
        <v>5592</v>
      </c>
      <c r="E735" t="s">
        <v>26</v>
      </c>
      <c r="F735" t="s">
        <v>5593</v>
      </c>
      <c r="G735" t="s">
        <v>5589</v>
      </c>
      <c r="H735" t="s">
        <v>5809</v>
      </c>
      <c r="I735">
        <v>3</v>
      </c>
      <c r="J735" t="s">
        <v>5595</v>
      </c>
      <c r="K735">
        <v>5.7</v>
      </c>
      <c r="L735" t="s">
        <v>5737</v>
      </c>
      <c r="M735">
        <v>8.3000000000000007</v>
      </c>
      <c r="N735" t="s">
        <v>5737</v>
      </c>
      <c r="O735">
        <v>6.1</v>
      </c>
      <c r="P735" t="s">
        <v>5613</v>
      </c>
      <c r="Q735">
        <v>17.399999999999999</v>
      </c>
      <c r="R735">
        <v>594</v>
      </c>
      <c r="S735">
        <v>81.2</v>
      </c>
      <c r="T735">
        <v>224</v>
      </c>
      <c r="U735">
        <v>50.1</v>
      </c>
      <c r="V735">
        <v>293</v>
      </c>
      <c r="W735">
        <v>23.3</v>
      </c>
      <c r="X735">
        <v>515</v>
      </c>
      <c r="Y735">
        <v>10</v>
      </c>
      <c r="Z735" t="s">
        <v>5613</v>
      </c>
      <c r="AA735">
        <v>18.399999999999999</v>
      </c>
      <c r="AB735" t="s">
        <v>6003</v>
      </c>
      <c r="AC735" t="s">
        <v>6207</v>
      </c>
    </row>
    <row r="736" spans="1:29">
      <c r="A736" t="s">
        <v>6297</v>
      </c>
      <c r="B736" t="s">
        <v>6143</v>
      </c>
      <c r="C736" t="s">
        <v>6299</v>
      </c>
      <c r="D736" t="s">
        <v>5770</v>
      </c>
      <c r="E736" t="s">
        <v>528</v>
      </c>
      <c r="F736" t="s">
        <v>5615</v>
      </c>
      <c r="G736" t="s">
        <v>5602</v>
      </c>
      <c r="H736" t="s">
        <v>5590</v>
      </c>
      <c r="I736">
        <v>2</v>
      </c>
      <c r="J736" t="s">
        <v>5595</v>
      </c>
      <c r="K736">
        <v>3.8</v>
      </c>
      <c r="L736" t="s">
        <v>5737</v>
      </c>
      <c r="M736">
        <v>3.4</v>
      </c>
      <c r="N736" t="s">
        <v>5737</v>
      </c>
      <c r="O736">
        <v>12</v>
      </c>
      <c r="P736" t="s">
        <v>5613</v>
      </c>
      <c r="Q736">
        <v>63.3</v>
      </c>
      <c r="R736">
        <v>188</v>
      </c>
      <c r="S736">
        <v>1.6</v>
      </c>
      <c r="T736" t="s">
        <v>5613</v>
      </c>
      <c r="U736">
        <v>1</v>
      </c>
      <c r="V736" t="s">
        <v>5613</v>
      </c>
      <c r="W736">
        <v>1</v>
      </c>
      <c r="X736" t="s">
        <v>5613</v>
      </c>
      <c r="Y736">
        <v>8.1999999999999993</v>
      </c>
      <c r="Z736" t="s">
        <v>5613</v>
      </c>
      <c r="AA736">
        <v>1</v>
      </c>
      <c r="AB736" t="s">
        <v>5613</v>
      </c>
      <c r="AC736" t="s">
        <v>6207</v>
      </c>
    </row>
    <row r="737" spans="1:29">
      <c r="A737" t="s">
        <v>6297</v>
      </c>
      <c r="B737" t="s">
        <v>6143</v>
      </c>
      <c r="C737" t="s">
        <v>6300</v>
      </c>
      <c r="D737" t="s">
        <v>6134</v>
      </c>
      <c r="E737" t="s">
        <v>1554</v>
      </c>
      <c r="F737" t="s">
        <v>5593</v>
      </c>
      <c r="G737" t="s">
        <v>5589</v>
      </c>
      <c r="H737" t="s">
        <v>5809</v>
      </c>
      <c r="I737">
        <v>3</v>
      </c>
      <c r="J737" t="s">
        <v>5595</v>
      </c>
      <c r="K737">
        <v>18.5</v>
      </c>
      <c r="L737">
        <v>480</v>
      </c>
      <c r="M737">
        <v>24.5</v>
      </c>
      <c r="N737">
        <v>391</v>
      </c>
      <c r="O737">
        <v>16.399999999999999</v>
      </c>
      <c r="P737" t="s">
        <v>5613</v>
      </c>
      <c r="Q737">
        <v>4.7</v>
      </c>
      <c r="R737" t="s">
        <v>5613</v>
      </c>
      <c r="S737">
        <v>13.9</v>
      </c>
      <c r="T737">
        <v>687</v>
      </c>
      <c r="U737">
        <v>31.6</v>
      </c>
      <c r="V737">
        <v>405</v>
      </c>
      <c r="W737">
        <v>9.9</v>
      </c>
      <c r="X737">
        <v>670</v>
      </c>
      <c r="Y737">
        <v>9.8000000000000007</v>
      </c>
      <c r="Z737" t="s">
        <v>5613</v>
      </c>
      <c r="AA737">
        <v>22</v>
      </c>
      <c r="AB737">
        <v>523</v>
      </c>
      <c r="AC737" t="s">
        <v>6207</v>
      </c>
    </row>
    <row r="738" spans="1:29">
      <c r="A738" t="s">
        <v>6297</v>
      </c>
      <c r="B738" t="s">
        <v>6136</v>
      </c>
      <c r="C738" t="s">
        <v>6301</v>
      </c>
      <c r="D738" t="s">
        <v>6264</v>
      </c>
      <c r="E738" t="s">
        <v>1123</v>
      </c>
      <c r="F738" t="s">
        <v>5593</v>
      </c>
      <c r="G738" t="s">
        <v>5602</v>
      </c>
      <c r="H738" t="s">
        <v>5590</v>
      </c>
      <c r="I738">
        <v>5</v>
      </c>
      <c r="J738" t="s">
        <v>5595</v>
      </c>
      <c r="K738">
        <v>16.100000000000001</v>
      </c>
      <c r="L738">
        <v>544</v>
      </c>
      <c r="M738">
        <v>33.700000000000003</v>
      </c>
      <c r="N738">
        <v>292</v>
      </c>
      <c r="O738">
        <v>47</v>
      </c>
      <c r="P738">
        <v>333</v>
      </c>
      <c r="Q738">
        <v>1.5</v>
      </c>
      <c r="R738" t="s">
        <v>5613</v>
      </c>
      <c r="S738">
        <v>1.1000000000000001</v>
      </c>
      <c r="T738" t="s">
        <v>5613</v>
      </c>
      <c r="U738">
        <v>2.5</v>
      </c>
      <c r="V738" t="s">
        <v>5613</v>
      </c>
      <c r="W738">
        <v>1.4</v>
      </c>
      <c r="X738" t="s">
        <v>5613</v>
      </c>
      <c r="Y738">
        <v>18.899999999999999</v>
      </c>
      <c r="Z738">
        <v>441</v>
      </c>
      <c r="AA738">
        <v>1.4</v>
      </c>
      <c r="AB738" t="s">
        <v>5613</v>
      </c>
      <c r="AC738" t="s">
        <v>6207</v>
      </c>
    </row>
    <row r="739" spans="1:29">
      <c r="A739" t="s">
        <v>6297</v>
      </c>
      <c r="B739" t="s">
        <v>6143</v>
      </c>
      <c r="C739" t="s">
        <v>6302</v>
      </c>
      <c r="D739" t="s">
        <v>5589</v>
      </c>
      <c r="E739" t="s">
        <v>1820</v>
      </c>
      <c r="F739" t="s">
        <v>5593</v>
      </c>
      <c r="G739" t="s">
        <v>5589</v>
      </c>
      <c r="H739" t="s">
        <v>6146</v>
      </c>
      <c r="I739">
        <v>4</v>
      </c>
      <c r="J739" t="s">
        <v>5591</v>
      </c>
      <c r="K739">
        <v>13.1</v>
      </c>
      <c r="L739" t="s">
        <v>5737</v>
      </c>
      <c r="M739">
        <v>61.5</v>
      </c>
      <c r="N739">
        <v>128</v>
      </c>
      <c r="O739">
        <v>4.5</v>
      </c>
      <c r="P739" t="s">
        <v>5613</v>
      </c>
      <c r="Q739">
        <v>2.2999999999999998</v>
      </c>
      <c r="R739" t="s">
        <v>5613</v>
      </c>
      <c r="S739">
        <v>4.5999999999999996</v>
      </c>
      <c r="T739" t="s">
        <v>5613</v>
      </c>
      <c r="U739">
        <v>1.6</v>
      </c>
      <c r="V739" t="s">
        <v>5613</v>
      </c>
      <c r="W739">
        <v>1</v>
      </c>
      <c r="X739" t="s">
        <v>5613</v>
      </c>
      <c r="Y739">
        <v>35.1</v>
      </c>
      <c r="Z739">
        <v>217</v>
      </c>
      <c r="AA739">
        <v>1.1000000000000001</v>
      </c>
      <c r="AB739" t="s">
        <v>5613</v>
      </c>
      <c r="AC739" t="s">
        <v>6207</v>
      </c>
    </row>
    <row r="740" spans="1:29">
      <c r="A740" t="s">
        <v>6297</v>
      </c>
      <c r="B740" t="s">
        <v>6202</v>
      </c>
      <c r="C740" t="s">
        <v>6303</v>
      </c>
      <c r="D740" t="s">
        <v>5695</v>
      </c>
      <c r="E740" t="s">
        <v>577</v>
      </c>
      <c r="F740" t="s">
        <v>5593</v>
      </c>
      <c r="G740" t="s">
        <v>5594</v>
      </c>
      <c r="H740" t="s">
        <v>5590</v>
      </c>
      <c r="I740">
        <v>4</v>
      </c>
      <c r="J740" t="s">
        <v>5595</v>
      </c>
      <c r="K740">
        <v>11.4</v>
      </c>
      <c r="L740" t="s">
        <v>5737</v>
      </c>
      <c r="M740">
        <v>4.3</v>
      </c>
      <c r="N740" t="s">
        <v>5737</v>
      </c>
      <c r="O740">
        <v>97</v>
      </c>
      <c r="P740">
        <v>52</v>
      </c>
      <c r="Q740">
        <v>6.3</v>
      </c>
      <c r="R740" t="s">
        <v>5613</v>
      </c>
      <c r="S740">
        <v>5</v>
      </c>
      <c r="T740" t="s">
        <v>5613</v>
      </c>
      <c r="U740">
        <v>1.5</v>
      </c>
      <c r="V740" t="s">
        <v>5613</v>
      </c>
      <c r="W740">
        <v>7.2</v>
      </c>
      <c r="X740" t="s">
        <v>5613</v>
      </c>
      <c r="Y740">
        <v>4.7</v>
      </c>
      <c r="Z740" t="s">
        <v>5613</v>
      </c>
      <c r="AA740">
        <v>4.5</v>
      </c>
      <c r="AB740" t="s">
        <v>5613</v>
      </c>
      <c r="AC740" t="s">
        <v>6207</v>
      </c>
    </row>
    <row r="741" spans="1:29">
      <c r="A741" t="s">
        <v>6297</v>
      </c>
      <c r="B741" t="s">
        <v>6180</v>
      </c>
      <c r="C741" t="s">
        <v>1342</v>
      </c>
      <c r="D741" t="s">
        <v>5747</v>
      </c>
      <c r="E741" t="s">
        <v>397</v>
      </c>
      <c r="F741" t="s">
        <v>5593</v>
      </c>
      <c r="G741" t="s">
        <v>5594</v>
      </c>
      <c r="H741" t="s">
        <v>5809</v>
      </c>
      <c r="I741">
        <v>5</v>
      </c>
      <c r="J741" t="s">
        <v>5595</v>
      </c>
      <c r="K741">
        <v>12.5</v>
      </c>
      <c r="L741" t="s">
        <v>5737</v>
      </c>
      <c r="M741">
        <v>2.6</v>
      </c>
      <c r="N741" t="s">
        <v>5737</v>
      </c>
      <c r="O741">
        <v>8.6</v>
      </c>
      <c r="P741" t="s">
        <v>5613</v>
      </c>
      <c r="Q741">
        <v>33.200000000000003</v>
      </c>
      <c r="R741">
        <v>411</v>
      </c>
      <c r="S741">
        <v>2.1</v>
      </c>
      <c r="T741" t="s">
        <v>5613</v>
      </c>
      <c r="U741">
        <v>15.1</v>
      </c>
      <c r="V741">
        <v>617</v>
      </c>
      <c r="W741">
        <v>16</v>
      </c>
      <c r="X741">
        <v>585</v>
      </c>
      <c r="Y741">
        <v>8.3000000000000007</v>
      </c>
      <c r="Z741" t="s">
        <v>5613</v>
      </c>
      <c r="AA741">
        <v>49.4</v>
      </c>
      <c r="AB741" t="s">
        <v>5797</v>
      </c>
      <c r="AC741" t="s">
        <v>6207</v>
      </c>
    </row>
    <row r="742" spans="1:29">
      <c r="A742" t="s">
        <v>6304</v>
      </c>
      <c r="B742" t="s">
        <v>6143</v>
      </c>
      <c r="C742" t="s">
        <v>2693</v>
      </c>
      <c r="D742" t="s">
        <v>6213</v>
      </c>
      <c r="E742" t="s">
        <v>691</v>
      </c>
      <c r="F742" t="s">
        <v>5593</v>
      </c>
      <c r="G742" t="s">
        <v>5602</v>
      </c>
      <c r="H742" t="s">
        <v>5590</v>
      </c>
      <c r="I742">
        <v>5</v>
      </c>
      <c r="J742" t="s">
        <v>5595</v>
      </c>
      <c r="K742">
        <v>14.3</v>
      </c>
      <c r="L742" t="s">
        <v>5737</v>
      </c>
      <c r="M742">
        <v>19.399999999999999</v>
      </c>
      <c r="N742">
        <v>464</v>
      </c>
      <c r="O742">
        <v>15.2</v>
      </c>
      <c r="P742" t="s">
        <v>5613</v>
      </c>
      <c r="Q742">
        <v>8.9</v>
      </c>
      <c r="R742" t="s">
        <v>5613</v>
      </c>
      <c r="S742">
        <v>2.5</v>
      </c>
      <c r="T742" t="s">
        <v>5613</v>
      </c>
      <c r="U742">
        <v>18.8</v>
      </c>
      <c r="V742">
        <v>562</v>
      </c>
      <c r="W742">
        <v>25.4</v>
      </c>
      <c r="X742">
        <v>493</v>
      </c>
      <c r="Y742">
        <v>25</v>
      </c>
      <c r="Z742">
        <v>329</v>
      </c>
      <c r="AA742">
        <v>40.799999999999997</v>
      </c>
      <c r="AB742" t="s">
        <v>5934</v>
      </c>
      <c r="AC742" t="s">
        <v>6207</v>
      </c>
    </row>
    <row r="743" spans="1:29">
      <c r="A743" t="s">
        <v>6304</v>
      </c>
      <c r="B743" t="s">
        <v>6180</v>
      </c>
      <c r="C743" t="s">
        <v>6305</v>
      </c>
      <c r="D743" t="s">
        <v>5707</v>
      </c>
      <c r="E743" t="s">
        <v>1613</v>
      </c>
      <c r="F743" t="s">
        <v>5605</v>
      </c>
      <c r="G743" t="s">
        <v>5602</v>
      </c>
      <c r="H743" t="s">
        <v>5590</v>
      </c>
      <c r="I743">
        <v>4</v>
      </c>
      <c r="J743" t="s">
        <v>5595</v>
      </c>
      <c r="K743">
        <v>20.399999999999999</v>
      </c>
      <c r="L743">
        <v>429</v>
      </c>
      <c r="M743">
        <v>40.200000000000003</v>
      </c>
      <c r="N743">
        <v>235</v>
      </c>
      <c r="O743">
        <v>8.6999999999999993</v>
      </c>
      <c r="P743" t="s">
        <v>5613</v>
      </c>
      <c r="Q743">
        <v>2.1</v>
      </c>
      <c r="R743" t="s">
        <v>5613</v>
      </c>
      <c r="S743">
        <v>2.6</v>
      </c>
      <c r="T743" t="s">
        <v>5613</v>
      </c>
      <c r="U743">
        <v>1.1000000000000001</v>
      </c>
      <c r="V743" t="s">
        <v>5613</v>
      </c>
      <c r="W743">
        <v>6.9</v>
      </c>
      <c r="X743" t="s">
        <v>5613</v>
      </c>
      <c r="Y743">
        <v>9.8000000000000007</v>
      </c>
      <c r="Z743" t="s">
        <v>5613</v>
      </c>
      <c r="AA743">
        <v>33.5</v>
      </c>
      <c r="AB743" t="s">
        <v>5973</v>
      </c>
      <c r="AC743" t="s">
        <v>6207</v>
      </c>
    </row>
    <row r="744" spans="1:29">
      <c r="A744" t="s">
        <v>6304</v>
      </c>
      <c r="B744" t="s">
        <v>6136</v>
      </c>
      <c r="C744" t="s">
        <v>2372</v>
      </c>
      <c r="D744" t="s">
        <v>5770</v>
      </c>
      <c r="E744" t="s">
        <v>528</v>
      </c>
      <c r="F744" t="s">
        <v>5593</v>
      </c>
      <c r="G744" t="s">
        <v>5589</v>
      </c>
      <c r="H744" t="s">
        <v>5590</v>
      </c>
      <c r="I744">
        <v>5</v>
      </c>
      <c r="J744" t="s">
        <v>5595</v>
      </c>
      <c r="K744">
        <v>16.3</v>
      </c>
      <c r="L744">
        <v>538</v>
      </c>
      <c r="M744">
        <v>5.0999999999999996</v>
      </c>
      <c r="N744" t="s">
        <v>5737</v>
      </c>
      <c r="O744">
        <v>8.3000000000000007</v>
      </c>
      <c r="P744" t="s">
        <v>5613</v>
      </c>
      <c r="Q744">
        <v>37.9</v>
      </c>
      <c r="R744">
        <v>368</v>
      </c>
      <c r="U744">
        <v>1</v>
      </c>
      <c r="V744" t="s">
        <v>5613</v>
      </c>
      <c r="W744">
        <v>3.1</v>
      </c>
      <c r="X744" t="s">
        <v>5613</v>
      </c>
      <c r="Y744">
        <v>14.4</v>
      </c>
      <c r="Z744">
        <v>587</v>
      </c>
      <c r="AA744">
        <v>21.2</v>
      </c>
      <c r="AB744" t="s">
        <v>5923</v>
      </c>
      <c r="AC744" t="s">
        <v>6207</v>
      </c>
    </row>
    <row r="745" spans="1:29">
      <c r="A745" t="s">
        <v>6304</v>
      </c>
      <c r="B745" t="s">
        <v>6079</v>
      </c>
      <c r="C745" t="s">
        <v>6306</v>
      </c>
      <c r="D745" t="s">
        <v>6307</v>
      </c>
      <c r="E745" t="s">
        <v>2923</v>
      </c>
      <c r="F745" t="s">
        <v>5593</v>
      </c>
      <c r="G745" t="s">
        <v>5589</v>
      </c>
      <c r="H745" t="s">
        <v>5809</v>
      </c>
      <c r="I745">
        <v>5</v>
      </c>
      <c r="J745" t="s">
        <v>5595</v>
      </c>
      <c r="K745">
        <v>14.4</v>
      </c>
      <c r="L745">
        <v>598</v>
      </c>
      <c r="M745">
        <v>16.3</v>
      </c>
      <c r="N745">
        <v>523</v>
      </c>
      <c r="O745">
        <v>54.1</v>
      </c>
      <c r="P745">
        <v>284</v>
      </c>
      <c r="Q745">
        <v>2.1</v>
      </c>
      <c r="R745" t="s">
        <v>5613</v>
      </c>
      <c r="S745">
        <v>3.1</v>
      </c>
      <c r="T745" t="s">
        <v>5613</v>
      </c>
      <c r="U745">
        <v>8.4</v>
      </c>
      <c r="V745" t="s">
        <v>5613</v>
      </c>
      <c r="W745">
        <v>12.9</v>
      </c>
      <c r="X745">
        <v>627</v>
      </c>
      <c r="Y745">
        <v>27.3</v>
      </c>
      <c r="Z745">
        <v>298</v>
      </c>
      <c r="AA745">
        <v>16.7</v>
      </c>
      <c r="AB745" t="s">
        <v>6308</v>
      </c>
      <c r="AC745" t="s">
        <v>6207</v>
      </c>
    </row>
    <row r="746" spans="1:29">
      <c r="A746" t="s">
        <v>6304</v>
      </c>
      <c r="B746" t="s">
        <v>5980</v>
      </c>
      <c r="C746" t="s">
        <v>6309</v>
      </c>
      <c r="D746" t="s">
        <v>5587</v>
      </c>
      <c r="E746" t="s">
        <v>29</v>
      </c>
      <c r="F746" t="s">
        <v>5615</v>
      </c>
      <c r="G746" t="s">
        <v>5589</v>
      </c>
      <c r="H746" t="s">
        <v>5809</v>
      </c>
      <c r="I746">
        <v>5</v>
      </c>
      <c r="J746" t="s">
        <v>5591</v>
      </c>
      <c r="K746">
        <v>3.4</v>
      </c>
      <c r="L746" t="s">
        <v>5737</v>
      </c>
      <c r="M746">
        <v>1.8</v>
      </c>
      <c r="N746" t="s">
        <v>5737</v>
      </c>
      <c r="O746">
        <v>85.9</v>
      </c>
      <c r="P746">
        <v>102</v>
      </c>
      <c r="Q746">
        <v>17</v>
      </c>
      <c r="R746">
        <v>602</v>
      </c>
      <c r="S746">
        <v>5.4</v>
      </c>
      <c r="T746" t="s">
        <v>5613</v>
      </c>
      <c r="U746">
        <v>28.8</v>
      </c>
      <c r="V746">
        <v>432</v>
      </c>
      <c r="W746">
        <v>1</v>
      </c>
      <c r="X746" t="s">
        <v>5613</v>
      </c>
      <c r="Y746">
        <v>18.5</v>
      </c>
      <c r="Z746">
        <v>453</v>
      </c>
      <c r="AC746" t="s">
        <v>6207</v>
      </c>
    </row>
    <row r="747" spans="1:29">
      <c r="A747" t="s">
        <v>6304</v>
      </c>
      <c r="B747" t="s">
        <v>6132</v>
      </c>
      <c r="C747" t="s">
        <v>6310</v>
      </c>
      <c r="D747" t="s">
        <v>5639</v>
      </c>
      <c r="E747" t="s">
        <v>99</v>
      </c>
      <c r="F747" t="s">
        <v>5593</v>
      </c>
      <c r="G747" t="s">
        <v>5602</v>
      </c>
      <c r="H747" t="s">
        <v>5590</v>
      </c>
      <c r="I747">
        <v>4</v>
      </c>
      <c r="J747" t="s">
        <v>5595</v>
      </c>
      <c r="K747">
        <v>11.2</v>
      </c>
      <c r="L747" t="s">
        <v>5737</v>
      </c>
      <c r="M747">
        <v>6.7</v>
      </c>
      <c r="N747" t="s">
        <v>5737</v>
      </c>
      <c r="O747">
        <v>75.900000000000006</v>
      </c>
      <c r="P747">
        <v>159</v>
      </c>
      <c r="Q747">
        <v>7.2</v>
      </c>
      <c r="R747" t="s">
        <v>5613</v>
      </c>
      <c r="U747">
        <v>9.5</v>
      </c>
      <c r="V747" t="s">
        <v>5613</v>
      </c>
      <c r="W747">
        <v>27.1</v>
      </c>
      <c r="X747">
        <v>480</v>
      </c>
      <c r="Y747">
        <v>14.1</v>
      </c>
      <c r="Z747">
        <v>606</v>
      </c>
      <c r="AA747">
        <v>1.9</v>
      </c>
      <c r="AB747" t="s">
        <v>5613</v>
      </c>
      <c r="AC747" t="s">
        <v>6207</v>
      </c>
    </row>
    <row r="748" spans="1:29">
      <c r="A748" t="s">
        <v>6304</v>
      </c>
      <c r="B748" t="s">
        <v>6240</v>
      </c>
      <c r="C748" t="s">
        <v>6311</v>
      </c>
      <c r="D748" t="s">
        <v>5959</v>
      </c>
      <c r="E748" t="s">
        <v>1102</v>
      </c>
      <c r="F748" t="s">
        <v>5605</v>
      </c>
      <c r="G748" t="s">
        <v>5589</v>
      </c>
      <c r="H748" t="s">
        <v>5590</v>
      </c>
      <c r="I748">
        <v>4</v>
      </c>
      <c r="J748" t="s">
        <v>5595</v>
      </c>
      <c r="K748">
        <v>5.8</v>
      </c>
      <c r="L748" t="s">
        <v>5737</v>
      </c>
      <c r="M748">
        <v>11.9</v>
      </c>
      <c r="N748" t="s">
        <v>5737</v>
      </c>
      <c r="O748">
        <v>1.6</v>
      </c>
      <c r="P748" t="s">
        <v>5613</v>
      </c>
      <c r="Q748">
        <v>49.5</v>
      </c>
      <c r="R748">
        <v>268</v>
      </c>
      <c r="S748">
        <v>3.2</v>
      </c>
      <c r="T748" t="s">
        <v>5613</v>
      </c>
      <c r="U748">
        <v>1.1000000000000001</v>
      </c>
      <c r="V748" t="s">
        <v>5613</v>
      </c>
      <c r="W748">
        <v>19.100000000000001</v>
      </c>
      <c r="X748">
        <v>549</v>
      </c>
      <c r="Y748">
        <v>5.7</v>
      </c>
      <c r="Z748" t="s">
        <v>5613</v>
      </c>
      <c r="AA748">
        <v>21.6</v>
      </c>
      <c r="AB748" t="s">
        <v>5758</v>
      </c>
      <c r="AC748" t="s">
        <v>6207</v>
      </c>
    </row>
    <row r="749" spans="1:29">
      <c r="A749" t="s">
        <v>6304</v>
      </c>
      <c r="B749" t="s">
        <v>6143</v>
      </c>
      <c r="C749" t="s">
        <v>6312</v>
      </c>
      <c r="D749" t="s">
        <v>5747</v>
      </c>
      <c r="E749" t="s">
        <v>397</v>
      </c>
      <c r="F749" t="s">
        <v>5605</v>
      </c>
      <c r="G749" t="s">
        <v>5594</v>
      </c>
      <c r="H749" t="s">
        <v>5809</v>
      </c>
      <c r="I749">
        <v>4</v>
      </c>
      <c r="J749" t="s">
        <v>5595</v>
      </c>
      <c r="K749">
        <v>12.8</v>
      </c>
      <c r="L749" t="s">
        <v>5737</v>
      </c>
      <c r="M749">
        <v>2.9</v>
      </c>
      <c r="N749" t="s">
        <v>5737</v>
      </c>
      <c r="O749">
        <v>4.2</v>
      </c>
      <c r="P749" t="s">
        <v>5613</v>
      </c>
      <c r="Q749">
        <v>27.8</v>
      </c>
      <c r="R749">
        <v>452</v>
      </c>
      <c r="S749">
        <v>5</v>
      </c>
      <c r="T749" t="s">
        <v>5613</v>
      </c>
      <c r="U749">
        <v>2.2000000000000002</v>
      </c>
      <c r="V749" t="s">
        <v>5613</v>
      </c>
      <c r="W749">
        <v>64.5</v>
      </c>
      <c r="X749">
        <v>219</v>
      </c>
      <c r="Y749">
        <v>6.8</v>
      </c>
      <c r="Z749" t="s">
        <v>5613</v>
      </c>
      <c r="AA749">
        <v>37.5</v>
      </c>
      <c r="AB749" t="s">
        <v>5745</v>
      </c>
      <c r="AC749" t="s">
        <v>6207</v>
      </c>
    </row>
    <row r="750" spans="1:29">
      <c r="A750" t="s">
        <v>6304</v>
      </c>
      <c r="B750" t="s">
        <v>6143</v>
      </c>
      <c r="C750" t="s">
        <v>2106</v>
      </c>
      <c r="D750" t="s">
        <v>5959</v>
      </c>
      <c r="E750" t="s">
        <v>1102</v>
      </c>
      <c r="F750" t="s">
        <v>5593</v>
      </c>
      <c r="G750" t="s">
        <v>5589</v>
      </c>
      <c r="H750" t="s">
        <v>5590</v>
      </c>
      <c r="I750">
        <v>5</v>
      </c>
      <c r="J750" t="s">
        <v>5595</v>
      </c>
      <c r="K750">
        <v>14.2</v>
      </c>
      <c r="L750" t="s">
        <v>5737</v>
      </c>
      <c r="M750">
        <v>52.3</v>
      </c>
      <c r="N750">
        <v>154</v>
      </c>
      <c r="O750">
        <v>5.3</v>
      </c>
      <c r="P750" t="s">
        <v>5613</v>
      </c>
      <c r="Q750">
        <v>9.8000000000000007</v>
      </c>
      <c r="R750" t="s">
        <v>5613</v>
      </c>
      <c r="S750">
        <v>2.9</v>
      </c>
      <c r="T750" t="s">
        <v>5613</v>
      </c>
      <c r="U750">
        <v>1.3</v>
      </c>
      <c r="V750" t="s">
        <v>5613</v>
      </c>
      <c r="W750">
        <v>5.2</v>
      </c>
      <c r="X750" t="s">
        <v>5613</v>
      </c>
      <c r="Y750">
        <v>14.6</v>
      </c>
      <c r="Z750">
        <v>574</v>
      </c>
      <c r="AA750">
        <v>4.9000000000000004</v>
      </c>
      <c r="AB750" t="s">
        <v>5613</v>
      </c>
      <c r="AC750" t="s">
        <v>6207</v>
      </c>
    </row>
    <row r="751" spans="1:29">
      <c r="A751" t="s">
        <v>6304</v>
      </c>
      <c r="B751" t="s">
        <v>6143</v>
      </c>
      <c r="C751" t="s">
        <v>1374</v>
      </c>
      <c r="D751" t="s">
        <v>5592</v>
      </c>
      <c r="E751" t="s">
        <v>26</v>
      </c>
      <c r="F751" t="s">
        <v>5605</v>
      </c>
      <c r="G751" t="s">
        <v>5589</v>
      </c>
      <c r="H751" t="s">
        <v>5809</v>
      </c>
      <c r="I751">
        <v>3</v>
      </c>
      <c r="J751" t="s">
        <v>5595</v>
      </c>
      <c r="K751">
        <v>9.1999999999999993</v>
      </c>
      <c r="L751" t="s">
        <v>5737</v>
      </c>
      <c r="M751">
        <v>9.4</v>
      </c>
      <c r="N751" t="s">
        <v>5737</v>
      </c>
      <c r="O751">
        <v>8.4</v>
      </c>
      <c r="P751" t="s">
        <v>5613</v>
      </c>
      <c r="Q751">
        <v>10.8</v>
      </c>
      <c r="R751" t="s">
        <v>5613</v>
      </c>
      <c r="S751">
        <v>48.4</v>
      </c>
      <c r="T751">
        <v>363</v>
      </c>
      <c r="U751">
        <v>75.8</v>
      </c>
      <c r="V751">
        <v>183</v>
      </c>
      <c r="W751">
        <v>24.8</v>
      </c>
      <c r="X751">
        <v>499</v>
      </c>
      <c r="Y751">
        <v>8.9</v>
      </c>
      <c r="Z751" t="s">
        <v>5613</v>
      </c>
      <c r="AA751">
        <v>21.6</v>
      </c>
      <c r="AB751" t="s">
        <v>5758</v>
      </c>
      <c r="AC751" t="s">
        <v>6207</v>
      </c>
    </row>
    <row r="752" spans="1:29">
      <c r="A752" t="s">
        <v>6313</v>
      </c>
      <c r="B752" t="s">
        <v>6056</v>
      </c>
      <c r="C752" t="s">
        <v>6314</v>
      </c>
      <c r="D752" t="s">
        <v>6192</v>
      </c>
      <c r="E752" t="s">
        <v>4229</v>
      </c>
      <c r="F752" t="s">
        <v>5615</v>
      </c>
      <c r="G752" t="s">
        <v>5602</v>
      </c>
      <c r="H752" t="s">
        <v>5809</v>
      </c>
      <c r="I752">
        <v>2</v>
      </c>
      <c r="J752" t="s">
        <v>5591</v>
      </c>
      <c r="K752">
        <v>12.8</v>
      </c>
      <c r="L752" t="s">
        <v>5737</v>
      </c>
      <c r="M752">
        <v>8</v>
      </c>
      <c r="N752" t="s">
        <v>5737</v>
      </c>
      <c r="O752">
        <v>31.7</v>
      </c>
      <c r="P752">
        <v>495</v>
      </c>
      <c r="Q752">
        <v>3</v>
      </c>
      <c r="R752" t="s">
        <v>5613</v>
      </c>
      <c r="S752">
        <v>100</v>
      </c>
      <c r="T752" t="s">
        <v>5792</v>
      </c>
      <c r="U752">
        <v>31</v>
      </c>
      <c r="V752">
        <v>411</v>
      </c>
      <c r="W752">
        <v>1</v>
      </c>
      <c r="X752" t="s">
        <v>5613</v>
      </c>
      <c r="Y752">
        <v>8.3000000000000007</v>
      </c>
      <c r="Z752" t="s">
        <v>5613</v>
      </c>
      <c r="AA752">
        <v>1</v>
      </c>
      <c r="AB752" t="s">
        <v>5613</v>
      </c>
      <c r="AC752" t="s">
        <v>6207</v>
      </c>
    </row>
    <row r="753" spans="1:29">
      <c r="A753" t="s">
        <v>6313</v>
      </c>
      <c r="C753" t="s">
        <v>6315</v>
      </c>
      <c r="D753" t="s">
        <v>5889</v>
      </c>
      <c r="E753" t="s">
        <v>992</v>
      </c>
      <c r="F753" t="s">
        <v>5593</v>
      </c>
      <c r="G753" t="s">
        <v>5602</v>
      </c>
      <c r="H753" t="s">
        <v>5590</v>
      </c>
      <c r="J753" t="s">
        <v>5595</v>
      </c>
      <c r="K753">
        <v>7</v>
      </c>
      <c r="L753" t="s">
        <v>5737</v>
      </c>
      <c r="M753">
        <v>6.2</v>
      </c>
      <c r="N753" t="s">
        <v>5737</v>
      </c>
      <c r="O753">
        <v>1.4</v>
      </c>
      <c r="P753" t="s">
        <v>5613</v>
      </c>
      <c r="Q753">
        <v>59.2</v>
      </c>
      <c r="R753">
        <v>211</v>
      </c>
      <c r="W753">
        <v>8.1</v>
      </c>
      <c r="X753" t="s">
        <v>5613</v>
      </c>
      <c r="Y753">
        <v>10</v>
      </c>
      <c r="Z753" t="s">
        <v>5613</v>
      </c>
      <c r="AC753" t="s">
        <v>6207</v>
      </c>
    </row>
    <row r="754" spans="1:29">
      <c r="A754" t="s">
        <v>6313</v>
      </c>
      <c r="B754" t="s">
        <v>6143</v>
      </c>
      <c r="C754" t="s">
        <v>3594</v>
      </c>
      <c r="D754" t="s">
        <v>5843</v>
      </c>
      <c r="E754" t="s">
        <v>1448</v>
      </c>
      <c r="F754" t="s">
        <v>5605</v>
      </c>
      <c r="G754" t="s">
        <v>5589</v>
      </c>
      <c r="H754" t="s">
        <v>5590</v>
      </c>
      <c r="I754">
        <v>4</v>
      </c>
      <c r="J754" t="s">
        <v>5595</v>
      </c>
      <c r="K754">
        <v>24.3</v>
      </c>
      <c r="L754">
        <v>356</v>
      </c>
      <c r="M754">
        <v>21.8</v>
      </c>
      <c r="N754">
        <v>431</v>
      </c>
      <c r="O754">
        <v>6.2</v>
      </c>
      <c r="P754" t="s">
        <v>5613</v>
      </c>
      <c r="Q754">
        <v>2.5</v>
      </c>
      <c r="R754" t="s">
        <v>5613</v>
      </c>
      <c r="S754">
        <v>4.8</v>
      </c>
      <c r="T754" t="s">
        <v>5613</v>
      </c>
      <c r="U754">
        <v>1.3</v>
      </c>
      <c r="V754" t="s">
        <v>5613</v>
      </c>
      <c r="W754">
        <v>5.2</v>
      </c>
      <c r="X754" t="s">
        <v>5613</v>
      </c>
      <c r="Y754">
        <v>19.3</v>
      </c>
      <c r="Z754">
        <v>435</v>
      </c>
      <c r="AA754">
        <v>51.5</v>
      </c>
      <c r="AB754" t="s">
        <v>5649</v>
      </c>
      <c r="AC754" t="s">
        <v>6207</v>
      </c>
    </row>
    <row r="755" spans="1:29">
      <c r="A755" t="s">
        <v>6313</v>
      </c>
      <c r="B755" t="s">
        <v>6143</v>
      </c>
      <c r="C755" t="s">
        <v>1277</v>
      </c>
      <c r="D755" t="s">
        <v>5592</v>
      </c>
      <c r="E755" t="s">
        <v>26</v>
      </c>
      <c r="F755" t="s">
        <v>5593</v>
      </c>
      <c r="G755" t="s">
        <v>5589</v>
      </c>
      <c r="H755" t="s">
        <v>5590</v>
      </c>
      <c r="I755">
        <v>3</v>
      </c>
      <c r="J755" t="s">
        <v>5595</v>
      </c>
      <c r="K755">
        <v>9.9</v>
      </c>
      <c r="L755" t="s">
        <v>5737</v>
      </c>
      <c r="M755">
        <v>6.8</v>
      </c>
      <c r="N755" t="s">
        <v>5737</v>
      </c>
      <c r="O755">
        <v>8.4</v>
      </c>
      <c r="P755" t="s">
        <v>5613</v>
      </c>
      <c r="Q755">
        <v>14.5</v>
      </c>
      <c r="R755">
        <v>645</v>
      </c>
      <c r="S755">
        <v>48.1</v>
      </c>
      <c r="T755">
        <v>365</v>
      </c>
      <c r="U755">
        <v>24.4</v>
      </c>
      <c r="V755">
        <v>480</v>
      </c>
      <c r="W755">
        <v>56.2</v>
      </c>
      <c r="X755">
        <v>278</v>
      </c>
      <c r="Y755">
        <v>10.4</v>
      </c>
      <c r="Z755" t="s">
        <v>5613</v>
      </c>
      <c r="AA755">
        <v>24.4</v>
      </c>
      <c r="AB755" t="s">
        <v>5784</v>
      </c>
      <c r="AC755" t="s">
        <v>6207</v>
      </c>
    </row>
    <row r="756" spans="1:29">
      <c r="A756" t="s">
        <v>6313</v>
      </c>
      <c r="B756" t="s">
        <v>6180</v>
      </c>
      <c r="C756" t="s">
        <v>2504</v>
      </c>
      <c r="D756" t="s">
        <v>6316</v>
      </c>
      <c r="E756" t="s">
        <v>2410</v>
      </c>
      <c r="F756" t="s">
        <v>5588</v>
      </c>
      <c r="G756" t="s">
        <v>5589</v>
      </c>
      <c r="H756" t="s">
        <v>5590</v>
      </c>
      <c r="I756">
        <v>5</v>
      </c>
      <c r="J756" t="s">
        <v>5595</v>
      </c>
      <c r="K756">
        <v>11.4</v>
      </c>
      <c r="L756" t="s">
        <v>5737</v>
      </c>
      <c r="M756">
        <v>28.2</v>
      </c>
      <c r="N756">
        <v>343</v>
      </c>
      <c r="O756">
        <v>19.7</v>
      </c>
      <c r="P756">
        <v>673</v>
      </c>
      <c r="Q756">
        <v>2.9</v>
      </c>
      <c r="R756" t="s">
        <v>5613</v>
      </c>
      <c r="S756">
        <v>16.399999999999999</v>
      </c>
      <c r="T756">
        <v>644</v>
      </c>
      <c r="U756">
        <v>59.9</v>
      </c>
      <c r="V756">
        <v>248</v>
      </c>
      <c r="W756">
        <v>1.4</v>
      </c>
      <c r="X756" t="s">
        <v>5613</v>
      </c>
      <c r="Y756">
        <v>18.5</v>
      </c>
      <c r="Z756">
        <v>452</v>
      </c>
      <c r="AA756">
        <v>15.2</v>
      </c>
      <c r="AB756" t="s">
        <v>6116</v>
      </c>
      <c r="AC756" t="s">
        <v>6207</v>
      </c>
    </row>
    <row r="757" spans="1:29">
      <c r="A757" t="s">
        <v>6313</v>
      </c>
      <c r="B757" t="s">
        <v>6049</v>
      </c>
      <c r="C757" t="s">
        <v>6317</v>
      </c>
      <c r="D757" t="s">
        <v>5639</v>
      </c>
      <c r="E757" t="s">
        <v>99</v>
      </c>
      <c r="F757" t="s">
        <v>5593</v>
      </c>
      <c r="G757" t="s">
        <v>5589</v>
      </c>
      <c r="H757" t="s">
        <v>5590</v>
      </c>
      <c r="I757">
        <v>5</v>
      </c>
      <c r="J757" t="s">
        <v>5595</v>
      </c>
      <c r="K757">
        <v>11</v>
      </c>
      <c r="L757" t="s">
        <v>5737</v>
      </c>
      <c r="M757">
        <v>14.5</v>
      </c>
      <c r="N757">
        <v>561</v>
      </c>
      <c r="O757">
        <v>58.8</v>
      </c>
      <c r="P757">
        <v>244</v>
      </c>
      <c r="Q757">
        <v>6.3</v>
      </c>
      <c r="R757" t="s">
        <v>5613</v>
      </c>
      <c r="U757">
        <v>26.8</v>
      </c>
      <c r="V757">
        <v>448</v>
      </c>
      <c r="W757">
        <v>20.2</v>
      </c>
      <c r="X757">
        <v>542</v>
      </c>
      <c r="Y757">
        <v>12</v>
      </c>
      <c r="Z757" t="s">
        <v>5613</v>
      </c>
      <c r="AA757">
        <v>4.8</v>
      </c>
      <c r="AB757" t="s">
        <v>5613</v>
      </c>
      <c r="AC757" t="s">
        <v>6207</v>
      </c>
    </row>
    <row r="758" spans="1:29">
      <c r="A758" t="s">
        <v>6313</v>
      </c>
      <c r="B758" t="s">
        <v>6056</v>
      </c>
      <c r="C758" t="s">
        <v>6318</v>
      </c>
      <c r="D758" t="s">
        <v>5589</v>
      </c>
      <c r="E758" t="s">
        <v>1820</v>
      </c>
      <c r="F758" t="s">
        <v>5593</v>
      </c>
      <c r="G758" t="s">
        <v>5602</v>
      </c>
      <c r="H758" t="s">
        <v>6146</v>
      </c>
      <c r="I758">
        <v>5</v>
      </c>
      <c r="J758" t="s">
        <v>5591</v>
      </c>
      <c r="K758">
        <v>14</v>
      </c>
      <c r="L758" t="s">
        <v>5737</v>
      </c>
      <c r="M758">
        <v>43.7</v>
      </c>
      <c r="N758">
        <v>209</v>
      </c>
      <c r="O758">
        <v>31.2</v>
      </c>
      <c r="P758">
        <v>506</v>
      </c>
      <c r="Q758">
        <v>1.1000000000000001</v>
      </c>
      <c r="R758" t="s">
        <v>5613</v>
      </c>
      <c r="S758">
        <v>11.3</v>
      </c>
      <c r="T758" t="s">
        <v>5613</v>
      </c>
      <c r="U758">
        <v>1.6</v>
      </c>
      <c r="V758" t="s">
        <v>5613</v>
      </c>
      <c r="W758">
        <v>1</v>
      </c>
      <c r="X758" t="s">
        <v>5613</v>
      </c>
      <c r="Y758">
        <v>18.8</v>
      </c>
      <c r="Z758">
        <v>445</v>
      </c>
      <c r="AA758">
        <v>1</v>
      </c>
      <c r="AB758" t="s">
        <v>5613</v>
      </c>
      <c r="AC758" t="s">
        <v>6207</v>
      </c>
    </row>
    <row r="759" spans="1:29">
      <c r="A759" t="s">
        <v>6313</v>
      </c>
      <c r="B759" t="s">
        <v>6126</v>
      </c>
      <c r="C759" t="s">
        <v>6319</v>
      </c>
      <c r="D759" t="s">
        <v>5620</v>
      </c>
      <c r="E759" t="s">
        <v>76</v>
      </c>
      <c r="F759" t="s">
        <v>5605</v>
      </c>
      <c r="G759" t="s">
        <v>5594</v>
      </c>
      <c r="H759" t="s">
        <v>5809</v>
      </c>
      <c r="I759">
        <v>4</v>
      </c>
      <c r="J759" t="s">
        <v>5595</v>
      </c>
      <c r="K759">
        <v>17.3</v>
      </c>
      <c r="L759">
        <v>516</v>
      </c>
      <c r="M759">
        <v>11.8</v>
      </c>
      <c r="N759" t="s">
        <v>5737</v>
      </c>
      <c r="O759">
        <v>1.6</v>
      </c>
      <c r="P759" t="s">
        <v>5613</v>
      </c>
      <c r="Q759">
        <v>16.3</v>
      </c>
      <c r="R759">
        <v>610</v>
      </c>
      <c r="S759">
        <v>37.1</v>
      </c>
      <c r="T759">
        <v>435</v>
      </c>
      <c r="U759">
        <v>11.6</v>
      </c>
      <c r="V759">
        <v>683</v>
      </c>
      <c r="W759">
        <v>19.7</v>
      </c>
      <c r="X759">
        <v>545</v>
      </c>
      <c r="Y759">
        <v>14.8</v>
      </c>
      <c r="Z759">
        <v>563</v>
      </c>
      <c r="AA759">
        <v>27.3</v>
      </c>
      <c r="AB759" t="s">
        <v>6320</v>
      </c>
      <c r="AC759" t="s">
        <v>6207</v>
      </c>
    </row>
    <row r="760" spans="1:29">
      <c r="A760" t="s">
        <v>6313</v>
      </c>
      <c r="B760" t="s">
        <v>6240</v>
      </c>
      <c r="C760" t="s">
        <v>6321</v>
      </c>
      <c r="D760" t="s">
        <v>5770</v>
      </c>
      <c r="E760" t="s">
        <v>528</v>
      </c>
      <c r="F760" t="s">
        <v>5588</v>
      </c>
      <c r="G760" t="s">
        <v>5594</v>
      </c>
      <c r="H760" t="s">
        <v>5590</v>
      </c>
      <c r="I760">
        <v>5</v>
      </c>
      <c r="J760" t="s">
        <v>5595</v>
      </c>
      <c r="K760">
        <v>8.1</v>
      </c>
      <c r="L760" t="s">
        <v>5737</v>
      </c>
      <c r="M760">
        <v>25</v>
      </c>
      <c r="N760">
        <v>383</v>
      </c>
      <c r="O760">
        <v>2.4</v>
      </c>
      <c r="P760" t="s">
        <v>5613</v>
      </c>
      <c r="Q760">
        <v>25</v>
      </c>
      <c r="R760">
        <v>488</v>
      </c>
      <c r="S760">
        <v>2</v>
      </c>
      <c r="T760" t="s">
        <v>5613</v>
      </c>
      <c r="U760">
        <v>3.5</v>
      </c>
      <c r="V760" t="s">
        <v>5613</v>
      </c>
      <c r="W760">
        <v>1.1000000000000001</v>
      </c>
      <c r="X760" t="s">
        <v>5613</v>
      </c>
      <c r="Y760">
        <v>70.5</v>
      </c>
      <c r="Z760">
        <v>72</v>
      </c>
      <c r="AA760">
        <v>10.5</v>
      </c>
      <c r="AB760" t="s">
        <v>5963</v>
      </c>
      <c r="AC760" t="s">
        <v>6207</v>
      </c>
    </row>
    <row r="761" spans="1:29">
      <c r="A761" t="s">
        <v>6313</v>
      </c>
      <c r="B761" t="s">
        <v>6079</v>
      </c>
      <c r="C761" t="s">
        <v>6322</v>
      </c>
      <c r="D761" t="s">
        <v>5644</v>
      </c>
      <c r="E761" t="s">
        <v>181</v>
      </c>
      <c r="F761" t="s">
        <v>5593</v>
      </c>
      <c r="G761" t="s">
        <v>5594</v>
      </c>
      <c r="H761" t="s">
        <v>5590</v>
      </c>
      <c r="I761">
        <v>3</v>
      </c>
      <c r="J761" t="s">
        <v>5591</v>
      </c>
      <c r="K761">
        <v>6.9</v>
      </c>
      <c r="L761" t="s">
        <v>5737</v>
      </c>
      <c r="M761">
        <v>2.5</v>
      </c>
      <c r="N761" t="s">
        <v>5737</v>
      </c>
      <c r="O761">
        <v>57.8</v>
      </c>
      <c r="P761">
        <v>249</v>
      </c>
      <c r="Q761">
        <v>34.299999999999997</v>
      </c>
      <c r="R761">
        <v>399</v>
      </c>
      <c r="S761">
        <v>2.5</v>
      </c>
      <c r="T761" t="s">
        <v>5613</v>
      </c>
      <c r="U761">
        <v>3.4</v>
      </c>
      <c r="V761" t="s">
        <v>5613</v>
      </c>
      <c r="W761">
        <v>1.8</v>
      </c>
      <c r="X761" t="s">
        <v>5613</v>
      </c>
      <c r="Y761">
        <v>6.9</v>
      </c>
      <c r="Z761" t="s">
        <v>5613</v>
      </c>
      <c r="AA761">
        <v>1.3</v>
      </c>
      <c r="AB761" t="s">
        <v>5613</v>
      </c>
      <c r="AC761" t="s">
        <v>6207</v>
      </c>
    </row>
    <row r="762" spans="1:29">
      <c r="A762" t="s">
        <v>6313</v>
      </c>
      <c r="B762" t="s">
        <v>6143</v>
      </c>
      <c r="C762" t="s">
        <v>2612</v>
      </c>
      <c r="D762" t="s">
        <v>6323</v>
      </c>
      <c r="E762" t="s">
        <v>2613</v>
      </c>
      <c r="F762" t="s">
        <v>5605</v>
      </c>
      <c r="G762" t="s">
        <v>5594</v>
      </c>
      <c r="H762" t="s">
        <v>5590</v>
      </c>
      <c r="I762">
        <v>5</v>
      </c>
      <c r="J762" t="s">
        <v>5595</v>
      </c>
      <c r="K762">
        <v>16.2</v>
      </c>
      <c r="L762">
        <v>539</v>
      </c>
      <c r="M762">
        <v>4.7</v>
      </c>
      <c r="N762" t="s">
        <v>5737</v>
      </c>
      <c r="O762">
        <v>23.8</v>
      </c>
      <c r="P762">
        <v>597</v>
      </c>
      <c r="Q762">
        <v>4.2</v>
      </c>
      <c r="R762" t="s">
        <v>5613</v>
      </c>
      <c r="S762">
        <v>1.5</v>
      </c>
      <c r="T762" t="s">
        <v>5613</v>
      </c>
      <c r="U762">
        <v>2.7</v>
      </c>
      <c r="V762" t="s">
        <v>5613</v>
      </c>
      <c r="W762">
        <v>74.2</v>
      </c>
      <c r="X762">
        <v>176</v>
      </c>
      <c r="Y762">
        <v>44.8</v>
      </c>
      <c r="Z762">
        <v>158</v>
      </c>
      <c r="AA762">
        <v>19.2</v>
      </c>
      <c r="AB762" t="s">
        <v>5822</v>
      </c>
      <c r="AC762" t="s">
        <v>6207</v>
      </c>
    </row>
    <row r="763" spans="1:29">
      <c r="A763" t="s">
        <v>6313</v>
      </c>
      <c r="B763" t="s">
        <v>6049</v>
      </c>
      <c r="C763" t="s">
        <v>1372</v>
      </c>
      <c r="D763" t="s">
        <v>5587</v>
      </c>
      <c r="E763" t="s">
        <v>29</v>
      </c>
      <c r="F763" t="s">
        <v>5593</v>
      </c>
      <c r="G763" t="s">
        <v>5594</v>
      </c>
      <c r="H763" t="s">
        <v>5590</v>
      </c>
      <c r="I763">
        <v>5</v>
      </c>
      <c r="J763" t="s">
        <v>5595</v>
      </c>
      <c r="K763">
        <v>7.8</v>
      </c>
      <c r="L763" t="s">
        <v>5737</v>
      </c>
      <c r="M763">
        <v>3.2</v>
      </c>
      <c r="N763" t="s">
        <v>5737</v>
      </c>
      <c r="O763">
        <v>64.7</v>
      </c>
      <c r="P763">
        <v>214</v>
      </c>
      <c r="Q763">
        <v>12.3</v>
      </c>
      <c r="R763">
        <v>693</v>
      </c>
      <c r="S763">
        <v>12.5</v>
      </c>
      <c r="T763" t="s">
        <v>5613</v>
      </c>
      <c r="U763">
        <v>4.8</v>
      </c>
      <c r="V763" t="s">
        <v>5613</v>
      </c>
      <c r="W763">
        <v>41.9</v>
      </c>
      <c r="X763">
        <v>364</v>
      </c>
      <c r="Y763">
        <v>15.4</v>
      </c>
      <c r="Z763">
        <v>545</v>
      </c>
      <c r="AA763">
        <v>6.4</v>
      </c>
      <c r="AB763" t="s">
        <v>5613</v>
      </c>
      <c r="AC763" t="s">
        <v>6207</v>
      </c>
    </row>
    <row r="764" spans="1:29">
      <c r="A764" t="s">
        <v>6324</v>
      </c>
      <c r="B764" t="s">
        <v>6143</v>
      </c>
      <c r="C764" t="s">
        <v>6325</v>
      </c>
      <c r="D764" t="s">
        <v>5981</v>
      </c>
      <c r="E764" t="s">
        <v>895</v>
      </c>
      <c r="F764" t="s">
        <v>5593</v>
      </c>
      <c r="G764" t="s">
        <v>5594</v>
      </c>
      <c r="H764" t="s">
        <v>5590</v>
      </c>
      <c r="I764">
        <v>4</v>
      </c>
      <c r="J764" t="s">
        <v>5595</v>
      </c>
      <c r="K764">
        <v>20.399999999999999</v>
      </c>
      <c r="L764">
        <v>427</v>
      </c>
      <c r="M764">
        <v>22.7</v>
      </c>
      <c r="N764">
        <v>419</v>
      </c>
      <c r="O764">
        <v>10.1</v>
      </c>
      <c r="P764" t="s">
        <v>5613</v>
      </c>
      <c r="Q764">
        <v>6</v>
      </c>
      <c r="R764" t="s">
        <v>5613</v>
      </c>
      <c r="S764">
        <v>3.2</v>
      </c>
      <c r="T764" t="s">
        <v>5613</v>
      </c>
      <c r="U764">
        <v>3.4</v>
      </c>
      <c r="V764" t="s">
        <v>5613</v>
      </c>
      <c r="W764">
        <v>27</v>
      </c>
      <c r="X764">
        <v>483</v>
      </c>
      <c r="Y764">
        <v>13.8</v>
      </c>
      <c r="Z764">
        <v>619</v>
      </c>
      <c r="AA764">
        <v>31.6</v>
      </c>
      <c r="AB764" t="s">
        <v>5950</v>
      </c>
      <c r="AC764" t="s">
        <v>6207</v>
      </c>
    </row>
    <row r="765" spans="1:29">
      <c r="A765" t="s">
        <v>6324</v>
      </c>
      <c r="B765" t="s">
        <v>6136</v>
      </c>
      <c r="C765" t="s">
        <v>1262</v>
      </c>
      <c r="D765" t="s">
        <v>5762</v>
      </c>
      <c r="E765" t="s">
        <v>534</v>
      </c>
      <c r="F765" t="s">
        <v>5605</v>
      </c>
      <c r="G765" t="s">
        <v>5594</v>
      </c>
      <c r="H765" t="s">
        <v>5809</v>
      </c>
      <c r="I765">
        <v>3</v>
      </c>
      <c r="J765" t="s">
        <v>5595</v>
      </c>
      <c r="K765">
        <v>12.8</v>
      </c>
      <c r="L765" t="s">
        <v>5737</v>
      </c>
      <c r="M765">
        <v>5.0999999999999996</v>
      </c>
      <c r="N765" t="s">
        <v>5737</v>
      </c>
      <c r="O765">
        <v>43</v>
      </c>
      <c r="P765">
        <v>366</v>
      </c>
      <c r="Q765">
        <v>2.2000000000000002</v>
      </c>
      <c r="R765" t="s">
        <v>5613</v>
      </c>
      <c r="S765">
        <v>100</v>
      </c>
      <c r="T765">
        <v>31</v>
      </c>
      <c r="U765">
        <v>10.199999999999999</v>
      </c>
      <c r="V765" t="s">
        <v>5613</v>
      </c>
      <c r="W765">
        <v>7.8</v>
      </c>
      <c r="X765" t="s">
        <v>5613</v>
      </c>
      <c r="Y765">
        <v>7.8</v>
      </c>
      <c r="Z765" t="s">
        <v>5613</v>
      </c>
      <c r="AA765">
        <v>1.1000000000000001</v>
      </c>
      <c r="AB765" t="s">
        <v>5613</v>
      </c>
      <c r="AC765" t="s">
        <v>6207</v>
      </c>
    </row>
    <row r="766" spans="1:29">
      <c r="A766" t="s">
        <v>6324</v>
      </c>
      <c r="B766" t="s">
        <v>6180</v>
      </c>
      <c r="C766" t="s">
        <v>6326</v>
      </c>
      <c r="D766" t="s">
        <v>5639</v>
      </c>
      <c r="E766" t="s">
        <v>99</v>
      </c>
      <c r="F766" t="s">
        <v>5593</v>
      </c>
      <c r="G766" t="s">
        <v>5594</v>
      </c>
      <c r="H766" t="s">
        <v>5809</v>
      </c>
      <c r="I766">
        <v>5</v>
      </c>
      <c r="J766" t="s">
        <v>5595</v>
      </c>
      <c r="K766">
        <v>14</v>
      </c>
      <c r="L766" t="s">
        <v>5737</v>
      </c>
      <c r="M766">
        <v>7.5</v>
      </c>
      <c r="N766" t="s">
        <v>5737</v>
      </c>
      <c r="O766">
        <v>5.5</v>
      </c>
      <c r="P766" t="s">
        <v>5613</v>
      </c>
      <c r="Q766">
        <v>31.1</v>
      </c>
      <c r="R766">
        <v>428</v>
      </c>
      <c r="S766">
        <v>16.8</v>
      </c>
      <c r="T766">
        <v>638</v>
      </c>
      <c r="U766">
        <v>22.6</v>
      </c>
      <c r="V766">
        <v>504</v>
      </c>
      <c r="W766">
        <v>16.2</v>
      </c>
      <c r="X766">
        <v>583</v>
      </c>
      <c r="Y766">
        <v>9.1</v>
      </c>
      <c r="Z766" t="s">
        <v>5613</v>
      </c>
      <c r="AA766">
        <v>6.1</v>
      </c>
      <c r="AB766" t="s">
        <v>5613</v>
      </c>
      <c r="AC766" t="s">
        <v>6207</v>
      </c>
    </row>
    <row r="767" spans="1:29">
      <c r="A767" t="s">
        <v>6324</v>
      </c>
      <c r="B767" t="s">
        <v>6061</v>
      </c>
      <c r="C767" t="s">
        <v>6327</v>
      </c>
      <c r="D767" t="s">
        <v>5710</v>
      </c>
      <c r="E767" t="s">
        <v>3726</v>
      </c>
      <c r="F767" t="s">
        <v>5588</v>
      </c>
      <c r="G767" t="s">
        <v>5589</v>
      </c>
      <c r="H767" t="s">
        <v>6146</v>
      </c>
      <c r="I767">
        <v>4</v>
      </c>
      <c r="J767" t="s">
        <v>5591</v>
      </c>
      <c r="K767">
        <v>9.9</v>
      </c>
      <c r="L767" t="s">
        <v>5737</v>
      </c>
      <c r="M767">
        <v>10.7</v>
      </c>
      <c r="N767" t="s">
        <v>5737</v>
      </c>
      <c r="O767">
        <v>88.1</v>
      </c>
      <c r="P767">
        <v>92</v>
      </c>
      <c r="Q767">
        <v>1</v>
      </c>
      <c r="R767" t="s">
        <v>5613</v>
      </c>
      <c r="S767">
        <v>5.7</v>
      </c>
      <c r="T767" t="s">
        <v>5613</v>
      </c>
      <c r="U767">
        <v>26.3</v>
      </c>
      <c r="V767">
        <v>463</v>
      </c>
      <c r="W767">
        <v>1</v>
      </c>
      <c r="X767" t="s">
        <v>5613</v>
      </c>
      <c r="Y767">
        <v>8.6999999999999993</v>
      </c>
      <c r="Z767" t="s">
        <v>5613</v>
      </c>
      <c r="AC767" t="s">
        <v>6207</v>
      </c>
    </row>
    <row r="768" spans="1:29">
      <c r="A768" t="s">
        <v>6324</v>
      </c>
      <c r="B768" t="s">
        <v>6049</v>
      </c>
      <c r="C768" t="s">
        <v>6328</v>
      </c>
      <c r="D768" t="s">
        <v>5639</v>
      </c>
      <c r="E768" t="s">
        <v>99</v>
      </c>
      <c r="F768" t="s">
        <v>5593</v>
      </c>
      <c r="G768" t="s">
        <v>5594</v>
      </c>
      <c r="H768" t="s">
        <v>5809</v>
      </c>
      <c r="I768">
        <v>5</v>
      </c>
      <c r="J768" t="s">
        <v>5595</v>
      </c>
      <c r="K768">
        <v>7.7</v>
      </c>
      <c r="L768" t="s">
        <v>5737</v>
      </c>
      <c r="M768">
        <v>3.2</v>
      </c>
      <c r="N768" t="s">
        <v>5737</v>
      </c>
      <c r="O768">
        <v>79.400000000000006</v>
      </c>
      <c r="P768">
        <v>140</v>
      </c>
      <c r="Q768">
        <v>5.8</v>
      </c>
      <c r="R768" t="s">
        <v>5613</v>
      </c>
      <c r="U768">
        <v>14.7</v>
      </c>
      <c r="V768">
        <v>626</v>
      </c>
      <c r="W768">
        <v>47.6</v>
      </c>
      <c r="X768">
        <v>329</v>
      </c>
      <c r="Y768">
        <v>9.1999999999999993</v>
      </c>
      <c r="Z768" t="s">
        <v>5613</v>
      </c>
      <c r="AA768">
        <v>2.8</v>
      </c>
      <c r="AB768" t="s">
        <v>5613</v>
      </c>
      <c r="AC768" t="s">
        <v>6207</v>
      </c>
    </row>
    <row r="769" spans="1:29">
      <c r="A769" t="s">
        <v>6324</v>
      </c>
      <c r="B769" t="s">
        <v>6136</v>
      </c>
      <c r="C769" t="s">
        <v>6329</v>
      </c>
      <c r="D769" t="s">
        <v>5672</v>
      </c>
      <c r="E769" t="s">
        <v>664</v>
      </c>
      <c r="F769" t="s">
        <v>5615</v>
      </c>
      <c r="G769" t="s">
        <v>5651</v>
      </c>
      <c r="I769">
        <v>3</v>
      </c>
      <c r="J769" t="s">
        <v>5926</v>
      </c>
      <c r="K769">
        <v>7.3</v>
      </c>
      <c r="L769" t="s">
        <v>5737</v>
      </c>
      <c r="M769">
        <v>13.8</v>
      </c>
      <c r="N769">
        <v>588</v>
      </c>
      <c r="O769">
        <v>49.1</v>
      </c>
      <c r="P769">
        <v>317</v>
      </c>
      <c r="Q769">
        <v>14.6</v>
      </c>
      <c r="R769">
        <v>644</v>
      </c>
      <c r="S769">
        <v>5.7</v>
      </c>
      <c r="T769" t="s">
        <v>5613</v>
      </c>
      <c r="U769">
        <v>50.2</v>
      </c>
      <c r="V769">
        <v>291</v>
      </c>
      <c r="W769">
        <v>3</v>
      </c>
      <c r="X769" t="s">
        <v>5613</v>
      </c>
      <c r="Y769">
        <v>10.4</v>
      </c>
      <c r="Z769" t="s">
        <v>5613</v>
      </c>
      <c r="AA769">
        <v>1.8</v>
      </c>
      <c r="AB769" t="s">
        <v>5613</v>
      </c>
      <c r="AC769" t="s">
        <v>6207</v>
      </c>
    </row>
    <row r="770" spans="1:29">
      <c r="A770" t="s">
        <v>6324</v>
      </c>
      <c r="B770" t="s">
        <v>6136</v>
      </c>
      <c r="C770" t="s">
        <v>1156</v>
      </c>
      <c r="D770" t="s">
        <v>5587</v>
      </c>
      <c r="E770" t="s">
        <v>29</v>
      </c>
      <c r="F770" t="s">
        <v>5593</v>
      </c>
      <c r="G770" t="s">
        <v>5594</v>
      </c>
      <c r="H770" t="s">
        <v>5590</v>
      </c>
      <c r="I770">
        <v>5</v>
      </c>
      <c r="J770" t="s">
        <v>5595</v>
      </c>
      <c r="K770">
        <v>6.7</v>
      </c>
      <c r="L770" t="s">
        <v>5737</v>
      </c>
      <c r="M770">
        <v>16.5</v>
      </c>
      <c r="N770">
        <v>521</v>
      </c>
      <c r="O770">
        <v>43.1</v>
      </c>
      <c r="P770">
        <v>365</v>
      </c>
      <c r="Q770">
        <v>13.7</v>
      </c>
      <c r="R770">
        <v>662</v>
      </c>
      <c r="S770">
        <v>15.9</v>
      </c>
      <c r="T770">
        <v>653</v>
      </c>
      <c r="U770">
        <v>3.2</v>
      </c>
      <c r="V770" t="s">
        <v>5613</v>
      </c>
      <c r="W770">
        <v>39.200000000000003</v>
      </c>
      <c r="X770">
        <v>383</v>
      </c>
      <c r="Y770">
        <v>12.4</v>
      </c>
      <c r="Z770" t="s">
        <v>5613</v>
      </c>
      <c r="AA770">
        <v>12</v>
      </c>
      <c r="AB770" t="s">
        <v>6018</v>
      </c>
      <c r="AC770" t="s">
        <v>6207</v>
      </c>
    </row>
    <row r="771" spans="1:29">
      <c r="A771" t="s">
        <v>6330</v>
      </c>
      <c r="B771" t="s">
        <v>6143</v>
      </c>
      <c r="C771" t="s">
        <v>6331</v>
      </c>
      <c r="D771" t="s">
        <v>5770</v>
      </c>
      <c r="E771" t="s">
        <v>528</v>
      </c>
      <c r="F771" t="s">
        <v>5593</v>
      </c>
      <c r="G771" t="s">
        <v>5602</v>
      </c>
      <c r="H771" t="s">
        <v>5590</v>
      </c>
      <c r="I771">
        <v>2</v>
      </c>
      <c r="J771" t="s">
        <v>5591</v>
      </c>
      <c r="K771">
        <v>11.5</v>
      </c>
      <c r="L771" t="s">
        <v>5737</v>
      </c>
      <c r="M771">
        <v>43.4</v>
      </c>
      <c r="N771">
        <v>212</v>
      </c>
      <c r="O771">
        <v>21.1</v>
      </c>
      <c r="P771">
        <v>642</v>
      </c>
      <c r="Q771">
        <v>1.3</v>
      </c>
      <c r="R771" t="s">
        <v>5613</v>
      </c>
      <c r="S771">
        <v>34.1</v>
      </c>
      <c r="T771">
        <v>463</v>
      </c>
      <c r="U771">
        <v>15.1</v>
      </c>
      <c r="V771">
        <v>619</v>
      </c>
      <c r="W771">
        <v>1.1000000000000001</v>
      </c>
      <c r="X771" t="s">
        <v>5613</v>
      </c>
      <c r="Y771">
        <v>8.1</v>
      </c>
      <c r="Z771" t="s">
        <v>5613</v>
      </c>
      <c r="AA771">
        <v>2.8</v>
      </c>
      <c r="AB771" t="s">
        <v>5613</v>
      </c>
      <c r="AC771" t="s">
        <v>6207</v>
      </c>
    </row>
    <row r="772" spans="1:29">
      <c r="A772" t="s">
        <v>6330</v>
      </c>
      <c r="B772" t="s">
        <v>6056</v>
      </c>
      <c r="C772" t="s">
        <v>6332</v>
      </c>
      <c r="D772" t="s">
        <v>6333</v>
      </c>
      <c r="E772" t="s">
        <v>2278</v>
      </c>
      <c r="F772" t="s">
        <v>5593</v>
      </c>
      <c r="G772" t="s">
        <v>5594</v>
      </c>
      <c r="H772" t="s">
        <v>5809</v>
      </c>
      <c r="I772">
        <v>5</v>
      </c>
      <c r="J772" t="s">
        <v>5595</v>
      </c>
      <c r="K772">
        <v>14.1</v>
      </c>
      <c r="L772" t="s">
        <v>5737</v>
      </c>
      <c r="M772">
        <v>5.2</v>
      </c>
      <c r="N772" t="s">
        <v>5737</v>
      </c>
      <c r="O772">
        <v>55.8</v>
      </c>
      <c r="P772">
        <v>268</v>
      </c>
      <c r="Q772">
        <v>3.4</v>
      </c>
      <c r="R772" t="s">
        <v>5613</v>
      </c>
      <c r="S772">
        <v>4.0999999999999996</v>
      </c>
      <c r="T772" t="s">
        <v>5613</v>
      </c>
      <c r="U772">
        <v>30.5</v>
      </c>
      <c r="V772">
        <v>419</v>
      </c>
      <c r="W772">
        <v>13</v>
      </c>
      <c r="X772">
        <v>625</v>
      </c>
      <c r="Y772">
        <v>32.799999999999997</v>
      </c>
      <c r="Z772">
        <v>233</v>
      </c>
      <c r="AA772">
        <v>4.0999999999999996</v>
      </c>
      <c r="AB772" t="s">
        <v>5613</v>
      </c>
      <c r="AC772" t="s">
        <v>6207</v>
      </c>
    </row>
    <row r="773" spans="1:29">
      <c r="A773" t="s">
        <v>6330</v>
      </c>
      <c r="B773" t="s">
        <v>6143</v>
      </c>
      <c r="C773" t="s">
        <v>6334</v>
      </c>
      <c r="D773" t="s">
        <v>5587</v>
      </c>
      <c r="E773" t="s">
        <v>29</v>
      </c>
      <c r="F773" t="s">
        <v>5588</v>
      </c>
      <c r="G773" t="s">
        <v>5589</v>
      </c>
      <c r="H773" t="s">
        <v>5590</v>
      </c>
      <c r="I773">
        <v>4</v>
      </c>
      <c r="J773" t="s">
        <v>5595</v>
      </c>
      <c r="K773">
        <v>11.1</v>
      </c>
      <c r="L773" t="s">
        <v>5737</v>
      </c>
      <c r="M773">
        <v>5.2</v>
      </c>
      <c r="N773" t="s">
        <v>5737</v>
      </c>
      <c r="O773">
        <v>15.5</v>
      </c>
      <c r="P773" t="s">
        <v>5613</v>
      </c>
      <c r="Q773">
        <v>19.3</v>
      </c>
      <c r="R773">
        <v>564</v>
      </c>
      <c r="S773">
        <v>26.3</v>
      </c>
      <c r="T773">
        <v>519</v>
      </c>
      <c r="U773">
        <v>46.8</v>
      </c>
      <c r="V773">
        <v>311</v>
      </c>
      <c r="W773">
        <v>2.2000000000000002</v>
      </c>
      <c r="X773" t="s">
        <v>5613</v>
      </c>
      <c r="Y773">
        <v>28.6</v>
      </c>
      <c r="Z773">
        <v>280</v>
      </c>
      <c r="AA773">
        <v>15.4</v>
      </c>
      <c r="AB773" t="s">
        <v>5893</v>
      </c>
      <c r="AC773" t="s">
        <v>6207</v>
      </c>
    </row>
    <row r="774" spans="1:29">
      <c r="A774" t="s">
        <v>6330</v>
      </c>
      <c r="B774" t="s">
        <v>6056</v>
      </c>
      <c r="C774" t="s">
        <v>2131</v>
      </c>
      <c r="D774" t="s">
        <v>5696</v>
      </c>
      <c r="E774" t="s">
        <v>5697</v>
      </c>
      <c r="F774" t="s">
        <v>5593</v>
      </c>
      <c r="G774" t="s">
        <v>5651</v>
      </c>
      <c r="I774">
        <v>4</v>
      </c>
      <c r="J774" t="s">
        <v>5595</v>
      </c>
      <c r="K774">
        <v>5.8</v>
      </c>
      <c r="L774" t="s">
        <v>5737</v>
      </c>
      <c r="M774">
        <v>4.4000000000000004</v>
      </c>
      <c r="N774" t="s">
        <v>5737</v>
      </c>
      <c r="O774">
        <v>59.7</v>
      </c>
      <c r="P774">
        <v>239</v>
      </c>
      <c r="Q774">
        <v>3.4</v>
      </c>
      <c r="R774" t="s">
        <v>5613</v>
      </c>
      <c r="S774">
        <v>9.6</v>
      </c>
      <c r="T774" t="s">
        <v>5613</v>
      </c>
      <c r="U774">
        <v>66</v>
      </c>
      <c r="V774">
        <v>228</v>
      </c>
      <c r="W774">
        <v>46.5</v>
      </c>
      <c r="X774">
        <v>334</v>
      </c>
      <c r="Y774">
        <v>4.7</v>
      </c>
      <c r="Z774" t="s">
        <v>5613</v>
      </c>
      <c r="AA774">
        <v>1.1000000000000001</v>
      </c>
      <c r="AB774" t="s">
        <v>5613</v>
      </c>
      <c r="AC774" t="s">
        <v>6207</v>
      </c>
    </row>
    <row r="775" spans="1:29">
      <c r="A775" t="s">
        <v>6330</v>
      </c>
      <c r="B775" t="s">
        <v>6143</v>
      </c>
      <c r="C775" t="s">
        <v>1339</v>
      </c>
      <c r="D775" t="s">
        <v>5770</v>
      </c>
      <c r="E775" t="s">
        <v>528</v>
      </c>
      <c r="F775" t="s">
        <v>5615</v>
      </c>
      <c r="G775" t="s">
        <v>5589</v>
      </c>
      <c r="H775" t="s">
        <v>5590</v>
      </c>
      <c r="I775">
        <v>2</v>
      </c>
      <c r="J775" t="s">
        <v>5591</v>
      </c>
      <c r="K775">
        <v>8.3000000000000007</v>
      </c>
      <c r="L775" t="s">
        <v>5737</v>
      </c>
      <c r="M775">
        <v>12.6</v>
      </c>
      <c r="N775" t="s">
        <v>5737</v>
      </c>
      <c r="O775">
        <v>7.3</v>
      </c>
      <c r="P775" t="s">
        <v>5613</v>
      </c>
      <c r="Q775">
        <v>42.4</v>
      </c>
      <c r="R775">
        <v>319</v>
      </c>
      <c r="S775">
        <v>24.2</v>
      </c>
      <c r="T775">
        <v>545</v>
      </c>
      <c r="U775">
        <v>1.7</v>
      </c>
      <c r="V775" t="s">
        <v>5613</v>
      </c>
      <c r="W775">
        <v>2.1</v>
      </c>
      <c r="X775" t="s">
        <v>5613</v>
      </c>
      <c r="Y775">
        <v>8</v>
      </c>
      <c r="Z775" t="s">
        <v>5613</v>
      </c>
      <c r="AA775">
        <v>1</v>
      </c>
      <c r="AB775" t="s">
        <v>5613</v>
      </c>
      <c r="AC775" t="s">
        <v>6207</v>
      </c>
    </row>
    <row r="776" spans="1:29">
      <c r="A776" t="s">
        <v>6330</v>
      </c>
      <c r="B776" t="s">
        <v>6049</v>
      </c>
      <c r="C776" t="s">
        <v>6335</v>
      </c>
      <c r="D776" t="s">
        <v>5707</v>
      </c>
      <c r="E776" t="s">
        <v>1613</v>
      </c>
      <c r="F776" t="s">
        <v>5593</v>
      </c>
      <c r="G776" t="s">
        <v>5589</v>
      </c>
      <c r="H776" t="s">
        <v>6146</v>
      </c>
      <c r="I776">
        <v>4</v>
      </c>
      <c r="J776" t="s">
        <v>5591</v>
      </c>
      <c r="K776">
        <v>13.4</v>
      </c>
      <c r="L776" t="s">
        <v>5737</v>
      </c>
      <c r="M776">
        <v>24.1</v>
      </c>
      <c r="N776">
        <v>399</v>
      </c>
      <c r="O776">
        <v>45.6</v>
      </c>
      <c r="P776">
        <v>344</v>
      </c>
      <c r="Q776">
        <v>1.1000000000000001</v>
      </c>
      <c r="R776" t="s">
        <v>5613</v>
      </c>
      <c r="S776">
        <v>6.7</v>
      </c>
      <c r="T776" t="s">
        <v>5613</v>
      </c>
      <c r="U776">
        <v>3.7</v>
      </c>
      <c r="V776" t="s">
        <v>5613</v>
      </c>
      <c r="W776">
        <v>1</v>
      </c>
      <c r="X776" t="s">
        <v>5613</v>
      </c>
      <c r="Y776">
        <v>49.5</v>
      </c>
      <c r="Z776">
        <v>136</v>
      </c>
      <c r="AA776">
        <v>1.2</v>
      </c>
      <c r="AB776" t="s">
        <v>5613</v>
      </c>
      <c r="AC776" t="s">
        <v>6207</v>
      </c>
    </row>
    <row r="777" spans="1:29">
      <c r="A777" t="s">
        <v>6330</v>
      </c>
      <c r="B777" t="s">
        <v>6048</v>
      </c>
      <c r="C777" t="s">
        <v>6336</v>
      </c>
      <c r="D777" t="s">
        <v>6245</v>
      </c>
      <c r="E777" t="s">
        <v>5106</v>
      </c>
      <c r="F777" t="s">
        <v>5615</v>
      </c>
      <c r="G777" t="s">
        <v>5602</v>
      </c>
      <c r="H777" t="s">
        <v>5809</v>
      </c>
      <c r="I777">
        <v>4</v>
      </c>
      <c r="J777" t="s">
        <v>5591</v>
      </c>
      <c r="K777">
        <v>11.8</v>
      </c>
      <c r="L777" t="s">
        <v>5737</v>
      </c>
      <c r="M777">
        <v>11.8</v>
      </c>
      <c r="N777" t="s">
        <v>5737</v>
      </c>
      <c r="O777">
        <v>82.6</v>
      </c>
      <c r="P777">
        <v>126</v>
      </c>
      <c r="Q777">
        <v>1.2</v>
      </c>
      <c r="R777" t="s">
        <v>5613</v>
      </c>
      <c r="S777">
        <v>17.899999999999999</v>
      </c>
      <c r="T777">
        <v>617</v>
      </c>
      <c r="U777">
        <v>1.9</v>
      </c>
      <c r="V777" t="s">
        <v>5613</v>
      </c>
      <c r="W777">
        <v>1</v>
      </c>
      <c r="X777" t="s">
        <v>5613</v>
      </c>
      <c r="Y777">
        <v>13</v>
      </c>
      <c r="Z777">
        <v>662</v>
      </c>
      <c r="AA777">
        <v>1</v>
      </c>
      <c r="AB777" t="s">
        <v>5613</v>
      </c>
      <c r="AC777" t="s">
        <v>6207</v>
      </c>
    </row>
    <row r="778" spans="1:29">
      <c r="A778" t="s">
        <v>6330</v>
      </c>
      <c r="B778" t="s">
        <v>6143</v>
      </c>
      <c r="C778" t="s">
        <v>6337</v>
      </c>
      <c r="D778" t="s">
        <v>5639</v>
      </c>
      <c r="E778" t="s">
        <v>99</v>
      </c>
      <c r="F778" t="s">
        <v>5605</v>
      </c>
      <c r="G778" t="s">
        <v>5594</v>
      </c>
      <c r="H778" t="s">
        <v>5590</v>
      </c>
      <c r="I778">
        <v>4</v>
      </c>
      <c r="J778" t="s">
        <v>5595</v>
      </c>
      <c r="K778">
        <v>11.5</v>
      </c>
      <c r="L778" t="s">
        <v>5737</v>
      </c>
      <c r="M778">
        <v>5.2</v>
      </c>
      <c r="N778" t="s">
        <v>5737</v>
      </c>
      <c r="O778">
        <v>11.4</v>
      </c>
      <c r="P778" t="s">
        <v>5613</v>
      </c>
      <c r="Q778">
        <v>11.8</v>
      </c>
      <c r="R778" t="s">
        <v>5613</v>
      </c>
      <c r="S778">
        <v>36.4</v>
      </c>
      <c r="T778">
        <v>443</v>
      </c>
      <c r="U778">
        <v>42.2</v>
      </c>
      <c r="V778">
        <v>334</v>
      </c>
      <c r="W778">
        <v>54.9</v>
      </c>
      <c r="X778">
        <v>286</v>
      </c>
      <c r="Y778">
        <v>11.5</v>
      </c>
      <c r="Z778" t="s">
        <v>5613</v>
      </c>
      <c r="AA778">
        <v>9.1999999999999993</v>
      </c>
      <c r="AB778" t="s">
        <v>6338</v>
      </c>
      <c r="AC778" t="s">
        <v>6207</v>
      </c>
    </row>
    <row r="779" spans="1:29">
      <c r="A779" t="s">
        <v>6330</v>
      </c>
      <c r="B779" t="s">
        <v>6143</v>
      </c>
      <c r="C779" t="s">
        <v>6339</v>
      </c>
      <c r="D779" t="s">
        <v>5624</v>
      </c>
      <c r="E779" t="s">
        <v>125</v>
      </c>
      <c r="F779" t="s">
        <v>5605</v>
      </c>
      <c r="G779" t="s">
        <v>5589</v>
      </c>
      <c r="H779" t="s">
        <v>5590</v>
      </c>
      <c r="I779">
        <v>5</v>
      </c>
      <c r="J779" t="s">
        <v>5595</v>
      </c>
      <c r="K779">
        <v>10.3</v>
      </c>
      <c r="L779" t="s">
        <v>5737</v>
      </c>
      <c r="M779">
        <v>2.7</v>
      </c>
      <c r="N779" t="s">
        <v>5737</v>
      </c>
      <c r="O779">
        <v>7.1</v>
      </c>
      <c r="P779" t="s">
        <v>5613</v>
      </c>
      <c r="Q779">
        <v>23.6</v>
      </c>
      <c r="R779">
        <v>505</v>
      </c>
      <c r="S779">
        <v>17.100000000000001</v>
      </c>
      <c r="T779">
        <v>625</v>
      </c>
      <c r="U779">
        <v>13.9</v>
      </c>
      <c r="V779">
        <v>642</v>
      </c>
      <c r="W779">
        <v>77.3</v>
      </c>
      <c r="X779">
        <v>161</v>
      </c>
      <c r="Y779">
        <v>6.7</v>
      </c>
      <c r="Z779" t="s">
        <v>5613</v>
      </c>
      <c r="AA779">
        <v>15.6</v>
      </c>
      <c r="AB779" t="s">
        <v>6340</v>
      </c>
      <c r="AC779" t="s">
        <v>6207</v>
      </c>
    </row>
    <row r="780" spans="1:29">
      <c r="A780" t="s">
        <v>6330</v>
      </c>
      <c r="B780" t="s">
        <v>6143</v>
      </c>
      <c r="C780" t="s">
        <v>6341</v>
      </c>
      <c r="D780" t="s">
        <v>5587</v>
      </c>
      <c r="E780" t="s">
        <v>29</v>
      </c>
      <c r="F780" t="s">
        <v>5593</v>
      </c>
      <c r="G780" t="s">
        <v>5589</v>
      </c>
      <c r="H780" t="s">
        <v>5590</v>
      </c>
      <c r="I780">
        <v>5</v>
      </c>
      <c r="J780" t="s">
        <v>5595</v>
      </c>
      <c r="K780">
        <v>8.6</v>
      </c>
      <c r="L780" t="s">
        <v>5737</v>
      </c>
      <c r="M780">
        <v>4.5</v>
      </c>
      <c r="N780" t="s">
        <v>5737</v>
      </c>
      <c r="O780">
        <v>5.3</v>
      </c>
      <c r="P780" t="s">
        <v>5613</v>
      </c>
      <c r="Q780">
        <v>41.8</v>
      </c>
      <c r="R780">
        <v>324</v>
      </c>
      <c r="S780">
        <v>4.2</v>
      </c>
      <c r="T780" t="s">
        <v>5613</v>
      </c>
      <c r="U780">
        <v>6</v>
      </c>
      <c r="V780" t="s">
        <v>5613</v>
      </c>
      <c r="W780">
        <v>23.2</v>
      </c>
      <c r="X780">
        <v>518</v>
      </c>
      <c r="Y780">
        <v>9.4</v>
      </c>
      <c r="Z780" t="s">
        <v>5613</v>
      </c>
      <c r="AA780">
        <v>23.9</v>
      </c>
      <c r="AB780" t="s">
        <v>5742</v>
      </c>
      <c r="AC780" t="s">
        <v>6207</v>
      </c>
    </row>
    <row r="781" spans="1:29">
      <c r="A781" t="s">
        <v>6330</v>
      </c>
      <c r="B781" t="s">
        <v>6143</v>
      </c>
      <c r="C781" t="s">
        <v>1850</v>
      </c>
      <c r="D781" t="s">
        <v>5592</v>
      </c>
      <c r="E781" t="s">
        <v>26</v>
      </c>
      <c r="F781" t="s">
        <v>5593</v>
      </c>
      <c r="G781" t="s">
        <v>5589</v>
      </c>
      <c r="H781" t="s">
        <v>5590</v>
      </c>
      <c r="I781">
        <v>3</v>
      </c>
      <c r="J781" t="s">
        <v>5595</v>
      </c>
      <c r="K781">
        <v>8.4</v>
      </c>
      <c r="L781" t="s">
        <v>5737</v>
      </c>
      <c r="M781">
        <v>7</v>
      </c>
      <c r="N781" t="s">
        <v>5737</v>
      </c>
      <c r="O781">
        <v>8.9</v>
      </c>
      <c r="P781" t="s">
        <v>5613</v>
      </c>
      <c r="Q781">
        <v>15.8</v>
      </c>
      <c r="R781">
        <v>622</v>
      </c>
      <c r="S781">
        <v>56.2</v>
      </c>
      <c r="T781">
        <v>330</v>
      </c>
      <c r="U781">
        <v>54.2</v>
      </c>
      <c r="V781">
        <v>270</v>
      </c>
      <c r="W781">
        <v>27.6</v>
      </c>
      <c r="X781">
        <v>473</v>
      </c>
      <c r="Y781">
        <v>11.2</v>
      </c>
      <c r="Z781" t="s">
        <v>5613</v>
      </c>
      <c r="AA781">
        <v>9.1</v>
      </c>
      <c r="AB781">
        <v>687</v>
      </c>
      <c r="AC781" t="s">
        <v>6207</v>
      </c>
    </row>
    <row r="782" spans="1:29">
      <c r="A782" t="s">
        <v>6342</v>
      </c>
      <c r="B782" t="s">
        <v>6343</v>
      </c>
      <c r="C782" t="s">
        <v>6344</v>
      </c>
      <c r="D782" t="s">
        <v>5620</v>
      </c>
      <c r="E782" t="s">
        <v>76</v>
      </c>
      <c r="F782" t="s">
        <v>5615</v>
      </c>
      <c r="G782" t="s">
        <v>5589</v>
      </c>
      <c r="H782" t="s">
        <v>5590</v>
      </c>
      <c r="K782">
        <v>3.8</v>
      </c>
      <c r="L782" t="s">
        <v>5737</v>
      </c>
      <c r="M782">
        <v>8.5</v>
      </c>
      <c r="N782" t="s">
        <v>5737</v>
      </c>
      <c r="O782">
        <v>100</v>
      </c>
      <c r="P782">
        <v>1</v>
      </c>
      <c r="Q782">
        <v>1.1000000000000001</v>
      </c>
      <c r="R782" t="s">
        <v>5613</v>
      </c>
      <c r="W782">
        <v>40.299999999999997</v>
      </c>
      <c r="X782">
        <v>374</v>
      </c>
      <c r="Y782">
        <v>7.3</v>
      </c>
      <c r="Z782" t="s">
        <v>5613</v>
      </c>
      <c r="AC782" t="s">
        <v>6207</v>
      </c>
    </row>
    <row r="783" spans="1:29">
      <c r="A783" t="s">
        <v>6342</v>
      </c>
      <c r="B783" t="s">
        <v>6143</v>
      </c>
      <c r="C783" t="s">
        <v>6345</v>
      </c>
      <c r="D783" t="s">
        <v>5616</v>
      </c>
      <c r="E783" t="s">
        <v>54</v>
      </c>
      <c r="F783" t="s">
        <v>5593</v>
      </c>
      <c r="G783" t="s">
        <v>5589</v>
      </c>
      <c r="H783" t="s">
        <v>5590</v>
      </c>
      <c r="I783">
        <v>3</v>
      </c>
      <c r="J783" t="s">
        <v>5595</v>
      </c>
      <c r="K783">
        <v>3.7</v>
      </c>
      <c r="L783" t="s">
        <v>5737</v>
      </c>
      <c r="M783">
        <v>1.6</v>
      </c>
      <c r="N783" t="s">
        <v>5737</v>
      </c>
      <c r="O783">
        <v>9.5</v>
      </c>
      <c r="P783" t="s">
        <v>5613</v>
      </c>
      <c r="Q783">
        <v>60.5</v>
      </c>
      <c r="R783">
        <v>202</v>
      </c>
      <c r="W783">
        <v>2.9</v>
      </c>
      <c r="X783" t="s">
        <v>5613</v>
      </c>
      <c r="Y783">
        <v>9</v>
      </c>
      <c r="Z783" t="s">
        <v>5613</v>
      </c>
      <c r="AA783">
        <v>3</v>
      </c>
      <c r="AB783" t="s">
        <v>5613</v>
      </c>
      <c r="AC783" t="s">
        <v>6207</v>
      </c>
    </row>
    <row r="784" spans="1:29">
      <c r="A784" t="s">
        <v>6342</v>
      </c>
      <c r="B784" t="s">
        <v>6180</v>
      </c>
      <c r="C784" t="s">
        <v>6346</v>
      </c>
      <c r="D784" t="s">
        <v>5592</v>
      </c>
      <c r="E784" t="s">
        <v>26</v>
      </c>
      <c r="F784" t="s">
        <v>5588</v>
      </c>
      <c r="G784" t="s">
        <v>5594</v>
      </c>
      <c r="H784" t="s">
        <v>5590</v>
      </c>
      <c r="I784">
        <v>4</v>
      </c>
      <c r="J784" t="s">
        <v>5595</v>
      </c>
      <c r="K784">
        <v>6.7</v>
      </c>
      <c r="L784" t="s">
        <v>5737</v>
      </c>
      <c r="M784">
        <v>4.3</v>
      </c>
      <c r="N784" t="s">
        <v>5737</v>
      </c>
      <c r="O784">
        <v>15.2</v>
      </c>
      <c r="P784" t="s">
        <v>5613</v>
      </c>
      <c r="Q784">
        <v>27.1</v>
      </c>
      <c r="R784">
        <v>462</v>
      </c>
      <c r="S784">
        <v>53.1</v>
      </c>
      <c r="T784">
        <v>344</v>
      </c>
      <c r="U784">
        <v>33.200000000000003</v>
      </c>
      <c r="V784">
        <v>391</v>
      </c>
      <c r="W784">
        <v>11.6</v>
      </c>
      <c r="X784">
        <v>642</v>
      </c>
      <c r="Y784">
        <v>10.5</v>
      </c>
      <c r="Z784" t="s">
        <v>5613</v>
      </c>
      <c r="AA784">
        <v>3.1</v>
      </c>
      <c r="AB784" t="s">
        <v>5613</v>
      </c>
      <c r="AC784" t="s">
        <v>6207</v>
      </c>
    </row>
    <row r="785" spans="1:29">
      <c r="A785" t="s">
        <v>6342</v>
      </c>
      <c r="B785" t="s">
        <v>6136</v>
      </c>
      <c r="C785" t="s">
        <v>6347</v>
      </c>
      <c r="D785" t="s">
        <v>5863</v>
      </c>
      <c r="E785" t="s">
        <v>1306</v>
      </c>
      <c r="F785" t="s">
        <v>5588</v>
      </c>
      <c r="G785" t="s">
        <v>5594</v>
      </c>
      <c r="H785" t="s">
        <v>6146</v>
      </c>
      <c r="I785">
        <v>3</v>
      </c>
      <c r="J785" t="s">
        <v>5595</v>
      </c>
      <c r="K785">
        <v>14.6</v>
      </c>
      <c r="L785">
        <v>593</v>
      </c>
      <c r="M785">
        <v>20.9</v>
      </c>
      <c r="N785">
        <v>443</v>
      </c>
      <c r="O785">
        <v>53</v>
      </c>
      <c r="P785">
        <v>294</v>
      </c>
      <c r="Q785">
        <v>1.2</v>
      </c>
      <c r="R785" t="s">
        <v>5613</v>
      </c>
      <c r="S785">
        <v>8.5</v>
      </c>
      <c r="T785" t="s">
        <v>5613</v>
      </c>
      <c r="U785">
        <v>15.5</v>
      </c>
      <c r="V785">
        <v>611</v>
      </c>
      <c r="W785">
        <v>1</v>
      </c>
      <c r="X785" t="s">
        <v>5613</v>
      </c>
      <c r="Y785">
        <v>11.6</v>
      </c>
      <c r="Z785" t="s">
        <v>5613</v>
      </c>
      <c r="AA785">
        <v>4.4000000000000004</v>
      </c>
      <c r="AB785" t="s">
        <v>5613</v>
      </c>
      <c r="AC785" t="s">
        <v>6207</v>
      </c>
    </row>
    <row r="786" spans="1:29">
      <c r="A786" t="s">
        <v>6342</v>
      </c>
      <c r="B786" t="s">
        <v>6143</v>
      </c>
      <c r="C786" t="s">
        <v>6348</v>
      </c>
      <c r="D786" t="s">
        <v>5616</v>
      </c>
      <c r="E786" t="s">
        <v>54</v>
      </c>
      <c r="F786" t="s">
        <v>5593</v>
      </c>
      <c r="G786" t="s">
        <v>5589</v>
      </c>
      <c r="H786" t="s">
        <v>5590</v>
      </c>
      <c r="I786">
        <v>3</v>
      </c>
      <c r="J786" t="s">
        <v>5595</v>
      </c>
      <c r="K786">
        <v>5.5</v>
      </c>
      <c r="L786" t="s">
        <v>5737</v>
      </c>
      <c r="M786">
        <v>1.9</v>
      </c>
      <c r="N786" t="s">
        <v>5737</v>
      </c>
      <c r="O786">
        <v>7.2</v>
      </c>
      <c r="P786" t="s">
        <v>5613</v>
      </c>
      <c r="Q786">
        <v>58.8</v>
      </c>
      <c r="R786">
        <v>215</v>
      </c>
      <c r="U786">
        <v>1.5</v>
      </c>
      <c r="V786" t="s">
        <v>5613</v>
      </c>
      <c r="W786">
        <v>6.5</v>
      </c>
      <c r="X786" t="s">
        <v>5613</v>
      </c>
      <c r="Y786">
        <v>5.3</v>
      </c>
      <c r="Z786" t="s">
        <v>5613</v>
      </c>
      <c r="AA786">
        <v>2.5</v>
      </c>
      <c r="AB786" t="s">
        <v>5613</v>
      </c>
      <c r="AC786" t="s">
        <v>6207</v>
      </c>
    </row>
    <row r="787" spans="1:29">
      <c r="A787" t="s">
        <v>6342</v>
      </c>
      <c r="B787" t="s">
        <v>6143</v>
      </c>
      <c r="C787" t="s">
        <v>6349</v>
      </c>
      <c r="D787" t="s">
        <v>5770</v>
      </c>
      <c r="E787" t="s">
        <v>528</v>
      </c>
      <c r="F787" t="s">
        <v>5588</v>
      </c>
      <c r="G787" t="s">
        <v>5602</v>
      </c>
      <c r="H787" t="s">
        <v>5590</v>
      </c>
      <c r="I787">
        <v>4</v>
      </c>
      <c r="J787" t="s">
        <v>5595</v>
      </c>
      <c r="K787">
        <v>3.7</v>
      </c>
      <c r="L787" t="s">
        <v>5737</v>
      </c>
      <c r="M787">
        <v>2.7</v>
      </c>
      <c r="N787" t="s">
        <v>5737</v>
      </c>
      <c r="O787">
        <v>11.8</v>
      </c>
      <c r="P787" t="s">
        <v>5613</v>
      </c>
      <c r="Q787">
        <v>58.9</v>
      </c>
      <c r="R787">
        <v>214</v>
      </c>
      <c r="U787">
        <v>2.1</v>
      </c>
      <c r="V787" t="s">
        <v>5613</v>
      </c>
      <c r="W787">
        <v>1.5</v>
      </c>
      <c r="X787" t="s">
        <v>5613</v>
      </c>
      <c r="Y787">
        <v>7.7</v>
      </c>
      <c r="Z787" t="s">
        <v>5613</v>
      </c>
      <c r="AA787">
        <v>1.1000000000000001</v>
      </c>
      <c r="AB787" t="s">
        <v>5613</v>
      </c>
      <c r="AC787" t="s">
        <v>6207</v>
      </c>
    </row>
    <row r="788" spans="1:29">
      <c r="A788" t="s">
        <v>6342</v>
      </c>
      <c r="B788" t="s">
        <v>6180</v>
      </c>
      <c r="C788" t="s">
        <v>1125</v>
      </c>
      <c r="D788" t="s">
        <v>5587</v>
      </c>
      <c r="E788" t="s">
        <v>29</v>
      </c>
      <c r="F788" t="s">
        <v>5593</v>
      </c>
      <c r="G788" t="s">
        <v>5589</v>
      </c>
      <c r="H788" t="s">
        <v>5590</v>
      </c>
      <c r="I788">
        <v>5</v>
      </c>
      <c r="J788" t="s">
        <v>5591</v>
      </c>
      <c r="K788">
        <v>13.6</v>
      </c>
      <c r="L788" t="s">
        <v>5737</v>
      </c>
      <c r="M788">
        <v>9.6</v>
      </c>
      <c r="N788" t="s">
        <v>5737</v>
      </c>
      <c r="O788">
        <v>11.8</v>
      </c>
      <c r="P788" t="s">
        <v>5613</v>
      </c>
      <c r="Q788">
        <v>13.7</v>
      </c>
      <c r="R788">
        <v>661</v>
      </c>
      <c r="S788">
        <v>4.8</v>
      </c>
      <c r="T788" t="s">
        <v>5613</v>
      </c>
      <c r="U788">
        <v>44.1</v>
      </c>
      <c r="V788">
        <v>328</v>
      </c>
      <c r="W788">
        <v>11.1</v>
      </c>
      <c r="X788">
        <v>650</v>
      </c>
      <c r="Y788">
        <v>30.2</v>
      </c>
      <c r="Z788">
        <v>256</v>
      </c>
      <c r="AA788">
        <v>23</v>
      </c>
      <c r="AB788" t="s">
        <v>5960</v>
      </c>
      <c r="AC788" t="s">
        <v>6207</v>
      </c>
    </row>
    <row r="789" spans="1:29">
      <c r="A789" t="s">
        <v>6342</v>
      </c>
      <c r="B789" t="s">
        <v>6048</v>
      </c>
      <c r="C789" t="s">
        <v>6350</v>
      </c>
      <c r="D789" t="s">
        <v>5644</v>
      </c>
      <c r="E789" t="s">
        <v>181</v>
      </c>
      <c r="F789" t="s">
        <v>5588</v>
      </c>
      <c r="G789" t="s">
        <v>5594</v>
      </c>
      <c r="H789" t="s">
        <v>5590</v>
      </c>
      <c r="I789">
        <v>3</v>
      </c>
      <c r="J789" t="s">
        <v>5591</v>
      </c>
      <c r="K789">
        <v>3.6</v>
      </c>
      <c r="L789" t="s">
        <v>5737</v>
      </c>
      <c r="M789">
        <v>2.7</v>
      </c>
      <c r="N789" t="s">
        <v>5737</v>
      </c>
      <c r="O789">
        <v>99</v>
      </c>
      <c r="P789">
        <v>37</v>
      </c>
      <c r="Q789">
        <v>12</v>
      </c>
      <c r="R789">
        <v>700</v>
      </c>
      <c r="S789">
        <v>3.3</v>
      </c>
      <c r="T789" t="s">
        <v>5613</v>
      </c>
      <c r="U789">
        <v>13</v>
      </c>
      <c r="V789">
        <v>662</v>
      </c>
      <c r="W789">
        <v>1</v>
      </c>
      <c r="X789" t="s">
        <v>5613</v>
      </c>
      <c r="Y789">
        <v>7.2</v>
      </c>
      <c r="Z789" t="s">
        <v>5613</v>
      </c>
      <c r="AA789">
        <v>1.1000000000000001</v>
      </c>
      <c r="AB789" t="s">
        <v>5613</v>
      </c>
      <c r="AC789" t="s">
        <v>6207</v>
      </c>
    </row>
    <row r="790" spans="1:29">
      <c r="A790" t="s">
        <v>6342</v>
      </c>
      <c r="B790" t="s">
        <v>6143</v>
      </c>
      <c r="C790" t="s">
        <v>6351</v>
      </c>
      <c r="D790" t="s">
        <v>5672</v>
      </c>
      <c r="E790" t="s">
        <v>664</v>
      </c>
      <c r="F790" t="s">
        <v>5588</v>
      </c>
      <c r="G790" t="s">
        <v>5651</v>
      </c>
      <c r="I790">
        <v>2</v>
      </c>
      <c r="J790" t="s">
        <v>5595</v>
      </c>
      <c r="K790">
        <v>10.1</v>
      </c>
      <c r="L790" t="s">
        <v>5737</v>
      </c>
      <c r="M790">
        <v>7.1</v>
      </c>
      <c r="N790" t="s">
        <v>5737</v>
      </c>
      <c r="O790">
        <v>15.2</v>
      </c>
      <c r="P790" t="s">
        <v>5613</v>
      </c>
      <c r="Q790">
        <v>28.3</v>
      </c>
      <c r="R790">
        <v>450</v>
      </c>
      <c r="S790">
        <v>23.6</v>
      </c>
      <c r="T790">
        <v>558</v>
      </c>
      <c r="U790">
        <v>9.6999999999999993</v>
      </c>
      <c r="V790" t="s">
        <v>5613</v>
      </c>
      <c r="W790">
        <v>5.9</v>
      </c>
      <c r="X790" t="s">
        <v>5613</v>
      </c>
      <c r="Y790">
        <v>9.9</v>
      </c>
      <c r="Z790" t="s">
        <v>5613</v>
      </c>
      <c r="AA790">
        <v>28.4</v>
      </c>
      <c r="AB790" t="s">
        <v>6002</v>
      </c>
      <c r="AC790" t="s">
        <v>6207</v>
      </c>
    </row>
    <row r="791" spans="1:29">
      <c r="A791" t="s">
        <v>6342</v>
      </c>
      <c r="B791" t="s">
        <v>6122</v>
      </c>
      <c r="C791" t="s">
        <v>1173</v>
      </c>
      <c r="D791" t="s">
        <v>5587</v>
      </c>
      <c r="E791" t="s">
        <v>29</v>
      </c>
      <c r="F791" t="s">
        <v>5615</v>
      </c>
      <c r="G791" t="s">
        <v>5589</v>
      </c>
      <c r="H791" t="s">
        <v>5590</v>
      </c>
      <c r="J791" t="s">
        <v>5595</v>
      </c>
      <c r="K791">
        <v>3.1</v>
      </c>
      <c r="L791" t="s">
        <v>5737</v>
      </c>
      <c r="M791">
        <v>3.2</v>
      </c>
      <c r="N791" t="s">
        <v>5737</v>
      </c>
      <c r="O791">
        <v>99.6</v>
      </c>
      <c r="P791">
        <v>30</v>
      </c>
      <c r="Q791">
        <v>13.4</v>
      </c>
      <c r="R791">
        <v>670</v>
      </c>
      <c r="S791">
        <v>6.7</v>
      </c>
      <c r="T791" t="s">
        <v>5613</v>
      </c>
      <c r="U791">
        <v>3.1</v>
      </c>
      <c r="V791" t="s">
        <v>5613</v>
      </c>
      <c r="W791">
        <v>4.5999999999999996</v>
      </c>
      <c r="X791" t="s">
        <v>5613</v>
      </c>
      <c r="Y791">
        <v>8.4</v>
      </c>
      <c r="Z791" t="s">
        <v>5613</v>
      </c>
      <c r="AC791" t="s">
        <v>6207</v>
      </c>
    </row>
    <row r="792" spans="1:29">
      <c r="A792" t="s">
        <v>6352</v>
      </c>
      <c r="B792" t="s">
        <v>6136</v>
      </c>
      <c r="C792" t="s">
        <v>1399</v>
      </c>
      <c r="D792" t="s">
        <v>5587</v>
      </c>
      <c r="E792" t="s">
        <v>29</v>
      </c>
      <c r="F792" t="s">
        <v>5588</v>
      </c>
      <c r="G792" t="s">
        <v>5589</v>
      </c>
      <c r="H792" t="s">
        <v>5809</v>
      </c>
      <c r="I792">
        <v>5</v>
      </c>
      <c r="J792" t="s">
        <v>5591</v>
      </c>
      <c r="K792">
        <v>16.2</v>
      </c>
      <c r="L792">
        <v>542</v>
      </c>
      <c r="M792">
        <v>22.8</v>
      </c>
      <c r="N792">
        <v>418</v>
      </c>
      <c r="O792">
        <v>30</v>
      </c>
      <c r="P792">
        <v>522</v>
      </c>
      <c r="Q792">
        <v>4.0999999999999996</v>
      </c>
      <c r="R792" t="s">
        <v>5613</v>
      </c>
      <c r="S792">
        <v>3</v>
      </c>
      <c r="T792" t="s">
        <v>5613</v>
      </c>
      <c r="U792">
        <v>15.6</v>
      </c>
      <c r="V792">
        <v>610</v>
      </c>
      <c r="W792">
        <v>1.2</v>
      </c>
      <c r="X792" t="s">
        <v>5613</v>
      </c>
      <c r="Y792">
        <v>33.299999999999997</v>
      </c>
      <c r="Z792">
        <v>231</v>
      </c>
      <c r="AA792">
        <v>3</v>
      </c>
      <c r="AB792" t="s">
        <v>5613</v>
      </c>
      <c r="AC792" t="s">
        <v>6207</v>
      </c>
    </row>
    <row r="793" spans="1:29">
      <c r="A793" t="s">
        <v>6352</v>
      </c>
      <c r="B793" t="s">
        <v>6143</v>
      </c>
      <c r="C793" t="s">
        <v>1888</v>
      </c>
      <c r="D793" t="s">
        <v>5587</v>
      </c>
      <c r="E793" t="s">
        <v>29</v>
      </c>
      <c r="F793" t="s">
        <v>5615</v>
      </c>
      <c r="G793" t="s">
        <v>5589</v>
      </c>
      <c r="H793" t="s">
        <v>5590</v>
      </c>
      <c r="I793">
        <v>5</v>
      </c>
      <c r="J793" t="s">
        <v>5591</v>
      </c>
      <c r="K793">
        <v>1.6</v>
      </c>
      <c r="L793" t="s">
        <v>5737</v>
      </c>
      <c r="M793">
        <v>2.4</v>
      </c>
      <c r="N793" t="s">
        <v>5737</v>
      </c>
      <c r="O793">
        <v>16.899999999999999</v>
      </c>
      <c r="P793" t="s">
        <v>5613</v>
      </c>
      <c r="Q793">
        <v>39</v>
      </c>
      <c r="R793">
        <v>351</v>
      </c>
      <c r="S793">
        <v>64.7</v>
      </c>
      <c r="T793">
        <v>297</v>
      </c>
      <c r="U793">
        <v>8.6</v>
      </c>
      <c r="V793" t="s">
        <v>5613</v>
      </c>
      <c r="W793">
        <v>2.6</v>
      </c>
      <c r="X793" t="s">
        <v>5613</v>
      </c>
      <c r="Y793">
        <v>10.7</v>
      </c>
      <c r="Z793" t="s">
        <v>5613</v>
      </c>
      <c r="AA793">
        <v>1.2</v>
      </c>
      <c r="AB793" t="s">
        <v>5613</v>
      </c>
      <c r="AC793" t="s">
        <v>6207</v>
      </c>
    </row>
    <row r="794" spans="1:29">
      <c r="A794" t="s">
        <v>6352</v>
      </c>
      <c r="B794" t="s">
        <v>6143</v>
      </c>
      <c r="C794" t="s">
        <v>3431</v>
      </c>
      <c r="D794" t="s">
        <v>5872</v>
      </c>
      <c r="E794" t="s">
        <v>1955</v>
      </c>
      <c r="F794" t="s">
        <v>5605</v>
      </c>
      <c r="G794" t="s">
        <v>5594</v>
      </c>
      <c r="H794" t="s">
        <v>5809</v>
      </c>
      <c r="I794">
        <v>4</v>
      </c>
      <c r="J794" t="s">
        <v>5595</v>
      </c>
      <c r="K794">
        <v>17.2</v>
      </c>
      <c r="L794">
        <v>517</v>
      </c>
      <c r="M794">
        <v>33.9</v>
      </c>
      <c r="N794">
        <v>289</v>
      </c>
      <c r="O794">
        <v>15.7</v>
      </c>
      <c r="P794" t="s">
        <v>5613</v>
      </c>
      <c r="Q794">
        <v>1.4</v>
      </c>
      <c r="R794" t="s">
        <v>5613</v>
      </c>
      <c r="S794">
        <v>22.8</v>
      </c>
      <c r="T794">
        <v>566</v>
      </c>
      <c r="U794">
        <v>2.8</v>
      </c>
      <c r="V794" t="s">
        <v>5613</v>
      </c>
      <c r="W794">
        <v>1</v>
      </c>
      <c r="X794" t="s">
        <v>5613</v>
      </c>
      <c r="Y794">
        <v>15</v>
      </c>
      <c r="Z794">
        <v>558</v>
      </c>
      <c r="AA794">
        <v>13.1</v>
      </c>
      <c r="AB794">
        <v>634</v>
      </c>
      <c r="AC794" t="s">
        <v>6207</v>
      </c>
    </row>
    <row r="795" spans="1:29">
      <c r="A795" t="s">
        <v>6352</v>
      </c>
      <c r="B795" t="s">
        <v>6180</v>
      </c>
      <c r="C795" t="s">
        <v>6353</v>
      </c>
      <c r="D795" t="s">
        <v>5710</v>
      </c>
      <c r="E795" t="s">
        <v>3726</v>
      </c>
      <c r="F795" t="s">
        <v>5615</v>
      </c>
      <c r="G795" t="s">
        <v>5602</v>
      </c>
      <c r="H795" t="s">
        <v>5809</v>
      </c>
      <c r="I795">
        <v>4</v>
      </c>
      <c r="J795" t="s">
        <v>5591</v>
      </c>
      <c r="K795">
        <v>9</v>
      </c>
      <c r="L795" t="s">
        <v>5737</v>
      </c>
      <c r="M795">
        <v>38.799999999999997</v>
      </c>
      <c r="N795">
        <v>251</v>
      </c>
      <c r="O795">
        <v>35.200000000000003</v>
      </c>
      <c r="P795">
        <v>449</v>
      </c>
      <c r="Q795">
        <v>1.4</v>
      </c>
      <c r="R795" t="s">
        <v>5613</v>
      </c>
      <c r="S795">
        <v>26.7</v>
      </c>
      <c r="T795">
        <v>512</v>
      </c>
      <c r="U795">
        <v>13.5</v>
      </c>
      <c r="V795">
        <v>652</v>
      </c>
      <c r="W795">
        <v>1</v>
      </c>
      <c r="X795" t="s">
        <v>5613</v>
      </c>
      <c r="Y795">
        <v>6.6</v>
      </c>
      <c r="Z795" t="s">
        <v>5613</v>
      </c>
      <c r="AC795" t="s">
        <v>6207</v>
      </c>
    </row>
    <row r="796" spans="1:29">
      <c r="A796" t="s">
        <v>6352</v>
      </c>
      <c r="B796" t="s">
        <v>6180</v>
      </c>
      <c r="C796" t="s">
        <v>6354</v>
      </c>
      <c r="D796" t="s">
        <v>5616</v>
      </c>
      <c r="E796" t="s">
        <v>54</v>
      </c>
      <c r="F796" t="s">
        <v>5605</v>
      </c>
      <c r="G796" t="s">
        <v>5589</v>
      </c>
      <c r="H796" t="s">
        <v>5590</v>
      </c>
      <c r="I796">
        <v>5</v>
      </c>
      <c r="J796" t="s">
        <v>5595</v>
      </c>
      <c r="K796">
        <v>8.3000000000000007</v>
      </c>
      <c r="L796" t="s">
        <v>5737</v>
      </c>
      <c r="M796">
        <v>2.2999999999999998</v>
      </c>
      <c r="N796" t="s">
        <v>5737</v>
      </c>
      <c r="O796">
        <v>26.3</v>
      </c>
      <c r="P796">
        <v>566</v>
      </c>
      <c r="Q796">
        <v>38.1</v>
      </c>
      <c r="R796">
        <v>366</v>
      </c>
      <c r="S796">
        <v>2.5</v>
      </c>
      <c r="T796" t="s">
        <v>5613</v>
      </c>
      <c r="U796">
        <v>1.6</v>
      </c>
      <c r="V796" t="s">
        <v>5613</v>
      </c>
      <c r="W796">
        <v>15.3</v>
      </c>
      <c r="X796">
        <v>594</v>
      </c>
      <c r="Y796">
        <v>6.2</v>
      </c>
      <c r="Z796" t="s">
        <v>5613</v>
      </c>
      <c r="AA796">
        <v>9.8000000000000007</v>
      </c>
      <c r="AB796" t="s">
        <v>6210</v>
      </c>
      <c r="AC796" t="s">
        <v>6207</v>
      </c>
    </row>
    <row r="797" spans="1:29">
      <c r="A797" t="s">
        <v>6352</v>
      </c>
      <c r="B797" t="s">
        <v>6056</v>
      </c>
      <c r="C797" t="s">
        <v>2488</v>
      </c>
      <c r="D797" t="s">
        <v>5696</v>
      </c>
      <c r="E797" t="s">
        <v>5697</v>
      </c>
      <c r="F797" t="s">
        <v>5593</v>
      </c>
      <c r="G797" t="s">
        <v>5651</v>
      </c>
      <c r="I797">
        <v>5</v>
      </c>
      <c r="J797" t="s">
        <v>5595</v>
      </c>
      <c r="K797">
        <v>12.6</v>
      </c>
      <c r="L797" t="s">
        <v>5737</v>
      </c>
      <c r="M797">
        <v>14.3</v>
      </c>
      <c r="N797">
        <v>574</v>
      </c>
      <c r="O797">
        <v>49.6</v>
      </c>
      <c r="P797">
        <v>312</v>
      </c>
      <c r="Q797">
        <v>2.8</v>
      </c>
      <c r="R797" t="s">
        <v>5613</v>
      </c>
      <c r="S797">
        <v>6</v>
      </c>
      <c r="T797" t="s">
        <v>5613</v>
      </c>
      <c r="U797">
        <v>21.2</v>
      </c>
      <c r="V797">
        <v>530</v>
      </c>
      <c r="W797">
        <v>5.8</v>
      </c>
      <c r="X797" t="s">
        <v>5613</v>
      </c>
      <c r="Y797">
        <v>30.1</v>
      </c>
      <c r="Z797">
        <v>258</v>
      </c>
      <c r="AA797">
        <v>7.5</v>
      </c>
      <c r="AB797" t="s">
        <v>5613</v>
      </c>
      <c r="AC797" t="s">
        <v>6207</v>
      </c>
    </row>
    <row r="798" spans="1:29">
      <c r="A798" t="s">
        <v>6352</v>
      </c>
      <c r="B798" t="s">
        <v>6136</v>
      </c>
      <c r="C798" t="s">
        <v>6355</v>
      </c>
      <c r="D798" t="s">
        <v>5589</v>
      </c>
      <c r="E798" t="s">
        <v>1820</v>
      </c>
      <c r="F798" t="s">
        <v>5588</v>
      </c>
      <c r="G798" t="s">
        <v>5594</v>
      </c>
      <c r="H798" t="s">
        <v>6146</v>
      </c>
      <c r="I798">
        <v>3</v>
      </c>
      <c r="J798" t="s">
        <v>5591</v>
      </c>
      <c r="K798">
        <v>19.399999999999999</v>
      </c>
      <c r="L798">
        <v>459</v>
      </c>
      <c r="M798">
        <v>39.1</v>
      </c>
      <c r="N798">
        <v>242</v>
      </c>
      <c r="O798">
        <v>15.4</v>
      </c>
      <c r="P798" t="s">
        <v>5613</v>
      </c>
      <c r="Q798">
        <v>2</v>
      </c>
      <c r="R798" t="s">
        <v>5613</v>
      </c>
      <c r="S798">
        <v>6.7</v>
      </c>
      <c r="T798" t="s">
        <v>5613</v>
      </c>
      <c r="U798">
        <v>3.3</v>
      </c>
      <c r="V798" t="s">
        <v>5613</v>
      </c>
      <c r="W798">
        <v>1</v>
      </c>
      <c r="X798" t="s">
        <v>5613</v>
      </c>
      <c r="Y798">
        <v>11.3</v>
      </c>
      <c r="Z798" t="s">
        <v>5613</v>
      </c>
      <c r="AA798">
        <v>3.7</v>
      </c>
      <c r="AB798" t="s">
        <v>5613</v>
      </c>
      <c r="AC798" t="s">
        <v>6207</v>
      </c>
    </row>
    <row r="799" spans="1:29">
      <c r="A799" t="s">
        <v>6352</v>
      </c>
      <c r="B799" t="s">
        <v>6143</v>
      </c>
      <c r="C799" t="s">
        <v>966</v>
      </c>
      <c r="D799" t="s">
        <v>5747</v>
      </c>
      <c r="E799" t="s">
        <v>397</v>
      </c>
      <c r="F799" t="s">
        <v>5588</v>
      </c>
      <c r="G799" t="s">
        <v>5602</v>
      </c>
      <c r="H799" t="s">
        <v>5590</v>
      </c>
      <c r="I799">
        <v>3</v>
      </c>
      <c r="J799" t="s">
        <v>5595</v>
      </c>
      <c r="K799">
        <v>3.9</v>
      </c>
      <c r="L799" t="s">
        <v>5737</v>
      </c>
      <c r="M799">
        <v>2.1</v>
      </c>
      <c r="N799" t="s">
        <v>5737</v>
      </c>
      <c r="O799">
        <v>6.8</v>
      </c>
      <c r="P799" t="s">
        <v>5613</v>
      </c>
      <c r="Q799">
        <v>50.4</v>
      </c>
      <c r="R799">
        <v>261</v>
      </c>
      <c r="S799">
        <v>2.6</v>
      </c>
      <c r="T799" t="s">
        <v>5613</v>
      </c>
      <c r="U799">
        <v>6.9</v>
      </c>
      <c r="V799" t="s">
        <v>5613</v>
      </c>
      <c r="W799">
        <v>9</v>
      </c>
      <c r="X799">
        <v>698</v>
      </c>
      <c r="Y799">
        <v>8.8000000000000007</v>
      </c>
      <c r="Z799" t="s">
        <v>5613</v>
      </c>
      <c r="AA799">
        <v>24.8</v>
      </c>
      <c r="AB799" t="s">
        <v>6030</v>
      </c>
      <c r="AC799" t="s">
        <v>6207</v>
      </c>
    </row>
    <row r="800" spans="1:29">
      <c r="A800" t="s">
        <v>6352</v>
      </c>
      <c r="B800" t="s">
        <v>6143</v>
      </c>
      <c r="C800" t="s">
        <v>6356</v>
      </c>
      <c r="D800" t="s">
        <v>5959</v>
      </c>
      <c r="E800" t="s">
        <v>1102</v>
      </c>
      <c r="F800" t="s">
        <v>5593</v>
      </c>
      <c r="G800" t="s">
        <v>5602</v>
      </c>
      <c r="H800" t="s">
        <v>5590</v>
      </c>
      <c r="I800">
        <v>4</v>
      </c>
      <c r="J800" t="s">
        <v>5595</v>
      </c>
      <c r="K800">
        <v>8.9</v>
      </c>
      <c r="L800" t="s">
        <v>5737</v>
      </c>
      <c r="M800">
        <v>44.8</v>
      </c>
      <c r="N800">
        <v>197</v>
      </c>
      <c r="O800">
        <v>16.399999999999999</v>
      </c>
      <c r="P800" t="s">
        <v>5613</v>
      </c>
      <c r="Q800">
        <v>5.7</v>
      </c>
      <c r="R800" t="s">
        <v>5613</v>
      </c>
      <c r="S800">
        <v>1.1000000000000001</v>
      </c>
      <c r="T800" t="s">
        <v>5613</v>
      </c>
      <c r="U800">
        <v>3.6</v>
      </c>
      <c r="V800" t="s">
        <v>5613</v>
      </c>
      <c r="W800">
        <v>2.1</v>
      </c>
      <c r="X800" t="s">
        <v>5613</v>
      </c>
      <c r="Y800">
        <v>16.8</v>
      </c>
      <c r="Z800">
        <v>501</v>
      </c>
      <c r="AA800">
        <v>27.3</v>
      </c>
      <c r="AB800" t="s">
        <v>6320</v>
      </c>
      <c r="AC800" t="s">
        <v>6207</v>
      </c>
    </row>
    <row r="801" spans="1:29">
      <c r="A801" t="s">
        <v>6352</v>
      </c>
      <c r="B801" t="s">
        <v>6143</v>
      </c>
      <c r="C801" t="s">
        <v>2096</v>
      </c>
      <c r="D801" t="s">
        <v>5989</v>
      </c>
      <c r="E801" t="s">
        <v>1220</v>
      </c>
      <c r="F801" t="s">
        <v>5593</v>
      </c>
      <c r="G801" t="s">
        <v>5594</v>
      </c>
      <c r="H801" t="s">
        <v>5809</v>
      </c>
      <c r="I801">
        <v>4</v>
      </c>
      <c r="J801" t="s">
        <v>5595</v>
      </c>
      <c r="K801">
        <v>12.1</v>
      </c>
      <c r="L801" t="s">
        <v>5737</v>
      </c>
      <c r="M801">
        <v>17.7</v>
      </c>
      <c r="N801">
        <v>496</v>
      </c>
      <c r="O801">
        <v>2.7</v>
      </c>
      <c r="P801" t="s">
        <v>5613</v>
      </c>
      <c r="Q801">
        <v>24</v>
      </c>
      <c r="R801">
        <v>501</v>
      </c>
      <c r="S801">
        <v>1.5</v>
      </c>
      <c r="T801" t="s">
        <v>5613</v>
      </c>
      <c r="U801">
        <v>5.0999999999999996</v>
      </c>
      <c r="V801" t="s">
        <v>5613</v>
      </c>
      <c r="W801">
        <v>12.4</v>
      </c>
      <c r="X801">
        <v>631</v>
      </c>
      <c r="Y801">
        <v>8.4</v>
      </c>
      <c r="Z801" t="s">
        <v>5613</v>
      </c>
      <c r="AA801">
        <v>41.1</v>
      </c>
      <c r="AB801" t="s">
        <v>6152</v>
      </c>
      <c r="AC801" t="s">
        <v>6207</v>
      </c>
    </row>
    <row r="802" spans="1:29">
      <c r="A802" t="s">
        <v>6357</v>
      </c>
      <c r="C802" t="s">
        <v>4108</v>
      </c>
      <c r="D802" t="s">
        <v>6134</v>
      </c>
      <c r="E802" t="s">
        <v>1554</v>
      </c>
      <c r="F802" t="s">
        <v>5588</v>
      </c>
      <c r="G802" t="s">
        <v>5602</v>
      </c>
      <c r="H802" t="s">
        <v>5809</v>
      </c>
      <c r="I802">
        <v>3</v>
      </c>
      <c r="J802" t="s">
        <v>5591</v>
      </c>
      <c r="K802">
        <v>6.8</v>
      </c>
      <c r="L802" t="s">
        <v>5737</v>
      </c>
      <c r="M802">
        <v>5.9</v>
      </c>
      <c r="N802" t="s">
        <v>5737</v>
      </c>
      <c r="O802">
        <v>9.3000000000000007</v>
      </c>
      <c r="P802" t="s">
        <v>5613</v>
      </c>
      <c r="Q802">
        <v>2.2999999999999998</v>
      </c>
      <c r="R802" t="s">
        <v>5613</v>
      </c>
      <c r="S802">
        <v>72.900000000000006</v>
      </c>
      <c r="T802">
        <v>262</v>
      </c>
      <c r="U802">
        <v>100</v>
      </c>
      <c r="V802">
        <v>25</v>
      </c>
      <c r="W802">
        <v>1</v>
      </c>
      <c r="X802" t="s">
        <v>5613</v>
      </c>
      <c r="Y802">
        <v>10.4</v>
      </c>
      <c r="Z802" t="s">
        <v>5613</v>
      </c>
      <c r="AA802">
        <v>1.6</v>
      </c>
      <c r="AB802" t="s">
        <v>5613</v>
      </c>
      <c r="AC802" t="s">
        <v>6207</v>
      </c>
    </row>
    <row r="803" spans="1:29">
      <c r="A803" t="s">
        <v>6357</v>
      </c>
      <c r="B803" t="s">
        <v>6079</v>
      </c>
      <c r="C803" t="s">
        <v>4159</v>
      </c>
      <c r="D803" t="s">
        <v>5863</v>
      </c>
      <c r="E803" t="s">
        <v>1306</v>
      </c>
      <c r="F803" t="s">
        <v>5588</v>
      </c>
      <c r="G803" t="s">
        <v>5602</v>
      </c>
      <c r="H803" t="s">
        <v>5809</v>
      </c>
      <c r="I803">
        <v>4</v>
      </c>
      <c r="J803" t="s">
        <v>5595</v>
      </c>
      <c r="K803">
        <v>5.0999999999999996</v>
      </c>
      <c r="L803" t="s">
        <v>5737</v>
      </c>
      <c r="M803">
        <v>3.3</v>
      </c>
      <c r="N803" t="s">
        <v>5737</v>
      </c>
      <c r="O803">
        <v>92.1</v>
      </c>
      <c r="P803">
        <v>75</v>
      </c>
      <c r="Q803">
        <v>1</v>
      </c>
      <c r="R803" t="s">
        <v>5613</v>
      </c>
      <c r="S803">
        <v>26</v>
      </c>
      <c r="T803">
        <v>523</v>
      </c>
      <c r="U803">
        <v>5.2</v>
      </c>
      <c r="V803" t="s">
        <v>5613</v>
      </c>
      <c r="W803">
        <v>1</v>
      </c>
      <c r="X803" t="s">
        <v>5613</v>
      </c>
      <c r="Y803">
        <v>11.8</v>
      </c>
      <c r="Z803" t="s">
        <v>5613</v>
      </c>
      <c r="AA803">
        <v>1</v>
      </c>
      <c r="AB803" t="s">
        <v>5613</v>
      </c>
      <c r="AC803" t="s">
        <v>6207</v>
      </c>
    </row>
    <row r="804" spans="1:29">
      <c r="A804" t="s">
        <v>6357</v>
      </c>
      <c r="B804" t="s">
        <v>6240</v>
      </c>
      <c r="C804" t="s">
        <v>1186</v>
      </c>
      <c r="D804" t="s">
        <v>5587</v>
      </c>
      <c r="E804" t="s">
        <v>29</v>
      </c>
      <c r="F804" t="s">
        <v>5593</v>
      </c>
      <c r="G804" t="s">
        <v>5589</v>
      </c>
      <c r="H804" t="s">
        <v>5590</v>
      </c>
      <c r="I804">
        <v>4</v>
      </c>
      <c r="J804" t="s">
        <v>5595</v>
      </c>
      <c r="K804">
        <v>7.2</v>
      </c>
      <c r="L804" t="s">
        <v>5737</v>
      </c>
      <c r="M804">
        <v>8.5</v>
      </c>
      <c r="N804" t="s">
        <v>5737</v>
      </c>
      <c r="O804">
        <v>7.4</v>
      </c>
      <c r="P804" t="s">
        <v>5613</v>
      </c>
      <c r="Q804">
        <v>19</v>
      </c>
      <c r="R804">
        <v>568</v>
      </c>
      <c r="S804">
        <v>23.9</v>
      </c>
      <c r="T804">
        <v>551</v>
      </c>
      <c r="U804">
        <v>7.8</v>
      </c>
      <c r="V804" t="s">
        <v>5613</v>
      </c>
      <c r="W804">
        <v>14.3</v>
      </c>
      <c r="X804">
        <v>610</v>
      </c>
      <c r="Y804">
        <v>17.399999999999999</v>
      </c>
      <c r="Z804">
        <v>479</v>
      </c>
      <c r="AA804">
        <v>53.4</v>
      </c>
      <c r="AB804" t="s">
        <v>5727</v>
      </c>
      <c r="AC804" t="s">
        <v>6207</v>
      </c>
    </row>
    <row r="805" spans="1:29">
      <c r="A805" t="s">
        <v>6357</v>
      </c>
      <c r="B805" t="s">
        <v>6143</v>
      </c>
      <c r="C805" t="s">
        <v>955</v>
      </c>
      <c r="D805" t="s">
        <v>5612</v>
      </c>
      <c r="E805" t="s">
        <v>116</v>
      </c>
      <c r="F805" t="s">
        <v>5593</v>
      </c>
      <c r="G805" t="s">
        <v>5589</v>
      </c>
      <c r="H805" t="s">
        <v>5590</v>
      </c>
      <c r="I805">
        <v>3</v>
      </c>
      <c r="J805" t="s">
        <v>5595</v>
      </c>
      <c r="K805">
        <v>8.3000000000000007</v>
      </c>
      <c r="L805" t="s">
        <v>5737</v>
      </c>
      <c r="M805">
        <v>10.5</v>
      </c>
      <c r="N805" t="s">
        <v>5737</v>
      </c>
      <c r="O805">
        <v>4.7</v>
      </c>
      <c r="P805" t="s">
        <v>5613</v>
      </c>
      <c r="Q805">
        <v>13.5</v>
      </c>
      <c r="R805">
        <v>669</v>
      </c>
      <c r="S805">
        <v>70.2</v>
      </c>
      <c r="T805">
        <v>277</v>
      </c>
      <c r="U805">
        <v>43.2</v>
      </c>
      <c r="V805">
        <v>333</v>
      </c>
      <c r="W805">
        <v>3.2</v>
      </c>
      <c r="X805" t="s">
        <v>5613</v>
      </c>
      <c r="Y805">
        <v>8.1</v>
      </c>
      <c r="Z805" t="s">
        <v>5613</v>
      </c>
      <c r="AA805">
        <v>4.7</v>
      </c>
      <c r="AB805" t="s">
        <v>5613</v>
      </c>
      <c r="AC805" t="s">
        <v>6207</v>
      </c>
    </row>
    <row r="806" spans="1:29">
      <c r="A806" t="s">
        <v>6357</v>
      </c>
      <c r="B806" t="s">
        <v>6240</v>
      </c>
      <c r="C806" t="s">
        <v>6358</v>
      </c>
      <c r="D806" t="s">
        <v>6359</v>
      </c>
      <c r="E806" t="s">
        <v>1853</v>
      </c>
      <c r="F806" t="s">
        <v>5605</v>
      </c>
      <c r="G806" t="s">
        <v>5589</v>
      </c>
      <c r="H806" t="s">
        <v>5590</v>
      </c>
      <c r="I806">
        <v>5</v>
      </c>
      <c r="J806" t="s">
        <v>5595</v>
      </c>
      <c r="K806">
        <v>16.399999999999999</v>
      </c>
      <c r="L806">
        <v>533</v>
      </c>
      <c r="M806">
        <v>13.7</v>
      </c>
      <c r="N806">
        <v>591</v>
      </c>
      <c r="O806">
        <v>4.7</v>
      </c>
      <c r="P806" t="s">
        <v>5613</v>
      </c>
      <c r="Q806">
        <v>4.2</v>
      </c>
      <c r="R806" t="s">
        <v>5613</v>
      </c>
      <c r="S806">
        <v>7.7</v>
      </c>
      <c r="T806" t="s">
        <v>5613</v>
      </c>
      <c r="U806">
        <v>4</v>
      </c>
      <c r="V806" t="s">
        <v>5613</v>
      </c>
      <c r="W806">
        <v>42.6</v>
      </c>
      <c r="X806">
        <v>358</v>
      </c>
      <c r="Y806">
        <v>23.1</v>
      </c>
      <c r="Z806">
        <v>362</v>
      </c>
      <c r="AA806">
        <v>48.4</v>
      </c>
      <c r="AB806" t="s">
        <v>5768</v>
      </c>
      <c r="AC806" t="s">
        <v>6207</v>
      </c>
    </row>
    <row r="807" spans="1:29">
      <c r="A807" t="s">
        <v>6357</v>
      </c>
      <c r="B807" t="s">
        <v>6143</v>
      </c>
      <c r="C807" t="s">
        <v>2241</v>
      </c>
      <c r="D807" t="s">
        <v>6272</v>
      </c>
      <c r="E807" t="s">
        <v>1846</v>
      </c>
      <c r="F807" t="s">
        <v>5588</v>
      </c>
      <c r="G807" t="s">
        <v>5651</v>
      </c>
      <c r="I807">
        <v>4</v>
      </c>
      <c r="J807" t="s">
        <v>5595</v>
      </c>
      <c r="K807">
        <v>15.6</v>
      </c>
      <c r="L807">
        <v>561</v>
      </c>
      <c r="M807">
        <v>34.799999999999997</v>
      </c>
      <c r="N807">
        <v>278</v>
      </c>
      <c r="O807">
        <v>16.899999999999999</v>
      </c>
      <c r="P807" t="s">
        <v>5613</v>
      </c>
      <c r="Q807">
        <v>12</v>
      </c>
      <c r="R807" t="s">
        <v>5613</v>
      </c>
      <c r="U807">
        <v>1</v>
      </c>
      <c r="V807" t="s">
        <v>5613</v>
      </c>
      <c r="W807">
        <v>1.2</v>
      </c>
      <c r="X807" t="s">
        <v>5613</v>
      </c>
      <c r="Y807">
        <v>7</v>
      </c>
      <c r="Z807" t="s">
        <v>5613</v>
      </c>
      <c r="AA807">
        <v>3.4</v>
      </c>
      <c r="AB807" t="s">
        <v>5613</v>
      </c>
      <c r="AC807" t="s">
        <v>6207</v>
      </c>
    </row>
    <row r="808" spans="1:29">
      <c r="A808" t="s">
        <v>6357</v>
      </c>
      <c r="B808" t="s">
        <v>6180</v>
      </c>
      <c r="C808" t="s">
        <v>6360</v>
      </c>
      <c r="D808" t="s">
        <v>5616</v>
      </c>
      <c r="E808" t="s">
        <v>54</v>
      </c>
      <c r="F808" t="s">
        <v>5593</v>
      </c>
      <c r="G808" t="s">
        <v>5589</v>
      </c>
      <c r="H808" t="s">
        <v>5590</v>
      </c>
      <c r="I808">
        <v>4</v>
      </c>
      <c r="J808" t="s">
        <v>5595</v>
      </c>
      <c r="K808">
        <v>8.3000000000000007</v>
      </c>
      <c r="L808" t="s">
        <v>5737</v>
      </c>
      <c r="M808">
        <v>3.5</v>
      </c>
      <c r="N808" t="s">
        <v>5737</v>
      </c>
      <c r="O808">
        <v>42.9</v>
      </c>
      <c r="P808">
        <v>367</v>
      </c>
      <c r="Q808">
        <v>26.6</v>
      </c>
      <c r="R808">
        <v>466</v>
      </c>
      <c r="S808">
        <v>4.8</v>
      </c>
      <c r="T808" t="s">
        <v>5613</v>
      </c>
      <c r="U808">
        <v>2.9</v>
      </c>
      <c r="V808" t="s">
        <v>5613</v>
      </c>
      <c r="W808">
        <v>1.7</v>
      </c>
      <c r="X808" t="s">
        <v>5613</v>
      </c>
      <c r="Y808">
        <v>8.9</v>
      </c>
      <c r="Z808" t="s">
        <v>5613</v>
      </c>
      <c r="AA808">
        <v>2.9</v>
      </c>
      <c r="AB808" t="s">
        <v>5613</v>
      </c>
      <c r="AC808" t="s">
        <v>6207</v>
      </c>
    </row>
    <row r="809" spans="1:29">
      <c r="A809" t="s">
        <v>6357</v>
      </c>
      <c r="B809" t="s">
        <v>6180</v>
      </c>
      <c r="C809" t="s">
        <v>6361</v>
      </c>
      <c r="D809" t="s">
        <v>6031</v>
      </c>
      <c r="E809" t="s">
        <v>2672</v>
      </c>
      <c r="F809" t="s">
        <v>5593</v>
      </c>
      <c r="G809" t="s">
        <v>5651</v>
      </c>
      <c r="I809">
        <v>5</v>
      </c>
      <c r="J809" t="s">
        <v>5595</v>
      </c>
      <c r="K809">
        <v>13.1</v>
      </c>
      <c r="L809" t="s">
        <v>5737</v>
      </c>
      <c r="M809">
        <v>29.8</v>
      </c>
      <c r="N809">
        <v>327</v>
      </c>
      <c r="O809">
        <v>45.6</v>
      </c>
      <c r="P809">
        <v>345</v>
      </c>
      <c r="Q809">
        <v>1</v>
      </c>
      <c r="R809" t="s">
        <v>5613</v>
      </c>
      <c r="S809">
        <v>2.2000000000000002</v>
      </c>
      <c r="T809" t="s">
        <v>5613</v>
      </c>
      <c r="U809">
        <v>12.6</v>
      </c>
      <c r="V809">
        <v>670</v>
      </c>
      <c r="W809">
        <v>1</v>
      </c>
      <c r="X809" t="s">
        <v>5613</v>
      </c>
      <c r="Y809">
        <v>7.1</v>
      </c>
      <c r="Z809" t="s">
        <v>5613</v>
      </c>
      <c r="AC809" t="s">
        <v>6207</v>
      </c>
    </row>
    <row r="810" spans="1:29">
      <c r="A810" t="s">
        <v>6357</v>
      </c>
      <c r="B810" t="s">
        <v>6143</v>
      </c>
      <c r="C810" t="s">
        <v>6362</v>
      </c>
      <c r="D810" t="s">
        <v>5612</v>
      </c>
      <c r="E810" t="s">
        <v>116</v>
      </c>
      <c r="F810" t="s">
        <v>5593</v>
      </c>
      <c r="G810" t="s">
        <v>5589</v>
      </c>
      <c r="H810" t="s">
        <v>5590</v>
      </c>
      <c r="I810">
        <v>3</v>
      </c>
      <c r="J810" t="s">
        <v>5595</v>
      </c>
      <c r="K810">
        <v>5</v>
      </c>
      <c r="L810" t="s">
        <v>5737</v>
      </c>
      <c r="M810">
        <v>6</v>
      </c>
      <c r="N810" t="s">
        <v>5737</v>
      </c>
      <c r="O810">
        <v>7</v>
      </c>
      <c r="P810" t="s">
        <v>5613</v>
      </c>
      <c r="Q810">
        <v>8.6</v>
      </c>
      <c r="R810" t="s">
        <v>5613</v>
      </c>
      <c r="S810">
        <v>31.7</v>
      </c>
      <c r="T810">
        <v>476</v>
      </c>
      <c r="U810">
        <v>74</v>
      </c>
      <c r="V810">
        <v>190</v>
      </c>
      <c r="W810">
        <v>10.5</v>
      </c>
      <c r="X810">
        <v>663</v>
      </c>
      <c r="Y810">
        <v>10.3</v>
      </c>
      <c r="Z810" t="s">
        <v>5613</v>
      </c>
      <c r="AA810">
        <v>53.4</v>
      </c>
      <c r="AB810" t="s">
        <v>5727</v>
      </c>
      <c r="AC810" t="s">
        <v>6207</v>
      </c>
    </row>
    <row r="811" spans="1:29">
      <c r="A811" t="s">
        <v>6357</v>
      </c>
      <c r="B811" t="s">
        <v>6056</v>
      </c>
      <c r="C811" t="s">
        <v>6363</v>
      </c>
      <c r="D811" t="s">
        <v>5616</v>
      </c>
      <c r="E811" t="s">
        <v>54</v>
      </c>
      <c r="F811" t="s">
        <v>5593</v>
      </c>
      <c r="G811" t="s">
        <v>5602</v>
      </c>
      <c r="H811" t="s">
        <v>5590</v>
      </c>
      <c r="I811">
        <v>3</v>
      </c>
      <c r="J811" t="s">
        <v>5595</v>
      </c>
      <c r="K811">
        <v>5.3</v>
      </c>
      <c r="L811" t="s">
        <v>5737</v>
      </c>
      <c r="M811">
        <v>1.4</v>
      </c>
      <c r="N811" t="s">
        <v>5737</v>
      </c>
      <c r="O811">
        <v>55.9</v>
      </c>
      <c r="P811">
        <v>267</v>
      </c>
      <c r="Q811">
        <v>25.3</v>
      </c>
      <c r="R811">
        <v>480</v>
      </c>
      <c r="S811">
        <v>1.6</v>
      </c>
      <c r="T811" t="s">
        <v>5613</v>
      </c>
      <c r="U811">
        <v>2.9</v>
      </c>
      <c r="V811" t="s">
        <v>5613</v>
      </c>
      <c r="W811">
        <v>26.1</v>
      </c>
      <c r="X811">
        <v>491</v>
      </c>
      <c r="Y811">
        <v>5.3</v>
      </c>
      <c r="Z811" t="s">
        <v>5613</v>
      </c>
      <c r="AA811">
        <v>7</v>
      </c>
      <c r="AB811" t="s">
        <v>5613</v>
      </c>
      <c r="AC811" t="s">
        <v>6207</v>
      </c>
    </row>
    <row r="812" spans="1:29">
      <c r="A812" t="s">
        <v>6357</v>
      </c>
      <c r="B812" t="s">
        <v>6180</v>
      </c>
      <c r="C812" t="s">
        <v>1451</v>
      </c>
      <c r="D812" t="s">
        <v>5587</v>
      </c>
      <c r="E812" t="s">
        <v>29</v>
      </c>
      <c r="F812" t="s">
        <v>5615</v>
      </c>
      <c r="G812" t="s">
        <v>5589</v>
      </c>
      <c r="H812" t="s">
        <v>5590</v>
      </c>
      <c r="I812">
        <v>5</v>
      </c>
      <c r="J812" t="s">
        <v>5591</v>
      </c>
      <c r="K812">
        <v>3</v>
      </c>
      <c r="L812" t="s">
        <v>5737</v>
      </c>
      <c r="M812">
        <v>5.3</v>
      </c>
      <c r="N812" t="s">
        <v>5737</v>
      </c>
      <c r="O812">
        <v>23.4</v>
      </c>
      <c r="P812">
        <v>610</v>
      </c>
      <c r="Q812">
        <v>18.3</v>
      </c>
      <c r="R812">
        <v>578</v>
      </c>
      <c r="S812">
        <v>14.2</v>
      </c>
      <c r="T812">
        <v>682</v>
      </c>
      <c r="U812">
        <v>72.599999999999994</v>
      </c>
      <c r="V812">
        <v>198</v>
      </c>
      <c r="W812">
        <v>1.2</v>
      </c>
      <c r="X812" t="s">
        <v>5613</v>
      </c>
      <c r="Y812">
        <v>14.9</v>
      </c>
      <c r="Z812">
        <v>561</v>
      </c>
      <c r="AA812">
        <v>33.200000000000003</v>
      </c>
      <c r="AB812" t="s">
        <v>5841</v>
      </c>
      <c r="AC812" t="s">
        <v>6207</v>
      </c>
    </row>
    <row r="813" spans="1:29">
      <c r="A813" t="s">
        <v>6357</v>
      </c>
      <c r="B813" t="s">
        <v>6143</v>
      </c>
      <c r="C813" t="s">
        <v>1463</v>
      </c>
      <c r="D813" t="s">
        <v>5592</v>
      </c>
      <c r="E813" t="s">
        <v>26</v>
      </c>
      <c r="F813" t="s">
        <v>5593</v>
      </c>
      <c r="G813" t="s">
        <v>5589</v>
      </c>
      <c r="H813" t="s">
        <v>5809</v>
      </c>
      <c r="I813">
        <v>5</v>
      </c>
      <c r="J813" t="s">
        <v>5595</v>
      </c>
      <c r="K813">
        <v>5.5</v>
      </c>
      <c r="L813" t="s">
        <v>5737</v>
      </c>
      <c r="M813">
        <v>4.8</v>
      </c>
      <c r="N813" t="s">
        <v>5737</v>
      </c>
      <c r="O813">
        <v>5.8</v>
      </c>
      <c r="P813" t="s">
        <v>5613</v>
      </c>
      <c r="Q813">
        <v>7.6</v>
      </c>
      <c r="R813" t="s">
        <v>5613</v>
      </c>
      <c r="S813">
        <v>75.3</v>
      </c>
      <c r="T813">
        <v>250</v>
      </c>
      <c r="U813">
        <v>97.5</v>
      </c>
      <c r="V813">
        <v>67</v>
      </c>
      <c r="W813">
        <v>8.8000000000000007</v>
      </c>
      <c r="X813" t="s">
        <v>5613</v>
      </c>
      <c r="Y813">
        <v>10.5</v>
      </c>
      <c r="Z813" t="s">
        <v>5613</v>
      </c>
      <c r="AA813">
        <v>4.9000000000000004</v>
      </c>
      <c r="AB813" t="s">
        <v>5613</v>
      </c>
      <c r="AC813" t="s">
        <v>6207</v>
      </c>
    </row>
    <row r="814" spans="1:29">
      <c r="A814" t="s">
        <v>6357</v>
      </c>
      <c r="B814" t="s">
        <v>6143</v>
      </c>
      <c r="C814" t="s">
        <v>1231</v>
      </c>
      <c r="D814" t="s">
        <v>5592</v>
      </c>
      <c r="E814" t="s">
        <v>26</v>
      </c>
      <c r="F814" t="s">
        <v>5593</v>
      </c>
      <c r="G814" t="s">
        <v>5589</v>
      </c>
      <c r="H814" t="s">
        <v>5809</v>
      </c>
      <c r="I814">
        <v>3</v>
      </c>
      <c r="J814" t="s">
        <v>5595</v>
      </c>
      <c r="K814">
        <v>4.9000000000000004</v>
      </c>
      <c r="L814" t="s">
        <v>5737</v>
      </c>
      <c r="M814">
        <v>4.2</v>
      </c>
      <c r="N814" t="s">
        <v>5737</v>
      </c>
      <c r="O814">
        <v>4.0999999999999996</v>
      </c>
      <c r="P814" t="s">
        <v>5613</v>
      </c>
      <c r="Q814">
        <v>10.4</v>
      </c>
      <c r="R814" t="s">
        <v>5613</v>
      </c>
      <c r="S814">
        <v>73.8</v>
      </c>
      <c r="T814">
        <v>259</v>
      </c>
      <c r="U814">
        <v>87.9</v>
      </c>
      <c r="V814">
        <v>130</v>
      </c>
      <c r="W814">
        <v>5.9</v>
      </c>
      <c r="X814" t="s">
        <v>5613</v>
      </c>
      <c r="Y814">
        <v>10.8</v>
      </c>
      <c r="Z814" t="s">
        <v>5613</v>
      </c>
      <c r="AA814">
        <v>2.9</v>
      </c>
      <c r="AB814" t="s">
        <v>5613</v>
      </c>
      <c r="AC814" t="s">
        <v>6207</v>
      </c>
    </row>
    <row r="815" spans="1:29">
      <c r="A815" t="s">
        <v>6357</v>
      </c>
      <c r="B815" t="s">
        <v>6049</v>
      </c>
      <c r="C815" t="s">
        <v>2840</v>
      </c>
      <c r="D815" t="s">
        <v>5696</v>
      </c>
      <c r="E815" t="s">
        <v>5697</v>
      </c>
      <c r="F815" t="s">
        <v>5588</v>
      </c>
      <c r="G815" t="s">
        <v>5589</v>
      </c>
      <c r="H815" t="s">
        <v>5809</v>
      </c>
      <c r="I815">
        <v>4</v>
      </c>
      <c r="J815" t="s">
        <v>5595</v>
      </c>
      <c r="K815">
        <v>8.1</v>
      </c>
      <c r="L815" t="s">
        <v>5737</v>
      </c>
      <c r="M815">
        <v>2.2999999999999998</v>
      </c>
      <c r="N815" t="s">
        <v>5737</v>
      </c>
      <c r="O815">
        <v>75.5</v>
      </c>
      <c r="P815">
        <v>164</v>
      </c>
      <c r="Q815">
        <v>1.8</v>
      </c>
      <c r="R815" t="s">
        <v>5613</v>
      </c>
      <c r="S815">
        <v>17.899999999999999</v>
      </c>
      <c r="T815">
        <v>616</v>
      </c>
      <c r="U815">
        <v>32</v>
      </c>
      <c r="V815">
        <v>400</v>
      </c>
      <c r="W815">
        <v>2.7</v>
      </c>
      <c r="X815" t="s">
        <v>5613</v>
      </c>
      <c r="Y815">
        <v>6.3</v>
      </c>
      <c r="Z815" t="s">
        <v>5613</v>
      </c>
      <c r="AA815">
        <v>1.9</v>
      </c>
      <c r="AB815" t="s">
        <v>5613</v>
      </c>
      <c r="AC815" t="s">
        <v>6207</v>
      </c>
    </row>
    <row r="816" spans="1:29">
      <c r="A816" t="s">
        <v>6357</v>
      </c>
      <c r="B816" t="s">
        <v>6049</v>
      </c>
      <c r="C816" t="s">
        <v>3563</v>
      </c>
      <c r="D816" t="s">
        <v>6364</v>
      </c>
      <c r="E816" t="s">
        <v>2836</v>
      </c>
      <c r="F816" t="s">
        <v>5593</v>
      </c>
      <c r="G816" t="s">
        <v>5602</v>
      </c>
      <c r="H816" t="s">
        <v>5809</v>
      </c>
      <c r="I816">
        <v>5</v>
      </c>
      <c r="J816" t="s">
        <v>5595</v>
      </c>
      <c r="K816">
        <v>9.6999999999999993</v>
      </c>
      <c r="L816" t="s">
        <v>5737</v>
      </c>
      <c r="M816">
        <v>2.6</v>
      </c>
      <c r="N816" t="s">
        <v>5737</v>
      </c>
      <c r="O816">
        <v>76</v>
      </c>
      <c r="P816">
        <v>158</v>
      </c>
      <c r="Q816">
        <v>1.2</v>
      </c>
      <c r="R816" t="s">
        <v>5613</v>
      </c>
      <c r="S816">
        <v>1.9</v>
      </c>
      <c r="T816" t="s">
        <v>5613</v>
      </c>
      <c r="U816">
        <v>3.5</v>
      </c>
      <c r="V816" t="s">
        <v>5613</v>
      </c>
      <c r="W816">
        <v>1.2</v>
      </c>
      <c r="X816" t="s">
        <v>5613</v>
      </c>
      <c r="Y816">
        <v>43.4</v>
      </c>
      <c r="Z816">
        <v>166</v>
      </c>
      <c r="AA816">
        <v>1.1000000000000001</v>
      </c>
      <c r="AB816" t="s">
        <v>5613</v>
      </c>
      <c r="AC816" t="s">
        <v>6207</v>
      </c>
    </row>
    <row r="817" spans="1:29">
      <c r="A817" t="s">
        <v>6357</v>
      </c>
      <c r="B817" t="s">
        <v>6136</v>
      </c>
      <c r="C817" t="s">
        <v>1556</v>
      </c>
      <c r="D817" t="s">
        <v>5762</v>
      </c>
      <c r="E817" t="s">
        <v>534</v>
      </c>
      <c r="F817" t="s">
        <v>5593</v>
      </c>
      <c r="G817" t="s">
        <v>5594</v>
      </c>
      <c r="H817" t="s">
        <v>5809</v>
      </c>
      <c r="I817">
        <v>2</v>
      </c>
      <c r="J817" t="s">
        <v>5595</v>
      </c>
      <c r="K817">
        <v>8.8000000000000007</v>
      </c>
      <c r="L817" t="s">
        <v>5737</v>
      </c>
      <c r="M817">
        <v>5.3</v>
      </c>
      <c r="N817" t="s">
        <v>5737</v>
      </c>
      <c r="O817">
        <v>45.1</v>
      </c>
      <c r="P817">
        <v>350</v>
      </c>
      <c r="Q817">
        <v>1.9</v>
      </c>
      <c r="R817" t="s">
        <v>5613</v>
      </c>
      <c r="S817">
        <v>100</v>
      </c>
      <c r="T817">
        <v>27</v>
      </c>
      <c r="U817">
        <v>2.8</v>
      </c>
      <c r="V817" t="s">
        <v>5613</v>
      </c>
      <c r="W817">
        <v>2.2000000000000002</v>
      </c>
      <c r="X817" t="s">
        <v>5613</v>
      </c>
      <c r="Y817">
        <v>8</v>
      </c>
      <c r="Z817" t="s">
        <v>5613</v>
      </c>
      <c r="AA817">
        <v>1</v>
      </c>
      <c r="AB817" t="s">
        <v>5613</v>
      </c>
      <c r="AC817" t="s">
        <v>6207</v>
      </c>
    </row>
    <row r="818" spans="1:29">
      <c r="A818" t="s">
        <v>6357</v>
      </c>
      <c r="B818" t="s">
        <v>6143</v>
      </c>
      <c r="C818" t="s">
        <v>2877</v>
      </c>
      <c r="D818" t="s">
        <v>6119</v>
      </c>
      <c r="E818" t="s">
        <v>2026</v>
      </c>
      <c r="F818" t="s">
        <v>5588</v>
      </c>
      <c r="G818" t="s">
        <v>5602</v>
      </c>
      <c r="H818" t="s">
        <v>5590</v>
      </c>
      <c r="I818">
        <v>5</v>
      </c>
      <c r="J818" t="s">
        <v>5595</v>
      </c>
      <c r="K818">
        <v>11.3</v>
      </c>
      <c r="L818" t="s">
        <v>5737</v>
      </c>
      <c r="M818">
        <v>21.8</v>
      </c>
      <c r="N818">
        <v>430</v>
      </c>
      <c r="O818">
        <v>31.5</v>
      </c>
      <c r="P818">
        <v>499</v>
      </c>
      <c r="Q818">
        <v>6.8</v>
      </c>
      <c r="R818" t="s">
        <v>5613</v>
      </c>
      <c r="S818">
        <v>3.3</v>
      </c>
      <c r="T818" t="s">
        <v>5613</v>
      </c>
      <c r="U818">
        <v>24.1</v>
      </c>
      <c r="V818">
        <v>486</v>
      </c>
      <c r="W818">
        <v>16.899999999999999</v>
      </c>
      <c r="X818">
        <v>575</v>
      </c>
      <c r="Y818">
        <v>8.4</v>
      </c>
      <c r="Z818" t="s">
        <v>5613</v>
      </c>
      <c r="AA818">
        <v>1.9</v>
      </c>
      <c r="AB818" t="s">
        <v>5613</v>
      </c>
      <c r="AC818" t="s">
        <v>6207</v>
      </c>
    </row>
    <row r="819" spans="1:29">
      <c r="A819" t="s">
        <v>6357</v>
      </c>
      <c r="B819" t="s">
        <v>6056</v>
      </c>
      <c r="C819" t="s">
        <v>6365</v>
      </c>
      <c r="D819" t="s">
        <v>5644</v>
      </c>
      <c r="E819" t="s">
        <v>181</v>
      </c>
      <c r="F819" t="s">
        <v>5593</v>
      </c>
      <c r="G819" t="s">
        <v>5594</v>
      </c>
      <c r="H819" t="s">
        <v>5590</v>
      </c>
      <c r="I819">
        <v>4</v>
      </c>
      <c r="J819" t="s">
        <v>5591</v>
      </c>
      <c r="K819">
        <v>9.4</v>
      </c>
      <c r="L819" t="s">
        <v>5737</v>
      </c>
      <c r="M819">
        <v>9.3000000000000007</v>
      </c>
      <c r="N819" t="s">
        <v>5737</v>
      </c>
      <c r="O819">
        <v>59</v>
      </c>
      <c r="P819">
        <v>241</v>
      </c>
      <c r="Q819">
        <v>13.8</v>
      </c>
      <c r="R819">
        <v>660</v>
      </c>
      <c r="S819">
        <v>7.7</v>
      </c>
      <c r="T819" t="s">
        <v>5613</v>
      </c>
      <c r="U819">
        <v>9.8000000000000007</v>
      </c>
      <c r="V819" t="s">
        <v>5613</v>
      </c>
      <c r="W819">
        <v>2.8</v>
      </c>
      <c r="X819" t="s">
        <v>5613</v>
      </c>
      <c r="Y819">
        <v>9.9</v>
      </c>
      <c r="Z819" t="s">
        <v>5613</v>
      </c>
      <c r="AA819">
        <v>2.2999999999999998</v>
      </c>
      <c r="AB819" t="s">
        <v>5613</v>
      </c>
      <c r="AC819" t="s">
        <v>6207</v>
      </c>
    </row>
    <row r="820" spans="1:29">
      <c r="A820" t="s">
        <v>6357</v>
      </c>
      <c r="B820" t="s">
        <v>6143</v>
      </c>
      <c r="C820" t="s">
        <v>1587</v>
      </c>
      <c r="D820" t="s">
        <v>5587</v>
      </c>
      <c r="E820" t="s">
        <v>29</v>
      </c>
      <c r="F820" t="s">
        <v>5605</v>
      </c>
      <c r="G820" t="s">
        <v>5589</v>
      </c>
      <c r="H820" t="s">
        <v>5590</v>
      </c>
      <c r="I820">
        <v>5</v>
      </c>
      <c r="J820" t="s">
        <v>5595</v>
      </c>
      <c r="K820">
        <v>9.6999999999999993</v>
      </c>
      <c r="L820" t="s">
        <v>5737</v>
      </c>
      <c r="M820">
        <v>8.3000000000000007</v>
      </c>
      <c r="N820" t="s">
        <v>5737</v>
      </c>
      <c r="O820">
        <v>7.1</v>
      </c>
      <c r="P820" t="s">
        <v>5613</v>
      </c>
      <c r="Q820">
        <v>16.2</v>
      </c>
      <c r="R820">
        <v>612</v>
      </c>
      <c r="S820">
        <v>10.1</v>
      </c>
      <c r="T820" t="s">
        <v>5613</v>
      </c>
      <c r="U820">
        <v>4.0999999999999996</v>
      </c>
      <c r="V820" t="s">
        <v>5613</v>
      </c>
      <c r="W820">
        <v>15.5</v>
      </c>
      <c r="X820">
        <v>589</v>
      </c>
      <c r="Y820">
        <v>17.2</v>
      </c>
      <c r="Z820">
        <v>487</v>
      </c>
      <c r="AA820">
        <v>70.7</v>
      </c>
      <c r="AB820">
        <v>200</v>
      </c>
      <c r="AC820" t="s">
        <v>6207</v>
      </c>
    </row>
    <row r="821" spans="1:29">
      <c r="A821" t="s">
        <v>6357</v>
      </c>
      <c r="B821" t="s">
        <v>6143</v>
      </c>
      <c r="C821" t="s">
        <v>1059</v>
      </c>
      <c r="D821" t="s">
        <v>5691</v>
      </c>
      <c r="E821" t="s">
        <v>343</v>
      </c>
      <c r="F821" t="s">
        <v>5588</v>
      </c>
      <c r="G821" t="s">
        <v>5602</v>
      </c>
      <c r="H821" t="s">
        <v>5590</v>
      </c>
      <c r="I821">
        <v>3</v>
      </c>
      <c r="J821" t="s">
        <v>5595</v>
      </c>
      <c r="K821">
        <v>10</v>
      </c>
      <c r="L821" t="s">
        <v>5737</v>
      </c>
      <c r="M821">
        <v>9.1999999999999993</v>
      </c>
      <c r="N821" t="s">
        <v>5737</v>
      </c>
      <c r="O821">
        <v>8.6999999999999993</v>
      </c>
      <c r="P821" t="s">
        <v>5613</v>
      </c>
      <c r="Q821">
        <v>12.6</v>
      </c>
      <c r="R821">
        <v>684</v>
      </c>
      <c r="S821">
        <v>89.4</v>
      </c>
      <c r="T821">
        <v>187</v>
      </c>
      <c r="U821">
        <v>15.6</v>
      </c>
      <c r="V821">
        <v>608</v>
      </c>
      <c r="W821">
        <v>4.7</v>
      </c>
      <c r="X821" t="s">
        <v>5613</v>
      </c>
      <c r="Y821">
        <v>9</v>
      </c>
      <c r="Z821" t="s">
        <v>5613</v>
      </c>
      <c r="AA821">
        <v>4.7</v>
      </c>
      <c r="AB821" t="s">
        <v>5613</v>
      </c>
      <c r="AC821" t="s">
        <v>6207</v>
      </c>
    </row>
    <row r="822" spans="1:29">
      <c r="A822" t="s">
        <v>6357</v>
      </c>
      <c r="B822" t="s">
        <v>6126</v>
      </c>
      <c r="C822" t="s">
        <v>2947</v>
      </c>
      <c r="D822" t="s">
        <v>5631</v>
      </c>
      <c r="E822" t="s">
        <v>94</v>
      </c>
      <c r="F822" t="s">
        <v>5588</v>
      </c>
      <c r="G822" t="s">
        <v>5602</v>
      </c>
      <c r="H822" t="s">
        <v>5590</v>
      </c>
      <c r="I822">
        <v>4</v>
      </c>
      <c r="J822" t="s">
        <v>5595</v>
      </c>
      <c r="K822">
        <v>6.9</v>
      </c>
      <c r="L822" t="s">
        <v>5737</v>
      </c>
      <c r="M822">
        <v>2.2000000000000002</v>
      </c>
      <c r="N822" t="s">
        <v>5737</v>
      </c>
      <c r="O822">
        <v>84.2</v>
      </c>
      <c r="P822">
        <v>113</v>
      </c>
      <c r="Q822">
        <v>6.2</v>
      </c>
      <c r="R822" t="s">
        <v>5613</v>
      </c>
      <c r="S822">
        <v>6.5</v>
      </c>
      <c r="T822" t="s">
        <v>5613</v>
      </c>
      <c r="U822">
        <v>4.2</v>
      </c>
      <c r="V822" t="s">
        <v>5613</v>
      </c>
      <c r="W822">
        <v>11.8</v>
      </c>
      <c r="X822">
        <v>639</v>
      </c>
      <c r="Y822">
        <v>8.3000000000000007</v>
      </c>
      <c r="Z822" t="s">
        <v>5613</v>
      </c>
      <c r="AA822">
        <v>2</v>
      </c>
      <c r="AB822" t="s">
        <v>5613</v>
      </c>
      <c r="AC822" t="s">
        <v>6207</v>
      </c>
    </row>
    <row r="823" spans="1:29">
      <c r="A823" t="s">
        <v>6357</v>
      </c>
      <c r="B823" t="s">
        <v>6143</v>
      </c>
      <c r="C823" t="s">
        <v>1618</v>
      </c>
      <c r="D823" t="s">
        <v>5616</v>
      </c>
      <c r="E823" t="s">
        <v>54</v>
      </c>
      <c r="F823" t="s">
        <v>5605</v>
      </c>
      <c r="G823" t="s">
        <v>5602</v>
      </c>
      <c r="H823" t="s">
        <v>5590</v>
      </c>
      <c r="I823">
        <v>3</v>
      </c>
      <c r="J823" t="s">
        <v>5595</v>
      </c>
      <c r="K823">
        <v>4.7</v>
      </c>
      <c r="L823" t="s">
        <v>5737</v>
      </c>
      <c r="M823">
        <v>2.6</v>
      </c>
      <c r="N823" t="s">
        <v>5737</v>
      </c>
      <c r="O823">
        <v>13.1</v>
      </c>
      <c r="P823" t="s">
        <v>5613</v>
      </c>
      <c r="Q823">
        <v>47.3</v>
      </c>
      <c r="R823">
        <v>287</v>
      </c>
      <c r="S823">
        <v>5.7</v>
      </c>
      <c r="T823" t="s">
        <v>5613</v>
      </c>
      <c r="U823">
        <v>3.2</v>
      </c>
      <c r="V823" t="s">
        <v>5613</v>
      </c>
      <c r="W823">
        <v>4.5</v>
      </c>
      <c r="X823" t="s">
        <v>5613</v>
      </c>
      <c r="Y823">
        <v>5.3</v>
      </c>
      <c r="Z823" t="s">
        <v>5613</v>
      </c>
      <c r="AA823">
        <v>1.5</v>
      </c>
      <c r="AB823" t="s">
        <v>5613</v>
      </c>
      <c r="AC823" t="s">
        <v>6207</v>
      </c>
    </row>
    <row r="824" spans="1:29">
      <c r="A824" t="s">
        <v>6357</v>
      </c>
      <c r="B824" t="s">
        <v>6240</v>
      </c>
      <c r="C824" t="s">
        <v>1651</v>
      </c>
      <c r="D824" t="s">
        <v>5795</v>
      </c>
      <c r="E824" t="s">
        <v>421</v>
      </c>
      <c r="F824" t="s">
        <v>5605</v>
      </c>
      <c r="G824" t="s">
        <v>5589</v>
      </c>
      <c r="H824" t="s">
        <v>5590</v>
      </c>
      <c r="I824">
        <v>2</v>
      </c>
      <c r="J824" t="s">
        <v>5595</v>
      </c>
      <c r="K824">
        <v>7.1</v>
      </c>
      <c r="L824" t="s">
        <v>5737</v>
      </c>
      <c r="M824">
        <v>9.1</v>
      </c>
      <c r="N824" t="s">
        <v>5737</v>
      </c>
      <c r="O824">
        <v>5.2</v>
      </c>
      <c r="P824" t="s">
        <v>5613</v>
      </c>
      <c r="Q824">
        <v>13</v>
      </c>
      <c r="R824">
        <v>677</v>
      </c>
      <c r="S824">
        <v>5.8</v>
      </c>
      <c r="T824" t="s">
        <v>5613</v>
      </c>
      <c r="U824">
        <v>2.4</v>
      </c>
      <c r="V824" t="s">
        <v>5613</v>
      </c>
      <c r="W824">
        <v>88.2</v>
      </c>
      <c r="X824">
        <v>95</v>
      </c>
      <c r="Y824">
        <v>12.7</v>
      </c>
      <c r="Z824">
        <v>676</v>
      </c>
      <c r="AA824">
        <v>49.7</v>
      </c>
      <c r="AB824" t="s">
        <v>5859</v>
      </c>
      <c r="AC824" t="s">
        <v>6207</v>
      </c>
    </row>
    <row r="825" spans="1:29">
      <c r="A825" t="s">
        <v>6357</v>
      </c>
      <c r="B825" t="s">
        <v>6052</v>
      </c>
      <c r="C825" t="s">
        <v>6366</v>
      </c>
      <c r="D825" t="s">
        <v>5901</v>
      </c>
      <c r="E825" t="s">
        <v>1543</v>
      </c>
      <c r="F825" t="s">
        <v>5588</v>
      </c>
      <c r="G825" t="s">
        <v>5602</v>
      </c>
      <c r="H825" t="s">
        <v>5590</v>
      </c>
      <c r="I825">
        <v>5</v>
      </c>
      <c r="J825" t="s">
        <v>5595</v>
      </c>
      <c r="K825">
        <v>5.8</v>
      </c>
      <c r="L825" t="s">
        <v>5737</v>
      </c>
      <c r="M825">
        <v>1.8</v>
      </c>
      <c r="N825" t="s">
        <v>5737</v>
      </c>
      <c r="O825">
        <v>98</v>
      </c>
      <c r="P825">
        <v>46</v>
      </c>
      <c r="Q825">
        <v>5.2</v>
      </c>
      <c r="R825" t="s">
        <v>5613</v>
      </c>
      <c r="S825">
        <v>3.2</v>
      </c>
      <c r="T825" t="s">
        <v>5613</v>
      </c>
      <c r="U825">
        <v>5.4</v>
      </c>
      <c r="V825" t="s">
        <v>5613</v>
      </c>
      <c r="W825">
        <v>1.7</v>
      </c>
      <c r="X825" t="s">
        <v>5613</v>
      </c>
      <c r="Y825">
        <v>8.1999999999999993</v>
      </c>
      <c r="Z825" t="s">
        <v>5613</v>
      </c>
      <c r="AA825">
        <v>1.1000000000000001</v>
      </c>
      <c r="AB825" t="s">
        <v>5613</v>
      </c>
      <c r="AC825" t="s">
        <v>6207</v>
      </c>
    </row>
    <row r="826" spans="1:29">
      <c r="A826" t="s">
        <v>6357</v>
      </c>
      <c r="B826" t="s">
        <v>6143</v>
      </c>
      <c r="C826" t="s">
        <v>6367</v>
      </c>
      <c r="D826" t="s">
        <v>5631</v>
      </c>
      <c r="E826" t="s">
        <v>94</v>
      </c>
      <c r="F826" t="s">
        <v>5588</v>
      </c>
      <c r="G826" t="s">
        <v>5651</v>
      </c>
      <c r="I826">
        <v>2</v>
      </c>
      <c r="J826" t="s">
        <v>5926</v>
      </c>
      <c r="K826">
        <v>5.0999999999999996</v>
      </c>
      <c r="L826" t="s">
        <v>5737</v>
      </c>
      <c r="M826">
        <v>9.4</v>
      </c>
      <c r="N826" t="s">
        <v>5737</v>
      </c>
      <c r="O826">
        <v>2.4</v>
      </c>
      <c r="P826" t="s">
        <v>5613</v>
      </c>
      <c r="Q826">
        <v>2.6</v>
      </c>
      <c r="R826" t="s">
        <v>5613</v>
      </c>
      <c r="S826">
        <v>99.6</v>
      </c>
      <c r="T826">
        <v>87</v>
      </c>
      <c r="U826">
        <v>99.6</v>
      </c>
      <c r="V826">
        <v>37</v>
      </c>
      <c r="W826">
        <v>1</v>
      </c>
      <c r="X826" t="s">
        <v>5613</v>
      </c>
      <c r="Y826">
        <v>7.8</v>
      </c>
      <c r="Z826" t="s">
        <v>5613</v>
      </c>
      <c r="AA826">
        <v>1</v>
      </c>
      <c r="AB826" t="s">
        <v>5613</v>
      </c>
      <c r="AC826" t="s">
        <v>6207</v>
      </c>
    </row>
    <row r="827" spans="1:29">
      <c r="A827" t="s">
        <v>6357</v>
      </c>
      <c r="B827" t="s">
        <v>6240</v>
      </c>
      <c r="C827" t="s">
        <v>1747</v>
      </c>
      <c r="D827" t="s">
        <v>5587</v>
      </c>
      <c r="E827" t="s">
        <v>29</v>
      </c>
      <c r="F827" t="s">
        <v>5605</v>
      </c>
      <c r="G827" t="s">
        <v>5594</v>
      </c>
      <c r="H827" t="s">
        <v>5809</v>
      </c>
      <c r="I827">
        <v>5</v>
      </c>
      <c r="J827" t="s">
        <v>5595</v>
      </c>
      <c r="K827">
        <v>11</v>
      </c>
      <c r="L827" t="s">
        <v>5737</v>
      </c>
      <c r="M827">
        <v>11.8</v>
      </c>
      <c r="N827" t="s">
        <v>5737</v>
      </c>
      <c r="O827">
        <v>5</v>
      </c>
      <c r="P827" t="s">
        <v>5613</v>
      </c>
      <c r="Q827">
        <v>15.3</v>
      </c>
      <c r="R827">
        <v>625</v>
      </c>
      <c r="S827">
        <v>8.5</v>
      </c>
      <c r="T827" t="s">
        <v>5613</v>
      </c>
      <c r="U827">
        <v>7.1</v>
      </c>
      <c r="V827" t="s">
        <v>5613</v>
      </c>
      <c r="W827">
        <v>20.3</v>
      </c>
      <c r="X827">
        <v>541</v>
      </c>
      <c r="Y827">
        <v>13.7</v>
      </c>
      <c r="Z827">
        <v>622</v>
      </c>
      <c r="AA827">
        <v>56.1</v>
      </c>
      <c r="AB827">
        <v>270</v>
      </c>
      <c r="AC827" t="s">
        <v>6207</v>
      </c>
    </row>
    <row r="828" spans="1:29">
      <c r="A828" t="s">
        <v>6357</v>
      </c>
      <c r="B828" t="s">
        <v>6136</v>
      </c>
      <c r="C828" t="s">
        <v>6368</v>
      </c>
      <c r="D828" t="s">
        <v>5631</v>
      </c>
      <c r="E828" t="s">
        <v>94</v>
      </c>
      <c r="F828" t="s">
        <v>5588</v>
      </c>
      <c r="G828" t="s">
        <v>5602</v>
      </c>
      <c r="H828" t="s">
        <v>5590</v>
      </c>
      <c r="I828">
        <v>4</v>
      </c>
      <c r="J828" t="s">
        <v>5595</v>
      </c>
      <c r="K828">
        <v>13.6</v>
      </c>
      <c r="L828" t="s">
        <v>5737</v>
      </c>
      <c r="M828">
        <v>6.7</v>
      </c>
      <c r="N828" t="s">
        <v>5737</v>
      </c>
      <c r="O828">
        <v>13.3</v>
      </c>
      <c r="P828" t="s">
        <v>5613</v>
      </c>
      <c r="Q828">
        <v>32.9</v>
      </c>
      <c r="R828">
        <v>413</v>
      </c>
      <c r="S828">
        <v>5.8</v>
      </c>
      <c r="T828" t="s">
        <v>5613</v>
      </c>
      <c r="U828">
        <v>9.5</v>
      </c>
      <c r="V828" t="s">
        <v>5613</v>
      </c>
      <c r="W828">
        <v>6</v>
      </c>
      <c r="X828" t="s">
        <v>5613</v>
      </c>
      <c r="Y828">
        <v>7.8</v>
      </c>
      <c r="Z828" t="s">
        <v>5613</v>
      </c>
      <c r="AA828">
        <v>1.8</v>
      </c>
      <c r="AB828" t="s">
        <v>5613</v>
      </c>
      <c r="AC828" t="s">
        <v>6207</v>
      </c>
    </row>
    <row r="829" spans="1:29">
      <c r="A829" t="s">
        <v>6357</v>
      </c>
      <c r="B829" t="s">
        <v>6180</v>
      </c>
      <c r="C829" t="s">
        <v>6369</v>
      </c>
      <c r="D829" t="s">
        <v>6245</v>
      </c>
      <c r="E829" t="s">
        <v>5106</v>
      </c>
      <c r="F829" t="s">
        <v>5605</v>
      </c>
      <c r="G829" t="s">
        <v>5594</v>
      </c>
      <c r="H829" t="s">
        <v>5809</v>
      </c>
      <c r="I829">
        <v>5</v>
      </c>
      <c r="J829" t="s">
        <v>5595</v>
      </c>
      <c r="K829">
        <v>25.1</v>
      </c>
      <c r="L829">
        <v>350</v>
      </c>
      <c r="M829">
        <v>14.4</v>
      </c>
      <c r="N829">
        <v>568</v>
      </c>
      <c r="O829">
        <v>17.5</v>
      </c>
      <c r="P829" t="s">
        <v>5613</v>
      </c>
      <c r="Q829">
        <v>1.6</v>
      </c>
      <c r="R829" t="s">
        <v>5613</v>
      </c>
      <c r="S829">
        <v>8.4</v>
      </c>
      <c r="T829" t="s">
        <v>5613</v>
      </c>
      <c r="U829">
        <v>2.5</v>
      </c>
      <c r="V829" t="s">
        <v>5613</v>
      </c>
      <c r="W829">
        <v>8.3000000000000007</v>
      </c>
      <c r="X829" t="s">
        <v>5613</v>
      </c>
      <c r="Y829">
        <v>22.5</v>
      </c>
      <c r="Z829">
        <v>368</v>
      </c>
      <c r="AA829">
        <v>4.0999999999999996</v>
      </c>
      <c r="AB829" t="s">
        <v>5613</v>
      </c>
      <c r="AC829" t="s">
        <v>6207</v>
      </c>
    </row>
    <row r="830" spans="1:29">
      <c r="A830" t="s">
        <v>6357</v>
      </c>
      <c r="B830" t="s">
        <v>6180</v>
      </c>
      <c r="C830" t="s">
        <v>6370</v>
      </c>
      <c r="D830" t="s">
        <v>5710</v>
      </c>
      <c r="E830" t="s">
        <v>3726</v>
      </c>
      <c r="F830" t="s">
        <v>5615</v>
      </c>
      <c r="G830" t="s">
        <v>5651</v>
      </c>
      <c r="I830">
        <v>3</v>
      </c>
      <c r="J830" t="s">
        <v>5591</v>
      </c>
      <c r="K830">
        <v>6.8</v>
      </c>
      <c r="L830" t="s">
        <v>5737</v>
      </c>
      <c r="M830">
        <v>32.6</v>
      </c>
      <c r="N830">
        <v>301</v>
      </c>
      <c r="O830">
        <v>48.1</v>
      </c>
      <c r="P830">
        <v>326</v>
      </c>
      <c r="Q830">
        <v>2.1</v>
      </c>
      <c r="R830" t="s">
        <v>5613</v>
      </c>
      <c r="S830">
        <v>8</v>
      </c>
      <c r="T830" t="s">
        <v>5613</v>
      </c>
      <c r="U830">
        <v>4.4000000000000004</v>
      </c>
      <c r="V830" t="s">
        <v>5613</v>
      </c>
      <c r="W830">
        <v>1</v>
      </c>
      <c r="X830" t="s">
        <v>5613</v>
      </c>
      <c r="Y830">
        <v>18</v>
      </c>
      <c r="Z830">
        <v>465</v>
      </c>
      <c r="AA830">
        <v>1</v>
      </c>
      <c r="AB830" t="s">
        <v>5613</v>
      </c>
      <c r="AC830" t="s">
        <v>6207</v>
      </c>
    </row>
    <row r="831" spans="1:29">
      <c r="A831" t="s">
        <v>6357</v>
      </c>
      <c r="B831" t="s">
        <v>6049</v>
      </c>
      <c r="C831" t="s">
        <v>6371</v>
      </c>
      <c r="D831" t="s">
        <v>5589</v>
      </c>
      <c r="E831" t="s">
        <v>1820</v>
      </c>
      <c r="F831" t="s">
        <v>5588</v>
      </c>
      <c r="G831" t="s">
        <v>5602</v>
      </c>
      <c r="H831" t="s">
        <v>5590</v>
      </c>
      <c r="I831">
        <v>4</v>
      </c>
      <c r="J831" t="s">
        <v>5591</v>
      </c>
      <c r="K831">
        <v>9.3000000000000007</v>
      </c>
      <c r="L831" t="s">
        <v>5737</v>
      </c>
      <c r="M831">
        <v>15.4</v>
      </c>
      <c r="N831">
        <v>537</v>
      </c>
      <c r="O831">
        <v>69.900000000000006</v>
      </c>
      <c r="P831">
        <v>185</v>
      </c>
      <c r="Q831">
        <v>1.6</v>
      </c>
      <c r="R831" t="s">
        <v>5613</v>
      </c>
      <c r="S831">
        <v>4.9000000000000004</v>
      </c>
      <c r="T831" t="s">
        <v>5613</v>
      </c>
      <c r="U831">
        <v>2.1</v>
      </c>
      <c r="V831" t="s">
        <v>5613</v>
      </c>
      <c r="W831">
        <v>1.2</v>
      </c>
      <c r="X831" t="s">
        <v>5613</v>
      </c>
      <c r="Y831">
        <v>18.2</v>
      </c>
      <c r="Z831">
        <v>461</v>
      </c>
      <c r="AA831">
        <v>3.3</v>
      </c>
      <c r="AB831" t="s">
        <v>5613</v>
      </c>
      <c r="AC831" t="s">
        <v>6207</v>
      </c>
    </row>
    <row r="832" spans="1:29">
      <c r="A832" t="s">
        <v>6357</v>
      </c>
      <c r="B832" t="s">
        <v>6136</v>
      </c>
      <c r="C832" t="s">
        <v>2512</v>
      </c>
      <c r="D832" t="s">
        <v>6372</v>
      </c>
      <c r="E832" t="s">
        <v>2513</v>
      </c>
      <c r="F832" t="s">
        <v>5588</v>
      </c>
      <c r="G832" t="s">
        <v>5594</v>
      </c>
      <c r="H832" t="s">
        <v>5809</v>
      </c>
      <c r="I832">
        <v>3</v>
      </c>
      <c r="J832" t="s">
        <v>5591</v>
      </c>
      <c r="K832">
        <v>14.4</v>
      </c>
      <c r="L832">
        <v>600</v>
      </c>
      <c r="M832">
        <v>10.7</v>
      </c>
      <c r="N832" t="s">
        <v>5737</v>
      </c>
      <c r="O832">
        <v>36.1</v>
      </c>
      <c r="P832">
        <v>439</v>
      </c>
      <c r="Q832">
        <v>2.2999999999999998</v>
      </c>
      <c r="R832" t="s">
        <v>5613</v>
      </c>
      <c r="S832">
        <v>56.9</v>
      </c>
      <c r="T832">
        <v>324</v>
      </c>
      <c r="U832">
        <v>2</v>
      </c>
      <c r="V832" t="s">
        <v>5613</v>
      </c>
      <c r="W832">
        <v>1.5</v>
      </c>
      <c r="X832" t="s">
        <v>5613</v>
      </c>
      <c r="Y832">
        <v>11</v>
      </c>
      <c r="Z832" t="s">
        <v>5613</v>
      </c>
      <c r="AA832">
        <v>7.8</v>
      </c>
      <c r="AB832" t="s">
        <v>5613</v>
      </c>
      <c r="AC832" t="s">
        <v>6207</v>
      </c>
    </row>
    <row r="833" spans="1:29">
      <c r="A833" t="s">
        <v>6357</v>
      </c>
      <c r="B833" t="s">
        <v>6240</v>
      </c>
      <c r="C833" t="s">
        <v>6373</v>
      </c>
      <c r="D833" t="s">
        <v>5723</v>
      </c>
      <c r="E833" t="s">
        <v>1093</v>
      </c>
      <c r="F833" t="s">
        <v>5593</v>
      </c>
      <c r="G833" t="s">
        <v>5602</v>
      </c>
      <c r="H833" t="s">
        <v>5590</v>
      </c>
      <c r="I833">
        <v>4</v>
      </c>
      <c r="J833" t="s">
        <v>5591</v>
      </c>
      <c r="K833">
        <v>10</v>
      </c>
      <c r="L833" t="s">
        <v>5737</v>
      </c>
      <c r="M833">
        <v>50.6</v>
      </c>
      <c r="N833">
        <v>166</v>
      </c>
      <c r="O833">
        <v>3.7</v>
      </c>
      <c r="P833" t="s">
        <v>5613</v>
      </c>
      <c r="Q833">
        <v>5.9</v>
      </c>
      <c r="R833" t="s">
        <v>5613</v>
      </c>
      <c r="S833">
        <v>15.8</v>
      </c>
      <c r="T833">
        <v>654</v>
      </c>
      <c r="U833">
        <v>1.9</v>
      </c>
      <c r="V833" t="s">
        <v>5613</v>
      </c>
      <c r="W833">
        <v>9.5</v>
      </c>
      <c r="X833">
        <v>680</v>
      </c>
      <c r="Y833">
        <v>10.1</v>
      </c>
      <c r="Z833" t="s">
        <v>5613</v>
      </c>
      <c r="AA833">
        <v>7.9</v>
      </c>
      <c r="AB833" t="s">
        <v>5613</v>
      </c>
      <c r="AC833" t="s">
        <v>6207</v>
      </c>
    </row>
    <row r="834" spans="1:29">
      <c r="A834" t="s">
        <v>6357</v>
      </c>
      <c r="B834" t="s">
        <v>6143</v>
      </c>
      <c r="C834" t="s">
        <v>6374</v>
      </c>
      <c r="D834" t="s">
        <v>5695</v>
      </c>
      <c r="E834" t="s">
        <v>577</v>
      </c>
      <c r="F834" t="s">
        <v>5605</v>
      </c>
      <c r="G834" t="s">
        <v>5594</v>
      </c>
      <c r="H834" t="s">
        <v>5809</v>
      </c>
      <c r="I834">
        <v>4</v>
      </c>
      <c r="J834" t="s">
        <v>5595</v>
      </c>
      <c r="K834">
        <v>26.1</v>
      </c>
      <c r="L834">
        <v>339</v>
      </c>
      <c r="M834">
        <v>14.5</v>
      </c>
      <c r="N834">
        <v>562</v>
      </c>
      <c r="O834">
        <v>8.4</v>
      </c>
      <c r="P834" t="s">
        <v>5613</v>
      </c>
      <c r="Q834">
        <v>4.2</v>
      </c>
      <c r="R834" t="s">
        <v>5613</v>
      </c>
      <c r="S834">
        <v>11.9</v>
      </c>
      <c r="T834" t="s">
        <v>5613</v>
      </c>
      <c r="U834">
        <v>1.6</v>
      </c>
      <c r="V834" t="s">
        <v>5613</v>
      </c>
      <c r="W834">
        <v>15.3</v>
      </c>
      <c r="X834">
        <v>595</v>
      </c>
      <c r="Y834">
        <v>11.5</v>
      </c>
      <c r="Z834" t="s">
        <v>5613</v>
      </c>
      <c r="AA834">
        <v>9.4</v>
      </c>
      <c r="AB834" t="s">
        <v>6375</v>
      </c>
      <c r="AC834" t="s">
        <v>6207</v>
      </c>
    </row>
    <row r="835" spans="1:29">
      <c r="A835" t="s">
        <v>6357</v>
      </c>
      <c r="B835" t="s">
        <v>6143</v>
      </c>
      <c r="C835" t="s">
        <v>6376</v>
      </c>
      <c r="D835" t="s">
        <v>5695</v>
      </c>
      <c r="E835" t="s">
        <v>577</v>
      </c>
      <c r="F835" t="s">
        <v>5605</v>
      </c>
      <c r="G835" t="s">
        <v>5594</v>
      </c>
      <c r="H835" t="s">
        <v>5590</v>
      </c>
      <c r="I835">
        <v>4</v>
      </c>
      <c r="J835" t="s">
        <v>5595</v>
      </c>
      <c r="K835">
        <v>19.600000000000001</v>
      </c>
      <c r="L835">
        <v>453</v>
      </c>
      <c r="M835">
        <v>4.4000000000000004</v>
      </c>
      <c r="N835" t="s">
        <v>5737</v>
      </c>
      <c r="O835">
        <v>19</v>
      </c>
      <c r="P835">
        <v>695</v>
      </c>
      <c r="Q835">
        <v>8</v>
      </c>
      <c r="R835" t="s">
        <v>5613</v>
      </c>
      <c r="S835">
        <v>4.4000000000000004</v>
      </c>
      <c r="T835" t="s">
        <v>5613</v>
      </c>
      <c r="U835">
        <v>2</v>
      </c>
      <c r="V835" t="s">
        <v>5613</v>
      </c>
      <c r="W835">
        <v>18</v>
      </c>
      <c r="X835">
        <v>560</v>
      </c>
      <c r="Y835">
        <v>8.1999999999999993</v>
      </c>
      <c r="Z835" t="s">
        <v>5613</v>
      </c>
      <c r="AA835">
        <v>57.4</v>
      </c>
      <c r="AB835" t="s">
        <v>5888</v>
      </c>
      <c r="AC835" t="s">
        <v>6207</v>
      </c>
    </row>
    <row r="836" spans="1:29">
      <c r="A836" t="s">
        <v>6357</v>
      </c>
      <c r="B836" t="s">
        <v>6143</v>
      </c>
      <c r="C836" t="s">
        <v>6377</v>
      </c>
      <c r="D836" t="s">
        <v>5872</v>
      </c>
      <c r="E836" t="s">
        <v>1955</v>
      </c>
      <c r="F836" t="s">
        <v>5605</v>
      </c>
      <c r="G836" t="s">
        <v>5594</v>
      </c>
      <c r="H836" t="s">
        <v>5809</v>
      </c>
      <c r="I836">
        <v>4</v>
      </c>
      <c r="J836" t="s">
        <v>5595</v>
      </c>
      <c r="K836">
        <v>17.2</v>
      </c>
      <c r="L836">
        <v>519</v>
      </c>
      <c r="M836">
        <v>34.5</v>
      </c>
      <c r="N836">
        <v>284</v>
      </c>
      <c r="O836">
        <v>10.5</v>
      </c>
      <c r="P836" t="s">
        <v>5613</v>
      </c>
      <c r="Q836">
        <v>1.4</v>
      </c>
      <c r="R836" t="s">
        <v>5613</v>
      </c>
      <c r="S836">
        <v>6.2</v>
      </c>
      <c r="T836" t="s">
        <v>5613</v>
      </c>
      <c r="U836">
        <v>1.5</v>
      </c>
      <c r="V836" t="s">
        <v>5613</v>
      </c>
      <c r="W836">
        <v>1.1000000000000001</v>
      </c>
      <c r="X836" t="s">
        <v>5613</v>
      </c>
      <c r="Y836">
        <v>14</v>
      </c>
      <c r="Z836">
        <v>611</v>
      </c>
      <c r="AA836">
        <v>14.5</v>
      </c>
      <c r="AB836" t="s">
        <v>6378</v>
      </c>
      <c r="AC836" t="s">
        <v>6207</v>
      </c>
    </row>
    <row r="837" spans="1:29">
      <c r="A837" t="s">
        <v>6357</v>
      </c>
      <c r="B837" t="s">
        <v>6180</v>
      </c>
      <c r="C837" t="s">
        <v>6379</v>
      </c>
      <c r="D837" t="s">
        <v>5620</v>
      </c>
      <c r="E837" t="s">
        <v>76</v>
      </c>
      <c r="F837" t="s">
        <v>5593</v>
      </c>
      <c r="G837" t="s">
        <v>5594</v>
      </c>
      <c r="H837" t="s">
        <v>5809</v>
      </c>
      <c r="I837">
        <v>4</v>
      </c>
      <c r="J837" t="s">
        <v>5595</v>
      </c>
      <c r="K837">
        <v>6.9</v>
      </c>
      <c r="L837" t="s">
        <v>5737</v>
      </c>
      <c r="M837">
        <v>6.8</v>
      </c>
      <c r="N837" t="s">
        <v>5737</v>
      </c>
      <c r="O837">
        <v>19.899999999999999</v>
      </c>
      <c r="P837">
        <v>671</v>
      </c>
      <c r="Q837">
        <v>20.100000000000001</v>
      </c>
      <c r="R837">
        <v>557</v>
      </c>
      <c r="S837">
        <v>56.2</v>
      </c>
      <c r="T837">
        <v>331</v>
      </c>
      <c r="U837">
        <v>8.4</v>
      </c>
      <c r="V837" t="s">
        <v>5613</v>
      </c>
      <c r="W837">
        <v>3.2</v>
      </c>
      <c r="X837" t="s">
        <v>5613</v>
      </c>
      <c r="Y837">
        <v>14.3</v>
      </c>
      <c r="Z837">
        <v>592</v>
      </c>
      <c r="AA837">
        <v>7.5</v>
      </c>
      <c r="AB837" t="s">
        <v>5613</v>
      </c>
      <c r="AC837" t="s">
        <v>6207</v>
      </c>
    </row>
    <row r="838" spans="1:29">
      <c r="A838" t="s">
        <v>6357</v>
      </c>
      <c r="B838" t="s">
        <v>6143</v>
      </c>
      <c r="C838" t="s">
        <v>6380</v>
      </c>
      <c r="D838" t="s">
        <v>5672</v>
      </c>
      <c r="E838" t="s">
        <v>664</v>
      </c>
      <c r="F838" t="s">
        <v>5593</v>
      </c>
      <c r="G838" t="s">
        <v>5594</v>
      </c>
      <c r="H838" t="s">
        <v>5809</v>
      </c>
      <c r="I838">
        <v>2</v>
      </c>
      <c r="J838" t="s">
        <v>5591</v>
      </c>
      <c r="K838">
        <v>12.9</v>
      </c>
      <c r="L838" t="s">
        <v>5737</v>
      </c>
      <c r="M838">
        <v>36.4</v>
      </c>
      <c r="N838">
        <v>269</v>
      </c>
      <c r="O838">
        <v>11.1</v>
      </c>
      <c r="P838" t="s">
        <v>5613</v>
      </c>
      <c r="Q838">
        <v>5.0999999999999996</v>
      </c>
      <c r="R838" t="s">
        <v>5613</v>
      </c>
      <c r="S838">
        <v>8.4</v>
      </c>
      <c r="T838" t="s">
        <v>5613</v>
      </c>
      <c r="U838">
        <v>3.3</v>
      </c>
      <c r="V838" t="s">
        <v>5613</v>
      </c>
      <c r="W838">
        <v>2.1</v>
      </c>
      <c r="X838" t="s">
        <v>5613</v>
      </c>
      <c r="Y838">
        <v>9.6999999999999993</v>
      </c>
      <c r="Z838" t="s">
        <v>5613</v>
      </c>
      <c r="AA838">
        <v>30.7</v>
      </c>
      <c r="AB838" t="s">
        <v>5825</v>
      </c>
      <c r="AC838" t="s">
        <v>6207</v>
      </c>
    </row>
    <row r="839" spans="1:29">
      <c r="A839" t="s">
        <v>6357</v>
      </c>
      <c r="B839" t="s">
        <v>6180</v>
      </c>
      <c r="C839" t="s">
        <v>6381</v>
      </c>
      <c r="D839" t="s">
        <v>5639</v>
      </c>
      <c r="E839" t="s">
        <v>99</v>
      </c>
      <c r="F839" t="s">
        <v>5605</v>
      </c>
      <c r="G839" t="s">
        <v>5594</v>
      </c>
      <c r="H839" t="s">
        <v>5809</v>
      </c>
      <c r="I839">
        <v>4</v>
      </c>
      <c r="J839" t="s">
        <v>5595</v>
      </c>
      <c r="K839">
        <v>12.9</v>
      </c>
      <c r="L839" t="s">
        <v>5737</v>
      </c>
      <c r="M839">
        <v>7.6</v>
      </c>
      <c r="N839" t="s">
        <v>5737</v>
      </c>
      <c r="O839">
        <v>41.1</v>
      </c>
      <c r="P839">
        <v>382</v>
      </c>
      <c r="Q839">
        <v>7.5</v>
      </c>
      <c r="R839" t="s">
        <v>5613</v>
      </c>
      <c r="U839">
        <v>15.7</v>
      </c>
      <c r="V839">
        <v>604</v>
      </c>
      <c r="W839">
        <v>30.9</v>
      </c>
      <c r="X839">
        <v>454</v>
      </c>
      <c r="Y839">
        <v>9.5</v>
      </c>
      <c r="Z839" t="s">
        <v>5613</v>
      </c>
      <c r="AA839">
        <v>1.7</v>
      </c>
      <c r="AB839" t="s">
        <v>5613</v>
      </c>
      <c r="AC839" t="s">
        <v>6207</v>
      </c>
    </row>
    <row r="840" spans="1:29">
      <c r="A840" t="s">
        <v>6357</v>
      </c>
      <c r="B840" t="s">
        <v>6143</v>
      </c>
      <c r="C840" t="s">
        <v>2219</v>
      </c>
      <c r="D840" t="s">
        <v>5772</v>
      </c>
      <c r="E840" t="s">
        <v>386</v>
      </c>
      <c r="F840" t="s">
        <v>5593</v>
      </c>
      <c r="G840" t="s">
        <v>5594</v>
      </c>
      <c r="H840" t="s">
        <v>5590</v>
      </c>
      <c r="I840">
        <v>3</v>
      </c>
      <c r="J840" t="s">
        <v>5595</v>
      </c>
      <c r="K840">
        <v>13.4</v>
      </c>
      <c r="L840" t="s">
        <v>5737</v>
      </c>
      <c r="M840">
        <v>6.2</v>
      </c>
      <c r="N840" t="s">
        <v>5737</v>
      </c>
      <c r="O840">
        <v>22.9</v>
      </c>
      <c r="P840">
        <v>620</v>
      </c>
      <c r="Q840">
        <v>8</v>
      </c>
      <c r="R840" t="s">
        <v>5613</v>
      </c>
      <c r="S840">
        <v>4.5999999999999996</v>
      </c>
      <c r="T840" t="s">
        <v>5613</v>
      </c>
      <c r="U840">
        <v>14</v>
      </c>
      <c r="V840">
        <v>640</v>
      </c>
      <c r="W840">
        <v>41.8</v>
      </c>
      <c r="X840">
        <v>365</v>
      </c>
      <c r="Y840">
        <v>5.5</v>
      </c>
      <c r="Z840" t="s">
        <v>5613</v>
      </c>
      <c r="AA840">
        <v>29.9</v>
      </c>
      <c r="AB840" t="s">
        <v>6078</v>
      </c>
      <c r="AC840" t="s">
        <v>6207</v>
      </c>
    </row>
    <row r="841" spans="1:29">
      <c r="A841" t="s">
        <v>6357</v>
      </c>
      <c r="B841" t="s">
        <v>6073</v>
      </c>
      <c r="C841" t="s">
        <v>6382</v>
      </c>
      <c r="D841" t="s">
        <v>5857</v>
      </c>
      <c r="E841" t="s">
        <v>1178</v>
      </c>
      <c r="F841" t="s">
        <v>5615</v>
      </c>
      <c r="G841" t="s">
        <v>5589</v>
      </c>
      <c r="H841" t="s">
        <v>5809</v>
      </c>
      <c r="I841">
        <v>3</v>
      </c>
      <c r="J841" t="s">
        <v>5591</v>
      </c>
      <c r="K841">
        <v>4.9000000000000004</v>
      </c>
      <c r="L841" t="s">
        <v>5737</v>
      </c>
      <c r="M841">
        <v>13</v>
      </c>
      <c r="N841" t="s">
        <v>5737</v>
      </c>
      <c r="O841">
        <v>83.8</v>
      </c>
      <c r="P841">
        <v>115</v>
      </c>
      <c r="Q841">
        <v>2</v>
      </c>
      <c r="R841" t="s">
        <v>5613</v>
      </c>
      <c r="S841">
        <v>12.6</v>
      </c>
      <c r="T841" t="s">
        <v>5613</v>
      </c>
      <c r="U841">
        <v>21.8</v>
      </c>
      <c r="V841">
        <v>520</v>
      </c>
      <c r="W841">
        <v>1</v>
      </c>
      <c r="X841" t="s">
        <v>5613</v>
      </c>
      <c r="Y841">
        <v>8.1999999999999993</v>
      </c>
      <c r="Z841" t="s">
        <v>5613</v>
      </c>
      <c r="AA841">
        <v>1</v>
      </c>
      <c r="AB841" t="s">
        <v>5613</v>
      </c>
      <c r="AC841" t="s">
        <v>6207</v>
      </c>
    </row>
    <row r="842" spans="1:29">
      <c r="A842" t="s">
        <v>6357</v>
      </c>
      <c r="B842" t="s">
        <v>6143</v>
      </c>
      <c r="C842" t="s">
        <v>2260</v>
      </c>
      <c r="D842" t="s">
        <v>5770</v>
      </c>
      <c r="E842" t="s">
        <v>528</v>
      </c>
      <c r="F842" t="s">
        <v>5593</v>
      </c>
      <c r="G842" t="s">
        <v>5589</v>
      </c>
      <c r="H842" t="s">
        <v>5590</v>
      </c>
      <c r="I842">
        <v>5</v>
      </c>
      <c r="J842" t="s">
        <v>5595</v>
      </c>
      <c r="K842">
        <v>15.7</v>
      </c>
      <c r="L842">
        <v>557</v>
      </c>
      <c r="M842">
        <v>4.3</v>
      </c>
      <c r="N842" t="s">
        <v>5737</v>
      </c>
      <c r="O842">
        <v>5.6</v>
      </c>
      <c r="P842" t="s">
        <v>5613</v>
      </c>
      <c r="Q842">
        <v>20.3</v>
      </c>
      <c r="R842">
        <v>554</v>
      </c>
      <c r="S842">
        <v>25.9</v>
      </c>
      <c r="T842">
        <v>524</v>
      </c>
      <c r="U842">
        <v>1.1000000000000001</v>
      </c>
      <c r="V842" t="s">
        <v>5613</v>
      </c>
      <c r="W842">
        <v>3.2</v>
      </c>
      <c r="X842" t="s">
        <v>5613</v>
      </c>
      <c r="Y842">
        <v>38.799999999999997</v>
      </c>
      <c r="Z842">
        <v>186</v>
      </c>
      <c r="AA842">
        <v>1.9</v>
      </c>
      <c r="AB842" t="s">
        <v>5613</v>
      </c>
      <c r="AC842" t="s">
        <v>6207</v>
      </c>
    </row>
    <row r="843" spans="1:29">
      <c r="A843" t="s">
        <v>6357</v>
      </c>
      <c r="B843" t="s">
        <v>6143</v>
      </c>
      <c r="C843" t="s">
        <v>4464</v>
      </c>
      <c r="D843" t="s">
        <v>5865</v>
      </c>
      <c r="E843" t="s">
        <v>608</v>
      </c>
      <c r="F843" t="s">
        <v>5615</v>
      </c>
      <c r="G843" t="s">
        <v>5651</v>
      </c>
      <c r="I843">
        <v>3</v>
      </c>
      <c r="J843" t="s">
        <v>5591</v>
      </c>
      <c r="K843">
        <v>4.2</v>
      </c>
      <c r="L843" t="s">
        <v>5737</v>
      </c>
      <c r="M843">
        <v>4.5</v>
      </c>
      <c r="N843" t="s">
        <v>5737</v>
      </c>
      <c r="O843">
        <v>13</v>
      </c>
      <c r="P843" t="s">
        <v>5613</v>
      </c>
      <c r="Q843">
        <v>10</v>
      </c>
      <c r="R843" t="s">
        <v>5613</v>
      </c>
      <c r="S843">
        <v>100</v>
      </c>
      <c r="T843">
        <v>7</v>
      </c>
      <c r="U843">
        <v>64.5</v>
      </c>
      <c r="V843">
        <v>232</v>
      </c>
      <c r="W843">
        <v>1</v>
      </c>
      <c r="X843" t="s">
        <v>5613</v>
      </c>
      <c r="Y843">
        <v>17.3</v>
      </c>
      <c r="Z843">
        <v>484</v>
      </c>
      <c r="AA843">
        <v>1</v>
      </c>
      <c r="AB843" t="s">
        <v>5613</v>
      </c>
      <c r="AC843" t="s">
        <v>6207</v>
      </c>
    </row>
    <row r="844" spans="1:29">
      <c r="A844" t="s">
        <v>6357</v>
      </c>
      <c r="B844" t="s">
        <v>6180</v>
      </c>
      <c r="C844" t="s">
        <v>6383</v>
      </c>
      <c r="D844" t="s">
        <v>5770</v>
      </c>
      <c r="E844" t="s">
        <v>528</v>
      </c>
      <c r="F844" t="s">
        <v>5588</v>
      </c>
      <c r="G844" t="s">
        <v>5594</v>
      </c>
      <c r="H844" t="s">
        <v>5809</v>
      </c>
      <c r="I844">
        <v>3</v>
      </c>
      <c r="J844" t="s">
        <v>5595</v>
      </c>
      <c r="K844">
        <v>11.9</v>
      </c>
      <c r="L844" t="s">
        <v>5737</v>
      </c>
      <c r="M844">
        <v>2.8</v>
      </c>
      <c r="N844" t="s">
        <v>5737</v>
      </c>
      <c r="O844">
        <v>16.3</v>
      </c>
      <c r="P844" t="s">
        <v>5613</v>
      </c>
      <c r="Q844">
        <v>37.9</v>
      </c>
      <c r="R844">
        <v>372</v>
      </c>
      <c r="S844">
        <v>2</v>
      </c>
      <c r="T844" t="s">
        <v>5613</v>
      </c>
      <c r="U844">
        <v>2</v>
      </c>
      <c r="V844" t="s">
        <v>5613</v>
      </c>
      <c r="W844">
        <v>1.4</v>
      </c>
      <c r="X844" t="s">
        <v>5613</v>
      </c>
      <c r="Y844">
        <v>7.8</v>
      </c>
      <c r="Z844" t="s">
        <v>5613</v>
      </c>
      <c r="AA844">
        <v>1.3</v>
      </c>
      <c r="AB844" t="s">
        <v>5613</v>
      </c>
      <c r="AC844" t="s">
        <v>6207</v>
      </c>
    </row>
    <row r="845" spans="1:29">
      <c r="A845" t="s">
        <v>6357</v>
      </c>
      <c r="B845" t="s">
        <v>6240</v>
      </c>
      <c r="C845" t="s">
        <v>2409</v>
      </c>
      <c r="D845" t="s">
        <v>6316</v>
      </c>
      <c r="E845" t="s">
        <v>2410</v>
      </c>
      <c r="F845" t="s">
        <v>5593</v>
      </c>
      <c r="G845" t="s">
        <v>5594</v>
      </c>
      <c r="H845" t="s">
        <v>5809</v>
      </c>
      <c r="I845">
        <v>5</v>
      </c>
      <c r="J845" t="s">
        <v>5595</v>
      </c>
      <c r="K845">
        <v>12.5</v>
      </c>
      <c r="L845" t="s">
        <v>5737</v>
      </c>
      <c r="M845">
        <v>17.8</v>
      </c>
      <c r="N845">
        <v>495</v>
      </c>
      <c r="O845">
        <v>5.0999999999999996</v>
      </c>
      <c r="P845" t="s">
        <v>5613</v>
      </c>
      <c r="Q845">
        <v>6.1</v>
      </c>
      <c r="R845" t="s">
        <v>5613</v>
      </c>
      <c r="S845">
        <v>12.5</v>
      </c>
      <c r="T845" t="s">
        <v>5613</v>
      </c>
      <c r="U845">
        <v>5.3</v>
      </c>
      <c r="V845" t="s">
        <v>5613</v>
      </c>
      <c r="W845">
        <v>21.5</v>
      </c>
      <c r="X845">
        <v>531</v>
      </c>
      <c r="Y845">
        <v>59.8</v>
      </c>
      <c r="Z845">
        <v>102</v>
      </c>
      <c r="AA845">
        <v>13.7</v>
      </c>
      <c r="AB845" t="s">
        <v>5895</v>
      </c>
      <c r="AC845" t="s">
        <v>6207</v>
      </c>
    </row>
    <row r="846" spans="1:29">
      <c r="A846" t="s">
        <v>6357</v>
      </c>
      <c r="B846" t="s">
        <v>6132</v>
      </c>
      <c r="C846" t="s">
        <v>6384</v>
      </c>
      <c r="D846" t="s">
        <v>5587</v>
      </c>
      <c r="E846" t="s">
        <v>29</v>
      </c>
      <c r="F846" t="s">
        <v>5593</v>
      </c>
      <c r="G846" t="s">
        <v>5602</v>
      </c>
      <c r="H846" t="s">
        <v>5590</v>
      </c>
      <c r="I846">
        <v>5</v>
      </c>
      <c r="J846" t="s">
        <v>5595</v>
      </c>
      <c r="K846">
        <v>11.9</v>
      </c>
      <c r="L846" t="s">
        <v>5737</v>
      </c>
      <c r="M846">
        <v>4.9000000000000004</v>
      </c>
      <c r="N846" t="s">
        <v>5737</v>
      </c>
      <c r="O846">
        <v>11.5</v>
      </c>
      <c r="P846" t="s">
        <v>5613</v>
      </c>
      <c r="Q846">
        <v>27.5</v>
      </c>
      <c r="R846">
        <v>458</v>
      </c>
      <c r="S846">
        <v>5.9</v>
      </c>
      <c r="T846" t="s">
        <v>5613</v>
      </c>
      <c r="U846">
        <v>9.6</v>
      </c>
      <c r="V846" t="s">
        <v>5613</v>
      </c>
      <c r="W846">
        <v>2.2999999999999998</v>
      </c>
      <c r="X846" t="s">
        <v>5613</v>
      </c>
      <c r="Y846">
        <v>7.6</v>
      </c>
      <c r="Z846" t="s">
        <v>5613</v>
      </c>
      <c r="AA846">
        <v>40.200000000000003</v>
      </c>
      <c r="AB846" t="s">
        <v>5829</v>
      </c>
      <c r="AC846" t="s">
        <v>6207</v>
      </c>
    </row>
    <row r="847" spans="1:29">
      <c r="A847" t="s">
        <v>6357</v>
      </c>
      <c r="B847" t="s">
        <v>6136</v>
      </c>
      <c r="C847" t="s">
        <v>6385</v>
      </c>
      <c r="D847" t="s">
        <v>6213</v>
      </c>
      <c r="E847" t="s">
        <v>691</v>
      </c>
      <c r="F847" t="s">
        <v>5593</v>
      </c>
      <c r="G847" t="s">
        <v>5594</v>
      </c>
      <c r="H847" t="s">
        <v>5809</v>
      </c>
      <c r="I847">
        <v>5</v>
      </c>
      <c r="J847" t="s">
        <v>5595</v>
      </c>
      <c r="K847">
        <v>13.2</v>
      </c>
      <c r="L847" t="s">
        <v>5737</v>
      </c>
      <c r="M847">
        <v>8.8000000000000007</v>
      </c>
      <c r="N847" t="s">
        <v>5737</v>
      </c>
      <c r="O847">
        <v>38.1</v>
      </c>
      <c r="P847">
        <v>414</v>
      </c>
      <c r="Q847">
        <v>2.7</v>
      </c>
      <c r="R847" t="s">
        <v>5613</v>
      </c>
      <c r="S847">
        <v>9.1</v>
      </c>
      <c r="T847" t="s">
        <v>5613</v>
      </c>
      <c r="U847">
        <v>62.4</v>
      </c>
      <c r="V847">
        <v>240</v>
      </c>
      <c r="W847">
        <v>4.8</v>
      </c>
      <c r="X847" t="s">
        <v>5613</v>
      </c>
      <c r="Y847">
        <v>9.6</v>
      </c>
      <c r="Z847" t="s">
        <v>5613</v>
      </c>
      <c r="AA847">
        <v>3</v>
      </c>
      <c r="AB847" t="s">
        <v>5613</v>
      </c>
      <c r="AC847" t="s">
        <v>6207</v>
      </c>
    </row>
    <row r="848" spans="1:29">
      <c r="A848" t="s">
        <v>6357</v>
      </c>
      <c r="B848" t="s">
        <v>6240</v>
      </c>
      <c r="C848" t="s">
        <v>1331</v>
      </c>
      <c r="D848" t="s">
        <v>5747</v>
      </c>
      <c r="E848" t="s">
        <v>397</v>
      </c>
      <c r="F848" t="s">
        <v>5593</v>
      </c>
      <c r="G848" t="s">
        <v>5594</v>
      </c>
      <c r="H848" t="s">
        <v>5590</v>
      </c>
      <c r="I848">
        <v>4</v>
      </c>
      <c r="J848" t="s">
        <v>5595</v>
      </c>
      <c r="K848">
        <v>7.9</v>
      </c>
      <c r="L848" t="s">
        <v>5737</v>
      </c>
      <c r="M848">
        <v>2.1</v>
      </c>
      <c r="N848" t="s">
        <v>5737</v>
      </c>
      <c r="O848">
        <v>4.8</v>
      </c>
      <c r="P848" t="s">
        <v>5613</v>
      </c>
      <c r="Q848">
        <v>31.9</v>
      </c>
      <c r="R848">
        <v>421</v>
      </c>
      <c r="S848">
        <v>3.4</v>
      </c>
      <c r="T848" t="s">
        <v>5613</v>
      </c>
      <c r="U848">
        <v>1.8</v>
      </c>
      <c r="V848" t="s">
        <v>5613</v>
      </c>
      <c r="W848">
        <v>64.8</v>
      </c>
      <c r="X848">
        <v>217</v>
      </c>
      <c r="Y848">
        <v>5.4</v>
      </c>
      <c r="Z848" t="s">
        <v>5613</v>
      </c>
      <c r="AA848">
        <v>7.6</v>
      </c>
      <c r="AB848" t="s">
        <v>5613</v>
      </c>
      <c r="AC848" t="s">
        <v>6207</v>
      </c>
    </row>
    <row r="849" spans="1:29">
      <c r="A849" t="s">
        <v>6357</v>
      </c>
      <c r="B849" t="s">
        <v>6143</v>
      </c>
      <c r="C849" t="s">
        <v>3903</v>
      </c>
      <c r="D849" t="s">
        <v>6050</v>
      </c>
      <c r="E849" t="s">
        <v>2229</v>
      </c>
      <c r="F849" t="s">
        <v>5593</v>
      </c>
      <c r="G849" t="s">
        <v>5594</v>
      </c>
      <c r="H849" t="s">
        <v>6146</v>
      </c>
      <c r="I849">
        <v>5</v>
      </c>
      <c r="J849" t="s">
        <v>5591</v>
      </c>
      <c r="K849">
        <v>11.5</v>
      </c>
      <c r="L849" t="s">
        <v>5737</v>
      </c>
      <c r="M849">
        <v>33.5</v>
      </c>
      <c r="N849">
        <v>293</v>
      </c>
      <c r="O849">
        <v>15.7</v>
      </c>
      <c r="P849" t="s">
        <v>5613</v>
      </c>
      <c r="Q849">
        <v>1.3</v>
      </c>
      <c r="R849" t="s">
        <v>5613</v>
      </c>
      <c r="S849">
        <v>41.4</v>
      </c>
      <c r="T849">
        <v>401</v>
      </c>
      <c r="U849">
        <v>8.1999999999999993</v>
      </c>
      <c r="V849" t="s">
        <v>5613</v>
      </c>
      <c r="W849">
        <v>1</v>
      </c>
      <c r="X849" t="s">
        <v>5613</v>
      </c>
      <c r="Y849">
        <v>12.5</v>
      </c>
      <c r="Z849">
        <v>697</v>
      </c>
      <c r="AA849">
        <v>1.1000000000000001</v>
      </c>
      <c r="AB849" t="s">
        <v>5613</v>
      </c>
      <c r="AC849" t="s">
        <v>6207</v>
      </c>
    </row>
    <row r="850" spans="1:29">
      <c r="A850" t="s">
        <v>6357</v>
      </c>
      <c r="B850" t="s">
        <v>6143</v>
      </c>
      <c r="C850" t="s">
        <v>1150</v>
      </c>
      <c r="D850" t="s">
        <v>5747</v>
      </c>
      <c r="E850" t="s">
        <v>397</v>
      </c>
      <c r="F850" t="s">
        <v>5593</v>
      </c>
      <c r="G850" t="s">
        <v>5594</v>
      </c>
      <c r="H850" t="s">
        <v>5809</v>
      </c>
      <c r="I850">
        <v>3</v>
      </c>
      <c r="J850" t="s">
        <v>5595</v>
      </c>
      <c r="K850">
        <v>8.6999999999999993</v>
      </c>
      <c r="L850" t="s">
        <v>5737</v>
      </c>
      <c r="M850">
        <v>2.9</v>
      </c>
      <c r="N850" t="s">
        <v>5737</v>
      </c>
      <c r="O850">
        <v>4.8</v>
      </c>
      <c r="P850" t="s">
        <v>5613</v>
      </c>
      <c r="Q850">
        <v>40</v>
      </c>
      <c r="R850">
        <v>345</v>
      </c>
      <c r="S850">
        <v>4.7</v>
      </c>
      <c r="T850" t="s">
        <v>5613</v>
      </c>
      <c r="U850">
        <v>3.6</v>
      </c>
      <c r="V850" t="s">
        <v>5613</v>
      </c>
      <c r="W850">
        <v>32</v>
      </c>
      <c r="X850">
        <v>448</v>
      </c>
      <c r="Y850">
        <v>6.9</v>
      </c>
      <c r="Z850" t="s">
        <v>5613</v>
      </c>
      <c r="AA850">
        <v>14.7</v>
      </c>
      <c r="AB850">
        <v>616</v>
      </c>
      <c r="AC850" t="s">
        <v>6207</v>
      </c>
    </row>
    <row r="851" spans="1:29">
      <c r="A851" t="s">
        <v>6357</v>
      </c>
      <c r="B851" t="s">
        <v>6136</v>
      </c>
      <c r="C851" t="s">
        <v>6386</v>
      </c>
      <c r="D851" t="s">
        <v>6119</v>
      </c>
      <c r="E851" t="s">
        <v>2026</v>
      </c>
      <c r="F851" t="s">
        <v>5588</v>
      </c>
      <c r="G851" t="s">
        <v>5651</v>
      </c>
      <c r="I851">
        <v>4</v>
      </c>
      <c r="J851" t="s">
        <v>5595</v>
      </c>
      <c r="K851">
        <v>9</v>
      </c>
      <c r="L851" t="s">
        <v>5737</v>
      </c>
      <c r="M851">
        <v>16.7</v>
      </c>
      <c r="N851">
        <v>516</v>
      </c>
      <c r="O851">
        <v>40.9</v>
      </c>
      <c r="P851">
        <v>385</v>
      </c>
      <c r="Q851">
        <v>7.3</v>
      </c>
      <c r="R851" t="s">
        <v>5613</v>
      </c>
      <c r="S851">
        <v>15.8</v>
      </c>
      <c r="T851">
        <v>655</v>
      </c>
      <c r="U851">
        <v>38.799999999999997</v>
      </c>
      <c r="V851">
        <v>355</v>
      </c>
      <c r="W851">
        <v>4.7</v>
      </c>
      <c r="X851" t="s">
        <v>5613</v>
      </c>
      <c r="Y851">
        <v>11.5</v>
      </c>
      <c r="Z851" t="s">
        <v>5613</v>
      </c>
      <c r="AA851">
        <v>1.9</v>
      </c>
      <c r="AB851" t="s">
        <v>5613</v>
      </c>
      <c r="AC851" t="s">
        <v>6207</v>
      </c>
    </row>
    <row r="852" spans="1:29">
      <c r="A852" t="s">
        <v>6357</v>
      </c>
      <c r="B852" t="s">
        <v>6143</v>
      </c>
      <c r="C852" t="s">
        <v>3198</v>
      </c>
      <c r="D852" t="s">
        <v>6119</v>
      </c>
      <c r="E852" t="s">
        <v>2026</v>
      </c>
      <c r="F852" t="s">
        <v>5588</v>
      </c>
      <c r="G852" t="s">
        <v>5602</v>
      </c>
      <c r="H852" t="s">
        <v>5590</v>
      </c>
      <c r="I852">
        <v>5</v>
      </c>
      <c r="J852" t="s">
        <v>5595</v>
      </c>
      <c r="K852">
        <v>11</v>
      </c>
      <c r="L852" t="s">
        <v>5737</v>
      </c>
      <c r="M852">
        <v>20.6</v>
      </c>
      <c r="N852">
        <v>449</v>
      </c>
      <c r="O852">
        <v>38.5</v>
      </c>
      <c r="P852">
        <v>410</v>
      </c>
      <c r="Q852">
        <v>2.1</v>
      </c>
      <c r="R852" t="s">
        <v>5613</v>
      </c>
      <c r="S852">
        <v>15.1</v>
      </c>
      <c r="T852">
        <v>666</v>
      </c>
      <c r="U852">
        <v>40.200000000000003</v>
      </c>
      <c r="V852">
        <v>341</v>
      </c>
      <c r="W852">
        <v>2.4</v>
      </c>
      <c r="X852" t="s">
        <v>5613</v>
      </c>
      <c r="Y852">
        <v>11.4</v>
      </c>
      <c r="Z852" t="s">
        <v>5613</v>
      </c>
      <c r="AA852">
        <v>1.6</v>
      </c>
      <c r="AB852" t="s">
        <v>5613</v>
      </c>
      <c r="AC852" t="s">
        <v>6207</v>
      </c>
    </row>
    <row r="853" spans="1:29">
      <c r="A853" t="s">
        <v>6357</v>
      </c>
      <c r="B853" t="s">
        <v>5980</v>
      </c>
      <c r="C853" t="s">
        <v>2194</v>
      </c>
      <c r="D853" t="s">
        <v>5631</v>
      </c>
      <c r="E853" t="s">
        <v>94</v>
      </c>
      <c r="F853" t="s">
        <v>5588</v>
      </c>
      <c r="G853" t="s">
        <v>5602</v>
      </c>
      <c r="H853" t="s">
        <v>5590</v>
      </c>
      <c r="I853">
        <v>4</v>
      </c>
      <c r="J853" t="s">
        <v>5595</v>
      </c>
      <c r="K853">
        <v>3.3</v>
      </c>
      <c r="L853" t="s">
        <v>5737</v>
      </c>
      <c r="M853">
        <v>2.6</v>
      </c>
      <c r="N853" t="s">
        <v>5737</v>
      </c>
      <c r="O853">
        <v>97.7</v>
      </c>
      <c r="P853">
        <v>49</v>
      </c>
      <c r="Q853">
        <v>10.3</v>
      </c>
      <c r="R853" t="s">
        <v>5613</v>
      </c>
      <c r="S853">
        <v>4.0999999999999996</v>
      </c>
      <c r="T853" t="s">
        <v>5613</v>
      </c>
      <c r="U853">
        <v>2.4</v>
      </c>
      <c r="V853" t="s">
        <v>5613</v>
      </c>
      <c r="W853">
        <v>1.1000000000000001</v>
      </c>
      <c r="X853" t="s">
        <v>5613</v>
      </c>
      <c r="Y853">
        <v>8.5</v>
      </c>
      <c r="Z853" t="s">
        <v>5613</v>
      </c>
      <c r="AA853">
        <v>1</v>
      </c>
      <c r="AB853" t="s">
        <v>5613</v>
      </c>
      <c r="AC853" t="s">
        <v>6207</v>
      </c>
    </row>
    <row r="854" spans="1:29">
      <c r="A854" t="s">
        <v>6357</v>
      </c>
      <c r="B854" t="s">
        <v>6056</v>
      </c>
      <c r="C854" t="s">
        <v>6387</v>
      </c>
      <c r="D854" t="s">
        <v>5863</v>
      </c>
      <c r="E854" t="s">
        <v>1306</v>
      </c>
      <c r="F854" t="s">
        <v>5588</v>
      </c>
      <c r="G854" t="s">
        <v>5602</v>
      </c>
      <c r="H854" t="s">
        <v>5809</v>
      </c>
      <c r="I854">
        <v>4</v>
      </c>
      <c r="J854" t="s">
        <v>5595</v>
      </c>
      <c r="K854">
        <v>8.4</v>
      </c>
      <c r="L854" t="s">
        <v>5737</v>
      </c>
      <c r="M854">
        <v>6.8</v>
      </c>
      <c r="N854" t="s">
        <v>5737</v>
      </c>
      <c r="O854">
        <v>80.599999999999994</v>
      </c>
      <c r="P854">
        <v>138</v>
      </c>
      <c r="Q854">
        <v>1.1000000000000001</v>
      </c>
      <c r="R854" t="s">
        <v>5613</v>
      </c>
      <c r="S854">
        <v>8.1999999999999993</v>
      </c>
      <c r="T854" t="s">
        <v>5613</v>
      </c>
      <c r="U854">
        <v>18.399999999999999</v>
      </c>
      <c r="V854">
        <v>569</v>
      </c>
      <c r="W854">
        <v>1</v>
      </c>
      <c r="X854" t="s">
        <v>5613</v>
      </c>
      <c r="Y854">
        <v>12.1</v>
      </c>
      <c r="Z854" t="s">
        <v>5613</v>
      </c>
      <c r="AA854">
        <v>2.1</v>
      </c>
      <c r="AB854" t="s">
        <v>5613</v>
      </c>
      <c r="AC854" t="s">
        <v>6207</v>
      </c>
    </row>
    <row r="855" spans="1:29">
      <c r="A855" t="s">
        <v>6388</v>
      </c>
      <c r="C855" t="s">
        <v>6389</v>
      </c>
      <c r="D855" t="s">
        <v>6390</v>
      </c>
      <c r="E855" t="s">
        <v>2377</v>
      </c>
      <c r="F855" t="s">
        <v>5605</v>
      </c>
      <c r="G855" t="s">
        <v>5589</v>
      </c>
      <c r="H855" t="s">
        <v>5809</v>
      </c>
      <c r="K855">
        <v>5.6</v>
      </c>
      <c r="L855" t="s">
        <v>5737</v>
      </c>
      <c r="M855">
        <v>10.8</v>
      </c>
      <c r="N855" t="s">
        <v>5737</v>
      </c>
      <c r="O855">
        <v>61.1</v>
      </c>
      <c r="P855">
        <v>231</v>
      </c>
      <c r="Q855">
        <v>1.7</v>
      </c>
      <c r="R855" t="s">
        <v>5613</v>
      </c>
      <c r="W855">
        <v>14.3</v>
      </c>
      <c r="X855">
        <v>608</v>
      </c>
      <c r="Y855">
        <v>54.7</v>
      </c>
      <c r="Z855">
        <v>114</v>
      </c>
      <c r="AC855" t="s">
        <v>6207</v>
      </c>
    </row>
    <row r="856" spans="1:29">
      <c r="A856" t="s">
        <v>6388</v>
      </c>
      <c r="B856" t="s">
        <v>6143</v>
      </c>
      <c r="C856" t="s">
        <v>6391</v>
      </c>
      <c r="D856" t="s">
        <v>5616</v>
      </c>
      <c r="E856" t="s">
        <v>54</v>
      </c>
      <c r="F856" t="s">
        <v>5593</v>
      </c>
      <c r="G856" t="s">
        <v>5589</v>
      </c>
      <c r="H856" t="s">
        <v>5590</v>
      </c>
      <c r="I856">
        <v>3</v>
      </c>
      <c r="J856" t="s">
        <v>5595</v>
      </c>
      <c r="K856">
        <v>3.9</v>
      </c>
      <c r="L856" t="s">
        <v>5737</v>
      </c>
      <c r="M856">
        <v>2.2000000000000002</v>
      </c>
      <c r="N856" t="s">
        <v>5737</v>
      </c>
      <c r="O856">
        <v>10</v>
      </c>
      <c r="P856" t="s">
        <v>5613</v>
      </c>
      <c r="Q856">
        <v>49.2</v>
      </c>
      <c r="R856">
        <v>271</v>
      </c>
      <c r="S856">
        <v>5</v>
      </c>
      <c r="T856" t="s">
        <v>5613</v>
      </c>
      <c r="U856">
        <v>1.8</v>
      </c>
      <c r="V856" t="s">
        <v>5613</v>
      </c>
      <c r="W856">
        <v>1.1000000000000001</v>
      </c>
      <c r="X856" t="s">
        <v>5613</v>
      </c>
      <c r="Y856">
        <v>10.4</v>
      </c>
      <c r="Z856" t="s">
        <v>5613</v>
      </c>
      <c r="AA856">
        <v>1.2</v>
      </c>
      <c r="AB856" t="s">
        <v>5613</v>
      </c>
      <c r="AC856" t="s">
        <v>6207</v>
      </c>
    </row>
    <row r="857" spans="1:29">
      <c r="A857" t="s">
        <v>6388</v>
      </c>
      <c r="B857" t="s">
        <v>6143</v>
      </c>
      <c r="C857" t="s">
        <v>6392</v>
      </c>
      <c r="D857" t="s">
        <v>5747</v>
      </c>
      <c r="E857" t="s">
        <v>397</v>
      </c>
      <c r="F857" t="s">
        <v>5593</v>
      </c>
      <c r="G857" t="s">
        <v>5594</v>
      </c>
      <c r="H857" t="s">
        <v>5590</v>
      </c>
      <c r="I857">
        <v>5</v>
      </c>
      <c r="J857" t="s">
        <v>5595</v>
      </c>
      <c r="K857">
        <v>11.7</v>
      </c>
      <c r="L857" t="s">
        <v>5737</v>
      </c>
      <c r="M857">
        <v>3.1</v>
      </c>
      <c r="N857" t="s">
        <v>5737</v>
      </c>
      <c r="O857">
        <v>4.8</v>
      </c>
      <c r="P857" t="s">
        <v>5613</v>
      </c>
      <c r="Q857">
        <v>27.4</v>
      </c>
      <c r="R857">
        <v>459</v>
      </c>
      <c r="S857">
        <v>2.8</v>
      </c>
      <c r="T857" t="s">
        <v>5613</v>
      </c>
      <c r="U857">
        <v>2.6</v>
      </c>
      <c r="V857" t="s">
        <v>5613</v>
      </c>
      <c r="W857">
        <v>30.4</v>
      </c>
      <c r="X857">
        <v>456</v>
      </c>
      <c r="Y857">
        <v>6.1</v>
      </c>
      <c r="Z857" t="s">
        <v>5613</v>
      </c>
      <c r="AA857">
        <v>25.1</v>
      </c>
      <c r="AB857">
        <v>489</v>
      </c>
      <c r="AC857" t="s">
        <v>6207</v>
      </c>
    </row>
    <row r="858" spans="1:29">
      <c r="A858" t="s">
        <v>6388</v>
      </c>
      <c r="B858" t="s">
        <v>6180</v>
      </c>
      <c r="C858" t="s">
        <v>1883</v>
      </c>
      <c r="D858" t="s">
        <v>5644</v>
      </c>
      <c r="E858" t="s">
        <v>181</v>
      </c>
      <c r="F858" t="s">
        <v>5593</v>
      </c>
      <c r="G858" t="s">
        <v>5594</v>
      </c>
      <c r="H858" t="s">
        <v>5590</v>
      </c>
      <c r="I858">
        <v>4</v>
      </c>
      <c r="J858" t="s">
        <v>5595</v>
      </c>
      <c r="K858">
        <v>11.7</v>
      </c>
      <c r="L858" t="s">
        <v>5737</v>
      </c>
      <c r="M858">
        <v>5</v>
      </c>
      <c r="N858" t="s">
        <v>5737</v>
      </c>
      <c r="O858">
        <v>44</v>
      </c>
      <c r="P858">
        <v>357</v>
      </c>
      <c r="Q858">
        <v>14.3</v>
      </c>
      <c r="R858">
        <v>652</v>
      </c>
      <c r="S858">
        <v>11.4</v>
      </c>
      <c r="T858" t="s">
        <v>5613</v>
      </c>
      <c r="U858">
        <v>6.5</v>
      </c>
      <c r="V858" t="s">
        <v>5613</v>
      </c>
      <c r="W858">
        <v>1.7</v>
      </c>
      <c r="X858" t="s">
        <v>5613</v>
      </c>
      <c r="Y858">
        <v>6</v>
      </c>
      <c r="Z858" t="s">
        <v>5613</v>
      </c>
      <c r="AA858">
        <v>4</v>
      </c>
      <c r="AB858" t="s">
        <v>5613</v>
      </c>
      <c r="AC858" t="s">
        <v>6207</v>
      </c>
    </row>
    <row r="859" spans="1:29">
      <c r="A859" t="s">
        <v>6388</v>
      </c>
      <c r="B859" t="s">
        <v>6180</v>
      </c>
      <c r="C859" t="s">
        <v>1885</v>
      </c>
      <c r="D859" t="s">
        <v>5644</v>
      </c>
      <c r="E859" t="s">
        <v>181</v>
      </c>
      <c r="F859" t="s">
        <v>5593</v>
      </c>
      <c r="G859" t="s">
        <v>5594</v>
      </c>
      <c r="H859" t="s">
        <v>5590</v>
      </c>
      <c r="I859">
        <v>4</v>
      </c>
      <c r="J859" t="s">
        <v>5595</v>
      </c>
      <c r="K859">
        <v>11.7</v>
      </c>
      <c r="L859" t="s">
        <v>5737</v>
      </c>
      <c r="M859">
        <v>8</v>
      </c>
      <c r="N859" t="s">
        <v>5737</v>
      </c>
      <c r="O859">
        <v>45.3</v>
      </c>
      <c r="P859">
        <v>348</v>
      </c>
      <c r="Q859">
        <v>10.6</v>
      </c>
      <c r="R859" t="s">
        <v>5613</v>
      </c>
      <c r="S859">
        <v>8.1999999999999993</v>
      </c>
      <c r="T859" t="s">
        <v>5613</v>
      </c>
      <c r="U859">
        <v>10.7</v>
      </c>
      <c r="V859" t="s">
        <v>5613</v>
      </c>
      <c r="W859">
        <v>1.6</v>
      </c>
      <c r="X859" t="s">
        <v>5613</v>
      </c>
      <c r="Y859">
        <v>8</v>
      </c>
      <c r="Z859" t="s">
        <v>5613</v>
      </c>
      <c r="AA859">
        <v>2.1</v>
      </c>
      <c r="AB859" t="s">
        <v>5613</v>
      </c>
      <c r="AC859" t="s">
        <v>6207</v>
      </c>
    </row>
    <row r="860" spans="1:29">
      <c r="A860" t="s">
        <v>6388</v>
      </c>
      <c r="B860" t="s">
        <v>6143</v>
      </c>
      <c r="C860" t="s">
        <v>6393</v>
      </c>
      <c r="D860" t="s">
        <v>5587</v>
      </c>
      <c r="E860" t="s">
        <v>29</v>
      </c>
      <c r="F860" t="s">
        <v>5593</v>
      </c>
      <c r="G860" t="s">
        <v>5589</v>
      </c>
      <c r="H860" t="s">
        <v>5590</v>
      </c>
      <c r="I860">
        <v>5</v>
      </c>
      <c r="J860" t="s">
        <v>5595</v>
      </c>
      <c r="K860">
        <v>8.3000000000000007</v>
      </c>
      <c r="L860" t="s">
        <v>5737</v>
      </c>
      <c r="M860">
        <v>10.8</v>
      </c>
      <c r="N860" t="s">
        <v>5737</v>
      </c>
      <c r="O860">
        <v>12.9</v>
      </c>
      <c r="P860" t="s">
        <v>5613</v>
      </c>
      <c r="Q860">
        <v>16.7</v>
      </c>
      <c r="R860">
        <v>606</v>
      </c>
      <c r="S860">
        <v>8.3000000000000007</v>
      </c>
      <c r="T860" t="s">
        <v>5613</v>
      </c>
      <c r="U860">
        <v>4.5</v>
      </c>
      <c r="V860" t="s">
        <v>5613</v>
      </c>
      <c r="W860">
        <v>36.4</v>
      </c>
      <c r="X860">
        <v>408</v>
      </c>
      <c r="Y860">
        <v>11.1</v>
      </c>
      <c r="Z860" t="s">
        <v>5613</v>
      </c>
      <c r="AA860">
        <v>32.1</v>
      </c>
      <c r="AB860">
        <v>423</v>
      </c>
      <c r="AC860" t="s">
        <v>6207</v>
      </c>
    </row>
    <row r="861" spans="1:29">
      <c r="A861" t="s">
        <v>6388</v>
      </c>
      <c r="B861" t="s">
        <v>6180</v>
      </c>
      <c r="C861" t="s">
        <v>1898</v>
      </c>
      <c r="D861" t="s">
        <v>5624</v>
      </c>
      <c r="E861" t="s">
        <v>125</v>
      </c>
      <c r="F861" t="s">
        <v>5588</v>
      </c>
      <c r="G861" t="s">
        <v>5602</v>
      </c>
      <c r="H861" t="s">
        <v>5590</v>
      </c>
      <c r="I861">
        <v>1</v>
      </c>
      <c r="J861" t="s">
        <v>5595</v>
      </c>
      <c r="K861">
        <v>3.4</v>
      </c>
      <c r="L861" t="s">
        <v>5737</v>
      </c>
      <c r="M861">
        <v>2.7</v>
      </c>
      <c r="N861" t="s">
        <v>5737</v>
      </c>
      <c r="O861">
        <v>41.9</v>
      </c>
      <c r="P861">
        <v>376</v>
      </c>
      <c r="Q861">
        <v>6.5</v>
      </c>
      <c r="R861" t="s">
        <v>5613</v>
      </c>
      <c r="S861">
        <v>54.3</v>
      </c>
      <c r="T861">
        <v>340</v>
      </c>
      <c r="U861">
        <v>45.1</v>
      </c>
      <c r="V861">
        <v>321</v>
      </c>
      <c r="W861">
        <v>8.1</v>
      </c>
      <c r="X861" t="s">
        <v>5613</v>
      </c>
      <c r="Y861">
        <v>7.4</v>
      </c>
      <c r="Z861" t="s">
        <v>5613</v>
      </c>
      <c r="AA861">
        <v>9.6</v>
      </c>
      <c r="AB861" t="s">
        <v>5997</v>
      </c>
      <c r="AC861" t="s">
        <v>6207</v>
      </c>
    </row>
    <row r="862" spans="1:29">
      <c r="A862" t="s">
        <v>6388</v>
      </c>
      <c r="B862" t="s">
        <v>6143</v>
      </c>
      <c r="C862" t="s">
        <v>6394</v>
      </c>
      <c r="D862" t="s">
        <v>5901</v>
      </c>
      <c r="E862" t="s">
        <v>1543</v>
      </c>
      <c r="F862" t="s">
        <v>5588</v>
      </c>
      <c r="G862" t="s">
        <v>5602</v>
      </c>
      <c r="H862" t="s">
        <v>5590</v>
      </c>
      <c r="I862">
        <v>5</v>
      </c>
      <c r="J862" t="s">
        <v>5595</v>
      </c>
      <c r="K862">
        <v>9.1999999999999993</v>
      </c>
      <c r="L862" t="s">
        <v>5737</v>
      </c>
      <c r="M862">
        <v>14.4</v>
      </c>
      <c r="N862">
        <v>566</v>
      </c>
      <c r="O862">
        <v>36.299999999999997</v>
      </c>
      <c r="P862">
        <v>437</v>
      </c>
      <c r="Q862">
        <v>11.8</v>
      </c>
      <c r="R862" t="s">
        <v>5613</v>
      </c>
      <c r="S862">
        <v>3.3</v>
      </c>
      <c r="T862" t="s">
        <v>5613</v>
      </c>
      <c r="U862">
        <v>7.1</v>
      </c>
      <c r="V862" t="s">
        <v>5613</v>
      </c>
      <c r="W862">
        <v>11.8</v>
      </c>
      <c r="X862">
        <v>638</v>
      </c>
      <c r="Y862">
        <v>8.6</v>
      </c>
      <c r="Z862" t="s">
        <v>5613</v>
      </c>
      <c r="AA862">
        <v>14.9</v>
      </c>
      <c r="AB862" t="s">
        <v>6070</v>
      </c>
      <c r="AC862" t="s">
        <v>6207</v>
      </c>
    </row>
    <row r="863" spans="1:29">
      <c r="A863" t="s">
        <v>6388</v>
      </c>
      <c r="B863" t="s">
        <v>6143</v>
      </c>
      <c r="C863" t="s">
        <v>1014</v>
      </c>
      <c r="D863" t="s">
        <v>5587</v>
      </c>
      <c r="E863" t="s">
        <v>29</v>
      </c>
      <c r="F863" t="s">
        <v>5605</v>
      </c>
      <c r="G863" t="s">
        <v>5589</v>
      </c>
      <c r="H863" t="s">
        <v>5590</v>
      </c>
      <c r="I863">
        <v>4</v>
      </c>
      <c r="J863" t="s">
        <v>5595</v>
      </c>
      <c r="K863">
        <v>11.7</v>
      </c>
      <c r="L863" t="s">
        <v>5737</v>
      </c>
      <c r="M863">
        <v>13.6</v>
      </c>
      <c r="N863">
        <v>594</v>
      </c>
      <c r="O863">
        <v>4.9000000000000004</v>
      </c>
      <c r="P863" t="s">
        <v>5613</v>
      </c>
      <c r="Q863">
        <v>20.3</v>
      </c>
      <c r="R863">
        <v>556</v>
      </c>
      <c r="S863">
        <v>10.5</v>
      </c>
      <c r="T863" t="s">
        <v>5613</v>
      </c>
      <c r="U863">
        <v>7.4</v>
      </c>
      <c r="V863" t="s">
        <v>5613</v>
      </c>
      <c r="W863">
        <v>17</v>
      </c>
      <c r="X863">
        <v>573</v>
      </c>
      <c r="Y863">
        <v>16.100000000000001</v>
      </c>
      <c r="Z863">
        <v>519</v>
      </c>
      <c r="AA863">
        <v>11.8</v>
      </c>
      <c r="AB863" t="s">
        <v>6206</v>
      </c>
      <c r="AC863" t="s">
        <v>6207</v>
      </c>
    </row>
    <row r="864" spans="1:29">
      <c r="A864" t="s">
        <v>6388</v>
      </c>
      <c r="B864" t="s">
        <v>6143</v>
      </c>
      <c r="C864" t="s">
        <v>6395</v>
      </c>
      <c r="D864" t="s">
        <v>6255</v>
      </c>
      <c r="E864" t="s">
        <v>2399</v>
      </c>
      <c r="F864" t="s">
        <v>5615</v>
      </c>
      <c r="G864" t="s">
        <v>5602</v>
      </c>
      <c r="H864" t="s">
        <v>5809</v>
      </c>
      <c r="I864">
        <v>2</v>
      </c>
      <c r="J864" t="s">
        <v>5926</v>
      </c>
      <c r="K864">
        <v>10.7</v>
      </c>
      <c r="L864" t="s">
        <v>5737</v>
      </c>
      <c r="M864">
        <v>7.3</v>
      </c>
      <c r="N864" t="s">
        <v>5737</v>
      </c>
      <c r="O864">
        <v>9.3000000000000007</v>
      </c>
      <c r="P864" t="s">
        <v>5613</v>
      </c>
      <c r="Q864">
        <v>4.3</v>
      </c>
      <c r="R864" t="s">
        <v>5613</v>
      </c>
      <c r="S864">
        <v>100</v>
      </c>
      <c r="T864">
        <v>15</v>
      </c>
      <c r="U864">
        <v>23.3</v>
      </c>
      <c r="V864">
        <v>497</v>
      </c>
      <c r="W864">
        <v>1</v>
      </c>
      <c r="X864" t="s">
        <v>5613</v>
      </c>
      <c r="Y864">
        <v>14</v>
      </c>
      <c r="Z864">
        <v>610</v>
      </c>
      <c r="AA864">
        <v>1.9</v>
      </c>
      <c r="AB864" t="s">
        <v>5613</v>
      </c>
      <c r="AC864" t="s">
        <v>6207</v>
      </c>
    </row>
    <row r="865" spans="1:29">
      <c r="A865" t="s">
        <v>6388</v>
      </c>
      <c r="B865" t="s">
        <v>6240</v>
      </c>
      <c r="C865" t="s">
        <v>6396</v>
      </c>
      <c r="D865" t="s">
        <v>5616</v>
      </c>
      <c r="E865" t="s">
        <v>54</v>
      </c>
      <c r="F865" t="s">
        <v>5605</v>
      </c>
      <c r="G865" t="s">
        <v>5589</v>
      </c>
      <c r="H865" t="s">
        <v>5590</v>
      </c>
      <c r="I865">
        <v>4</v>
      </c>
      <c r="J865" t="s">
        <v>5595</v>
      </c>
      <c r="K865">
        <v>4.0999999999999996</v>
      </c>
      <c r="L865" t="s">
        <v>5737</v>
      </c>
      <c r="M865">
        <v>1.8</v>
      </c>
      <c r="N865" t="s">
        <v>5737</v>
      </c>
      <c r="O865">
        <v>6.3</v>
      </c>
      <c r="P865" t="s">
        <v>5613</v>
      </c>
      <c r="Q865">
        <v>48.7</v>
      </c>
      <c r="R865">
        <v>278</v>
      </c>
      <c r="S865">
        <v>4</v>
      </c>
      <c r="T865" t="s">
        <v>5613</v>
      </c>
      <c r="U865">
        <v>1.6</v>
      </c>
      <c r="V865" t="s">
        <v>5613</v>
      </c>
      <c r="W865">
        <v>2.8</v>
      </c>
      <c r="X865" t="s">
        <v>5613</v>
      </c>
      <c r="Y865">
        <v>5.9</v>
      </c>
      <c r="Z865" t="s">
        <v>5613</v>
      </c>
      <c r="AA865">
        <v>4</v>
      </c>
      <c r="AB865" t="s">
        <v>5613</v>
      </c>
      <c r="AC865" t="s">
        <v>6207</v>
      </c>
    </row>
    <row r="866" spans="1:29">
      <c r="A866" t="s">
        <v>6388</v>
      </c>
      <c r="B866" t="s">
        <v>6049</v>
      </c>
      <c r="C866" t="s">
        <v>2379</v>
      </c>
      <c r="D866" t="s">
        <v>5631</v>
      </c>
      <c r="E866" t="s">
        <v>94</v>
      </c>
      <c r="F866" t="s">
        <v>5588</v>
      </c>
      <c r="G866" t="s">
        <v>5594</v>
      </c>
      <c r="H866" t="s">
        <v>5590</v>
      </c>
      <c r="I866">
        <v>4</v>
      </c>
      <c r="J866" t="s">
        <v>5595</v>
      </c>
      <c r="K866">
        <v>9.3000000000000007</v>
      </c>
      <c r="L866" t="s">
        <v>5737</v>
      </c>
      <c r="M866">
        <v>4.4000000000000004</v>
      </c>
      <c r="N866" t="s">
        <v>5737</v>
      </c>
      <c r="O866">
        <v>60.8</v>
      </c>
      <c r="P866">
        <v>232</v>
      </c>
      <c r="Q866">
        <v>12.1</v>
      </c>
      <c r="R866">
        <v>696</v>
      </c>
      <c r="S866">
        <v>9.1999999999999993</v>
      </c>
      <c r="T866" t="s">
        <v>5613</v>
      </c>
      <c r="U866">
        <v>5.8</v>
      </c>
      <c r="V866" t="s">
        <v>5613</v>
      </c>
      <c r="W866">
        <v>2.4</v>
      </c>
      <c r="X866" t="s">
        <v>5613</v>
      </c>
      <c r="Y866">
        <v>7.9</v>
      </c>
      <c r="Z866" t="s">
        <v>5613</v>
      </c>
      <c r="AA866">
        <v>1.4</v>
      </c>
      <c r="AB866" t="s">
        <v>5613</v>
      </c>
      <c r="AC866" t="s">
        <v>6207</v>
      </c>
    </row>
    <row r="867" spans="1:29">
      <c r="A867" t="s">
        <v>6388</v>
      </c>
      <c r="B867" t="s">
        <v>6143</v>
      </c>
      <c r="C867" t="s">
        <v>6397</v>
      </c>
      <c r="D867" t="s">
        <v>5587</v>
      </c>
      <c r="E867" t="s">
        <v>29</v>
      </c>
      <c r="F867" t="s">
        <v>5593</v>
      </c>
      <c r="G867" t="s">
        <v>5589</v>
      </c>
      <c r="H867" t="s">
        <v>5590</v>
      </c>
      <c r="I867">
        <v>5</v>
      </c>
      <c r="J867" t="s">
        <v>5595</v>
      </c>
      <c r="K867">
        <v>8.9</v>
      </c>
      <c r="L867" t="s">
        <v>5737</v>
      </c>
      <c r="M867">
        <v>8</v>
      </c>
      <c r="N867" t="s">
        <v>5737</v>
      </c>
      <c r="O867">
        <v>12</v>
      </c>
      <c r="P867" t="s">
        <v>5613</v>
      </c>
      <c r="Q867">
        <v>20</v>
      </c>
      <c r="R867">
        <v>558</v>
      </c>
      <c r="S867">
        <v>24</v>
      </c>
      <c r="T867">
        <v>547</v>
      </c>
      <c r="U867">
        <v>5.2</v>
      </c>
      <c r="V867" t="s">
        <v>5613</v>
      </c>
      <c r="W867">
        <v>19</v>
      </c>
      <c r="X867">
        <v>550</v>
      </c>
      <c r="Y867">
        <v>13</v>
      </c>
      <c r="Z867">
        <v>660</v>
      </c>
      <c r="AA867">
        <v>26.1</v>
      </c>
      <c r="AB867" t="s">
        <v>6042</v>
      </c>
      <c r="AC867" t="s">
        <v>6207</v>
      </c>
    </row>
    <row r="868" spans="1:29">
      <c r="A868" t="s">
        <v>6388</v>
      </c>
      <c r="B868" t="s">
        <v>6143</v>
      </c>
      <c r="C868" t="s">
        <v>4772</v>
      </c>
      <c r="D868" t="s">
        <v>5863</v>
      </c>
      <c r="E868" t="s">
        <v>1306</v>
      </c>
      <c r="F868" t="s">
        <v>5593</v>
      </c>
      <c r="G868" t="s">
        <v>5602</v>
      </c>
      <c r="H868" t="s">
        <v>5809</v>
      </c>
      <c r="I868">
        <v>4</v>
      </c>
      <c r="J868" t="s">
        <v>5591</v>
      </c>
      <c r="K868">
        <v>13.7</v>
      </c>
      <c r="L868" t="s">
        <v>5737</v>
      </c>
      <c r="M868">
        <v>19.899999999999999</v>
      </c>
      <c r="N868">
        <v>457</v>
      </c>
      <c r="O868">
        <v>32.4</v>
      </c>
      <c r="P868">
        <v>491</v>
      </c>
      <c r="Q868">
        <v>1.2</v>
      </c>
      <c r="R868" t="s">
        <v>5613</v>
      </c>
      <c r="S868">
        <v>22.2</v>
      </c>
      <c r="T868">
        <v>571</v>
      </c>
      <c r="U868">
        <v>7.3</v>
      </c>
      <c r="V868" t="s">
        <v>5613</v>
      </c>
      <c r="W868">
        <v>1</v>
      </c>
      <c r="X868" t="s">
        <v>5613</v>
      </c>
      <c r="Y868">
        <v>11.9</v>
      </c>
      <c r="Z868" t="s">
        <v>5613</v>
      </c>
      <c r="AA868">
        <v>1</v>
      </c>
      <c r="AB868" t="s">
        <v>5613</v>
      </c>
      <c r="AC868" t="s">
        <v>6207</v>
      </c>
    </row>
    <row r="869" spans="1:29">
      <c r="A869" t="s">
        <v>6388</v>
      </c>
      <c r="B869" t="s">
        <v>6143</v>
      </c>
      <c r="C869" t="s">
        <v>1999</v>
      </c>
      <c r="D869" t="s">
        <v>5762</v>
      </c>
      <c r="E869" t="s">
        <v>534</v>
      </c>
      <c r="F869" t="s">
        <v>5593</v>
      </c>
      <c r="G869" t="s">
        <v>5602</v>
      </c>
      <c r="H869" t="s">
        <v>5590</v>
      </c>
      <c r="I869">
        <v>3</v>
      </c>
      <c r="J869" t="s">
        <v>5595</v>
      </c>
      <c r="K869">
        <v>15</v>
      </c>
      <c r="L869">
        <v>585</v>
      </c>
      <c r="M869">
        <v>8.6</v>
      </c>
      <c r="N869" t="s">
        <v>5737</v>
      </c>
      <c r="O869">
        <v>11.4</v>
      </c>
      <c r="P869" t="s">
        <v>5613</v>
      </c>
      <c r="Q869">
        <v>2.4</v>
      </c>
      <c r="R869" t="s">
        <v>5613</v>
      </c>
      <c r="S869">
        <v>99.2</v>
      </c>
      <c r="T869">
        <v>95</v>
      </c>
      <c r="U869">
        <v>2</v>
      </c>
      <c r="V869" t="s">
        <v>5613</v>
      </c>
      <c r="W869">
        <v>3.1</v>
      </c>
      <c r="X869" t="s">
        <v>5613</v>
      </c>
      <c r="Y869">
        <v>7.5</v>
      </c>
      <c r="Z869" t="s">
        <v>5613</v>
      </c>
      <c r="AA869">
        <v>1.1000000000000001</v>
      </c>
      <c r="AB869" t="s">
        <v>5613</v>
      </c>
      <c r="AC869" t="s">
        <v>6207</v>
      </c>
    </row>
    <row r="870" spans="1:29">
      <c r="A870" t="s">
        <v>6388</v>
      </c>
      <c r="B870" t="s">
        <v>6240</v>
      </c>
      <c r="C870" t="s">
        <v>2398</v>
      </c>
      <c r="D870" t="s">
        <v>6255</v>
      </c>
      <c r="E870" t="s">
        <v>2399</v>
      </c>
      <c r="F870" t="s">
        <v>5605</v>
      </c>
      <c r="G870" t="s">
        <v>5594</v>
      </c>
      <c r="H870" t="s">
        <v>6146</v>
      </c>
      <c r="I870">
        <v>4</v>
      </c>
      <c r="J870" t="s">
        <v>5595</v>
      </c>
      <c r="K870">
        <v>13.6</v>
      </c>
      <c r="L870" t="s">
        <v>5737</v>
      </c>
      <c r="M870">
        <v>8.3000000000000007</v>
      </c>
      <c r="N870" t="s">
        <v>5737</v>
      </c>
      <c r="O870">
        <v>6.4</v>
      </c>
      <c r="P870" t="s">
        <v>5613</v>
      </c>
      <c r="Q870">
        <v>2.2000000000000002</v>
      </c>
      <c r="R870" t="s">
        <v>5613</v>
      </c>
      <c r="S870">
        <v>30.4</v>
      </c>
      <c r="T870">
        <v>487</v>
      </c>
      <c r="U870">
        <v>21</v>
      </c>
      <c r="V870">
        <v>534</v>
      </c>
      <c r="W870">
        <v>10.9</v>
      </c>
      <c r="X870">
        <v>654</v>
      </c>
      <c r="Y870">
        <v>51.3</v>
      </c>
      <c r="Z870">
        <v>128</v>
      </c>
      <c r="AA870">
        <v>18.8</v>
      </c>
      <c r="AB870" t="s">
        <v>5711</v>
      </c>
      <c r="AC870" t="s">
        <v>6207</v>
      </c>
    </row>
    <row r="871" spans="1:29">
      <c r="A871" t="s">
        <v>6388</v>
      </c>
      <c r="B871" t="s">
        <v>6143</v>
      </c>
      <c r="C871" t="s">
        <v>4857</v>
      </c>
      <c r="D871" t="s">
        <v>6398</v>
      </c>
      <c r="E871" t="s">
        <v>4858</v>
      </c>
      <c r="F871" t="s">
        <v>5615</v>
      </c>
      <c r="G871" t="s">
        <v>5589</v>
      </c>
      <c r="H871" t="s">
        <v>5809</v>
      </c>
      <c r="I871">
        <v>3</v>
      </c>
      <c r="J871" t="s">
        <v>5595</v>
      </c>
      <c r="K871">
        <v>13</v>
      </c>
      <c r="L871" t="s">
        <v>5737</v>
      </c>
      <c r="M871">
        <v>7.3</v>
      </c>
      <c r="N871" t="s">
        <v>5737</v>
      </c>
      <c r="O871">
        <v>12.2</v>
      </c>
      <c r="P871" t="s">
        <v>5613</v>
      </c>
      <c r="Q871">
        <v>1.6</v>
      </c>
      <c r="R871" t="s">
        <v>5613</v>
      </c>
      <c r="S871">
        <v>85.3</v>
      </c>
      <c r="T871">
        <v>206</v>
      </c>
      <c r="U871">
        <v>24.7</v>
      </c>
      <c r="V871">
        <v>478</v>
      </c>
      <c r="W871">
        <v>1</v>
      </c>
      <c r="X871" t="s">
        <v>5613</v>
      </c>
      <c r="Y871">
        <v>14.5</v>
      </c>
      <c r="Z871">
        <v>578</v>
      </c>
      <c r="AC871" t="s">
        <v>6207</v>
      </c>
    </row>
    <row r="872" spans="1:29">
      <c r="A872" t="s">
        <v>6388</v>
      </c>
      <c r="B872" t="s">
        <v>6143</v>
      </c>
      <c r="C872" t="s">
        <v>1583</v>
      </c>
      <c r="D872" t="s">
        <v>5592</v>
      </c>
      <c r="E872" t="s">
        <v>26</v>
      </c>
      <c r="F872" t="s">
        <v>5593</v>
      </c>
      <c r="G872" t="s">
        <v>5589</v>
      </c>
      <c r="H872" t="s">
        <v>5809</v>
      </c>
      <c r="I872">
        <v>3</v>
      </c>
      <c r="J872" t="s">
        <v>5595</v>
      </c>
      <c r="K872">
        <v>3.5</v>
      </c>
      <c r="L872" t="s">
        <v>5737</v>
      </c>
      <c r="M872">
        <v>2.9</v>
      </c>
      <c r="N872" t="s">
        <v>5737</v>
      </c>
      <c r="O872">
        <v>8.3000000000000007</v>
      </c>
      <c r="P872" t="s">
        <v>5613</v>
      </c>
      <c r="Q872">
        <v>5.6</v>
      </c>
      <c r="R872" t="s">
        <v>5613</v>
      </c>
      <c r="S872">
        <v>78.2</v>
      </c>
      <c r="T872">
        <v>237</v>
      </c>
      <c r="U872">
        <v>95.9</v>
      </c>
      <c r="V872">
        <v>83</v>
      </c>
      <c r="W872">
        <v>2.2999999999999998</v>
      </c>
      <c r="X872" t="s">
        <v>5613</v>
      </c>
      <c r="Y872">
        <v>11.1</v>
      </c>
      <c r="Z872" t="s">
        <v>5613</v>
      </c>
      <c r="AA872">
        <v>1.1000000000000001</v>
      </c>
      <c r="AB872" t="s">
        <v>5613</v>
      </c>
      <c r="AC872" t="s">
        <v>6207</v>
      </c>
    </row>
    <row r="873" spans="1:29">
      <c r="A873" t="s">
        <v>6388</v>
      </c>
      <c r="B873" t="s">
        <v>6180</v>
      </c>
      <c r="C873" t="s">
        <v>6399</v>
      </c>
      <c r="D873" t="s">
        <v>5587</v>
      </c>
      <c r="E873" t="s">
        <v>29</v>
      </c>
      <c r="F873" t="s">
        <v>5588</v>
      </c>
      <c r="G873" t="s">
        <v>5589</v>
      </c>
      <c r="H873" t="s">
        <v>5590</v>
      </c>
      <c r="I873">
        <v>5</v>
      </c>
      <c r="J873" t="s">
        <v>5595</v>
      </c>
      <c r="K873">
        <v>4.4000000000000004</v>
      </c>
      <c r="L873" t="s">
        <v>5737</v>
      </c>
      <c r="M873">
        <v>4.2</v>
      </c>
      <c r="N873" t="s">
        <v>5737</v>
      </c>
      <c r="O873">
        <v>26</v>
      </c>
      <c r="P873">
        <v>568</v>
      </c>
      <c r="Q873">
        <v>32.1</v>
      </c>
      <c r="R873">
        <v>420</v>
      </c>
      <c r="S873">
        <v>19.600000000000001</v>
      </c>
      <c r="T873">
        <v>593</v>
      </c>
      <c r="U873">
        <v>9.4</v>
      </c>
      <c r="V873" t="s">
        <v>5613</v>
      </c>
      <c r="W873">
        <v>8.3000000000000007</v>
      </c>
      <c r="X873" t="s">
        <v>5613</v>
      </c>
      <c r="Y873">
        <v>8.6</v>
      </c>
      <c r="Z873" t="s">
        <v>5613</v>
      </c>
      <c r="AA873">
        <v>3.2</v>
      </c>
      <c r="AB873" t="s">
        <v>5613</v>
      </c>
      <c r="AC873" t="s">
        <v>6207</v>
      </c>
    </row>
    <row r="874" spans="1:29">
      <c r="A874" t="s">
        <v>6388</v>
      </c>
      <c r="B874" t="s">
        <v>6014</v>
      </c>
      <c r="C874" t="s">
        <v>3752</v>
      </c>
      <c r="D874" t="s">
        <v>5696</v>
      </c>
      <c r="E874" t="s">
        <v>5697</v>
      </c>
      <c r="F874" t="s">
        <v>5588</v>
      </c>
      <c r="G874" t="s">
        <v>5589</v>
      </c>
      <c r="H874" t="s">
        <v>5590</v>
      </c>
      <c r="I874">
        <v>5</v>
      </c>
      <c r="J874" t="s">
        <v>5595</v>
      </c>
      <c r="K874">
        <v>5.2</v>
      </c>
      <c r="L874" t="s">
        <v>5737</v>
      </c>
      <c r="M874">
        <v>2.5</v>
      </c>
      <c r="N874" t="s">
        <v>5737</v>
      </c>
      <c r="O874">
        <v>95.8</v>
      </c>
      <c r="P874">
        <v>58</v>
      </c>
      <c r="Q874">
        <v>1.7</v>
      </c>
      <c r="R874" t="s">
        <v>5613</v>
      </c>
      <c r="S874">
        <v>3.2</v>
      </c>
      <c r="T874" t="s">
        <v>5613</v>
      </c>
      <c r="U874">
        <v>18.2</v>
      </c>
      <c r="V874">
        <v>572</v>
      </c>
      <c r="W874">
        <v>1.2</v>
      </c>
      <c r="X874" t="s">
        <v>5613</v>
      </c>
      <c r="Y874">
        <v>4.7</v>
      </c>
      <c r="Z874" t="s">
        <v>5613</v>
      </c>
      <c r="AA874">
        <v>1</v>
      </c>
      <c r="AB874" t="s">
        <v>5613</v>
      </c>
      <c r="AC874" t="s">
        <v>6207</v>
      </c>
    </row>
    <row r="875" spans="1:29">
      <c r="A875" t="s">
        <v>6388</v>
      </c>
      <c r="B875" t="s">
        <v>6079</v>
      </c>
      <c r="C875" t="s">
        <v>2466</v>
      </c>
      <c r="D875" t="s">
        <v>5631</v>
      </c>
      <c r="E875" t="s">
        <v>94</v>
      </c>
      <c r="F875" t="s">
        <v>5593</v>
      </c>
      <c r="G875" t="s">
        <v>5594</v>
      </c>
      <c r="H875" t="s">
        <v>5809</v>
      </c>
      <c r="I875">
        <v>4</v>
      </c>
      <c r="J875" t="s">
        <v>5595</v>
      </c>
      <c r="K875">
        <v>4.9000000000000004</v>
      </c>
      <c r="L875" t="s">
        <v>5737</v>
      </c>
      <c r="M875">
        <v>3.3</v>
      </c>
      <c r="N875" t="s">
        <v>5737</v>
      </c>
      <c r="O875">
        <v>88.1</v>
      </c>
      <c r="P875">
        <v>93</v>
      </c>
      <c r="Q875">
        <v>4.5999999999999996</v>
      </c>
      <c r="R875" t="s">
        <v>5613</v>
      </c>
      <c r="S875">
        <v>4.2</v>
      </c>
      <c r="T875" t="s">
        <v>5613</v>
      </c>
      <c r="U875">
        <v>3.3</v>
      </c>
      <c r="V875" t="s">
        <v>5613</v>
      </c>
      <c r="W875">
        <v>1.2</v>
      </c>
      <c r="X875" t="s">
        <v>5613</v>
      </c>
      <c r="Y875">
        <v>9.1999999999999993</v>
      </c>
      <c r="Z875" t="s">
        <v>5613</v>
      </c>
      <c r="AA875">
        <v>3</v>
      </c>
      <c r="AB875" t="s">
        <v>5613</v>
      </c>
      <c r="AC875" t="s">
        <v>6207</v>
      </c>
    </row>
    <row r="876" spans="1:29">
      <c r="A876" t="s">
        <v>6388</v>
      </c>
      <c r="B876" t="s">
        <v>6240</v>
      </c>
      <c r="C876" t="s">
        <v>2080</v>
      </c>
      <c r="D876" t="s">
        <v>6272</v>
      </c>
      <c r="E876" t="s">
        <v>1846</v>
      </c>
      <c r="F876" t="s">
        <v>5593</v>
      </c>
      <c r="G876" t="s">
        <v>5589</v>
      </c>
      <c r="H876" t="s">
        <v>5809</v>
      </c>
      <c r="I876">
        <v>3</v>
      </c>
      <c r="J876" t="s">
        <v>5591</v>
      </c>
      <c r="K876">
        <v>12.1</v>
      </c>
      <c r="L876" t="s">
        <v>5737</v>
      </c>
      <c r="M876">
        <v>48.4</v>
      </c>
      <c r="N876">
        <v>180</v>
      </c>
      <c r="O876">
        <v>5.6</v>
      </c>
      <c r="P876" t="s">
        <v>5613</v>
      </c>
      <c r="Q876">
        <v>2.2999999999999998</v>
      </c>
      <c r="R876" t="s">
        <v>5613</v>
      </c>
      <c r="S876">
        <v>12.2</v>
      </c>
      <c r="T876" t="s">
        <v>5613</v>
      </c>
      <c r="U876">
        <v>2.4</v>
      </c>
      <c r="V876" t="s">
        <v>5613</v>
      </c>
      <c r="W876">
        <v>1.1000000000000001</v>
      </c>
      <c r="X876" t="s">
        <v>5613</v>
      </c>
      <c r="Y876">
        <v>13.3</v>
      </c>
      <c r="Z876">
        <v>645</v>
      </c>
      <c r="AA876">
        <v>1.1000000000000001</v>
      </c>
      <c r="AB876" t="s">
        <v>5613</v>
      </c>
      <c r="AC876" t="s">
        <v>6207</v>
      </c>
    </row>
    <row r="877" spans="1:29">
      <c r="A877" t="s">
        <v>6388</v>
      </c>
      <c r="B877" t="s">
        <v>6143</v>
      </c>
      <c r="C877" t="s">
        <v>6400</v>
      </c>
      <c r="D877" t="s">
        <v>5587</v>
      </c>
      <c r="E877" t="s">
        <v>29</v>
      </c>
      <c r="F877" t="s">
        <v>5593</v>
      </c>
      <c r="G877" t="s">
        <v>5594</v>
      </c>
      <c r="H877" t="s">
        <v>5809</v>
      </c>
      <c r="I877">
        <v>5</v>
      </c>
      <c r="J877" t="s">
        <v>5595</v>
      </c>
      <c r="K877">
        <v>8.4</v>
      </c>
      <c r="L877" t="s">
        <v>5737</v>
      </c>
      <c r="M877">
        <v>9.6999999999999993</v>
      </c>
      <c r="N877" t="s">
        <v>5737</v>
      </c>
      <c r="O877">
        <v>10.7</v>
      </c>
      <c r="P877" t="s">
        <v>5613</v>
      </c>
      <c r="Q877">
        <v>15.1</v>
      </c>
      <c r="R877">
        <v>630</v>
      </c>
      <c r="S877">
        <v>37.299999999999997</v>
      </c>
      <c r="T877">
        <v>432</v>
      </c>
      <c r="U877">
        <v>4.3</v>
      </c>
      <c r="V877" t="s">
        <v>5613</v>
      </c>
      <c r="W877">
        <v>23.4</v>
      </c>
      <c r="X877">
        <v>513</v>
      </c>
      <c r="Y877">
        <v>16.600000000000001</v>
      </c>
      <c r="Z877">
        <v>512</v>
      </c>
      <c r="AA877">
        <v>20.9</v>
      </c>
      <c r="AB877" t="s">
        <v>5801</v>
      </c>
      <c r="AC877" t="s">
        <v>6207</v>
      </c>
    </row>
    <row r="878" spans="1:29">
      <c r="A878" t="s">
        <v>6388</v>
      </c>
      <c r="B878" t="s">
        <v>6136</v>
      </c>
      <c r="C878" t="s">
        <v>6401</v>
      </c>
      <c r="D878" t="s">
        <v>6333</v>
      </c>
      <c r="E878" t="s">
        <v>2278</v>
      </c>
      <c r="F878" t="s">
        <v>5588</v>
      </c>
      <c r="G878" t="s">
        <v>5594</v>
      </c>
      <c r="H878" t="s">
        <v>5809</v>
      </c>
      <c r="I878">
        <v>4</v>
      </c>
      <c r="J878" t="s">
        <v>5595</v>
      </c>
      <c r="K878">
        <v>5.0999999999999996</v>
      </c>
      <c r="L878" t="s">
        <v>5737</v>
      </c>
      <c r="M878">
        <v>3.6</v>
      </c>
      <c r="N878" t="s">
        <v>5737</v>
      </c>
      <c r="O878">
        <v>55.5</v>
      </c>
      <c r="P878">
        <v>270</v>
      </c>
      <c r="Q878">
        <v>3.6</v>
      </c>
      <c r="R878" t="s">
        <v>5613</v>
      </c>
      <c r="S878">
        <v>2</v>
      </c>
      <c r="T878" t="s">
        <v>5613</v>
      </c>
      <c r="U878">
        <v>63.8</v>
      </c>
      <c r="V878">
        <v>236</v>
      </c>
      <c r="W878">
        <v>3.3</v>
      </c>
      <c r="X878" t="s">
        <v>5613</v>
      </c>
      <c r="Y878">
        <v>13</v>
      </c>
      <c r="Z878">
        <v>663</v>
      </c>
      <c r="AA878">
        <v>1.3</v>
      </c>
      <c r="AB878" t="s">
        <v>5613</v>
      </c>
      <c r="AC878" t="s">
        <v>6207</v>
      </c>
    </row>
    <row r="879" spans="1:29">
      <c r="A879" t="s">
        <v>6388</v>
      </c>
      <c r="B879" t="s">
        <v>6143</v>
      </c>
      <c r="C879" t="s">
        <v>6402</v>
      </c>
      <c r="D879" t="s">
        <v>5592</v>
      </c>
      <c r="E879" t="s">
        <v>26</v>
      </c>
      <c r="F879" t="s">
        <v>5615</v>
      </c>
      <c r="G879" t="s">
        <v>5602</v>
      </c>
      <c r="H879" t="s">
        <v>5590</v>
      </c>
      <c r="I879">
        <v>2</v>
      </c>
      <c r="J879" t="s">
        <v>5595</v>
      </c>
      <c r="K879">
        <v>3.8</v>
      </c>
      <c r="L879" t="s">
        <v>5737</v>
      </c>
      <c r="M879">
        <v>4</v>
      </c>
      <c r="N879" t="s">
        <v>5737</v>
      </c>
      <c r="O879">
        <v>5.3</v>
      </c>
      <c r="P879" t="s">
        <v>5613</v>
      </c>
      <c r="Q879">
        <v>17</v>
      </c>
      <c r="R879">
        <v>601</v>
      </c>
      <c r="S879">
        <v>61.2</v>
      </c>
      <c r="T879">
        <v>312</v>
      </c>
      <c r="U879">
        <v>76</v>
      </c>
      <c r="V879">
        <v>181</v>
      </c>
      <c r="W879">
        <v>1</v>
      </c>
      <c r="X879" t="s">
        <v>5613</v>
      </c>
      <c r="Y879">
        <v>8.6999999999999993</v>
      </c>
      <c r="Z879" t="s">
        <v>5613</v>
      </c>
      <c r="AA879">
        <v>1</v>
      </c>
      <c r="AB879" t="s">
        <v>5613</v>
      </c>
      <c r="AC879" t="s">
        <v>6207</v>
      </c>
    </row>
    <row r="880" spans="1:29">
      <c r="A880" t="s">
        <v>6388</v>
      </c>
      <c r="B880" t="s">
        <v>6143</v>
      </c>
      <c r="C880" t="s">
        <v>6403</v>
      </c>
      <c r="D880" t="s">
        <v>5620</v>
      </c>
      <c r="E880" t="s">
        <v>76</v>
      </c>
      <c r="F880" t="s">
        <v>5605</v>
      </c>
      <c r="G880" t="s">
        <v>5589</v>
      </c>
      <c r="H880" t="s">
        <v>5590</v>
      </c>
      <c r="I880">
        <v>4</v>
      </c>
      <c r="J880" t="s">
        <v>5595</v>
      </c>
      <c r="K880">
        <v>7</v>
      </c>
      <c r="L880" t="s">
        <v>5737</v>
      </c>
      <c r="M880">
        <v>14.4</v>
      </c>
      <c r="N880">
        <v>565</v>
      </c>
      <c r="O880">
        <v>1.7</v>
      </c>
      <c r="P880" t="s">
        <v>5613</v>
      </c>
      <c r="Q880">
        <v>30.7</v>
      </c>
      <c r="R880">
        <v>431</v>
      </c>
      <c r="U880">
        <v>3.6</v>
      </c>
      <c r="V880" t="s">
        <v>5613</v>
      </c>
      <c r="W880">
        <v>14.6</v>
      </c>
      <c r="X880">
        <v>600</v>
      </c>
      <c r="Y880">
        <v>12.7</v>
      </c>
      <c r="Z880">
        <v>683</v>
      </c>
      <c r="AA880">
        <v>8</v>
      </c>
      <c r="AB880" t="s">
        <v>5613</v>
      </c>
      <c r="AC880" t="s">
        <v>6207</v>
      </c>
    </row>
    <row r="881" spans="1:29">
      <c r="A881" t="s">
        <v>6388</v>
      </c>
      <c r="B881" t="s">
        <v>6104</v>
      </c>
      <c r="C881" t="s">
        <v>3091</v>
      </c>
      <c r="D881" t="s">
        <v>5696</v>
      </c>
      <c r="E881" t="s">
        <v>5697</v>
      </c>
      <c r="F881" t="s">
        <v>5593</v>
      </c>
      <c r="G881" t="s">
        <v>5589</v>
      </c>
      <c r="H881" t="s">
        <v>5590</v>
      </c>
      <c r="I881">
        <v>5</v>
      </c>
      <c r="J881" t="s">
        <v>5595</v>
      </c>
      <c r="K881">
        <v>7.6</v>
      </c>
      <c r="L881" t="s">
        <v>5737</v>
      </c>
      <c r="M881">
        <v>3.6</v>
      </c>
      <c r="N881" t="s">
        <v>5737</v>
      </c>
      <c r="O881">
        <v>77.8</v>
      </c>
      <c r="P881">
        <v>146</v>
      </c>
      <c r="Q881">
        <v>1.8</v>
      </c>
      <c r="R881" t="s">
        <v>5613</v>
      </c>
      <c r="S881">
        <v>3.5</v>
      </c>
      <c r="T881" t="s">
        <v>5613</v>
      </c>
      <c r="U881">
        <v>23.1</v>
      </c>
      <c r="V881">
        <v>499</v>
      </c>
      <c r="W881">
        <v>5.0999999999999996</v>
      </c>
      <c r="X881" t="s">
        <v>5613</v>
      </c>
      <c r="Y881">
        <v>6.6</v>
      </c>
      <c r="Z881" t="s">
        <v>5613</v>
      </c>
      <c r="AA881">
        <v>11.7</v>
      </c>
      <c r="AB881" t="s">
        <v>6087</v>
      </c>
      <c r="AC881" t="s">
        <v>6207</v>
      </c>
    </row>
    <row r="882" spans="1:29">
      <c r="A882" t="s">
        <v>6388</v>
      </c>
      <c r="B882" t="s">
        <v>6143</v>
      </c>
      <c r="C882" t="s">
        <v>2571</v>
      </c>
      <c r="D882" t="s">
        <v>5691</v>
      </c>
      <c r="E882" t="s">
        <v>343</v>
      </c>
      <c r="F882" t="s">
        <v>5593</v>
      </c>
      <c r="G882" t="s">
        <v>5589</v>
      </c>
      <c r="H882" t="s">
        <v>5809</v>
      </c>
      <c r="I882">
        <v>1</v>
      </c>
      <c r="J882" t="s">
        <v>5595</v>
      </c>
      <c r="K882">
        <v>12.1</v>
      </c>
      <c r="L882" t="s">
        <v>5737</v>
      </c>
      <c r="M882">
        <v>12.4</v>
      </c>
      <c r="N882" t="s">
        <v>5737</v>
      </c>
      <c r="O882">
        <v>12.6</v>
      </c>
      <c r="P882" t="s">
        <v>5613</v>
      </c>
      <c r="Q882">
        <v>3.1</v>
      </c>
      <c r="R882" t="s">
        <v>5613</v>
      </c>
      <c r="S882">
        <v>32.700000000000003</v>
      </c>
      <c r="T882">
        <v>470</v>
      </c>
      <c r="U882">
        <v>39.6</v>
      </c>
      <c r="V882">
        <v>346</v>
      </c>
      <c r="W882">
        <v>5</v>
      </c>
      <c r="X882" t="s">
        <v>5613</v>
      </c>
      <c r="Y882">
        <v>13.1</v>
      </c>
      <c r="Z882">
        <v>653</v>
      </c>
      <c r="AA882">
        <v>16.899999999999999</v>
      </c>
      <c r="AB882" t="s">
        <v>5720</v>
      </c>
      <c r="AC882" t="s">
        <v>6207</v>
      </c>
    </row>
    <row r="883" spans="1:29">
      <c r="A883" t="s">
        <v>6388</v>
      </c>
      <c r="B883" t="s">
        <v>6143</v>
      </c>
      <c r="C883" t="s">
        <v>1138</v>
      </c>
      <c r="D883" t="s">
        <v>5639</v>
      </c>
      <c r="E883" t="s">
        <v>99</v>
      </c>
      <c r="F883" t="s">
        <v>5593</v>
      </c>
      <c r="G883" t="s">
        <v>5589</v>
      </c>
      <c r="H883" t="s">
        <v>5590</v>
      </c>
      <c r="I883">
        <v>4</v>
      </c>
      <c r="J883" t="s">
        <v>5595</v>
      </c>
      <c r="K883">
        <v>13.6</v>
      </c>
      <c r="L883" t="s">
        <v>5737</v>
      </c>
      <c r="M883">
        <v>13.8</v>
      </c>
      <c r="N883">
        <v>589</v>
      </c>
      <c r="O883">
        <v>22.2</v>
      </c>
      <c r="P883">
        <v>626</v>
      </c>
      <c r="Q883">
        <v>7.4</v>
      </c>
      <c r="R883" t="s">
        <v>5613</v>
      </c>
      <c r="S883">
        <v>20.2</v>
      </c>
      <c r="T883">
        <v>589</v>
      </c>
      <c r="U883">
        <v>19.100000000000001</v>
      </c>
      <c r="V883">
        <v>559</v>
      </c>
      <c r="W883">
        <v>17</v>
      </c>
      <c r="X883">
        <v>574</v>
      </c>
      <c r="Y883">
        <v>9.1</v>
      </c>
      <c r="Z883" t="s">
        <v>5613</v>
      </c>
      <c r="AA883">
        <v>4.4000000000000004</v>
      </c>
      <c r="AB883" t="s">
        <v>5613</v>
      </c>
      <c r="AC883" t="s">
        <v>6207</v>
      </c>
    </row>
    <row r="884" spans="1:29">
      <c r="A884" t="s">
        <v>6388</v>
      </c>
      <c r="B884" t="s">
        <v>6136</v>
      </c>
      <c r="C884" t="s">
        <v>6404</v>
      </c>
      <c r="D884" t="s">
        <v>6245</v>
      </c>
      <c r="E884" t="s">
        <v>5106</v>
      </c>
      <c r="F884" t="s">
        <v>5615</v>
      </c>
      <c r="G884" t="s">
        <v>5589</v>
      </c>
      <c r="H884" t="s">
        <v>6146</v>
      </c>
      <c r="I884">
        <v>3</v>
      </c>
      <c r="J884" t="s">
        <v>5591</v>
      </c>
      <c r="K884">
        <v>12.2</v>
      </c>
      <c r="L884" t="s">
        <v>5737</v>
      </c>
      <c r="M884">
        <v>12.4</v>
      </c>
      <c r="N884" t="s">
        <v>5737</v>
      </c>
      <c r="O884">
        <v>57</v>
      </c>
      <c r="P884">
        <v>255</v>
      </c>
      <c r="Q884">
        <v>1.2</v>
      </c>
      <c r="R884" t="s">
        <v>5613</v>
      </c>
      <c r="S884">
        <v>8.6999999999999993</v>
      </c>
      <c r="T884" t="s">
        <v>5613</v>
      </c>
      <c r="U884">
        <v>2.6</v>
      </c>
      <c r="V884" t="s">
        <v>5613</v>
      </c>
      <c r="W884">
        <v>1</v>
      </c>
      <c r="X884" t="s">
        <v>5613</v>
      </c>
      <c r="Y884">
        <v>13.1</v>
      </c>
      <c r="Z884">
        <v>655</v>
      </c>
      <c r="AA884">
        <v>1.2</v>
      </c>
      <c r="AB884" t="s">
        <v>5613</v>
      </c>
      <c r="AC884" t="s">
        <v>6207</v>
      </c>
    </row>
    <row r="885" spans="1:29">
      <c r="A885" t="s">
        <v>6388</v>
      </c>
      <c r="B885" t="s">
        <v>6073</v>
      </c>
      <c r="C885" t="s">
        <v>6405</v>
      </c>
      <c r="D885" t="s">
        <v>6236</v>
      </c>
      <c r="E885" t="s">
        <v>3525</v>
      </c>
      <c r="F885" t="s">
        <v>5588</v>
      </c>
      <c r="G885" t="s">
        <v>5589</v>
      </c>
      <c r="H885" t="s">
        <v>6146</v>
      </c>
      <c r="I885">
        <v>4</v>
      </c>
      <c r="J885" t="s">
        <v>5595</v>
      </c>
      <c r="K885">
        <v>5.7</v>
      </c>
      <c r="L885" t="s">
        <v>5737</v>
      </c>
      <c r="M885">
        <v>1.1000000000000001</v>
      </c>
      <c r="N885" t="s">
        <v>5737</v>
      </c>
      <c r="O885">
        <v>99.9</v>
      </c>
      <c r="P885">
        <v>23</v>
      </c>
      <c r="Q885">
        <v>1.2</v>
      </c>
      <c r="R885" t="s">
        <v>5613</v>
      </c>
      <c r="S885">
        <v>1.1000000000000001</v>
      </c>
      <c r="T885" t="s">
        <v>5613</v>
      </c>
      <c r="U885">
        <v>1.3</v>
      </c>
      <c r="V885" t="s">
        <v>5613</v>
      </c>
      <c r="W885">
        <v>1.1000000000000001</v>
      </c>
      <c r="X885" t="s">
        <v>5613</v>
      </c>
      <c r="Y885">
        <v>14.6</v>
      </c>
      <c r="Z885">
        <v>572</v>
      </c>
      <c r="AA885">
        <v>1</v>
      </c>
      <c r="AB885" t="s">
        <v>5613</v>
      </c>
      <c r="AC885" t="s">
        <v>6207</v>
      </c>
    </row>
    <row r="886" spans="1:29">
      <c r="A886" t="s">
        <v>6388</v>
      </c>
      <c r="B886" t="s">
        <v>6143</v>
      </c>
      <c r="C886" t="s">
        <v>6406</v>
      </c>
      <c r="D886" t="s">
        <v>5707</v>
      </c>
      <c r="E886" t="s">
        <v>1613</v>
      </c>
      <c r="F886" t="s">
        <v>5605</v>
      </c>
      <c r="G886" t="s">
        <v>5594</v>
      </c>
      <c r="H886" t="s">
        <v>5809</v>
      </c>
      <c r="I886">
        <v>5</v>
      </c>
      <c r="J886" t="s">
        <v>5595</v>
      </c>
      <c r="K886">
        <v>20.3</v>
      </c>
      <c r="L886">
        <v>432</v>
      </c>
      <c r="M886">
        <v>9.1999999999999993</v>
      </c>
      <c r="N886" t="s">
        <v>5737</v>
      </c>
      <c r="O886">
        <v>19.600000000000001</v>
      </c>
      <c r="P886">
        <v>677</v>
      </c>
      <c r="Q886">
        <v>1.3</v>
      </c>
      <c r="R886" t="s">
        <v>5613</v>
      </c>
      <c r="S886">
        <v>2.4</v>
      </c>
      <c r="T886" t="s">
        <v>5613</v>
      </c>
      <c r="U886">
        <v>1.1000000000000001</v>
      </c>
      <c r="V886" t="s">
        <v>5613</v>
      </c>
      <c r="W886">
        <v>7.5</v>
      </c>
      <c r="X886" t="s">
        <v>5613</v>
      </c>
      <c r="Y886">
        <v>8.5</v>
      </c>
      <c r="Z886" t="s">
        <v>5613</v>
      </c>
      <c r="AA886">
        <v>37.799999999999997</v>
      </c>
      <c r="AB886" t="s">
        <v>6005</v>
      </c>
      <c r="AC886" t="s">
        <v>6207</v>
      </c>
    </row>
    <row r="887" spans="1:29">
      <c r="A887" t="s">
        <v>6388</v>
      </c>
      <c r="B887" t="s">
        <v>6143</v>
      </c>
      <c r="C887" t="s">
        <v>6407</v>
      </c>
      <c r="D887" t="s">
        <v>5710</v>
      </c>
      <c r="E887" t="s">
        <v>3726</v>
      </c>
      <c r="F887" t="s">
        <v>5615</v>
      </c>
      <c r="G887" t="s">
        <v>5651</v>
      </c>
      <c r="I887">
        <v>3</v>
      </c>
      <c r="J887" t="s">
        <v>5591</v>
      </c>
      <c r="K887">
        <v>11.9</v>
      </c>
      <c r="L887" t="s">
        <v>5737</v>
      </c>
      <c r="M887">
        <v>25.4</v>
      </c>
      <c r="N887">
        <v>376</v>
      </c>
      <c r="O887">
        <v>17.899999999999999</v>
      </c>
      <c r="P887" t="s">
        <v>5613</v>
      </c>
      <c r="Q887">
        <v>3.2</v>
      </c>
      <c r="R887" t="s">
        <v>5613</v>
      </c>
      <c r="S887">
        <v>34.5</v>
      </c>
      <c r="T887">
        <v>460</v>
      </c>
      <c r="U887">
        <v>8.1999999999999993</v>
      </c>
      <c r="V887" t="s">
        <v>5613</v>
      </c>
      <c r="W887">
        <v>1</v>
      </c>
      <c r="X887" t="s">
        <v>5613</v>
      </c>
      <c r="Y887">
        <v>17.100000000000001</v>
      </c>
      <c r="Z887">
        <v>496</v>
      </c>
      <c r="AA887">
        <v>1</v>
      </c>
      <c r="AB887" t="s">
        <v>5613</v>
      </c>
      <c r="AC887" t="s">
        <v>6207</v>
      </c>
    </row>
    <row r="888" spans="1:29">
      <c r="A888" t="s">
        <v>6388</v>
      </c>
      <c r="B888" t="s">
        <v>6143</v>
      </c>
      <c r="C888" t="s">
        <v>6408</v>
      </c>
      <c r="D888" t="s">
        <v>5747</v>
      </c>
      <c r="E888" t="s">
        <v>397</v>
      </c>
      <c r="F888" t="s">
        <v>5593</v>
      </c>
      <c r="G888" t="s">
        <v>5594</v>
      </c>
      <c r="H888" t="s">
        <v>5809</v>
      </c>
      <c r="I888">
        <v>5</v>
      </c>
      <c r="J888" t="s">
        <v>5595</v>
      </c>
      <c r="K888">
        <v>6.5</v>
      </c>
      <c r="L888" t="s">
        <v>5737</v>
      </c>
      <c r="M888">
        <v>2.4</v>
      </c>
      <c r="N888" t="s">
        <v>5737</v>
      </c>
      <c r="O888">
        <v>2.4</v>
      </c>
      <c r="P888" t="s">
        <v>5613</v>
      </c>
      <c r="Q888">
        <v>38.6</v>
      </c>
      <c r="R888">
        <v>360</v>
      </c>
      <c r="S888">
        <v>2.5</v>
      </c>
      <c r="T888" t="s">
        <v>5613</v>
      </c>
      <c r="U888">
        <v>3.5</v>
      </c>
      <c r="V888" t="s">
        <v>5613</v>
      </c>
      <c r="W888">
        <v>26.8</v>
      </c>
      <c r="X888">
        <v>484</v>
      </c>
      <c r="Y888">
        <v>8.4</v>
      </c>
      <c r="Z888" t="s">
        <v>5613</v>
      </c>
      <c r="AA888">
        <v>17.8</v>
      </c>
      <c r="AB888" t="s">
        <v>6409</v>
      </c>
      <c r="AC888" t="s">
        <v>6207</v>
      </c>
    </row>
    <row r="889" spans="1:29">
      <c r="A889" t="s">
        <v>6388</v>
      </c>
      <c r="B889" t="s">
        <v>6240</v>
      </c>
      <c r="C889" t="s">
        <v>2256</v>
      </c>
      <c r="D889" t="s">
        <v>6359</v>
      </c>
      <c r="E889" t="s">
        <v>1853</v>
      </c>
      <c r="F889" t="s">
        <v>5605</v>
      </c>
      <c r="G889" t="s">
        <v>5602</v>
      </c>
      <c r="H889" t="s">
        <v>5590</v>
      </c>
      <c r="I889">
        <v>5</v>
      </c>
      <c r="J889" t="s">
        <v>5595</v>
      </c>
      <c r="K889">
        <v>15.5</v>
      </c>
      <c r="L889">
        <v>564</v>
      </c>
      <c r="M889">
        <v>13.8</v>
      </c>
      <c r="N889">
        <v>586</v>
      </c>
      <c r="O889">
        <v>6.5</v>
      </c>
      <c r="P889" t="s">
        <v>5613</v>
      </c>
      <c r="Q889">
        <v>4.2</v>
      </c>
      <c r="R889" t="s">
        <v>5613</v>
      </c>
      <c r="S889">
        <v>2.8</v>
      </c>
      <c r="T889" t="s">
        <v>5613</v>
      </c>
      <c r="U889">
        <v>1.9</v>
      </c>
      <c r="V889" t="s">
        <v>5613</v>
      </c>
      <c r="W889">
        <v>28.7</v>
      </c>
      <c r="X889">
        <v>465</v>
      </c>
      <c r="Y889">
        <v>34.700000000000003</v>
      </c>
      <c r="Z889">
        <v>222</v>
      </c>
      <c r="AA889">
        <v>27.8</v>
      </c>
      <c r="AB889" t="s">
        <v>6237</v>
      </c>
      <c r="AC889" t="s">
        <v>6207</v>
      </c>
    </row>
    <row r="890" spans="1:29">
      <c r="A890" t="s">
        <v>6388</v>
      </c>
      <c r="B890" t="s">
        <v>6143</v>
      </c>
      <c r="C890" t="s">
        <v>2298</v>
      </c>
      <c r="D890" t="s">
        <v>5592</v>
      </c>
      <c r="E890" t="s">
        <v>26</v>
      </c>
      <c r="F890" t="s">
        <v>5593</v>
      </c>
      <c r="G890" t="s">
        <v>5589</v>
      </c>
      <c r="H890" t="s">
        <v>5809</v>
      </c>
      <c r="I890">
        <v>3</v>
      </c>
      <c r="J890" t="s">
        <v>5595</v>
      </c>
      <c r="K890">
        <v>3.6</v>
      </c>
      <c r="L890" t="s">
        <v>5737</v>
      </c>
      <c r="M890">
        <v>3.5</v>
      </c>
      <c r="N890" t="s">
        <v>5737</v>
      </c>
      <c r="O890">
        <v>3.5</v>
      </c>
      <c r="P890" t="s">
        <v>5613</v>
      </c>
      <c r="Q890">
        <v>6.7</v>
      </c>
      <c r="R890" t="s">
        <v>5613</v>
      </c>
      <c r="S890">
        <v>74.2</v>
      </c>
      <c r="T890">
        <v>258</v>
      </c>
      <c r="U890">
        <v>100</v>
      </c>
      <c r="V890">
        <v>31</v>
      </c>
      <c r="W890">
        <v>2.1</v>
      </c>
      <c r="X890" t="s">
        <v>5613</v>
      </c>
      <c r="Y890">
        <v>12</v>
      </c>
      <c r="Z890" t="s">
        <v>5613</v>
      </c>
      <c r="AA890">
        <v>1.1000000000000001</v>
      </c>
      <c r="AB890" t="s">
        <v>5613</v>
      </c>
      <c r="AC890" t="s">
        <v>6207</v>
      </c>
    </row>
    <row r="891" spans="1:29">
      <c r="A891" t="s">
        <v>6388</v>
      </c>
      <c r="B891" t="s">
        <v>6143</v>
      </c>
      <c r="C891" t="s">
        <v>1516</v>
      </c>
      <c r="D891" t="s">
        <v>5592</v>
      </c>
      <c r="E891" t="s">
        <v>26</v>
      </c>
      <c r="F891" t="s">
        <v>5593</v>
      </c>
      <c r="G891" t="s">
        <v>5589</v>
      </c>
      <c r="H891" t="s">
        <v>5809</v>
      </c>
      <c r="I891">
        <v>3</v>
      </c>
      <c r="J891" t="s">
        <v>5595</v>
      </c>
      <c r="K891">
        <v>4.7</v>
      </c>
      <c r="L891" t="s">
        <v>5737</v>
      </c>
      <c r="M891">
        <v>4.8</v>
      </c>
      <c r="N891" t="s">
        <v>5737</v>
      </c>
      <c r="O891">
        <v>6.4</v>
      </c>
      <c r="P891" t="s">
        <v>5613</v>
      </c>
      <c r="Q891">
        <v>5.6</v>
      </c>
      <c r="R891" t="s">
        <v>5613</v>
      </c>
      <c r="S891">
        <v>63.4</v>
      </c>
      <c r="T891">
        <v>305</v>
      </c>
      <c r="U891">
        <v>99.5</v>
      </c>
      <c r="V891">
        <v>42</v>
      </c>
      <c r="W891">
        <v>11.2</v>
      </c>
      <c r="X891">
        <v>647</v>
      </c>
      <c r="Y891">
        <v>12</v>
      </c>
      <c r="Z891" t="s">
        <v>5613</v>
      </c>
      <c r="AA891">
        <v>2.7</v>
      </c>
      <c r="AB891" t="s">
        <v>5613</v>
      </c>
      <c r="AC891" t="s">
        <v>6207</v>
      </c>
    </row>
    <row r="892" spans="1:29">
      <c r="A892" t="s">
        <v>6388</v>
      </c>
      <c r="B892" t="s">
        <v>6143</v>
      </c>
      <c r="C892" t="s">
        <v>1275</v>
      </c>
      <c r="D892" t="s">
        <v>5592</v>
      </c>
      <c r="E892" t="s">
        <v>26</v>
      </c>
      <c r="F892" t="s">
        <v>5593</v>
      </c>
      <c r="G892" t="s">
        <v>5589</v>
      </c>
      <c r="H892" t="s">
        <v>5809</v>
      </c>
      <c r="I892">
        <v>3</v>
      </c>
      <c r="J892" t="s">
        <v>5595</v>
      </c>
      <c r="K892">
        <v>6.1</v>
      </c>
      <c r="L892" t="s">
        <v>5737</v>
      </c>
      <c r="M892">
        <v>5.0999999999999996</v>
      </c>
      <c r="N892" t="s">
        <v>5737</v>
      </c>
      <c r="O892">
        <v>9.1</v>
      </c>
      <c r="P892" t="s">
        <v>5613</v>
      </c>
      <c r="Q892">
        <v>11.3</v>
      </c>
      <c r="R892" t="s">
        <v>5613</v>
      </c>
      <c r="S892">
        <v>64.599999999999994</v>
      </c>
      <c r="T892">
        <v>298</v>
      </c>
      <c r="U892">
        <v>30.1</v>
      </c>
      <c r="V892">
        <v>421</v>
      </c>
      <c r="W892">
        <v>9.6</v>
      </c>
      <c r="X892">
        <v>679</v>
      </c>
      <c r="Y892">
        <v>8.9</v>
      </c>
      <c r="Z892" t="s">
        <v>5613</v>
      </c>
      <c r="AA892">
        <v>37.5</v>
      </c>
      <c r="AB892" t="s">
        <v>5745</v>
      </c>
      <c r="AC892" t="s">
        <v>6207</v>
      </c>
    </row>
    <row r="893" spans="1:29">
      <c r="A893" t="s">
        <v>6388</v>
      </c>
      <c r="B893" t="s">
        <v>6143</v>
      </c>
      <c r="C893" t="s">
        <v>2040</v>
      </c>
      <c r="D893" t="s">
        <v>6410</v>
      </c>
      <c r="E893" t="s">
        <v>2041</v>
      </c>
      <c r="F893" t="s">
        <v>5588</v>
      </c>
      <c r="G893" t="s">
        <v>5594</v>
      </c>
      <c r="H893" t="s">
        <v>5809</v>
      </c>
      <c r="I893">
        <v>3</v>
      </c>
      <c r="J893" t="s">
        <v>5595</v>
      </c>
      <c r="K893">
        <v>5.3</v>
      </c>
      <c r="L893" t="s">
        <v>5737</v>
      </c>
      <c r="M893">
        <v>5.2</v>
      </c>
      <c r="N893" t="s">
        <v>5737</v>
      </c>
      <c r="O893">
        <v>38.200000000000003</v>
      </c>
      <c r="P893">
        <v>413</v>
      </c>
      <c r="Q893">
        <v>6.5</v>
      </c>
      <c r="R893" t="s">
        <v>5613</v>
      </c>
      <c r="S893">
        <v>15.1</v>
      </c>
      <c r="T893">
        <v>665</v>
      </c>
      <c r="U893">
        <v>11.2</v>
      </c>
      <c r="V893">
        <v>688</v>
      </c>
      <c r="W893">
        <v>35.4</v>
      </c>
      <c r="X893">
        <v>416</v>
      </c>
      <c r="Y893">
        <v>47.4</v>
      </c>
      <c r="Z893">
        <v>147</v>
      </c>
      <c r="AA893">
        <v>2.2999999999999998</v>
      </c>
      <c r="AB893" t="s">
        <v>5613</v>
      </c>
      <c r="AC893" t="s">
        <v>6207</v>
      </c>
    </row>
    <row r="894" spans="1:29">
      <c r="A894" t="s">
        <v>6388</v>
      </c>
      <c r="B894" t="s">
        <v>6143</v>
      </c>
      <c r="C894" t="s">
        <v>2913</v>
      </c>
      <c r="D894" t="s">
        <v>6222</v>
      </c>
      <c r="E894" t="s">
        <v>2029</v>
      </c>
      <c r="F894" t="s">
        <v>5593</v>
      </c>
      <c r="G894" t="s">
        <v>5594</v>
      </c>
      <c r="H894" t="s">
        <v>5809</v>
      </c>
      <c r="I894">
        <v>3</v>
      </c>
      <c r="J894" t="s">
        <v>5595</v>
      </c>
      <c r="K894">
        <v>7</v>
      </c>
      <c r="L894" t="s">
        <v>5737</v>
      </c>
      <c r="M894">
        <v>6.7</v>
      </c>
      <c r="N894" t="s">
        <v>5737</v>
      </c>
      <c r="O894">
        <v>30.8</v>
      </c>
      <c r="P894">
        <v>509</v>
      </c>
      <c r="Q894">
        <v>6.7</v>
      </c>
      <c r="R894" t="s">
        <v>5613</v>
      </c>
      <c r="S894">
        <v>1.9</v>
      </c>
      <c r="T894" t="s">
        <v>5613</v>
      </c>
      <c r="U894">
        <v>14.3</v>
      </c>
      <c r="V894">
        <v>636</v>
      </c>
      <c r="W894">
        <v>16.100000000000001</v>
      </c>
      <c r="X894">
        <v>584</v>
      </c>
      <c r="Y894">
        <v>52.1</v>
      </c>
      <c r="Z894">
        <v>123</v>
      </c>
      <c r="AA894">
        <v>31.3</v>
      </c>
      <c r="AB894" t="s">
        <v>5904</v>
      </c>
      <c r="AC894" t="s">
        <v>6207</v>
      </c>
    </row>
    <row r="895" spans="1:29">
      <c r="A895" t="s">
        <v>6388</v>
      </c>
      <c r="B895" t="s">
        <v>6143</v>
      </c>
      <c r="C895" t="s">
        <v>1287</v>
      </c>
      <c r="D895" t="s">
        <v>5747</v>
      </c>
      <c r="E895" t="s">
        <v>397</v>
      </c>
      <c r="F895" t="s">
        <v>5593</v>
      </c>
      <c r="G895" t="s">
        <v>5594</v>
      </c>
      <c r="H895" t="s">
        <v>5590</v>
      </c>
      <c r="I895">
        <v>5</v>
      </c>
      <c r="J895" t="s">
        <v>5595</v>
      </c>
      <c r="K895">
        <v>8.3000000000000007</v>
      </c>
      <c r="L895" t="s">
        <v>5737</v>
      </c>
      <c r="M895">
        <v>2.5</v>
      </c>
      <c r="N895" t="s">
        <v>5737</v>
      </c>
      <c r="O895">
        <v>12.7</v>
      </c>
      <c r="P895" t="s">
        <v>5613</v>
      </c>
      <c r="Q895">
        <v>29.4</v>
      </c>
      <c r="R895">
        <v>438</v>
      </c>
      <c r="S895">
        <v>1.4</v>
      </c>
      <c r="T895" t="s">
        <v>5613</v>
      </c>
      <c r="U895">
        <v>4.4000000000000004</v>
      </c>
      <c r="V895" t="s">
        <v>5613</v>
      </c>
      <c r="W895">
        <v>30.7</v>
      </c>
      <c r="X895">
        <v>455</v>
      </c>
      <c r="Y895">
        <v>1</v>
      </c>
      <c r="Z895" t="s">
        <v>5613</v>
      </c>
      <c r="AA895">
        <v>23.2</v>
      </c>
      <c r="AB895" t="s">
        <v>5781</v>
      </c>
      <c r="AC895" t="s">
        <v>6207</v>
      </c>
    </row>
    <row r="896" spans="1:29">
      <c r="A896" t="s">
        <v>6388</v>
      </c>
      <c r="B896" t="s">
        <v>6240</v>
      </c>
      <c r="C896" t="s">
        <v>1675</v>
      </c>
      <c r="D896" t="s">
        <v>5747</v>
      </c>
      <c r="E896" t="s">
        <v>397</v>
      </c>
      <c r="F896" t="s">
        <v>5593</v>
      </c>
      <c r="G896" t="s">
        <v>5589</v>
      </c>
      <c r="H896" t="s">
        <v>5590</v>
      </c>
      <c r="I896">
        <v>5</v>
      </c>
      <c r="J896" t="s">
        <v>5595</v>
      </c>
      <c r="K896">
        <v>10.9</v>
      </c>
      <c r="L896" t="s">
        <v>5737</v>
      </c>
      <c r="M896">
        <v>2.4</v>
      </c>
      <c r="N896" t="s">
        <v>5737</v>
      </c>
      <c r="O896">
        <v>5.0999999999999996</v>
      </c>
      <c r="P896" t="s">
        <v>5613</v>
      </c>
      <c r="Q896">
        <v>27.5</v>
      </c>
      <c r="R896">
        <v>455</v>
      </c>
      <c r="S896">
        <v>2.4</v>
      </c>
      <c r="T896" t="s">
        <v>5613</v>
      </c>
      <c r="U896">
        <v>1.9</v>
      </c>
      <c r="V896" t="s">
        <v>5613</v>
      </c>
      <c r="W896">
        <v>53.3</v>
      </c>
      <c r="X896">
        <v>295</v>
      </c>
      <c r="Y896">
        <v>5.0999999999999996</v>
      </c>
      <c r="Z896" t="s">
        <v>5613</v>
      </c>
      <c r="AA896">
        <v>9.6999999999999993</v>
      </c>
      <c r="AB896" t="s">
        <v>6227</v>
      </c>
      <c r="AC896" t="s">
        <v>6207</v>
      </c>
    </row>
    <row r="897" spans="1:29">
      <c r="A897" t="s">
        <v>6388</v>
      </c>
      <c r="B897" t="s">
        <v>6143</v>
      </c>
      <c r="C897" t="s">
        <v>1679</v>
      </c>
      <c r="D897" t="s">
        <v>5747</v>
      </c>
      <c r="E897" t="s">
        <v>397</v>
      </c>
      <c r="F897" t="s">
        <v>5593</v>
      </c>
      <c r="G897" t="s">
        <v>5594</v>
      </c>
      <c r="H897" t="s">
        <v>5590</v>
      </c>
      <c r="I897">
        <v>5</v>
      </c>
      <c r="J897" t="s">
        <v>5595</v>
      </c>
      <c r="K897">
        <v>9.4</v>
      </c>
      <c r="L897" t="s">
        <v>5737</v>
      </c>
      <c r="M897">
        <v>2.7</v>
      </c>
      <c r="N897" t="s">
        <v>5737</v>
      </c>
      <c r="O897">
        <v>2.6</v>
      </c>
      <c r="P897" t="s">
        <v>5613</v>
      </c>
      <c r="Q897">
        <v>34.6</v>
      </c>
      <c r="R897">
        <v>393</v>
      </c>
      <c r="S897">
        <v>2</v>
      </c>
      <c r="T897" t="s">
        <v>5613</v>
      </c>
      <c r="U897">
        <v>6.3</v>
      </c>
      <c r="V897" t="s">
        <v>5613</v>
      </c>
      <c r="W897">
        <v>35.1</v>
      </c>
      <c r="X897">
        <v>419</v>
      </c>
      <c r="Y897">
        <v>10.199999999999999</v>
      </c>
      <c r="Z897" t="s">
        <v>5613</v>
      </c>
      <c r="AA897">
        <v>3.7</v>
      </c>
      <c r="AB897" t="s">
        <v>5613</v>
      </c>
      <c r="AC897" t="s">
        <v>6207</v>
      </c>
    </row>
    <row r="898" spans="1:29">
      <c r="A898" t="s">
        <v>6388</v>
      </c>
      <c r="B898" t="s">
        <v>6143</v>
      </c>
      <c r="C898" t="s">
        <v>2125</v>
      </c>
      <c r="D898" t="s">
        <v>5592</v>
      </c>
      <c r="E898" t="s">
        <v>26</v>
      </c>
      <c r="F898" t="s">
        <v>5593</v>
      </c>
      <c r="G898" t="s">
        <v>5589</v>
      </c>
      <c r="H898" t="s">
        <v>5809</v>
      </c>
      <c r="I898">
        <v>4</v>
      </c>
      <c r="J898" t="s">
        <v>5595</v>
      </c>
      <c r="K898">
        <v>7.4</v>
      </c>
      <c r="L898" t="s">
        <v>5737</v>
      </c>
      <c r="M898">
        <v>4</v>
      </c>
      <c r="N898" t="s">
        <v>5737</v>
      </c>
      <c r="O898">
        <v>6.7</v>
      </c>
      <c r="P898" t="s">
        <v>5613</v>
      </c>
      <c r="Q898">
        <v>7.8</v>
      </c>
      <c r="R898" t="s">
        <v>5613</v>
      </c>
      <c r="S898">
        <v>38.1</v>
      </c>
      <c r="T898">
        <v>422</v>
      </c>
      <c r="U898">
        <v>70.099999999999994</v>
      </c>
      <c r="V898">
        <v>210</v>
      </c>
      <c r="W898">
        <v>20.8</v>
      </c>
      <c r="X898">
        <v>539</v>
      </c>
      <c r="Y898">
        <v>11.8</v>
      </c>
      <c r="Z898" t="s">
        <v>5613</v>
      </c>
      <c r="AA898">
        <v>9.8000000000000007</v>
      </c>
      <c r="AB898" t="s">
        <v>6210</v>
      </c>
      <c r="AC898" t="s">
        <v>6207</v>
      </c>
    </row>
    <row r="899" spans="1:29">
      <c r="A899" t="s">
        <v>6388</v>
      </c>
      <c r="C899" t="s">
        <v>2540</v>
      </c>
      <c r="D899" t="s">
        <v>5795</v>
      </c>
      <c r="E899" t="s">
        <v>421</v>
      </c>
      <c r="F899" t="s">
        <v>5605</v>
      </c>
      <c r="G899" t="s">
        <v>5589</v>
      </c>
      <c r="H899" t="s">
        <v>5590</v>
      </c>
      <c r="I899">
        <v>5</v>
      </c>
      <c r="J899" t="s">
        <v>5595</v>
      </c>
      <c r="K899">
        <v>9.6</v>
      </c>
      <c r="L899" t="s">
        <v>5737</v>
      </c>
      <c r="M899">
        <v>4.9000000000000004</v>
      </c>
      <c r="N899" t="s">
        <v>5737</v>
      </c>
      <c r="O899">
        <v>1</v>
      </c>
      <c r="P899" t="s">
        <v>5613</v>
      </c>
      <c r="Q899">
        <v>8.8000000000000007</v>
      </c>
      <c r="R899" t="s">
        <v>5613</v>
      </c>
      <c r="U899">
        <v>8</v>
      </c>
      <c r="V899" t="s">
        <v>5613</v>
      </c>
      <c r="W899">
        <v>81.8</v>
      </c>
      <c r="X899">
        <v>136</v>
      </c>
      <c r="Y899">
        <v>66.599999999999994</v>
      </c>
      <c r="Z899">
        <v>81</v>
      </c>
      <c r="AC899" t="s">
        <v>6207</v>
      </c>
    </row>
    <row r="900" spans="1:29">
      <c r="A900" t="s">
        <v>6388</v>
      </c>
      <c r="B900" t="s">
        <v>6049</v>
      </c>
      <c r="C900" t="s">
        <v>6411</v>
      </c>
      <c r="D900" t="s">
        <v>5624</v>
      </c>
      <c r="E900" t="s">
        <v>125</v>
      </c>
      <c r="F900" t="s">
        <v>5593</v>
      </c>
      <c r="G900" t="s">
        <v>5651</v>
      </c>
      <c r="I900">
        <v>5</v>
      </c>
      <c r="J900" t="s">
        <v>5595</v>
      </c>
      <c r="K900">
        <v>7.1</v>
      </c>
      <c r="L900" t="s">
        <v>5737</v>
      </c>
      <c r="M900">
        <v>3.5</v>
      </c>
      <c r="N900" t="s">
        <v>5737</v>
      </c>
      <c r="O900">
        <v>71.3</v>
      </c>
      <c r="P900">
        <v>179</v>
      </c>
      <c r="Q900">
        <v>1.2</v>
      </c>
      <c r="R900" t="s">
        <v>5613</v>
      </c>
      <c r="S900">
        <v>12.5</v>
      </c>
      <c r="T900" t="s">
        <v>5613</v>
      </c>
      <c r="U900">
        <v>24.5</v>
      </c>
      <c r="V900">
        <v>479</v>
      </c>
      <c r="W900">
        <v>1</v>
      </c>
      <c r="X900" t="s">
        <v>5613</v>
      </c>
      <c r="Y900">
        <v>27.4</v>
      </c>
      <c r="Z900">
        <v>297</v>
      </c>
      <c r="AA900">
        <v>1</v>
      </c>
      <c r="AB900" t="s">
        <v>5613</v>
      </c>
      <c r="AC900" t="s">
        <v>6207</v>
      </c>
    </row>
    <row r="901" spans="1:29">
      <c r="A901" t="s">
        <v>6388</v>
      </c>
      <c r="B901" t="s">
        <v>6240</v>
      </c>
      <c r="C901" t="s">
        <v>6412</v>
      </c>
      <c r="D901" t="s">
        <v>5770</v>
      </c>
      <c r="E901" t="s">
        <v>528</v>
      </c>
      <c r="F901" t="s">
        <v>5605</v>
      </c>
      <c r="G901" t="s">
        <v>5602</v>
      </c>
      <c r="H901" t="s">
        <v>5590</v>
      </c>
      <c r="I901">
        <v>3</v>
      </c>
      <c r="J901" t="s">
        <v>5591</v>
      </c>
      <c r="K901">
        <v>11.2</v>
      </c>
      <c r="L901" t="s">
        <v>5737</v>
      </c>
      <c r="M901">
        <v>12.2</v>
      </c>
      <c r="N901" t="s">
        <v>5737</v>
      </c>
      <c r="O901">
        <v>6.5</v>
      </c>
      <c r="P901" t="s">
        <v>5613</v>
      </c>
      <c r="Q901">
        <v>21.3</v>
      </c>
      <c r="R901">
        <v>540</v>
      </c>
      <c r="S901">
        <v>19</v>
      </c>
      <c r="T901">
        <v>599</v>
      </c>
      <c r="U901">
        <v>2.2000000000000002</v>
      </c>
      <c r="V901" t="s">
        <v>5613</v>
      </c>
      <c r="W901">
        <v>13.3</v>
      </c>
      <c r="X901">
        <v>622</v>
      </c>
      <c r="Y901">
        <v>10.199999999999999</v>
      </c>
      <c r="Z901" t="s">
        <v>5613</v>
      </c>
      <c r="AA901">
        <v>9.6999999999999993</v>
      </c>
      <c r="AB901" t="s">
        <v>6227</v>
      </c>
      <c r="AC901" t="s">
        <v>6207</v>
      </c>
    </row>
    <row r="902" spans="1:29">
      <c r="A902" t="s">
        <v>6388</v>
      </c>
      <c r="B902" t="s">
        <v>6049</v>
      </c>
      <c r="C902" t="s">
        <v>6413</v>
      </c>
      <c r="D902" t="s">
        <v>5587</v>
      </c>
      <c r="E902" t="s">
        <v>29</v>
      </c>
      <c r="F902" t="s">
        <v>5615</v>
      </c>
      <c r="G902" t="s">
        <v>5602</v>
      </c>
      <c r="H902" t="s">
        <v>5590</v>
      </c>
      <c r="J902" t="s">
        <v>5591</v>
      </c>
      <c r="K902">
        <v>4.4000000000000004</v>
      </c>
      <c r="L902" t="s">
        <v>5737</v>
      </c>
      <c r="M902">
        <v>1.8</v>
      </c>
      <c r="N902" t="s">
        <v>5737</v>
      </c>
      <c r="O902">
        <v>63.5</v>
      </c>
      <c r="P902">
        <v>221</v>
      </c>
      <c r="Q902">
        <v>8.6</v>
      </c>
      <c r="R902" t="s">
        <v>5613</v>
      </c>
      <c r="S902">
        <v>18</v>
      </c>
      <c r="T902">
        <v>614</v>
      </c>
      <c r="U902">
        <v>16.8</v>
      </c>
      <c r="V902">
        <v>587</v>
      </c>
      <c r="W902">
        <v>1</v>
      </c>
      <c r="X902" t="s">
        <v>5613</v>
      </c>
      <c r="Y902">
        <v>27.7</v>
      </c>
      <c r="Z902">
        <v>293</v>
      </c>
      <c r="AC902" t="s">
        <v>6207</v>
      </c>
    </row>
    <row r="903" spans="1:29">
      <c r="A903" t="s">
        <v>6388</v>
      </c>
      <c r="B903" t="s">
        <v>6143</v>
      </c>
      <c r="C903" t="s">
        <v>1782</v>
      </c>
      <c r="D903" t="s">
        <v>5587</v>
      </c>
      <c r="E903" t="s">
        <v>29</v>
      </c>
      <c r="F903" t="s">
        <v>5588</v>
      </c>
      <c r="G903" t="s">
        <v>5589</v>
      </c>
      <c r="H903" t="s">
        <v>5590</v>
      </c>
      <c r="I903">
        <v>5</v>
      </c>
      <c r="J903" t="s">
        <v>5591</v>
      </c>
      <c r="K903">
        <v>3.9</v>
      </c>
      <c r="L903" t="s">
        <v>5737</v>
      </c>
      <c r="M903">
        <v>5.7</v>
      </c>
      <c r="N903" t="s">
        <v>5737</v>
      </c>
      <c r="O903">
        <v>17.100000000000001</v>
      </c>
      <c r="P903" t="s">
        <v>5613</v>
      </c>
      <c r="Q903">
        <v>27.5</v>
      </c>
      <c r="R903">
        <v>457</v>
      </c>
      <c r="S903">
        <v>42.7</v>
      </c>
      <c r="T903">
        <v>390</v>
      </c>
      <c r="U903">
        <v>24.2</v>
      </c>
      <c r="V903">
        <v>485</v>
      </c>
      <c r="W903">
        <v>1.7</v>
      </c>
      <c r="X903" t="s">
        <v>5613</v>
      </c>
      <c r="Y903">
        <v>11.8</v>
      </c>
      <c r="Z903" t="s">
        <v>5613</v>
      </c>
      <c r="AA903">
        <v>1.3</v>
      </c>
      <c r="AB903" t="s">
        <v>5613</v>
      </c>
      <c r="AC903" t="s">
        <v>6207</v>
      </c>
    </row>
    <row r="904" spans="1:29">
      <c r="A904" t="s">
        <v>6388</v>
      </c>
      <c r="B904" t="s">
        <v>6143</v>
      </c>
      <c r="C904" t="s">
        <v>6414</v>
      </c>
      <c r="D904" t="s">
        <v>5616</v>
      </c>
      <c r="E904" t="s">
        <v>54</v>
      </c>
      <c r="F904" t="s">
        <v>5605</v>
      </c>
      <c r="G904" t="s">
        <v>5602</v>
      </c>
      <c r="H904" t="s">
        <v>5590</v>
      </c>
      <c r="I904">
        <v>2</v>
      </c>
      <c r="J904" t="s">
        <v>5595</v>
      </c>
      <c r="K904">
        <v>6.9</v>
      </c>
      <c r="L904" t="s">
        <v>5737</v>
      </c>
      <c r="M904">
        <v>2.1</v>
      </c>
      <c r="N904" t="s">
        <v>5737</v>
      </c>
      <c r="O904">
        <v>12.1</v>
      </c>
      <c r="P904" t="s">
        <v>5613</v>
      </c>
      <c r="Q904">
        <v>41.1</v>
      </c>
      <c r="R904">
        <v>332</v>
      </c>
      <c r="U904">
        <v>2.6</v>
      </c>
      <c r="V904" t="s">
        <v>5613</v>
      </c>
      <c r="W904">
        <v>9.6999999999999993</v>
      </c>
      <c r="X904">
        <v>673</v>
      </c>
      <c r="Y904">
        <v>7</v>
      </c>
      <c r="Z904" t="s">
        <v>5613</v>
      </c>
      <c r="AA904">
        <v>2.4</v>
      </c>
      <c r="AB904" t="s">
        <v>5613</v>
      </c>
      <c r="AC904" t="s">
        <v>6207</v>
      </c>
    </row>
    <row r="905" spans="1:29">
      <c r="A905" t="s">
        <v>6415</v>
      </c>
      <c r="B905" t="s">
        <v>6143</v>
      </c>
      <c r="C905" t="s">
        <v>6416</v>
      </c>
      <c r="D905" t="s">
        <v>5901</v>
      </c>
      <c r="E905" t="s">
        <v>1543</v>
      </c>
      <c r="F905" t="s">
        <v>5593</v>
      </c>
      <c r="G905" t="s">
        <v>5589</v>
      </c>
      <c r="H905" t="s">
        <v>5590</v>
      </c>
      <c r="I905">
        <v>5</v>
      </c>
      <c r="J905" t="s">
        <v>5595</v>
      </c>
      <c r="K905">
        <v>9.1999999999999993</v>
      </c>
      <c r="L905" t="s">
        <v>5737</v>
      </c>
      <c r="M905">
        <v>15.2</v>
      </c>
      <c r="N905">
        <v>542</v>
      </c>
      <c r="O905">
        <v>37.299999999999997</v>
      </c>
      <c r="P905">
        <v>422</v>
      </c>
      <c r="Q905">
        <v>7</v>
      </c>
      <c r="R905" t="s">
        <v>5613</v>
      </c>
      <c r="S905">
        <v>2.7</v>
      </c>
      <c r="T905" t="s">
        <v>5613</v>
      </c>
      <c r="U905">
        <v>4.5</v>
      </c>
      <c r="V905" t="s">
        <v>5613</v>
      </c>
      <c r="W905">
        <v>13.2</v>
      </c>
      <c r="X905">
        <v>623</v>
      </c>
      <c r="Y905">
        <v>8.8000000000000007</v>
      </c>
      <c r="Z905" t="s">
        <v>5613</v>
      </c>
      <c r="AA905">
        <v>2.5</v>
      </c>
      <c r="AB905" t="s">
        <v>5613</v>
      </c>
      <c r="AC905" t="s">
        <v>6207</v>
      </c>
    </row>
    <row r="906" spans="1:29">
      <c r="A906" t="s">
        <v>6415</v>
      </c>
      <c r="B906" t="s">
        <v>6240</v>
      </c>
      <c r="C906" t="s">
        <v>6417</v>
      </c>
      <c r="D906" t="s">
        <v>6015</v>
      </c>
      <c r="E906" t="s">
        <v>1483</v>
      </c>
      <c r="F906" t="s">
        <v>5605</v>
      </c>
      <c r="G906" t="s">
        <v>5594</v>
      </c>
      <c r="H906" t="s">
        <v>5809</v>
      </c>
      <c r="I906">
        <v>4</v>
      </c>
      <c r="J906" t="s">
        <v>5595</v>
      </c>
      <c r="K906">
        <v>21.5</v>
      </c>
      <c r="L906">
        <v>400</v>
      </c>
      <c r="M906">
        <v>13.1</v>
      </c>
      <c r="N906" t="s">
        <v>5737</v>
      </c>
      <c r="O906">
        <v>5</v>
      </c>
      <c r="P906" t="s">
        <v>5613</v>
      </c>
      <c r="Q906">
        <v>1.9</v>
      </c>
      <c r="R906" t="s">
        <v>5613</v>
      </c>
      <c r="S906">
        <v>1.7</v>
      </c>
      <c r="T906" t="s">
        <v>5613</v>
      </c>
      <c r="U906">
        <v>5</v>
      </c>
      <c r="V906" t="s">
        <v>5613</v>
      </c>
      <c r="W906">
        <v>28.7</v>
      </c>
      <c r="X906">
        <v>466</v>
      </c>
      <c r="Y906">
        <v>13.5</v>
      </c>
      <c r="Z906">
        <v>635</v>
      </c>
      <c r="AA906">
        <v>2.7</v>
      </c>
      <c r="AB906" t="s">
        <v>5613</v>
      </c>
      <c r="AC906" t="s">
        <v>6207</v>
      </c>
    </row>
    <row r="907" spans="1:29">
      <c r="A907" t="s">
        <v>6415</v>
      </c>
      <c r="B907" t="s">
        <v>6240</v>
      </c>
      <c r="C907" t="s">
        <v>6418</v>
      </c>
      <c r="D907" t="s">
        <v>5981</v>
      </c>
      <c r="E907" t="s">
        <v>895</v>
      </c>
      <c r="F907" t="s">
        <v>5605</v>
      </c>
      <c r="G907" t="s">
        <v>5594</v>
      </c>
      <c r="H907" t="s">
        <v>5809</v>
      </c>
      <c r="I907">
        <v>4</v>
      </c>
      <c r="J907" t="s">
        <v>5595</v>
      </c>
      <c r="K907">
        <v>18.5</v>
      </c>
      <c r="L907">
        <v>481</v>
      </c>
      <c r="M907">
        <v>11.7</v>
      </c>
      <c r="N907" t="s">
        <v>5737</v>
      </c>
      <c r="O907">
        <v>8.1</v>
      </c>
      <c r="P907" t="s">
        <v>5613</v>
      </c>
      <c r="Q907">
        <v>2.7</v>
      </c>
      <c r="R907" t="s">
        <v>5613</v>
      </c>
      <c r="S907">
        <v>2.5</v>
      </c>
      <c r="T907" t="s">
        <v>5613</v>
      </c>
      <c r="U907">
        <v>5.4</v>
      </c>
      <c r="V907" t="s">
        <v>5613</v>
      </c>
      <c r="W907">
        <v>32.4</v>
      </c>
      <c r="X907">
        <v>441</v>
      </c>
      <c r="Y907">
        <v>15.4</v>
      </c>
      <c r="Z907">
        <v>546</v>
      </c>
      <c r="AA907">
        <v>16.100000000000001</v>
      </c>
      <c r="AB907" t="s">
        <v>6090</v>
      </c>
      <c r="AC907" t="s">
        <v>6207</v>
      </c>
    </row>
    <row r="908" spans="1:29">
      <c r="A908" t="s">
        <v>6415</v>
      </c>
      <c r="B908" t="s">
        <v>6240</v>
      </c>
      <c r="C908" t="s">
        <v>6419</v>
      </c>
      <c r="D908" t="s">
        <v>5678</v>
      </c>
      <c r="E908" t="s">
        <v>389</v>
      </c>
      <c r="F908" t="s">
        <v>5588</v>
      </c>
      <c r="G908" t="s">
        <v>5602</v>
      </c>
      <c r="H908" t="s">
        <v>5590</v>
      </c>
      <c r="I908">
        <v>2</v>
      </c>
      <c r="J908" t="s">
        <v>5926</v>
      </c>
      <c r="K908">
        <v>5.9</v>
      </c>
      <c r="L908" t="s">
        <v>5737</v>
      </c>
      <c r="M908">
        <v>1.8</v>
      </c>
      <c r="N908" t="s">
        <v>5737</v>
      </c>
      <c r="O908">
        <v>3.3</v>
      </c>
      <c r="P908" t="s">
        <v>5613</v>
      </c>
      <c r="Q908">
        <v>38.700000000000003</v>
      </c>
      <c r="R908">
        <v>358</v>
      </c>
      <c r="S908">
        <v>9.5</v>
      </c>
      <c r="T908" t="s">
        <v>5613</v>
      </c>
      <c r="U908">
        <v>3.5</v>
      </c>
      <c r="V908" t="s">
        <v>5613</v>
      </c>
      <c r="W908">
        <v>12</v>
      </c>
      <c r="X908">
        <v>637</v>
      </c>
      <c r="Y908">
        <v>7.9</v>
      </c>
      <c r="Z908" t="s">
        <v>5613</v>
      </c>
      <c r="AA908">
        <v>2.2999999999999998</v>
      </c>
      <c r="AB908" t="s">
        <v>5613</v>
      </c>
      <c r="AC908" t="s">
        <v>6207</v>
      </c>
    </row>
    <row r="909" spans="1:29">
      <c r="A909" t="s">
        <v>6415</v>
      </c>
      <c r="B909" t="s">
        <v>6240</v>
      </c>
      <c r="C909" t="s">
        <v>1830</v>
      </c>
      <c r="D909" t="s">
        <v>5989</v>
      </c>
      <c r="E909" t="s">
        <v>1220</v>
      </c>
      <c r="F909" t="s">
        <v>5588</v>
      </c>
      <c r="G909" t="s">
        <v>5602</v>
      </c>
      <c r="H909" t="s">
        <v>5590</v>
      </c>
      <c r="I909">
        <v>5</v>
      </c>
      <c r="J909" t="s">
        <v>5595</v>
      </c>
      <c r="K909">
        <v>7.4</v>
      </c>
      <c r="L909" t="s">
        <v>5737</v>
      </c>
      <c r="M909">
        <v>33.299999999999997</v>
      </c>
      <c r="N909">
        <v>296</v>
      </c>
      <c r="O909">
        <v>1.6</v>
      </c>
      <c r="P909" t="s">
        <v>5613</v>
      </c>
      <c r="Q909">
        <v>17.7</v>
      </c>
      <c r="R909">
        <v>588</v>
      </c>
      <c r="S909">
        <v>1.7</v>
      </c>
      <c r="T909" t="s">
        <v>5613</v>
      </c>
      <c r="U909">
        <v>3.3</v>
      </c>
      <c r="V909" t="s">
        <v>5613</v>
      </c>
      <c r="W909">
        <v>1</v>
      </c>
      <c r="X909" t="s">
        <v>5613</v>
      </c>
      <c r="Y909">
        <v>15.7</v>
      </c>
      <c r="Z909">
        <v>530</v>
      </c>
      <c r="AA909">
        <v>4.0999999999999996</v>
      </c>
      <c r="AB909" t="s">
        <v>5613</v>
      </c>
      <c r="AC909" t="s">
        <v>6207</v>
      </c>
    </row>
    <row r="910" spans="1:29">
      <c r="A910" t="s">
        <v>6415</v>
      </c>
      <c r="B910" t="s">
        <v>6143</v>
      </c>
      <c r="C910" t="s">
        <v>6420</v>
      </c>
      <c r="D910" t="s">
        <v>5616</v>
      </c>
      <c r="E910" t="s">
        <v>54</v>
      </c>
      <c r="F910" t="s">
        <v>5593</v>
      </c>
      <c r="G910" t="s">
        <v>5589</v>
      </c>
      <c r="H910" t="s">
        <v>5590</v>
      </c>
      <c r="I910">
        <v>2</v>
      </c>
      <c r="J910" t="s">
        <v>5595</v>
      </c>
      <c r="K910">
        <v>10.1</v>
      </c>
      <c r="L910" t="s">
        <v>5737</v>
      </c>
      <c r="M910">
        <v>4.2</v>
      </c>
      <c r="N910" t="s">
        <v>5737</v>
      </c>
      <c r="O910">
        <v>16</v>
      </c>
      <c r="P910" t="s">
        <v>5613</v>
      </c>
      <c r="Q910">
        <v>28.8</v>
      </c>
      <c r="R910">
        <v>446</v>
      </c>
      <c r="S910">
        <v>5</v>
      </c>
      <c r="T910" t="s">
        <v>5613</v>
      </c>
      <c r="U910">
        <v>10.6</v>
      </c>
      <c r="V910" t="s">
        <v>5613</v>
      </c>
      <c r="W910">
        <v>2.6</v>
      </c>
      <c r="X910" t="s">
        <v>5613</v>
      </c>
      <c r="Y910">
        <v>8.1999999999999993</v>
      </c>
      <c r="Z910" t="s">
        <v>5613</v>
      </c>
      <c r="AA910">
        <v>1.7</v>
      </c>
      <c r="AB910" t="s">
        <v>5613</v>
      </c>
      <c r="AC910" t="s">
        <v>6207</v>
      </c>
    </row>
    <row r="911" spans="1:29">
      <c r="A911" t="s">
        <v>6415</v>
      </c>
      <c r="B911" t="s">
        <v>6143</v>
      </c>
      <c r="C911" t="s">
        <v>6421</v>
      </c>
      <c r="D911" t="s">
        <v>5587</v>
      </c>
      <c r="E911" t="s">
        <v>29</v>
      </c>
      <c r="F911" t="s">
        <v>5588</v>
      </c>
      <c r="G911" t="s">
        <v>5589</v>
      </c>
      <c r="H911" t="s">
        <v>5590</v>
      </c>
      <c r="I911">
        <v>5</v>
      </c>
      <c r="J911" t="s">
        <v>5595</v>
      </c>
      <c r="K911">
        <v>8.3000000000000007</v>
      </c>
      <c r="L911" t="s">
        <v>5737</v>
      </c>
      <c r="M911">
        <v>10.6</v>
      </c>
      <c r="N911" t="s">
        <v>5737</v>
      </c>
      <c r="O911">
        <v>25.7</v>
      </c>
      <c r="P911">
        <v>574</v>
      </c>
      <c r="Q911">
        <v>15.6</v>
      </c>
      <c r="R911">
        <v>624</v>
      </c>
      <c r="S911">
        <v>6.9</v>
      </c>
      <c r="T911" t="s">
        <v>5613</v>
      </c>
      <c r="U911">
        <v>6.8</v>
      </c>
      <c r="V911" t="s">
        <v>5613</v>
      </c>
      <c r="W911">
        <v>2.5</v>
      </c>
      <c r="X911" t="s">
        <v>5613</v>
      </c>
      <c r="Y911">
        <v>21.4</v>
      </c>
      <c r="Z911">
        <v>390</v>
      </c>
      <c r="AA911">
        <v>8.1</v>
      </c>
      <c r="AB911" t="s">
        <v>5613</v>
      </c>
      <c r="AC911" t="s">
        <v>6207</v>
      </c>
    </row>
    <row r="912" spans="1:29">
      <c r="A912" t="s">
        <v>6415</v>
      </c>
      <c r="C912" t="s">
        <v>6422</v>
      </c>
      <c r="D912" t="s">
        <v>5863</v>
      </c>
      <c r="E912" t="s">
        <v>1306</v>
      </c>
      <c r="F912" t="s">
        <v>5588</v>
      </c>
      <c r="G912" t="s">
        <v>5589</v>
      </c>
      <c r="H912" t="s">
        <v>6146</v>
      </c>
      <c r="I912">
        <v>4</v>
      </c>
      <c r="J912" t="s">
        <v>5595</v>
      </c>
      <c r="K912">
        <v>11.6</v>
      </c>
      <c r="L912" t="s">
        <v>5737</v>
      </c>
      <c r="M912">
        <v>6.3</v>
      </c>
      <c r="N912" t="s">
        <v>5737</v>
      </c>
      <c r="O912">
        <v>59.9</v>
      </c>
      <c r="P912">
        <v>237</v>
      </c>
      <c r="Q912">
        <v>1.2</v>
      </c>
      <c r="R912" t="s">
        <v>5613</v>
      </c>
      <c r="S912">
        <v>17.3</v>
      </c>
      <c r="T912">
        <v>623</v>
      </c>
      <c r="U912">
        <v>2.7</v>
      </c>
      <c r="V912" t="s">
        <v>5613</v>
      </c>
      <c r="W912">
        <v>1</v>
      </c>
      <c r="X912" t="s">
        <v>5613</v>
      </c>
      <c r="Y912">
        <v>12.6</v>
      </c>
      <c r="Z912">
        <v>686</v>
      </c>
      <c r="AA912">
        <v>1.6</v>
      </c>
      <c r="AB912" t="s">
        <v>5613</v>
      </c>
      <c r="AC912" t="s">
        <v>6207</v>
      </c>
    </row>
    <row r="913" spans="1:29">
      <c r="A913" t="s">
        <v>6415</v>
      </c>
      <c r="B913" t="s">
        <v>6143</v>
      </c>
      <c r="C913" t="s">
        <v>1227</v>
      </c>
      <c r="D913" t="s">
        <v>5616</v>
      </c>
      <c r="E913" t="s">
        <v>54</v>
      </c>
      <c r="F913" t="s">
        <v>5593</v>
      </c>
      <c r="G913" t="s">
        <v>5602</v>
      </c>
      <c r="H913" t="s">
        <v>5590</v>
      </c>
      <c r="I913">
        <v>3</v>
      </c>
      <c r="J913" t="s">
        <v>5595</v>
      </c>
      <c r="K913">
        <v>4</v>
      </c>
      <c r="L913" t="s">
        <v>5737</v>
      </c>
      <c r="M913">
        <v>1.5</v>
      </c>
      <c r="N913" t="s">
        <v>5737</v>
      </c>
      <c r="O913">
        <v>26.9</v>
      </c>
      <c r="P913">
        <v>562</v>
      </c>
      <c r="Q913">
        <v>37.9</v>
      </c>
      <c r="R913">
        <v>370</v>
      </c>
      <c r="S913">
        <v>2.2999999999999998</v>
      </c>
      <c r="T913" t="s">
        <v>5613</v>
      </c>
      <c r="U913">
        <v>3.4</v>
      </c>
      <c r="V913" t="s">
        <v>5613</v>
      </c>
      <c r="W913">
        <v>1.9</v>
      </c>
      <c r="X913" t="s">
        <v>5613</v>
      </c>
      <c r="Y913">
        <v>6.2</v>
      </c>
      <c r="Z913" t="s">
        <v>5613</v>
      </c>
      <c r="AA913">
        <v>1.3</v>
      </c>
      <c r="AB913" t="s">
        <v>5613</v>
      </c>
      <c r="AC913" t="s">
        <v>6207</v>
      </c>
    </row>
    <row r="914" spans="1:29">
      <c r="A914" t="s">
        <v>6415</v>
      </c>
      <c r="B914" t="s">
        <v>6126</v>
      </c>
      <c r="C914" t="s">
        <v>6423</v>
      </c>
      <c r="D914" t="s">
        <v>5644</v>
      </c>
      <c r="E914" t="s">
        <v>181</v>
      </c>
      <c r="F914" t="s">
        <v>5588</v>
      </c>
      <c r="G914" t="s">
        <v>5594</v>
      </c>
      <c r="H914" t="s">
        <v>5590</v>
      </c>
      <c r="I914">
        <v>3</v>
      </c>
      <c r="J914" t="s">
        <v>5591</v>
      </c>
      <c r="K914">
        <v>2.6</v>
      </c>
      <c r="L914" t="s">
        <v>5737</v>
      </c>
      <c r="M914">
        <v>1.9</v>
      </c>
      <c r="N914" t="s">
        <v>5737</v>
      </c>
      <c r="O914">
        <v>94</v>
      </c>
      <c r="P914">
        <v>65</v>
      </c>
      <c r="Q914">
        <v>6.9</v>
      </c>
      <c r="R914" t="s">
        <v>5613</v>
      </c>
      <c r="S914">
        <v>4.2</v>
      </c>
      <c r="T914" t="s">
        <v>5613</v>
      </c>
      <c r="U914">
        <v>2.7</v>
      </c>
      <c r="V914" t="s">
        <v>5613</v>
      </c>
      <c r="W914">
        <v>1</v>
      </c>
      <c r="X914" t="s">
        <v>5613</v>
      </c>
      <c r="Y914">
        <v>4.2</v>
      </c>
      <c r="Z914" t="s">
        <v>5613</v>
      </c>
      <c r="AA914">
        <v>1</v>
      </c>
      <c r="AB914" t="s">
        <v>5613</v>
      </c>
      <c r="AC914" t="s">
        <v>6207</v>
      </c>
    </row>
    <row r="915" spans="1:29">
      <c r="A915" t="s">
        <v>6415</v>
      </c>
      <c r="B915" t="s">
        <v>6056</v>
      </c>
      <c r="C915" t="s">
        <v>2009</v>
      </c>
      <c r="D915" t="s">
        <v>5631</v>
      </c>
      <c r="E915" t="s">
        <v>94</v>
      </c>
      <c r="F915" t="s">
        <v>5588</v>
      </c>
      <c r="G915" t="s">
        <v>5594</v>
      </c>
      <c r="H915" t="s">
        <v>5590</v>
      </c>
      <c r="I915">
        <v>4</v>
      </c>
      <c r="J915" t="s">
        <v>5595</v>
      </c>
      <c r="K915">
        <v>7.6</v>
      </c>
      <c r="L915" t="s">
        <v>5737</v>
      </c>
      <c r="M915">
        <v>3.1</v>
      </c>
      <c r="N915" t="s">
        <v>5737</v>
      </c>
      <c r="O915">
        <v>56</v>
      </c>
      <c r="P915">
        <v>266</v>
      </c>
      <c r="Q915">
        <v>12.3</v>
      </c>
      <c r="R915">
        <v>691</v>
      </c>
      <c r="S915">
        <v>5.9</v>
      </c>
      <c r="T915" t="s">
        <v>5613</v>
      </c>
      <c r="U915">
        <v>3.4</v>
      </c>
      <c r="V915" t="s">
        <v>5613</v>
      </c>
      <c r="W915">
        <v>3.1</v>
      </c>
      <c r="X915" t="s">
        <v>5613</v>
      </c>
      <c r="Y915">
        <v>8.1</v>
      </c>
      <c r="Z915" t="s">
        <v>5613</v>
      </c>
      <c r="AA915">
        <v>1.9</v>
      </c>
      <c r="AB915" t="s">
        <v>5613</v>
      </c>
      <c r="AC915" t="s">
        <v>6207</v>
      </c>
    </row>
    <row r="916" spans="1:29">
      <c r="A916" t="s">
        <v>6415</v>
      </c>
      <c r="B916" t="s">
        <v>6143</v>
      </c>
      <c r="C916" t="s">
        <v>4902</v>
      </c>
      <c r="D916" t="s">
        <v>5592</v>
      </c>
      <c r="E916" t="s">
        <v>26</v>
      </c>
      <c r="F916" t="s">
        <v>5588</v>
      </c>
      <c r="G916" t="s">
        <v>5589</v>
      </c>
      <c r="H916" t="s">
        <v>5809</v>
      </c>
      <c r="I916">
        <v>2</v>
      </c>
      <c r="J916" t="s">
        <v>5595</v>
      </c>
      <c r="K916">
        <v>5.5</v>
      </c>
      <c r="L916" t="s">
        <v>5737</v>
      </c>
      <c r="M916">
        <v>2.9</v>
      </c>
      <c r="N916" t="s">
        <v>5737</v>
      </c>
      <c r="O916">
        <v>4.5</v>
      </c>
      <c r="P916" t="s">
        <v>5613</v>
      </c>
      <c r="Q916">
        <v>3.2</v>
      </c>
      <c r="R916" t="s">
        <v>5613</v>
      </c>
      <c r="S916">
        <v>60.8</v>
      </c>
      <c r="T916">
        <v>315</v>
      </c>
      <c r="U916">
        <v>100</v>
      </c>
      <c r="V916">
        <v>18</v>
      </c>
      <c r="W916">
        <v>1</v>
      </c>
      <c r="X916" t="s">
        <v>5613</v>
      </c>
      <c r="Y916">
        <v>14</v>
      </c>
      <c r="Z916">
        <v>609</v>
      </c>
      <c r="AA916">
        <v>1</v>
      </c>
      <c r="AB916" t="s">
        <v>5613</v>
      </c>
      <c r="AC916" t="s">
        <v>6207</v>
      </c>
    </row>
    <row r="917" spans="1:29">
      <c r="A917" t="s">
        <v>6415</v>
      </c>
      <c r="B917" t="s">
        <v>6143</v>
      </c>
      <c r="C917" t="s">
        <v>6424</v>
      </c>
      <c r="D917" t="s">
        <v>5587</v>
      </c>
      <c r="E917" t="s">
        <v>29</v>
      </c>
      <c r="F917" t="s">
        <v>5593</v>
      </c>
      <c r="G917" t="s">
        <v>5594</v>
      </c>
      <c r="H917" t="s">
        <v>5809</v>
      </c>
      <c r="I917">
        <v>5</v>
      </c>
      <c r="J917" t="s">
        <v>5591</v>
      </c>
      <c r="K917">
        <v>8.6999999999999993</v>
      </c>
      <c r="L917" t="s">
        <v>5737</v>
      </c>
      <c r="M917">
        <v>29.6</v>
      </c>
      <c r="N917">
        <v>330</v>
      </c>
      <c r="O917">
        <v>21.3</v>
      </c>
      <c r="P917">
        <v>640</v>
      </c>
      <c r="Q917">
        <v>8</v>
      </c>
      <c r="R917" t="s">
        <v>5613</v>
      </c>
      <c r="S917">
        <v>7.4</v>
      </c>
      <c r="T917" t="s">
        <v>5613</v>
      </c>
      <c r="U917">
        <v>3</v>
      </c>
      <c r="V917" t="s">
        <v>5613</v>
      </c>
      <c r="W917">
        <v>1.6</v>
      </c>
      <c r="X917" t="s">
        <v>5613</v>
      </c>
      <c r="Y917">
        <v>13.1</v>
      </c>
      <c r="Z917">
        <v>659</v>
      </c>
      <c r="AA917">
        <v>2.5</v>
      </c>
      <c r="AB917" t="s">
        <v>5613</v>
      </c>
      <c r="AC917" t="s">
        <v>6207</v>
      </c>
    </row>
    <row r="918" spans="1:29">
      <c r="A918" t="s">
        <v>6415</v>
      </c>
      <c r="B918" t="s">
        <v>6143</v>
      </c>
      <c r="C918" t="s">
        <v>2925</v>
      </c>
      <c r="D918" t="s">
        <v>5882</v>
      </c>
      <c r="E918" t="s">
        <v>984</v>
      </c>
      <c r="F918" t="s">
        <v>5588</v>
      </c>
      <c r="G918" t="s">
        <v>5602</v>
      </c>
      <c r="H918" t="s">
        <v>5590</v>
      </c>
      <c r="I918">
        <v>5</v>
      </c>
      <c r="J918" t="s">
        <v>5595</v>
      </c>
      <c r="K918">
        <v>6.4</v>
      </c>
      <c r="L918" t="s">
        <v>5737</v>
      </c>
      <c r="M918">
        <v>8.6</v>
      </c>
      <c r="N918" t="s">
        <v>5737</v>
      </c>
      <c r="O918">
        <v>48.8</v>
      </c>
      <c r="P918">
        <v>322</v>
      </c>
      <c r="Q918">
        <v>3.9</v>
      </c>
      <c r="R918" t="s">
        <v>5613</v>
      </c>
      <c r="S918">
        <v>10.4</v>
      </c>
      <c r="T918" t="s">
        <v>5613</v>
      </c>
      <c r="U918">
        <v>37.1</v>
      </c>
      <c r="V918">
        <v>368</v>
      </c>
      <c r="W918">
        <v>13.1</v>
      </c>
      <c r="X918">
        <v>624</v>
      </c>
      <c r="Y918">
        <v>8.6999999999999993</v>
      </c>
      <c r="Z918" t="s">
        <v>5613</v>
      </c>
      <c r="AA918">
        <v>1.3</v>
      </c>
      <c r="AB918" t="s">
        <v>5613</v>
      </c>
      <c r="AC918" t="s">
        <v>6207</v>
      </c>
    </row>
    <row r="919" spans="1:29">
      <c r="A919" t="s">
        <v>6415</v>
      </c>
      <c r="B919" t="s">
        <v>6143</v>
      </c>
      <c r="C919" t="s">
        <v>2961</v>
      </c>
      <c r="D919" t="s">
        <v>5678</v>
      </c>
      <c r="E919" t="s">
        <v>389</v>
      </c>
      <c r="F919" t="s">
        <v>5588</v>
      </c>
      <c r="G919" t="s">
        <v>5589</v>
      </c>
      <c r="H919" t="s">
        <v>5590</v>
      </c>
      <c r="I919">
        <v>3</v>
      </c>
      <c r="J919" t="s">
        <v>5595</v>
      </c>
      <c r="K919">
        <v>13</v>
      </c>
      <c r="L919" t="s">
        <v>5737</v>
      </c>
      <c r="M919">
        <v>26.2</v>
      </c>
      <c r="N919">
        <v>368</v>
      </c>
      <c r="O919">
        <v>18.2</v>
      </c>
      <c r="P919" t="s">
        <v>5613</v>
      </c>
      <c r="Q919">
        <v>5.2</v>
      </c>
      <c r="R919" t="s">
        <v>5613</v>
      </c>
      <c r="S919">
        <v>4.5</v>
      </c>
      <c r="T919" t="s">
        <v>5613</v>
      </c>
      <c r="U919">
        <v>3.9</v>
      </c>
      <c r="V919" t="s">
        <v>5613</v>
      </c>
      <c r="W919">
        <v>1.1000000000000001</v>
      </c>
      <c r="X919" t="s">
        <v>5613</v>
      </c>
      <c r="Y919">
        <v>4.2</v>
      </c>
      <c r="Z919" t="s">
        <v>5613</v>
      </c>
      <c r="AA919">
        <v>8.3000000000000007</v>
      </c>
      <c r="AB919" t="s">
        <v>5613</v>
      </c>
      <c r="AC919" t="s">
        <v>6207</v>
      </c>
    </row>
    <row r="920" spans="1:29">
      <c r="A920" t="s">
        <v>6415</v>
      </c>
      <c r="B920" t="s">
        <v>6056</v>
      </c>
      <c r="C920" t="s">
        <v>6425</v>
      </c>
      <c r="D920" t="s">
        <v>6264</v>
      </c>
      <c r="E920" t="s">
        <v>1123</v>
      </c>
      <c r="F920" t="s">
        <v>5588</v>
      </c>
      <c r="G920" t="s">
        <v>5589</v>
      </c>
      <c r="H920" t="s">
        <v>5590</v>
      </c>
      <c r="I920">
        <v>5</v>
      </c>
      <c r="J920" t="s">
        <v>5595</v>
      </c>
      <c r="K920">
        <v>6.6</v>
      </c>
      <c r="L920" t="s">
        <v>5737</v>
      </c>
      <c r="M920">
        <v>12.1</v>
      </c>
      <c r="N920" t="s">
        <v>5737</v>
      </c>
      <c r="O920">
        <v>63.3</v>
      </c>
      <c r="P920">
        <v>224</v>
      </c>
      <c r="Q920">
        <v>1.3</v>
      </c>
      <c r="R920" t="s">
        <v>5613</v>
      </c>
      <c r="S920">
        <v>1.8</v>
      </c>
      <c r="T920" t="s">
        <v>5613</v>
      </c>
      <c r="U920">
        <v>24</v>
      </c>
      <c r="V920">
        <v>487</v>
      </c>
      <c r="W920">
        <v>1</v>
      </c>
      <c r="X920" t="s">
        <v>5613</v>
      </c>
      <c r="Y920">
        <v>10.199999999999999</v>
      </c>
      <c r="Z920" t="s">
        <v>5613</v>
      </c>
      <c r="AC920" t="s">
        <v>6207</v>
      </c>
    </row>
    <row r="921" spans="1:29">
      <c r="A921" t="s">
        <v>6415</v>
      </c>
      <c r="B921" t="s">
        <v>6143</v>
      </c>
      <c r="C921" t="s">
        <v>6426</v>
      </c>
      <c r="D921" t="s">
        <v>5901</v>
      </c>
      <c r="E921" t="s">
        <v>1543</v>
      </c>
      <c r="F921" t="s">
        <v>5593</v>
      </c>
      <c r="G921" t="s">
        <v>5594</v>
      </c>
      <c r="H921" t="s">
        <v>5809</v>
      </c>
      <c r="I921">
        <v>4</v>
      </c>
      <c r="J921" t="s">
        <v>5595</v>
      </c>
      <c r="K921">
        <v>7.5</v>
      </c>
      <c r="L921" t="s">
        <v>5737</v>
      </c>
      <c r="M921">
        <v>3</v>
      </c>
      <c r="N921" t="s">
        <v>5737</v>
      </c>
      <c r="O921">
        <v>48.7</v>
      </c>
      <c r="P921">
        <v>323</v>
      </c>
      <c r="Q921">
        <v>4.8</v>
      </c>
      <c r="R921" t="s">
        <v>5613</v>
      </c>
      <c r="S921">
        <v>3.4</v>
      </c>
      <c r="T921" t="s">
        <v>5613</v>
      </c>
      <c r="U921">
        <v>4.8</v>
      </c>
      <c r="V921" t="s">
        <v>5613</v>
      </c>
      <c r="W921">
        <v>51.1</v>
      </c>
      <c r="X921">
        <v>305</v>
      </c>
      <c r="Y921">
        <v>8.1999999999999993</v>
      </c>
      <c r="Z921" t="s">
        <v>5613</v>
      </c>
      <c r="AA921">
        <v>2</v>
      </c>
      <c r="AB921" t="s">
        <v>5613</v>
      </c>
      <c r="AC921" t="s">
        <v>6207</v>
      </c>
    </row>
    <row r="922" spans="1:29">
      <c r="A922" t="s">
        <v>6415</v>
      </c>
      <c r="B922" t="s">
        <v>6143</v>
      </c>
      <c r="C922" t="s">
        <v>6427</v>
      </c>
      <c r="D922" t="s">
        <v>5762</v>
      </c>
      <c r="E922" t="s">
        <v>534</v>
      </c>
      <c r="F922" t="s">
        <v>5593</v>
      </c>
      <c r="G922" t="s">
        <v>5594</v>
      </c>
      <c r="H922" t="s">
        <v>6146</v>
      </c>
      <c r="I922">
        <v>2</v>
      </c>
      <c r="J922" t="s">
        <v>5595</v>
      </c>
      <c r="K922">
        <v>10.4</v>
      </c>
      <c r="L922" t="s">
        <v>5737</v>
      </c>
      <c r="M922">
        <v>3.7</v>
      </c>
      <c r="N922" t="s">
        <v>5737</v>
      </c>
      <c r="O922">
        <v>21.9</v>
      </c>
      <c r="P922">
        <v>632</v>
      </c>
      <c r="Q922">
        <v>2</v>
      </c>
      <c r="R922" t="s">
        <v>5613</v>
      </c>
      <c r="S922">
        <v>98.2</v>
      </c>
      <c r="T922">
        <v>112</v>
      </c>
      <c r="U922">
        <v>5.2</v>
      </c>
      <c r="V922" t="s">
        <v>5613</v>
      </c>
      <c r="W922">
        <v>1</v>
      </c>
      <c r="X922" t="s">
        <v>5613</v>
      </c>
      <c r="Y922">
        <v>8.1999999999999993</v>
      </c>
      <c r="Z922" t="s">
        <v>5613</v>
      </c>
      <c r="AA922">
        <v>1</v>
      </c>
      <c r="AB922" t="s">
        <v>5613</v>
      </c>
      <c r="AC922" t="s">
        <v>6207</v>
      </c>
    </row>
    <row r="923" spans="1:29">
      <c r="A923" t="s">
        <v>6415</v>
      </c>
      <c r="B923" t="s">
        <v>6143</v>
      </c>
      <c r="C923" t="s">
        <v>6428</v>
      </c>
      <c r="D923" t="s">
        <v>5857</v>
      </c>
      <c r="E923" t="s">
        <v>1178</v>
      </c>
      <c r="F923" t="s">
        <v>5615</v>
      </c>
      <c r="G923" t="s">
        <v>5589</v>
      </c>
      <c r="H923" t="s">
        <v>5809</v>
      </c>
      <c r="I923">
        <v>3</v>
      </c>
      <c r="J923" t="s">
        <v>5591</v>
      </c>
      <c r="K923">
        <v>4.5</v>
      </c>
      <c r="L923" t="s">
        <v>5737</v>
      </c>
      <c r="M923">
        <v>13.8</v>
      </c>
      <c r="N923">
        <v>587</v>
      </c>
      <c r="O923">
        <v>24.9</v>
      </c>
      <c r="P923">
        <v>585</v>
      </c>
      <c r="Q923">
        <v>2.6</v>
      </c>
      <c r="R923" t="s">
        <v>5613</v>
      </c>
      <c r="S923">
        <v>84.2</v>
      </c>
      <c r="T923">
        <v>216</v>
      </c>
      <c r="U923">
        <v>21.9</v>
      </c>
      <c r="V923">
        <v>517</v>
      </c>
      <c r="W923">
        <v>1</v>
      </c>
      <c r="X923" t="s">
        <v>5613</v>
      </c>
      <c r="Y923">
        <v>8</v>
      </c>
      <c r="Z923" t="s">
        <v>5613</v>
      </c>
      <c r="AA923">
        <v>1</v>
      </c>
      <c r="AB923" t="s">
        <v>5613</v>
      </c>
      <c r="AC923" t="s">
        <v>6207</v>
      </c>
    </row>
    <row r="924" spans="1:29">
      <c r="A924" t="s">
        <v>6415</v>
      </c>
      <c r="B924" t="s">
        <v>6240</v>
      </c>
      <c r="C924" t="s">
        <v>6429</v>
      </c>
      <c r="D924" t="s">
        <v>5616</v>
      </c>
      <c r="E924" t="s">
        <v>54</v>
      </c>
      <c r="F924" t="s">
        <v>5593</v>
      </c>
      <c r="G924" t="s">
        <v>5594</v>
      </c>
      <c r="H924" t="s">
        <v>5590</v>
      </c>
      <c r="I924">
        <v>3</v>
      </c>
      <c r="J924" t="s">
        <v>5595</v>
      </c>
      <c r="K924">
        <v>5.5</v>
      </c>
      <c r="L924" t="s">
        <v>5737</v>
      </c>
      <c r="M924">
        <v>1.9</v>
      </c>
      <c r="N924" t="s">
        <v>5737</v>
      </c>
      <c r="O924">
        <v>9.9</v>
      </c>
      <c r="P924" t="s">
        <v>5613</v>
      </c>
      <c r="Q924">
        <v>40.5</v>
      </c>
      <c r="R924">
        <v>341</v>
      </c>
      <c r="S924">
        <v>3.3</v>
      </c>
      <c r="T924" t="s">
        <v>5613</v>
      </c>
      <c r="U924">
        <v>2</v>
      </c>
      <c r="V924" t="s">
        <v>5613</v>
      </c>
      <c r="W924">
        <v>9.4</v>
      </c>
      <c r="X924">
        <v>684</v>
      </c>
      <c r="Y924">
        <v>5.9</v>
      </c>
      <c r="Z924" t="s">
        <v>5613</v>
      </c>
      <c r="AA924">
        <v>4.9000000000000004</v>
      </c>
      <c r="AB924" t="s">
        <v>5613</v>
      </c>
      <c r="AC924" t="s">
        <v>6207</v>
      </c>
    </row>
    <row r="925" spans="1:29">
      <c r="A925" t="s">
        <v>6415</v>
      </c>
      <c r="B925" t="s">
        <v>6049</v>
      </c>
      <c r="C925" t="s">
        <v>2084</v>
      </c>
      <c r="D925" t="s">
        <v>5631</v>
      </c>
      <c r="E925" t="s">
        <v>94</v>
      </c>
      <c r="F925" t="s">
        <v>5593</v>
      </c>
      <c r="G925" t="s">
        <v>5594</v>
      </c>
      <c r="H925" t="s">
        <v>5590</v>
      </c>
      <c r="I925">
        <v>4</v>
      </c>
      <c r="J925" t="s">
        <v>5595</v>
      </c>
      <c r="K925">
        <v>8.9</v>
      </c>
      <c r="L925" t="s">
        <v>5737</v>
      </c>
      <c r="M925">
        <v>3.9</v>
      </c>
      <c r="N925" t="s">
        <v>5737</v>
      </c>
      <c r="O925">
        <v>62.1</v>
      </c>
      <c r="P925">
        <v>227</v>
      </c>
      <c r="Q925">
        <v>8.4</v>
      </c>
      <c r="R925" t="s">
        <v>5613</v>
      </c>
      <c r="S925">
        <v>5.6</v>
      </c>
      <c r="T925" t="s">
        <v>5613</v>
      </c>
      <c r="U925">
        <v>6.3</v>
      </c>
      <c r="V925" t="s">
        <v>5613</v>
      </c>
      <c r="W925">
        <v>3.6</v>
      </c>
      <c r="X925" t="s">
        <v>5613</v>
      </c>
      <c r="Y925">
        <v>8.1999999999999993</v>
      </c>
      <c r="Z925" t="s">
        <v>5613</v>
      </c>
      <c r="AA925">
        <v>1.6</v>
      </c>
      <c r="AB925" t="s">
        <v>5613</v>
      </c>
      <c r="AC925" t="s">
        <v>6207</v>
      </c>
    </row>
    <row r="926" spans="1:29">
      <c r="A926" t="s">
        <v>6415</v>
      </c>
      <c r="B926" t="s">
        <v>6143</v>
      </c>
      <c r="C926" t="s">
        <v>6430</v>
      </c>
      <c r="D926" t="s">
        <v>6372</v>
      </c>
      <c r="E926" t="s">
        <v>2513</v>
      </c>
      <c r="F926" t="s">
        <v>5593</v>
      </c>
      <c r="G926" t="s">
        <v>5594</v>
      </c>
      <c r="H926" t="s">
        <v>6146</v>
      </c>
      <c r="I926">
        <v>4</v>
      </c>
      <c r="J926" t="s">
        <v>5591</v>
      </c>
      <c r="K926">
        <v>16.8</v>
      </c>
      <c r="L926">
        <v>526</v>
      </c>
      <c r="M926">
        <v>28.7</v>
      </c>
      <c r="N926">
        <v>339</v>
      </c>
      <c r="O926">
        <v>10.5</v>
      </c>
      <c r="P926" t="s">
        <v>5613</v>
      </c>
      <c r="Q926">
        <v>1.3</v>
      </c>
      <c r="R926" t="s">
        <v>5613</v>
      </c>
      <c r="S926">
        <v>16.899999999999999</v>
      </c>
      <c r="T926">
        <v>630</v>
      </c>
      <c r="U926">
        <v>1.6</v>
      </c>
      <c r="V926" t="s">
        <v>5613</v>
      </c>
      <c r="W926">
        <v>1.1000000000000001</v>
      </c>
      <c r="X926" t="s">
        <v>5613</v>
      </c>
      <c r="Y926">
        <v>15.5</v>
      </c>
      <c r="Z926">
        <v>540</v>
      </c>
      <c r="AA926">
        <v>1.2</v>
      </c>
      <c r="AB926" t="s">
        <v>5613</v>
      </c>
      <c r="AC926" t="s">
        <v>6207</v>
      </c>
    </row>
    <row r="927" spans="1:29">
      <c r="A927" t="s">
        <v>6415</v>
      </c>
      <c r="B927" t="s">
        <v>6143</v>
      </c>
      <c r="C927" t="s">
        <v>3025</v>
      </c>
      <c r="D927" t="s">
        <v>5843</v>
      </c>
      <c r="E927" t="s">
        <v>1448</v>
      </c>
      <c r="F927" t="s">
        <v>5605</v>
      </c>
      <c r="G927" t="s">
        <v>5594</v>
      </c>
      <c r="H927" t="s">
        <v>5809</v>
      </c>
      <c r="I927">
        <v>4</v>
      </c>
      <c r="J927" t="s">
        <v>5595</v>
      </c>
      <c r="K927">
        <v>20.100000000000001</v>
      </c>
      <c r="L927">
        <v>437</v>
      </c>
      <c r="M927">
        <v>7.1</v>
      </c>
      <c r="N927" t="s">
        <v>5737</v>
      </c>
      <c r="O927">
        <v>16.399999999999999</v>
      </c>
      <c r="P927" t="s">
        <v>5613</v>
      </c>
      <c r="Q927">
        <v>3.2</v>
      </c>
      <c r="R927" t="s">
        <v>5613</v>
      </c>
      <c r="S927">
        <v>4.9000000000000004</v>
      </c>
      <c r="T927" t="s">
        <v>5613</v>
      </c>
      <c r="U927">
        <v>1.9</v>
      </c>
      <c r="V927" t="s">
        <v>5613</v>
      </c>
      <c r="W927">
        <v>4</v>
      </c>
      <c r="X927" t="s">
        <v>5613</v>
      </c>
      <c r="Y927">
        <v>7.7</v>
      </c>
      <c r="Z927" t="s">
        <v>5613</v>
      </c>
      <c r="AA927">
        <v>42.6</v>
      </c>
      <c r="AB927" t="s">
        <v>5700</v>
      </c>
      <c r="AC927" t="s">
        <v>6207</v>
      </c>
    </row>
    <row r="928" spans="1:29">
      <c r="A928" t="s">
        <v>6415</v>
      </c>
      <c r="B928" t="s">
        <v>6143</v>
      </c>
      <c r="C928" t="s">
        <v>6431</v>
      </c>
      <c r="D928" t="s">
        <v>6134</v>
      </c>
      <c r="E928" t="s">
        <v>1554</v>
      </c>
      <c r="F928" t="s">
        <v>5615</v>
      </c>
      <c r="G928" t="s">
        <v>5602</v>
      </c>
      <c r="H928" t="s">
        <v>5590</v>
      </c>
      <c r="I928">
        <v>3</v>
      </c>
      <c r="J928" t="s">
        <v>5591</v>
      </c>
      <c r="K928">
        <v>8</v>
      </c>
      <c r="L928" t="s">
        <v>5737</v>
      </c>
      <c r="M928">
        <v>19.5</v>
      </c>
      <c r="N928">
        <v>462</v>
      </c>
      <c r="O928">
        <v>10.7</v>
      </c>
      <c r="P928" t="s">
        <v>5613</v>
      </c>
      <c r="Q928">
        <v>4.5</v>
      </c>
      <c r="R928" t="s">
        <v>5613</v>
      </c>
      <c r="S928">
        <v>42.1</v>
      </c>
      <c r="T928">
        <v>392</v>
      </c>
      <c r="U928">
        <v>39.9</v>
      </c>
      <c r="V928">
        <v>343</v>
      </c>
      <c r="W928">
        <v>1</v>
      </c>
      <c r="X928" t="s">
        <v>5613</v>
      </c>
      <c r="Y928">
        <v>11.7</v>
      </c>
      <c r="Z928" t="s">
        <v>5613</v>
      </c>
      <c r="AA928">
        <v>1</v>
      </c>
      <c r="AB928" t="s">
        <v>5613</v>
      </c>
      <c r="AC928" t="s">
        <v>6207</v>
      </c>
    </row>
    <row r="929" spans="1:29">
      <c r="A929" t="s">
        <v>6415</v>
      </c>
      <c r="B929" t="s">
        <v>6143</v>
      </c>
      <c r="C929" t="s">
        <v>2108</v>
      </c>
      <c r="D929" t="s">
        <v>5762</v>
      </c>
      <c r="E929" t="s">
        <v>534</v>
      </c>
      <c r="F929" t="s">
        <v>5605</v>
      </c>
      <c r="G929" t="s">
        <v>5594</v>
      </c>
      <c r="H929" t="s">
        <v>5809</v>
      </c>
      <c r="I929">
        <v>2</v>
      </c>
      <c r="J929" t="s">
        <v>5595</v>
      </c>
      <c r="K929">
        <v>7.2</v>
      </c>
      <c r="L929" t="s">
        <v>5737</v>
      </c>
      <c r="M929">
        <v>2.9</v>
      </c>
      <c r="N929" t="s">
        <v>5737</v>
      </c>
      <c r="O929">
        <v>30.6</v>
      </c>
      <c r="P929">
        <v>513</v>
      </c>
      <c r="Q929">
        <v>1.6</v>
      </c>
      <c r="R929" t="s">
        <v>5613</v>
      </c>
      <c r="S929">
        <v>98.4</v>
      </c>
      <c r="T929">
        <v>107</v>
      </c>
      <c r="U929">
        <v>8.6</v>
      </c>
      <c r="V929" t="s">
        <v>5613</v>
      </c>
      <c r="W929">
        <v>8.1999999999999993</v>
      </c>
      <c r="X929" t="s">
        <v>5613</v>
      </c>
      <c r="Y929">
        <v>8.8000000000000007</v>
      </c>
      <c r="Z929" t="s">
        <v>5613</v>
      </c>
      <c r="AA929">
        <v>1.5</v>
      </c>
      <c r="AB929" t="s">
        <v>5613</v>
      </c>
      <c r="AC929" t="s">
        <v>6207</v>
      </c>
    </row>
    <row r="930" spans="1:29">
      <c r="A930" t="s">
        <v>6415</v>
      </c>
      <c r="B930" t="s">
        <v>6143</v>
      </c>
      <c r="C930" t="s">
        <v>6432</v>
      </c>
      <c r="D930" t="s">
        <v>5795</v>
      </c>
      <c r="E930" t="s">
        <v>421</v>
      </c>
      <c r="F930" t="s">
        <v>5588</v>
      </c>
      <c r="G930" t="s">
        <v>5589</v>
      </c>
      <c r="H930" t="s">
        <v>5590</v>
      </c>
      <c r="I930">
        <v>5</v>
      </c>
      <c r="J930" t="s">
        <v>5595</v>
      </c>
      <c r="K930">
        <v>6.7</v>
      </c>
      <c r="L930" t="s">
        <v>5737</v>
      </c>
      <c r="M930">
        <v>9.5</v>
      </c>
      <c r="N930" t="s">
        <v>5737</v>
      </c>
      <c r="O930">
        <v>13.6</v>
      </c>
      <c r="P930" t="s">
        <v>5613</v>
      </c>
      <c r="Q930">
        <v>16.5</v>
      </c>
      <c r="R930">
        <v>607</v>
      </c>
      <c r="U930">
        <v>35.799999999999997</v>
      </c>
      <c r="V930">
        <v>375</v>
      </c>
      <c r="W930">
        <v>11.6</v>
      </c>
      <c r="X930">
        <v>641</v>
      </c>
      <c r="Y930">
        <v>19.600000000000001</v>
      </c>
      <c r="Z930">
        <v>429</v>
      </c>
      <c r="AA930">
        <v>6.5</v>
      </c>
      <c r="AB930" t="s">
        <v>5613</v>
      </c>
      <c r="AC930" t="s">
        <v>6207</v>
      </c>
    </row>
    <row r="931" spans="1:29">
      <c r="A931" t="s">
        <v>6415</v>
      </c>
      <c r="B931" t="s">
        <v>6143</v>
      </c>
      <c r="C931" t="s">
        <v>6433</v>
      </c>
      <c r="D931" t="s">
        <v>6316</v>
      </c>
      <c r="E931" t="s">
        <v>2410</v>
      </c>
      <c r="F931" t="s">
        <v>5588</v>
      </c>
      <c r="G931" t="s">
        <v>5651</v>
      </c>
      <c r="I931">
        <v>4</v>
      </c>
      <c r="J931" t="s">
        <v>5595</v>
      </c>
      <c r="K931">
        <v>6.7</v>
      </c>
      <c r="L931" t="s">
        <v>5737</v>
      </c>
      <c r="M931">
        <v>14.1</v>
      </c>
      <c r="N931">
        <v>578</v>
      </c>
      <c r="O931">
        <v>14.4</v>
      </c>
      <c r="P931" t="s">
        <v>5613</v>
      </c>
      <c r="Q931">
        <v>1.8</v>
      </c>
      <c r="R931" t="s">
        <v>5613</v>
      </c>
      <c r="S931">
        <v>16.899999999999999</v>
      </c>
      <c r="T931">
        <v>633</v>
      </c>
      <c r="U931">
        <v>86.4</v>
      </c>
      <c r="V931">
        <v>138</v>
      </c>
      <c r="W931">
        <v>1</v>
      </c>
      <c r="X931" t="s">
        <v>5613</v>
      </c>
      <c r="Y931">
        <v>11.7</v>
      </c>
      <c r="Z931" t="s">
        <v>5613</v>
      </c>
      <c r="AA931">
        <v>4.0999999999999996</v>
      </c>
      <c r="AB931" t="s">
        <v>5613</v>
      </c>
      <c r="AC931" t="s">
        <v>6207</v>
      </c>
    </row>
    <row r="932" spans="1:29">
      <c r="A932" t="s">
        <v>6415</v>
      </c>
      <c r="B932" t="s">
        <v>6143</v>
      </c>
      <c r="C932" t="s">
        <v>2117</v>
      </c>
      <c r="D932" t="s">
        <v>5592</v>
      </c>
      <c r="E932" t="s">
        <v>26</v>
      </c>
      <c r="F932" t="s">
        <v>5588</v>
      </c>
      <c r="G932" t="s">
        <v>5589</v>
      </c>
      <c r="H932" t="s">
        <v>5809</v>
      </c>
      <c r="I932">
        <v>3</v>
      </c>
      <c r="J932" t="s">
        <v>5595</v>
      </c>
      <c r="K932">
        <v>3.5</v>
      </c>
      <c r="L932" t="s">
        <v>5737</v>
      </c>
      <c r="M932">
        <v>11.7</v>
      </c>
      <c r="N932" t="s">
        <v>5737</v>
      </c>
      <c r="O932">
        <v>5.4</v>
      </c>
      <c r="P932" t="s">
        <v>5613</v>
      </c>
      <c r="Q932">
        <v>4.9000000000000004</v>
      </c>
      <c r="R932" t="s">
        <v>5613</v>
      </c>
      <c r="S932">
        <v>63.9</v>
      </c>
      <c r="T932">
        <v>300</v>
      </c>
      <c r="U932">
        <v>76.7</v>
      </c>
      <c r="V932">
        <v>175</v>
      </c>
      <c r="W932">
        <v>1.5</v>
      </c>
      <c r="X932" t="s">
        <v>5613</v>
      </c>
      <c r="Y932">
        <v>9.8000000000000007</v>
      </c>
      <c r="Z932" t="s">
        <v>5613</v>
      </c>
      <c r="AA932">
        <v>1.2</v>
      </c>
      <c r="AB932" t="s">
        <v>5613</v>
      </c>
      <c r="AC932" t="s">
        <v>6207</v>
      </c>
    </row>
    <row r="933" spans="1:29">
      <c r="A933" t="s">
        <v>6415</v>
      </c>
      <c r="B933" t="s">
        <v>6056</v>
      </c>
      <c r="C933" t="s">
        <v>6434</v>
      </c>
      <c r="D933" t="s">
        <v>5863</v>
      </c>
      <c r="E933" t="s">
        <v>1306</v>
      </c>
      <c r="F933" t="s">
        <v>5588</v>
      </c>
      <c r="G933" t="s">
        <v>5651</v>
      </c>
      <c r="I933">
        <v>2</v>
      </c>
      <c r="J933" t="s">
        <v>5595</v>
      </c>
      <c r="K933">
        <v>5.5</v>
      </c>
      <c r="L933" t="s">
        <v>5737</v>
      </c>
      <c r="M933">
        <v>3.8</v>
      </c>
      <c r="N933" t="s">
        <v>5737</v>
      </c>
      <c r="O933">
        <v>59.3</v>
      </c>
      <c r="P933">
        <v>240</v>
      </c>
      <c r="Q933">
        <v>1.1000000000000001</v>
      </c>
      <c r="R933" t="s">
        <v>5613</v>
      </c>
      <c r="S933">
        <v>9.6</v>
      </c>
      <c r="T933" t="s">
        <v>5613</v>
      </c>
      <c r="U933">
        <v>55.6</v>
      </c>
      <c r="V933">
        <v>266</v>
      </c>
      <c r="W933">
        <v>1</v>
      </c>
      <c r="X933" t="s">
        <v>5613</v>
      </c>
      <c r="Y933">
        <v>12.5</v>
      </c>
      <c r="Z933">
        <v>695</v>
      </c>
      <c r="AA933">
        <v>1</v>
      </c>
      <c r="AB933" t="s">
        <v>5613</v>
      </c>
      <c r="AC933" t="s">
        <v>6207</v>
      </c>
    </row>
    <row r="934" spans="1:29">
      <c r="A934" t="s">
        <v>6415</v>
      </c>
      <c r="B934" t="s">
        <v>6049</v>
      </c>
      <c r="C934" t="s">
        <v>6435</v>
      </c>
      <c r="D934" t="s">
        <v>5696</v>
      </c>
      <c r="E934" t="s">
        <v>5697</v>
      </c>
      <c r="F934" t="s">
        <v>5588</v>
      </c>
      <c r="G934" t="s">
        <v>5589</v>
      </c>
      <c r="H934" t="s">
        <v>5590</v>
      </c>
      <c r="I934">
        <v>4</v>
      </c>
      <c r="J934" t="s">
        <v>5595</v>
      </c>
      <c r="K934">
        <v>4.5999999999999996</v>
      </c>
      <c r="L934" t="s">
        <v>5737</v>
      </c>
      <c r="M934">
        <v>2.2000000000000002</v>
      </c>
      <c r="N934" t="s">
        <v>5737</v>
      </c>
      <c r="O934">
        <v>81.8</v>
      </c>
      <c r="P934">
        <v>130</v>
      </c>
      <c r="Q934">
        <v>2.2999999999999998</v>
      </c>
      <c r="R934" t="s">
        <v>5613</v>
      </c>
      <c r="S934">
        <v>2.8</v>
      </c>
      <c r="T934" t="s">
        <v>5613</v>
      </c>
      <c r="U934">
        <v>14.3</v>
      </c>
      <c r="V934">
        <v>637</v>
      </c>
      <c r="W934">
        <v>1.1000000000000001</v>
      </c>
      <c r="X934" t="s">
        <v>5613</v>
      </c>
      <c r="Y934">
        <v>10.6</v>
      </c>
      <c r="Z934" t="s">
        <v>5613</v>
      </c>
      <c r="AA934">
        <v>3.3</v>
      </c>
      <c r="AB934" t="s">
        <v>5613</v>
      </c>
      <c r="AC934" t="s">
        <v>6207</v>
      </c>
    </row>
    <row r="935" spans="1:29">
      <c r="A935" t="s">
        <v>6415</v>
      </c>
      <c r="B935" t="s">
        <v>6143</v>
      </c>
      <c r="C935" t="s">
        <v>6436</v>
      </c>
      <c r="D935" t="s">
        <v>5631</v>
      </c>
      <c r="E935" t="s">
        <v>94</v>
      </c>
      <c r="F935" t="s">
        <v>5593</v>
      </c>
      <c r="G935" t="s">
        <v>5589</v>
      </c>
      <c r="H935" t="s">
        <v>5809</v>
      </c>
      <c r="I935">
        <v>4</v>
      </c>
      <c r="J935" t="s">
        <v>5591</v>
      </c>
      <c r="K935">
        <v>12.1</v>
      </c>
      <c r="L935" t="s">
        <v>5737</v>
      </c>
      <c r="M935">
        <v>19.899999999999999</v>
      </c>
      <c r="N935">
        <v>456</v>
      </c>
      <c r="O935">
        <v>21.3</v>
      </c>
      <c r="P935">
        <v>639</v>
      </c>
      <c r="Q935">
        <v>2.1</v>
      </c>
      <c r="R935" t="s">
        <v>5613</v>
      </c>
      <c r="S935">
        <v>35.200000000000003</v>
      </c>
      <c r="T935">
        <v>452</v>
      </c>
      <c r="U935">
        <v>12</v>
      </c>
      <c r="V935">
        <v>679</v>
      </c>
      <c r="W935">
        <v>1</v>
      </c>
      <c r="X935" t="s">
        <v>5613</v>
      </c>
      <c r="Y935">
        <v>12.5</v>
      </c>
      <c r="Z935">
        <v>694</v>
      </c>
      <c r="AA935">
        <v>5.9</v>
      </c>
      <c r="AB935" t="s">
        <v>5613</v>
      </c>
      <c r="AC935" t="s">
        <v>6207</v>
      </c>
    </row>
    <row r="936" spans="1:29">
      <c r="A936" t="s">
        <v>6415</v>
      </c>
      <c r="B936" t="s">
        <v>6049</v>
      </c>
      <c r="C936" t="s">
        <v>6437</v>
      </c>
      <c r="D936" t="s">
        <v>5587</v>
      </c>
      <c r="E936" t="s">
        <v>29</v>
      </c>
      <c r="F936" t="s">
        <v>5588</v>
      </c>
      <c r="G936" t="s">
        <v>5589</v>
      </c>
      <c r="H936" t="s">
        <v>5590</v>
      </c>
      <c r="I936">
        <v>5</v>
      </c>
      <c r="J936" t="s">
        <v>5591</v>
      </c>
      <c r="K936">
        <v>4.2</v>
      </c>
      <c r="L936" t="s">
        <v>5737</v>
      </c>
      <c r="M936">
        <v>2.7</v>
      </c>
      <c r="N936" t="s">
        <v>5737</v>
      </c>
      <c r="O936">
        <v>66.3</v>
      </c>
      <c r="P936">
        <v>199</v>
      </c>
      <c r="Q936">
        <v>11.1</v>
      </c>
      <c r="R936" t="s">
        <v>5613</v>
      </c>
      <c r="S936">
        <v>16.5</v>
      </c>
      <c r="T936">
        <v>642</v>
      </c>
      <c r="U936">
        <v>6.5</v>
      </c>
      <c r="V936" t="s">
        <v>5613</v>
      </c>
      <c r="W936">
        <v>2.1</v>
      </c>
      <c r="X936" t="s">
        <v>5613</v>
      </c>
      <c r="Y936">
        <v>11.1</v>
      </c>
      <c r="Z936" t="s">
        <v>5613</v>
      </c>
      <c r="AC936" t="s">
        <v>6207</v>
      </c>
    </row>
    <row r="937" spans="1:29">
      <c r="A937" t="s">
        <v>6415</v>
      </c>
      <c r="B937" t="s">
        <v>5968</v>
      </c>
      <c r="C937" t="s">
        <v>6438</v>
      </c>
      <c r="D937" t="s">
        <v>5644</v>
      </c>
      <c r="E937" t="s">
        <v>181</v>
      </c>
      <c r="F937" t="s">
        <v>5588</v>
      </c>
      <c r="G937" t="s">
        <v>5589</v>
      </c>
      <c r="H937" t="s">
        <v>6146</v>
      </c>
      <c r="I937">
        <v>3</v>
      </c>
      <c r="J937" t="s">
        <v>5591</v>
      </c>
      <c r="K937">
        <v>5.0999999999999996</v>
      </c>
      <c r="L937" t="s">
        <v>5737</v>
      </c>
      <c r="M937">
        <v>7.4</v>
      </c>
      <c r="N937" t="s">
        <v>5737</v>
      </c>
      <c r="O937">
        <v>88.4</v>
      </c>
      <c r="P937">
        <v>91</v>
      </c>
      <c r="Q937">
        <v>1.2</v>
      </c>
      <c r="R937" t="s">
        <v>5613</v>
      </c>
      <c r="S937">
        <v>2.8</v>
      </c>
      <c r="T937" t="s">
        <v>5613</v>
      </c>
      <c r="U937">
        <v>4.2</v>
      </c>
      <c r="V937" t="s">
        <v>5613</v>
      </c>
      <c r="W937">
        <v>1</v>
      </c>
      <c r="X937" t="s">
        <v>5613</v>
      </c>
      <c r="Y937">
        <v>5.0999999999999996</v>
      </c>
      <c r="Z937" t="s">
        <v>5613</v>
      </c>
      <c r="AA937">
        <v>1</v>
      </c>
      <c r="AB937" t="s">
        <v>5613</v>
      </c>
      <c r="AC937" t="s">
        <v>6207</v>
      </c>
    </row>
    <row r="938" spans="1:29">
      <c r="A938" t="s">
        <v>6415</v>
      </c>
      <c r="B938" t="s">
        <v>6143</v>
      </c>
      <c r="C938" t="s">
        <v>6439</v>
      </c>
      <c r="D938" t="s">
        <v>5707</v>
      </c>
      <c r="E938" t="s">
        <v>1613</v>
      </c>
      <c r="F938" t="s">
        <v>5605</v>
      </c>
      <c r="G938" t="s">
        <v>5594</v>
      </c>
      <c r="H938" t="s">
        <v>5809</v>
      </c>
      <c r="I938">
        <v>3</v>
      </c>
      <c r="J938" t="s">
        <v>5595</v>
      </c>
      <c r="K938">
        <v>23.1</v>
      </c>
      <c r="L938">
        <v>375</v>
      </c>
      <c r="M938">
        <v>14.5</v>
      </c>
      <c r="N938">
        <v>563</v>
      </c>
      <c r="O938">
        <v>4.0999999999999996</v>
      </c>
      <c r="P938" t="s">
        <v>5613</v>
      </c>
      <c r="Q938">
        <v>2.6</v>
      </c>
      <c r="R938" t="s">
        <v>5613</v>
      </c>
      <c r="S938">
        <v>8.6</v>
      </c>
      <c r="T938" t="s">
        <v>5613</v>
      </c>
      <c r="U938">
        <v>1.3</v>
      </c>
      <c r="V938" t="s">
        <v>5613</v>
      </c>
      <c r="W938">
        <v>4.8</v>
      </c>
      <c r="X938" t="s">
        <v>5613</v>
      </c>
      <c r="Y938">
        <v>7.6</v>
      </c>
      <c r="Z938" t="s">
        <v>5613</v>
      </c>
      <c r="AA938">
        <v>24.8</v>
      </c>
      <c r="AB938" t="s">
        <v>6030</v>
      </c>
      <c r="AC938" t="s">
        <v>6207</v>
      </c>
    </row>
    <row r="939" spans="1:29">
      <c r="A939" t="s">
        <v>6415</v>
      </c>
      <c r="B939" t="s">
        <v>6056</v>
      </c>
      <c r="C939" t="s">
        <v>6440</v>
      </c>
      <c r="D939" t="s">
        <v>5589</v>
      </c>
      <c r="E939" t="s">
        <v>1820</v>
      </c>
      <c r="F939" t="s">
        <v>5588</v>
      </c>
      <c r="G939" t="s">
        <v>5594</v>
      </c>
      <c r="H939" t="s">
        <v>6146</v>
      </c>
      <c r="I939">
        <v>3</v>
      </c>
      <c r="J939" t="s">
        <v>5591</v>
      </c>
      <c r="K939">
        <v>5.5</v>
      </c>
      <c r="L939" t="s">
        <v>5737</v>
      </c>
      <c r="M939">
        <v>9.6999999999999993</v>
      </c>
      <c r="N939" t="s">
        <v>5737</v>
      </c>
      <c r="O939">
        <v>74.3</v>
      </c>
      <c r="P939">
        <v>168</v>
      </c>
      <c r="Q939">
        <v>1.7</v>
      </c>
      <c r="R939" t="s">
        <v>5613</v>
      </c>
      <c r="S939">
        <v>4.7</v>
      </c>
      <c r="T939" t="s">
        <v>5613</v>
      </c>
      <c r="U939">
        <v>2.5</v>
      </c>
      <c r="V939" t="s">
        <v>5613</v>
      </c>
      <c r="W939">
        <v>1</v>
      </c>
      <c r="X939" t="s">
        <v>5613</v>
      </c>
      <c r="Y939">
        <v>12.5</v>
      </c>
      <c r="Z939">
        <v>692</v>
      </c>
      <c r="AA939">
        <v>1.2</v>
      </c>
      <c r="AB939" t="s">
        <v>5613</v>
      </c>
      <c r="AC939" t="s">
        <v>6207</v>
      </c>
    </row>
    <row r="940" spans="1:29">
      <c r="A940" t="s">
        <v>6415</v>
      </c>
      <c r="B940" t="s">
        <v>6143</v>
      </c>
      <c r="C940" t="s">
        <v>6441</v>
      </c>
      <c r="D940" t="s">
        <v>5983</v>
      </c>
      <c r="E940" t="s">
        <v>2484</v>
      </c>
      <c r="F940" t="s">
        <v>5605</v>
      </c>
      <c r="G940" t="s">
        <v>5594</v>
      </c>
      <c r="H940" t="s">
        <v>6146</v>
      </c>
      <c r="I940">
        <v>5</v>
      </c>
      <c r="J940" t="s">
        <v>5595</v>
      </c>
      <c r="K940">
        <v>21.1</v>
      </c>
      <c r="L940">
        <v>416</v>
      </c>
      <c r="M940">
        <v>27.8</v>
      </c>
      <c r="N940">
        <v>348</v>
      </c>
      <c r="O940">
        <v>7</v>
      </c>
      <c r="P940" t="s">
        <v>5613</v>
      </c>
      <c r="Q940">
        <v>1.3</v>
      </c>
      <c r="R940" t="s">
        <v>5613</v>
      </c>
      <c r="W940">
        <v>1.9</v>
      </c>
      <c r="X940" t="s">
        <v>5613</v>
      </c>
      <c r="Y940">
        <v>4.7</v>
      </c>
      <c r="Z940" t="s">
        <v>5613</v>
      </c>
      <c r="AA940">
        <v>1.2</v>
      </c>
      <c r="AB940" t="s">
        <v>5613</v>
      </c>
      <c r="AC940" t="s">
        <v>6207</v>
      </c>
    </row>
    <row r="941" spans="1:29">
      <c r="A941" t="s">
        <v>6415</v>
      </c>
      <c r="B941" t="s">
        <v>6143</v>
      </c>
      <c r="C941" t="s">
        <v>6442</v>
      </c>
      <c r="D941" t="s">
        <v>5889</v>
      </c>
      <c r="E941" t="s">
        <v>992</v>
      </c>
      <c r="F941" t="s">
        <v>5588</v>
      </c>
      <c r="G941" t="s">
        <v>5594</v>
      </c>
      <c r="H941" t="s">
        <v>5809</v>
      </c>
      <c r="I941">
        <v>3</v>
      </c>
      <c r="J941" t="s">
        <v>5591</v>
      </c>
      <c r="K941">
        <v>13.3</v>
      </c>
      <c r="L941" t="s">
        <v>5737</v>
      </c>
      <c r="M941">
        <v>11.1</v>
      </c>
      <c r="N941" t="s">
        <v>5737</v>
      </c>
      <c r="O941">
        <v>13.9</v>
      </c>
      <c r="P941" t="s">
        <v>5613</v>
      </c>
      <c r="Q941">
        <v>6.5</v>
      </c>
      <c r="R941" t="s">
        <v>5613</v>
      </c>
      <c r="S941">
        <v>9.1</v>
      </c>
      <c r="T941" t="s">
        <v>5613</v>
      </c>
      <c r="U941">
        <v>26.3</v>
      </c>
      <c r="V941">
        <v>461</v>
      </c>
      <c r="W941">
        <v>1.6</v>
      </c>
      <c r="X941" t="s">
        <v>5613</v>
      </c>
      <c r="Y941">
        <v>29.3</v>
      </c>
      <c r="Z941">
        <v>272</v>
      </c>
      <c r="AA941">
        <v>9.6999999999999993</v>
      </c>
      <c r="AB941" t="s">
        <v>6227</v>
      </c>
      <c r="AC941" t="s">
        <v>6207</v>
      </c>
    </row>
    <row r="942" spans="1:29">
      <c r="A942" t="s">
        <v>6415</v>
      </c>
      <c r="B942" t="s">
        <v>6240</v>
      </c>
      <c r="C942" t="s">
        <v>6443</v>
      </c>
      <c r="D942" t="s">
        <v>5772</v>
      </c>
      <c r="E942" t="s">
        <v>386</v>
      </c>
      <c r="F942" t="s">
        <v>5593</v>
      </c>
      <c r="G942" t="s">
        <v>5589</v>
      </c>
      <c r="H942" t="s">
        <v>5590</v>
      </c>
      <c r="I942">
        <v>3</v>
      </c>
      <c r="J942" t="s">
        <v>5595</v>
      </c>
      <c r="K942">
        <v>8.3000000000000007</v>
      </c>
      <c r="L942" t="s">
        <v>5737</v>
      </c>
      <c r="M942">
        <v>5.4</v>
      </c>
      <c r="N942" t="s">
        <v>5737</v>
      </c>
      <c r="O942">
        <v>8.6</v>
      </c>
      <c r="P942" t="s">
        <v>5613</v>
      </c>
      <c r="Q942">
        <v>17</v>
      </c>
      <c r="R942">
        <v>603</v>
      </c>
      <c r="S942">
        <v>2.2999999999999998</v>
      </c>
      <c r="T942" t="s">
        <v>5613</v>
      </c>
      <c r="U942">
        <v>4.0999999999999996</v>
      </c>
      <c r="V942" t="s">
        <v>5613</v>
      </c>
      <c r="W942">
        <v>35.299999999999997</v>
      </c>
      <c r="X942">
        <v>417</v>
      </c>
      <c r="Y942">
        <v>7</v>
      </c>
      <c r="Z942" t="s">
        <v>5613</v>
      </c>
      <c r="AA942">
        <v>42.6</v>
      </c>
      <c r="AB942" t="s">
        <v>5700</v>
      </c>
      <c r="AC942" t="s">
        <v>6207</v>
      </c>
    </row>
    <row r="943" spans="1:29">
      <c r="A943" t="s">
        <v>6415</v>
      </c>
      <c r="B943" t="s">
        <v>6143</v>
      </c>
      <c r="C943" t="s">
        <v>6444</v>
      </c>
      <c r="D943" t="s">
        <v>5747</v>
      </c>
      <c r="E943" t="s">
        <v>397</v>
      </c>
      <c r="F943" t="s">
        <v>5605</v>
      </c>
      <c r="G943" t="s">
        <v>5589</v>
      </c>
      <c r="H943" t="s">
        <v>5590</v>
      </c>
      <c r="I943">
        <v>3</v>
      </c>
      <c r="J943" t="s">
        <v>5595</v>
      </c>
      <c r="K943">
        <v>17.5</v>
      </c>
      <c r="L943">
        <v>508</v>
      </c>
      <c r="M943">
        <v>6.9</v>
      </c>
      <c r="N943" t="s">
        <v>5737</v>
      </c>
      <c r="O943">
        <v>2.1</v>
      </c>
      <c r="P943" t="s">
        <v>5613</v>
      </c>
      <c r="Q943">
        <v>14.9</v>
      </c>
      <c r="R943">
        <v>638</v>
      </c>
      <c r="S943">
        <v>9</v>
      </c>
      <c r="T943" t="s">
        <v>5613</v>
      </c>
      <c r="U943">
        <v>4.5999999999999996</v>
      </c>
      <c r="V943" t="s">
        <v>5613</v>
      </c>
      <c r="W943">
        <v>18.2</v>
      </c>
      <c r="X943">
        <v>558</v>
      </c>
      <c r="Y943">
        <v>5.8</v>
      </c>
      <c r="Z943" t="s">
        <v>5613</v>
      </c>
      <c r="AA943">
        <v>8.4</v>
      </c>
      <c r="AB943" t="s">
        <v>6162</v>
      </c>
      <c r="AC943" t="s">
        <v>6207</v>
      </c>
    </row>
    <row r="944" spans="1:29">
      <c r="A944" t="s">
        <v>6415</v>
      </c>
      <c r="B944" t="s">
        <v>6056</v>
      </c>
      <c r="C944" t="s">
        <v>6445</v>
      </c>
      <c r="D944" t="s">
        <v>5587</v>
      </c>
      <c r="E944" t="s">
        <v>29</v>
      </c>
      <c r="F944" t="s">
        <v>5593</v>
      </c>
      <c r="G944" t="s">
        <v>5594</v>
      </c>
      <c r="H944" t="s">
        <v>5590</v>
      </c>
      <c r="I944">
        <v>4</v>
      </c>
      <c r="J944" t="s">
        <v>5595</v>
      </c>
      <c r="K944">
        <v>6.7</v>
      </c>
      <c r="L944" t="s">
        <v>5737</v>
      </c>
      <c r="M944">
        <v>4.3</v>
      </c>
      <c r="N944" t="s">
        <v>5737</v>
      </c>
      <c r="O944">
        <v>49.4</v>
      </c>
      <c r="P944">
        <v>316</v>
      </c>
      <c r="Q944">
        <v>18</v>
      </c>
      <c r="R944">
        <v>584</v>
      </c>
      <c r="W944">
        <v>8.9</v>
      </c>
      <c r="X944" t="s">
        <v>5613</v>
      </c>
      <c r="Y944">
        <v>7.3</v>
      </c>
      <c r="Z944" t="s">
        <v>5613</v>
      </c>
      <c r="AC944" t="s">
        <v>6207</v>
      </c>
    </row>
    <row r="945" spans="1:29">
      <c r="A945" t="s">
        <v>6415</v>
      </c>
      <c r="B945" t="s">
        <v>6143</v>
      </c>
      <c r="C945" t="s">
        <v>2264</v>
      </c>
      <c r="D945" t="s">
        <v>5592</v>
      </c>
      <c r="E945" t="s">
        <v>26</v>
      </c>
      <c r="F945" t="s">
        <v>5593</v>
      </c>
      <c r="G945" t="s">
        <v>5589</v>
      </c>
      <c r="H945" t="s">
        <v>5809</v>
      </c>
      <c r="I945">
        <v>3</v>
      </c>
      <c r="J945" t="s">
        <v>5595</v>
      </c>
      <c r="K945">
        <v>5.9</v>
      </c>
      <c r="L945" t="s">
        <v>5737</v>
      </c>
      <c r="M945">
        <v>5.8</v>
      </c>
      <c r="N945" t="s">
        <v>5737</v>
      </c>
      <c r="O945">
        <v>11.5</v>
      </c>
      <c r="P945" t="s">
        <v>5613</v>
      </c>
      <c r="Q945">
        <v>4.4000000000000004</v>
      </c>
      <c r="R945" t="s">
        <v>5613</v>
      </c>
      <c r="S945">
        <v>37</v>
      </c>
      <c r="T945">
        <v>439</v>
      </c>
      <c r="U945">
        <v>81.599999999999994</v>
      </c>
      <c r="V945">
        <v>156</v>
      </c>
      <c r="W945">
        <v>16.7</v>
      </c>
      <c r="X945">
        <v>579</v>
      </c>
      <c r="Y945">
        <v>8.9</v>
      </c>
      <c r="Z945" t="s">
        <v>5613</v>
      </c>
      <c r="AA945">
        <v>1.5</v>
      </c>
      <c r="AB945" t="s">
        <v>5613</v>
      </c>
      <c r="AC945" t="s">
        <v>6207</v>
      </c>
    </row>
    <row r="946" spans="1:29">
      <c r="A946" t="s">
        <v>6415</v>
      </c>
      <c r="B946" t="s">
        <v>6180</v>
      </c>
      <c r="C946" t="s">
        <v>1225</v>
      </c>
      <c r="D946" t="s">
        <v>5587</v>
      </c>
      <c r="E946" t="s">
        <v>29</v>
      </c>
      <c r="F946" t="s">
        <v>5588</v>
      </c>
      <c r="G946" t="s">
        <v>5589</v>
      </c>
      <c r="H946" t="s">
        <v>5590</v>
      </c>
      <c r="I946">
        <v>5</v>
      </c>
      <c r="J946" t="s">
        <v>5591</v>
      </c>
      <c r="K946">
        <v>5.3</v>
      </c>
      <c r="L946" t="s">
        <v>5737</v>
      </c>
      <c r="M946">
        <v>7.5</v>
      </c>
      <c r="N946" t="s">
        <v>5737</v>
      </c>
      <c r="O946">
        <v>45.7</v>
      </c>
      <c r="P946">
        <v>343</v>
      </c>
      <c r="Q946">
        <v>11.1</v>
      </c>
      <c r="R946" t="s">
        <v>5613</v>
      </c>
      <c r="S946">
        <v>2.4</v>
      </c>
      <c r="T946" t="s">
        <v>5613</v>
      </c>
      <c r="U946">
        <v>5.6</v>
      </c>
      <c r="V946" t="s">
        <v>5613</v>
      </c>
      <c r="W946">
        <v>3.3</v>
      </c>
      <c r="X946" t="s">
        <v>5613</v>
      </c>
      <c r="Y946">
        <v>23.1</v>
      </c>
      <c r="Z946">
        <v>363</v>
      </c>
      <c r="AA946">
        <v>18.8</v>
      </c>
      <c r="AB946" t="s">
        <v>5711</v>
      </c>
      <c r="AC946" t="s">
        <v>6207</v>
      </c>
    </row>
    <row r="947" spans="1:29">
      <c r="A947" t="s">
        <v>6415</v>
      </c>
      <c r="B947" t="s">
        <v>6143</v>
      </c>
      <c r="C947" t="s">
        <v>2057</v>
      </c>
      <c r="D947" t="s">
        <v>5772</v>
      </c>
      <c r="E947" t="s">
        <v>386</v>
      </c>
      <c r="F947" t="s">
        <v>5593</v>
      </c>
      <c r="G947" t="s">
        <v>5594</v>
      </c>
      <c r="H947" t="s">
        <v>5590</v>
      </c>
      <c r="I947">
        <v>5</v>
      </c>
      <c r="J947" t="s">
        <v>5595</v>
      </c>
      <c r="K947">
        <v>12.6</v>
      </c>
      <c r="L947" t="s">
        <v>5737</v>
      </c>
      <c r="M947">
        <v>2.8</v>
      </c>
      <c r="N947" t="s">
        <v>5737</v>
      </c>
      <c r="O947">
        <v>32.5</v>
      </c>
      <c r="P947">
        <v>489</v>
      </c>
      <c r="Q947">
        <v>5.7</v>
      </c>
      <c r="R947" t="s">
        <v>5613</v>
      </c>
      <c r="S947">
        <v>3.7</v>
      </c>
      <c r="T947" t="s">
        <v>5613</v>
      </c>
      <c r="U947">
        <v>8.3000000000000007</v>
      </c>
      <c r="V947" t="s">
        <v>5613</v>
      </c>
      <c r="W947">
        <v>42</v>
      </c>
      <c r="X947">
        <v>363</v>
      </c>
      <c r="Y947">
        <v>5.5</v>
      </c>
      <c r="Z947" t="s">
        <v>5613</v>
      </c>
      <c r="AA947">
        <v>9.4</v>
      </c>
      <c r="AB947" t="s">
        <v>6375</v>
      </c>
      <c r="AC947" t="s">
        <v>6207</v>
      </c>
    </row>
    <row r="948" spans="1:29">
      <c r="A948" t="s">
        <v>6415</v>
      </c>
      <c r="C948" t="s">
        <v>6446</v>
      </c>
      <c r="D948" t="s">
        <v>5770</v>
      </c>
      <c r="E948" t="s">
        <v>528</v>
      </c>
      <c r="F948" t="s">
        <v>5588</v>
      </c>
      <c r="G948" t="s">
        <v>5602</v>
      </c>
      <c r="H948" t="s">
        <v>5590</v>
      </c>
      <c r="J948" t="s">
        <v>5926</v>
      </c>
      <c r="K948">
        <v>18.2</v>
      </c>
      <c r="L948">
        <v>490</v>
      </c>
      <c r="M948">
        <v>3.7</v>
      </c>
      <c r="N948" t="s">
        <v>5737</v>
      </c>
      <c r="O948">
        <v>39.200000000000003</v>
      </c>
      <c r="P948">
        <v>406</v>
      </c>
      <c r="Q948">
        <v>2.8</v>
      </c>
      <c r="R948" t="s">
        <v>5613</v>
      </c>
      <c r="S948">
        <v>18.100000000000001</v>
      </c>
      <c r="T948">
        <v>613</v>
      </c>
      <c r="U948">
        <v>1.1000000000000001</v>
      </c>
      <c r="V948" t="s">
        <v>5613</v>
      </c>
      <c r="W948">
        <v>1.5</v>
      </c>
      <c r="X948" t="s">
        <v>5613</v>
      </c>
      <c r="Y948">
        <v>8.1</v>
      </c>
      <c r="Z948" t="s">
        <v>5613</v>
      </c>
      <c r="AC948" t="s">
        <v>6207</v>
      </c>
    </row>
    <row r="949" spans="1:29">
      <c r="A949" t="s">
        <v>6415</v>
      </c>
      <c r="B949" t="s">
        <v>6136</v>
      </c>
      <c r="C949" t="s">
        <v>6447</v>
      </c>
      <c r="D949" t="s">
        <v>5587</v>
      </c>
      <c r="E949" t="s">
        <v>29</v>
      </c>
      <c r="F949" t="s">
        <v>5593</v>
      </c>
      <c r="G949" t="s">
        <v>5594</v>
      </c>
      <c r="H949" t="s">
        <v>5809</v>
      </c>
      <c r="I949">
        <v>5</v>
      </c>
      <c r="J949" t="s">
        <v>5595</v>
      </c>
      <c r="K949">
        <v>3.3</v>
      </c>
      <c r="L949" t="s">
        <v>5737</v>
      </c>
      <c r="M949">
        <v>3.2</v>
      </c>
      <c r="N949" t="s">
        <v>5737</v>
      </c>
      <c r="O949">
        <v>53.2</v>
      </c>
      <c r="P949">
        <v>293</v>
      </c>
      <c r="Q949">
        <v>12.8</v>
      </c>
      <c r="R949">
        <v>683</v>
      </c>
      <c r="S949">
        <v>3.3</v>
      </c>
      <c r="T949" t="s">
        <v>5613</v>
      </c>
      <c r="U949">
        <v>2.5</v>
      </c>
      <c r="V949" t="s">
        <v>5613</v>
      </c>
      <c r="W949">
        <v>14.5</v>
      </c>
      <c r="X949">
        <v>602</v>
      </c>
      <c r="Y949">
        <v>14.6</v>
      </c>
      <c r="Z949">
        <v>573</v>
      </c>
      <c r="AA949">
        <v>20.3</v>
      </c>
      <c r="AB949" t="s">
        <v>6448</v>
      </c>
      <c r="AC949" t="s">
        <v>6207</v>
      </c>
    </row>
    <row r="950" spans="1:29">
      <c r="A950" t="s">
        <v>6415</v>
      </c>
      <c r="B950" t="s">
        <v>6143</v>
      </c>
      <c r="C950" t="s">
        <v>6449</v>
      </c>
      <c r="D950" t="s">
        <v>5901</v>
      </c>
      <c r="E950" t="s">
        <v>1543</v>
      </c>
      <c r="F950" t="s">
        <v>5593</v>
      </c>
      <c r="G950" t="s">
        <v>5589</v>
      </c>
      <c r="H950" t="s">
        <v>5590</v>
      </c>
      <c r="I950">
        <v>4</v>
      </c>
      <c r="J950" t="s">
        <v>5595</v>
      </c>
      <c r="K950">
        <v>14.8</v>
      </c>
      <c r="L950">
        <v>589</v>
      </c>
      <c r="M950">
        <v>14.4</v>
      </c>
      <c r="N950">
        <v>569</v>
      </c>
      <c r="O950">
        <v>28.4</v>
      </c>
      <c r="P950">
        <v>539</v>
      </c>
      <c r="Q950">
        <v>4.2</v>
      </c>
      <c r="R950" t="s">
        <v>5613</v>
      </c>
      <c r="S950">
        <v>5</v>
      </c>
      <c r="T950" t="s">
        <v>5613</v>
      </c>
      <c r="U950">
        <v>7.6</v>
      </c>
      <c r="V950" t="s">
        <v>5613</v>
      </c>
      <c r="W950">
        <v>7.7</v>
      </c>
      <c r="X950" t="s">
        <v>5613</v>
      </c>
      <c r="Y950">
        <v>12.1</v>
      </c>
      <c r="Z950" t="s">
        <v>5613</v>
      </c>
      <c r="AA950">
        <v>7.3</v>
      </c>
      <c r="AB950" t="s">
        <v>5613</v>
      </c>
      <c r="AC950" t="s">
        <v>6207</v>
      </c>
    </row>
    <row r="951" spans="1:29">
      <c r="A951" t="s">
        <v>6415</v>
      </c>
      <c r="B951" t="s">
        <v>6240</v>
      </c>
      <c r="C951" t="s">
        <v>5523</v>
      </c>
      <c r="D951" t="s">
        <v>5587</v>
      </c>
      <c r="E951" t="s">
        <v>29</v>
      </c>
      <c r="F951" t="s">
        <v>5593</v>
      </c>
      <c r="G951" t="s">
        <v>5594</v>
      </c>
      <c r="H951" t="s">
        <v>5590</v>
      </c>
      <c r="I951">
        <v>5</v>
      </c>
      <c r="J951" t="s">
        <v>5595</v>
      </c>
      <c r="K951">
        <v>6.4</v>
      </c>
      <c r="L951" t="s">
        <v>5737</v>
      </c>
      <c r="M951">
        <v>6.2</v>
      </c>
      <c r="N951" t="s">
        <v>5737</v>
      </c>
      <c r="O951">
        <v>11.7</v>
      </c>
      <c r="P951" t="s">
        <v>5613</v>
      </c>
      <c r="Q951">
        <v>21.5</v>
      </c>
      <c r="R951">
        <v>536</v>
      </c>
      <c r="S951">
        <v>6.5</v>
      </c>
      <c r="T951" t="s">
        <v>5613</v>
      </c>
      <c r="U951">
        <v>5.2</v>
      </c>
      <c r="V951" t="s">
        <v>5613</v>
      </c>
      <c r="W951">
        <v>25.4</v>
      </c>
      <c r="X951">
        <v>495</v>
      </c>
      <c r="Y951">
        <v>14.1</v>
      </c>
      <c r="Z951">
        <v>603</v>
      </c>
      <c r="AA951">
        <v>20.3</v>
      </c>
      <c r="AB951" t="s">
        <v>6448</v>
      </c>
      <c r="AC951" t="s">
        <v>6207</v>
      </c>
    </row>
    <row r="952" spans="1:29">
      <c r="A952" t="s">
        <v>6415</v>
      </c>
      <c r="B952" t="s">
        <v>6143</v>
      </c>
      <c r="C952" t="s">
        <v>6450</v>
      </c>
      <c r="D952" t="s">
        <v>5901</v>
      </c>
      <c r="E952" t="s">
        <v>1543</v>
      </c>
      <c r="F952" t="s">
        <v>5593</v>
      </c>
      <c r="G952" t="s">
        <v>5602</v>
      </c>
      <c r="H952" t="s">
        <v>5590</v>
      </c>
      <c r="I952">
        <v>5</v>
      </c>
      <c r="J952" t="s">
        <v>5595</v>
      </c>
      <c r="K952">
        <v>11.9</v>
      </c>
      <c r="L952" t="s">
        <v>5737</v>
      </c>
      <c r="M952">
        <v>17.2</v>
      </c>
      <c r="N952">
        <v>505</v>
      </c>
      <c r="O952">
        <v>32.700000000000003</v>
      </c>
      <c r="P952">
        <v>484</v>
      </c>
      <c r="Q952">
        <v>5.3</v>
      </c>
      <c r="R952" t="s">
        <v>5613</v>
      </c>
      <c r="S952">
        <v>3.3</v>
      </c>
      <c r="T952" t="s">
        <v>5613</v>
      </c>
      <c r="U952">
        <v>5.3</v>
      </c>
      <c r="V952" t="s">
        <v>5613</v>
      </c>
      <c r="W952">
        <v>8.4</v>
      </c>
      <c r="X952" t="s">
        <v>5613</v>
      </c>
      <c r="Y952">
        <v>8.4</v>
      </c>
      <c r="Z952" t="s">
        <v>5613</v>
      </c>
      <c r="AA952">
        <v>1.8</v>
      </c>
      <c r="AB952" t="s">
        <v>5613</v>
      </c>
      <c r="AC952" t="s">
        <v>6207</v>
      </c>
    </row>
    <row r="953" spans="1:29">
      <c r="A953" t="s">
        <v>6451</v>
      </c>
      <c r="B953" t="s">
        <v>6240</v>
      </c>
      <c r="C953" t="s">
        <v>6452</v>
      </c>
      <c r="D953" t="s">
        <v>5639</v>
      </c>
      <c r="E953" t="s">
        <v>99</v>
      </c>
      <c r="F953" t="s">
        <v>5593</v>
      </c>
      <c r="G953" t="s">
        <v>5589</v>
      </c>
      <c r="H953" t="s">
        <v>5590</v>
      </c>
      <c r="I953">
        <v>4</v>
      </c>
      <c r="J953" t="s">
        <v>5595</v>
      </c>
      <c r="K953">
        <v>14.6</v>
      </c>
      <c r="L953">
        <v>594</v>
      </c>
      <c r="M953">
        <v>3.8</v>
      </c>
      <c r="N953" t="s">
        <v>5737</v>
      </c>
      <c r="O953">
        <v>8.4</v>
      </c>
      <c r="P953" t="s">
        <v>5613</v>
      </c>
      <c r="Q953">
        <v>8.1999999999999993</v>
      </c>
      <c r="R953" t="s">
        <v>5613</v>
      </c>
      <c r="S953">
        <v>21.2</v>
      </c>
      <c r="T953">
        <v>580</v>
      </c>
      <c r="U953">
        <v>7.7</v>
      </c>
      <c r="V953" t="s">
        <v>5613</v>
      </c>
      <c r="W953">
        <v>32.799999999999997</v>
      </c>
      <c r="X953">
        <v>437</v>
      </c>
      <c r="Y953">
        <v>8.1</v>
      </c>
      <c r="Z953" t="s">
        <v>5613</v>
      </c>
      <c r="AA953">
        <v>6.5</v>
      </c>
      <c r="AB953" t="s">
        <v>5613</v>
      </c>
      <c r="AC953" t="s">
        <v>6207</v>
      </c>
    </row>
    <row r="954" spans="1:29">
      <c r="A954" t="s">
        <v>6451</v>
      </c>
      <c r="B954" t="s">
        <v>6240</v>
      </c>
      <c r="C954" t="s">
        <v>1843</v>
      </c>
      <c r="D954" t="s">
        <v>5770</v>
      </c>
      <c r="E954" t="s">
        <v>528</v>
      </c>
      <c r="F954" t="s">
        <v>5593</v>
      </c>
      <c r="G954" t="s">
        <v>5589</v>
      </c>
      <c r="H954" t="s">
        <v>5590</v>
      </c>
      <c r="I954">
        <v>5</v>
      </c>
      <c r="J954" t="s">
        <v>5591</v>
      </c>
      <c r="K954">
        <v>9.1</v>
      </c>
      <c r="L954" t="s">
        <v>5737</v>
      </c>
      <c r="M954">
        <v>14.4</v>
      </c>
      <c r="N954">
        <v>571</v>
      </c>
      <c r="O954">
        <v>7.3</v>
      </c>
      <c r="P954" t="s">
        <v>5613</v>
      </c>
      <c r="Q954">
        <v>17.3</v>
      </c>
      <c r="R954">
        <v>596</v>
      </c>
      <c r="S954">
        <v>1.8</v>
      </c>
      <c r="T954" t="s">
        <v>5613</v>
      </c>
      <c r="U954">
        <v>2.6</v>
      </c>
      <c r="V954" t="s">
        <v>5613</v>
      </c>
      <c r="W954">
        <v>2.2000000000000002</v>
      </c>
      <c r="X954" t="s">
        <v>5613</v>
      </c>
      <c r="Y954">
        <v>24</v>
      </c>
      <c r="Z954">
        <v>352</v>
      </c>
      <c r="AA954">
        <v>7.9</v>
      </c>
      <c r="AB954" t="s">
        <v>5613</v>
      </c>
      <c r="AC954" t="s">
        <v>6207</v>
      </c>
    </row>
    <row r="955" spans="1:29">
      <c r="A955" t="s">
        <v>6451</v>
      </c>
      <c r="B955" t="s">
        <v>6240</v>
      </c>
      <c r="C955" t="s">
        <v>1012</v>
      </c>
      <c r="D955" t="s">
        <v>5587</v>
      </c>
      <c r="E955" t="s">
        <v>29</v>
      </c>
      <c r="F955" t="s">
        <v>5593</v>
      </c>
      <c r="G955" t="s">
        <v>5589</v>
      </c>
      <c r="H955" t="s">
        <v>5590</v>
      </c>
      <c r="I955">
        <v>4</v>
      </c>
      <c r="J955" t="s">
        <v>5595</v>
      </c>
      <c r="K955">
        <v>9</v>
      </c>
      <c r="L955" t="s">
        <v>5737</v>
      </c>
      <c r="M955">
        <v>6</v>
      </c>
      <c r="N955" t="s">
        <v>5737</v>
      </c>
      <c r="O955">
        <v>12.6</v>
      </c>
      <c r="P955" t="s">
        <v>5613</v>
      </c>
      <c r="Q955">
        <v>11.4</v>
      </c>
      <c r="R955" t="s">
        <v>5613</v>
      </c>
      <c r="S955">
        <v>12.4</v>
      </c>
      <c r="T955" t="s">
        <v>5613</v>
      </c>
      <c r="U955">
        <v>10.6</v>
      </c>
      <c r="V955" t="s">
        <v>5613</v>
      </c>
      <c r="W955">
        <v>17.2</v>
      </c>
      <c r="X955">
        <v>571</v>
      </c>
      <c r="Y955">
        <v>14.5</v>
      </c>
      <c r="Z955">
        <v>581</v>
      </c>
      <c r="AA955">
        <v>28.6</v>
      </c>
      <c r="AB955">
        <v>462</v>
      </c>
      <c r="AC955" t="s">
        <v>6207</v>
      </c>
    </row>
    <row r="956" spans="1:29">
      <c r="A956" t="s">
        <v>6451</v>
      </c>
      <c r="B956" t="s">
        <v>6049</v>
      </c>
      <c r="C956" t="s">
        <v>2336</v>
      </c>
      <c r="D956" t="s">
        <v>5631</v>
      </c>
      <c r="E956" t="s">
        <v>94</v>
      </c>
      <c r="F956" t="s">
        <v>5588</v>
      </c>
      <c r="G956" t="s">
        <v>5594</v>
      </c>
      <c r="H956" t="s">
        <v>5590</v>
      </c>
      <c r="I956">
        <v>4</v>
      </c>
      <c r="J956" t="s">
        <v>5595</v>
      </c>
      <c r="K956">
        <v>6.3</v>
      </c>
      <c r="L956" t="s">
        <v>5737</v>
      </c>
      <c r="M956">
        <v>2.5</v>
      </c>
      <c r="N956" t="s">
        <v>5737</v>
      </c>
      <c r="O956">
        <v>67.400000000000006</v>
      </c>
      <c r="P956">
        <v>196</v>
      </c>
      <c r="Q956">
        <v>7.3</v>
      </c>
      <c r="R956" t="s">
        <v>5613</v>
      </c>
      <c r="S956">
        <v>5.3</v>
      </c>
      <c r="T956" t="s">
        <v>5613</v>
      </c>
      <c r="U956">
        <v>3.7</v>
      </c>
      <c r="V956" t="s">
        <v>5613</v>
      </c>
      <c r="W956">
        <v>1.1000000000000001</v>
      </c>
      <c r="X956" t="s">
        <v>5613</v>
      </c>
      <c r="Y956">
        <v>7.9</v>
      </c>
      <c r="Z956" t="s">
        <v>5613</v>
      </c>
      <c r="AA956">
        <v>1.1000000000000001</v>
      </c>
      <c r="AB956" t="s">
        <v>5613</v>
      </c>
      <c r="AC956" t="s">
        <v>6207</v>
      </c>
    </row>
    <row r="957" spans="1:29">
      <c r="A957" t="s">
        <v>6451</v>
      </c>
      <c r="B957" t="s">
        <v>6056</v>
      </c>
      <c r="C957" t="s">
        <v>2806</v>
      </c>
      <c r="D957" t="s">
        <v>5631</v>
      </c>
      <c r="E957" t="s">
        <v>94</v>
      </c>
      <c r="F957" t="s">
        <v>5588</v>
      </c>
      <c r="G957" t="s">
        <v>5602</v>
      </c>
      <c r="H957" t="s">
        <v>5590</v>
      </c>
      <c r="I957">
        <v>4</v>
      </c>
      <c r="J957" t="s">
        <v>5595</v>
      </c>
      <c r="K957">
        <v>3.8</v>
      </c>
      <c r="L957" t="s">
        <v>5737</v>
      </c>
      <c r="M957">
        <v>2.2000000000000002</v>
      </c>
      <c r="N957" t="s">
        <v>5737</v>
      </c>
      <c r="O957">
        <v>82</v>
      </c>
      <c r="P957">
        <v>128</v>
      </c>
      <c r="Q957">
        <v>4.7</v>
      </c>
      <c r="R957" t="s">
        <v>5613</v>
      </c>
      <c r="S957">
        <v>4.5</v>
      </c>
      <c r="T957" t="s">
        <v>5613</v>
      </c>
      <c r="U957">
        <v>3.7</v>
      </c>
      <c r="V957" t="s">
        <v>5613</v>
      </c>
      <c r="W957">
        <v>1</v>
      </c>
      <c r="X957" t="s">
        <v>5613</v>
      </c>
      <c r="Y957">
        <v>7.9</v>
      </c>
      <c r="Z957" t="s">
        <v>5613</v>
      </c>
      <c r="AA957">
        <v>1</v>
      </c>
      <c r="AB957" t="s">
        <v>5613</v>
      </c>
      <c r="AC957" t="s">
        <v>6207</v>
      </c>
    </row>
    <row r="958" spans="1:29">
      <c r="A958" t="s">
        <v>6451</v>
      </c>
      <c r="B958" t="s">
        <v>6143</v>
      </c>
      <c r="C958" t="s">
        <v>6453</v>
      </c>
      <c r="D958" t="s">
        <v>5587</v>
      </c>
      <c r="E958" t="s">
        <v>29</v>
      </c>
      <c r="F958" t="s">
        <v>5593</v>
      </c>
      <c r="G958" t="s">
        <v>5594</v>
      </c>
      <c r="H958" t="s">
        <v>5809</v>
      </c>
      <c r="I958">
        <v>4</v>
      </c>
      <c r="J958" t="s">
        <v>5595</v>
      </c>
      <c r="K958">
        <v>7.7</v>
      </c>
      <c r="L958" t="s">
        <v>5737</v>
      </c>
      <c r="M958">
        <v>6.1</v>
      </c>
      <c r="N958" t="s">
        <v>5737</v>
      </c>
      <c r="O958">
        <v>15.4</v>
      </c>
      <c r="P958" t="s">
        <v>5613</v>
      </c>
      <c r="Q958">
        <v>17</v>
      </c>
      <c r="R958">
        <v>600</v>
      </c>
      <c r="S958">
        <v>29.4</v>
      </c>
      <c r="T958">
        <v>494</v>
      </c>
      <c r="U958">
        <v>5.8</v>
      </c>
      <c r="V958" t="s">
        <v>5613</v>
      </c>
      <c r="W958">
        <v>2.6</v>
      </c>
      <c r="X958" t="s">
        <v>5613</v>
      </c>
      <c r="Y958">
        <v>7.7</v>
      </c>
      <c r="Z958" t="s">
        <v>5613</v>
      </c>
      <c r="AA958">
        <v>8.5</v>
      </c>
      <c r="AB958">
        <v>694</v>
      </c>
      <c r="AC958" t="s">
        <v>6207</v>
      </c>
    </row>
    <row r="959" spans="1:29">
      <c r="A959" t="s">
        <v>6451</v>
      </c>
      <c r="B959" t="s">
        <v>6143</v>
      </c>
      <c r="C959" t="s">
        <v>4723</v>
      </c>
      <c r="D959" t="s">
        <v>5762</v>
      </c>
      <c r="E959" t="s">
        <v>534</v>
      </c>
      <c r="F959" t="s">
        <v>5593</v>
      </c>
      <c r="G959" t="s">
        <v>5602</v>
      </c>
      <c r="H959" t="s">
        <v>6146</v>
      </c>
      <c r="I959">
        <v>4</v>
      </c>
      <c r="J959" t="s">
        <v>5595</v>
      </c>
      <c r="K959">
        <v>4.4000000000000004</v>
      </c>
      <c r="L959" t="s">
        <v>5737</v>
      </c>
      <c r="M959">
        <v>1.9</v>
      </c>
      <c r="N959" t="s">
        <v>5737</v>
      </c>
      <c r="O959">
        <v>8.1</v>
      </c>
      <c r="P959" t="s">
        <v>5613</v>
      </c>
      <c r="Q959">
        <v>1.4</v>
      </c>
      <c r="R959" t="s">
        <v>5613</v>
      </c>
      <c r="S959">
        <v>55.4</v>
      </c>
      <c r="T959">
        <v>333</v>
      </c>
      <c r="U959">
        <v>100</v>
      </c>
      <c r="V959">
        <v>9</v>
      </c>
      <c r="W959">
        <v>1</v>
      </c>
      <c r="X959" t="s">
        <v>5613</v>
      </c>
      <c r="Y959">
        <v>5.2</v>
      </c>
      <c r="Z959" t="s">
        <v>5613</v>
      </c>
      <c r="AC959" t="s">
        <v>6207</v>
      </c>
    </row>
    <row r="960" spans="1:29">
      <c r="A960" t="s">
        <v>6451</v>
      </c>
      <c r="B960" t="s">
        <v>6143</v>
      </c>
      <c r="C960" t="s">
        <v>1256</v>
      </c>
      <c r="D960" t="s">
        <v>5770</v>
      </c>
      <c r="E960" t="s">
        <v>528</v>
      </c>
      <c r="F960" t="s">
        <v>5588</v>
      </c>
      <c r="G960" t="s">
        <v>5589</v>
      </c>
      <c r="H960" t="s">
        <v>5590</v>
      </c>
      <c r="I960">
        <v>5</v>
      </c>
      <c r="J960" t="s">
        <v>5595</v>
      </c>
      <c r="K960">
        <v>8</v>
      </c>
      <c r="L960" t="s">
        <v>5737</v>
      </c>
      <c r="M960">
        <v>2.6</v>
      </c>
      <c r="N960" t="s">
        <v>5737</v>
      </c>
      <c r="O960">
        <v>34.700000000000003</v>
      </c>
      <c r="P960">
        <v>458</v>
      </c>
      <c r="Q960">
        <v>20.7</v>
      </c>
      <c r="R960">
        <v>551</v>
      </c>
      <c r="S960">
        <v>3.5</v>
      </c>
      <c r="T960" t="s">
        <v>5613</v>
      </c>
      <c r="U960">
        <v>4.4000000000000004</v>
      </c>
      <c r="V960" t="s">
        <v>5613</v>
      </c>
      <c r="W960">
        <v>2</v>
      </c>
      <c r="X960" t="s">
        <v>5613</v>
      </c>
      <c r="Y960">
        <v>7.2</v>
      </c>
      <c r="Z960" t="s">
        <v>5613</v>
      </c>
      <c r="AA960">
        <v>3.8</v>
      </c>
      <c r="AB960" t="s">
        <v>5613</v>
      </c>
      <c r="AC960" t="s">
        <v>6207</v>
      </c>
    </row>
    <row r="961" spans="1:29">
      <c r="A961" t="s">
        <v>6451</v>
      </c>
      <c r="B961" t="s">
        <v>6143</v>
      </c>
      <c r="C961" t="s">
        <v>2883</v>
      </c>
      <c r="D961" t="s">
        <v>5843</v>
      </c>
      <c r="E961" t="s">
        <v>1448</v>
      </c>
      <c r="F961" t="s">
        <v>5605</v>
      </c>
      <c r="G961" t="s">
        <v>5594</v>
      </c>
      <c r="H961" t="s">
        <v>5809</v>
      </c>
      <c r="I961">
        <v>4</v>
      </c>
      <c r="J961" t="s">
        <v>5595</v>
      </c>
      <c r="K961">
        <v>16.399999999999999</v>
      </c>
      <c r="L961">
        <v>536</v>
      </c>
      <c r="M961">
        <v>12.1</v>
      </c>
      <c r="N961" t="s">
        <v>5737</v>
      </c>
      <c r="O961">
        <v>8.1</v>
      </c>
      <c r="P961" t="s">
        <v>5613</v>
      </c>
      <c r="Q961">
        <v>4.0999999999999996</v>
      </c>
      <c r="R961" t="s">
        <v>5613</v>
      </c>
      <c r="S961">
        <v>6.9</v>
      </c>
      <c r="T961" t="s">
        <v>5613</v>
      </c>
      <c r="U961">
        <v>2.7</v>
      </c>
      <c r="V961" t="s">
        <v>5613</v>
      </c>
      <c r="W961">
        <v>3.3</v>
      </c>
      <c r="X961" t="s">
        <v>5613</v>
      </c>
      <c r="Y961">
        <v>9.6999999999999993</v>
      </c>
      <c r="Z961" t="s">
        <v>5613</v>
      </c>
      <c r="AA961">
        <v>29.9</v>
      </c>
      <c r="AB961" t="s">
        <v>6078</v>
      </c>
      <c r="AC961" t="s">
        <v>6207</v>
      </c>
    </row>
    <row r="962" spans="1:29">
      <c r="A962" t="s">
        <v>6451</v>
      </c>
      <c r="B962" t="s">
        <v>6143</v>
      </c>
      <c r="C962" t="s">
        <v>6454</v>
      </c>
      <c r="D962" t="s">
        <v>5843</v>
      </c>
      <c r="E962" t="s">
        <v>1448</v>
      </c>
      <c r="F962" t="s">
        <v>5593</v>
      </c>
      <c r="G962" t="s">
        <v>5589</v>
      </c>
      <c r="H962" t="s">
        <v>5809</v>
      </c>
      <c r="I962">
        <v>3</v>
      </c>
      <c r="J962" t="s">
        <v>5595</v>
      </c>
      <c r="K962">
        <v>13.1</v>
      </c>
      <c r="L962" t="s">
        <v>5737</v>
      </c>
      <c r="M962">
        <v>7.2</v>
      </c>
      <c r="N962" t="s">
        <v>5737</v>
      </c>
      <c r="O962">
        <v>14</v>
      </c>
      <c r="P962" t="s">
        <v>5613</v>
      </c>
      <c r="Q962">
        <v>7.6</v>
      </c>
      <c r="R962" t="s">
        <v>5613</v>
      </c>
      <c r="S962">
        <v>12.5</v>
      </c>
      <c r="T962" t="s">
        <v>5613</v>
      </c>
      <c r="U962">
        <v>3.5</v>
      </c>
      <c r="V962" t="s">
        <v>5613</v>
      </c>
      <c r="W962">
        <v>1.6</v>
      </c>
      <c r="X962" t="s">
        <v>5613</v>
      </c>
      <c r="Y962">
        <v>8.4</v>
      </c>
      <c r="Z962" t="s">
        <v>5613</v>
      </c>
      <c r="AA962">
        <v>49.4</v>
      </c>
      <c r="AB962" t="s">
        <v>5797</v>
      </c>
      <c r="AC962" t="s">
        <v>6207</v>
      </c>
    </row>
    <row r="963" spans="1:29">
      <c r="A963" t="s">
        <v>6451</v>
      </c>
      <c r="B963" t="s">
        <v>6143</v>
      </c>
      <c r="C963" t="s">
        <v>1589</v>
      </c>
      <c r="D963" t="s">
        <v>6264</v>
      </c>
      <c r="E963" t="s">
        <v>1123</v>
      </c>
      <c r="F963" t="s">
        <v>5593</v>
      </c>
      <c r="G963" t="s">
        <v>5589</v>
      </c>
      <c r="H963" t="s">
        <v>5590</v>
      </c>
      <c r="I963">
        <v>5</v>
      </c>
      <c r="J963" t="s">
        <v>5595</v>
      </c>
      <c r="K963">
        <v>8.1</v>
      </c>
      <c r="L963" t="s">
        <v>5737</v>
      </c>
      <c r="M963">
        <v>14.8</v>
      </c>
      <c r="N963">
        <v>553</v>
      </c>
      <c r="O963">
        <v>37.200000000000003</v>
      </c>
      <c r="P963">
        <v>423</v>
      </c>
      <c r="Q963">
        <v>1.8</v>
      </c>
      <c r="R963" t="s">
        <v>5613</v>
      </c>
      <c r="S963">
        <v>1.9</v>
      </c>
      <c r="T963" t="s">
        <v>5613</v>
      </c>
      <c r="U963">
        <v>1.6</v>
      </c>
      <c r="V963" t="s">
        <v>5613</v>
      </c>
      <c r="W963">
        <v>1.1000000000000001</v>
      </c>
      <c r="X963" t="s">
        <v>5613</v>
      </c>
      <c r="Y963">
        <v>14</v>
      </c>
      <c r="Z963">
        <v>608</v>
      </c>
      <c r="AA963">
        <v>22.7</v>
      </c>
      <c r="AB963">
        <v>520</v>
      </c>
      <c r="AC963" t="s">
        <v>6207</v>
      </c>
    </row>
    <row r="964" spans="1:29">
      <c r="A964" t="s">
        <v>6451</v>
      </c>
      <c r="B964" t="s">
        <v>6343</v>
      </c>
      <c r="C964" t="s">
        <v>2035</v>
      </c>
      <c r="D964" t="s">
        <v>6455</v>
      </c>
      <c r="E964" t="s">
        <v>2036</v>
      </c>
      <c r="F964" t="s">
        <v>5605</v>
      </c>
      <c r="G964" t="s">
        <v>5594</v>
      </c>
      <c r="H964" t="s">
        <v>5809</v>
      </c>
      <c r="I964">
        <v>5</v>
      </c>
      <c r="J964" t="s">
        <v>5595</v>
      </c>
      <c r="K964">
        <v>10.199999999999999</v>
      </c>
      <c r="L964" t="s">
        <v>5737</v>
      </c>
      <c r="M964">
        <v>4.7</v>
      </c>
      <c r="N964" t="s">
        <v>5737</v>
      </c>
      <c r="O964">
        <v>3.4</v>
      </c>
      <c r="P964" t="s">
        <v>5613</v>
      </c>
      <c r="Q964">
        <v>4.5999999999999996</v>
      </c>
      <c r="R964" t="s">
        <v>5613</v>
      </c>
      <c r="S964">
        <v>10.3</v>
      </c>
      <c r="T964" t="s">
        <v>5613</v>
      </c>
      <c r="U964">
        <v>8.1999999999999993</v>
      </c>
      <c r="V964" t="s">
        <v>5613</v>
      </c>
      <c r="W964">
        <v>17.8</v>
      </c>
      <c r="X964">
        <v>564</v>
      </c>
      <c r="Y964">
        <v>79.5</v>
      </c>
      <c r="Z964">
        <v>51</v>
      </c>
      <c r="AA964">
        <v>9.1999999999999993</v>
      </c>
      <c r="AB964" t="s">
        <v>6338</v>
      </c>
      <c r="AC964" t="s">
        <v>6207</v>
      </c>
    </row>
    <row r="965" spans="1:29">
      <c r="A965" t="s">
        <v>6451</v>
      </c>
      <c r="B965" t="s">
        <v>6180</v>
      </c>
      <c r="C965" t="s">
        <v>6456</v>
      </c>
      <c r="D965" t="s">
        <v>5770</v>
      </c>
      <c r="E965" t="s">
        <v>528</v>
      </c>
      <c r="F965" t="s">
        <v>5593</v>
      </c>
      <c r="G965" t="s">
        <v>5594</v>
      </c>
      <c r="H965" t="s">
        <v>5590</v>
      </c>
      <c r="I965">
        <v>3</v>
      </c>
      <c r="J965" t="s">
        <v>5591</v>
      </c>
      <c r="K965">
        <v>9.6</v>
      </c>
      <c r="L965" t="s">
        <v>5737</v>
      </c>
      <c r="M965">
        <v>7</v>
      </c>
      <c r="N965" t="s">
        <v>5737</v>
      </c>
      <c r="O965">
        <v>46.4</v>
      </c>
      <c r="P965">
        <v>339</v>
      </c>
      <c r="Q965">
        <v>4</v>
      </c>
      <c r="R965" t="s">
        <v>5613</v>
      </c>
      <c r="S965">
        <v>1.7</v>
      </c>
      <c r="T965" t="s">
        <v>5613</v>
      </c>
      <c r="U965">
        <v>7.1</v>
      </c>
      <c r="V965" t="s">
        <v>5613</v>
      </c>
      <c r="W965">
        <v>13</v>
      </c>
      <c r="X965">
        <v>626</v>
      </c>
      <c r="Y965">
        <v>11.3</v>
      </c>
      <c r="Z965" t="s">
        <v>5613</v>
      </c>
      <c r="AA965">
        <v>1.7</v>
      </c>
      <c r="AB965" t="s">
        <v>5613</v>
      </c>
      <c r="AC965" t="s">
        <v>6207</v>
      </c>
    </row>
    <row r="966" spans="1:29">
      <c r="A966" t="s">
        <v>6451</v>
      </c>
      <c r="B966" t="s">
        <v>6143</v>
      </c>
      <c r="C966" t="s">
        <v>6457</v>
      </c>
      <c r="D966" t="s">
        <v>5863</v>
      </c>
      <c r="E966" t="s">
        <v>1306</v>
      </c>
      <c r="F966" t="s">
        <v>5615</v>
      </c>
      <c r="G966" t="s">
        <v>5651</v>
      </c>
      <c r="I966">
        <v>3</v>
      </c>
      <c r="J966" t="s">
        <v>5591</v>
      </c>
      <c r="K966">
        <v>5.9</v>
      </c>
      <c r="L966" t="s">
        <v>5737</v>
      </c>
      <c r="M966">
        <v>11.9</v>
      </c>
      <c r="N966" t="s">
        <v>5737</v>
      </c>
      <c r="O966">
        <v>17.7</v>
      </c>
      <c r="P966" t="s">
        <v>5613</v>
      </c>
      <c r="Q966">
        <v>3.5</v>
      </c>
      <c r="R966" t="s">
        <v>5613</v>
      </c>
      <c r="S966">
        <v>75.2</v>
      </c>
      <c r="T966">
        <v>251</v>
      </c>
      <c r="U966">
        <v>19.8</v>
      </c>
      <c r="V966">
        <v>550</v>
      </c>
      <c r="W966">
        <v>1</v>
      </c>
      <c r="X966" t="s">
        <v>5613</v>
      </c>
      <c r="Y966">
        <v>14.8</v>
      </c>
      <c r="Z966">
        <v>567</v>
      </c>
      <c r="AA966">
        <v>1.2</v>
      </c>
      <c r="AB966" t="s">
        <v>5613</v>
      </c>
      <c r="AC966" t="s">
        <v>6207</v>
      </c>
    </row>
    <row r="967" spans="1:29">
      <c r="A967" t="s">
        <v>6451</v>
      </c>
      <c r="B967" t="s">
        <v>6143</v>
      </c>
      <c r="C967" t="s">
        <v>6458</v>
      </c>
      <c r="D967" t="s">
        <v>5616</v>
      </c>
      <c r="E967" t="s">
        <v>54</v>
      </c>
      <c r="F967" t="s">
        <v>5605</v>
      </c>
      <c r="G967" t="s">
        <v>5589</v>
      </c>
      <c r="H967" t="s">
        <v>5590</v>
      </c>
      <c r="I967">
        <v>2</v>
      </c>
      <c r="J967" t="s">
        <v>5595</v>
      </c>
      <c r="K967">
        <v>4.7</v>
      </c>
      <c r="L967" t="s">
        <v>5737</v>
      </c>
      <c r="M967">
        <v>1.4</v>
      </c>
      <c r="N967" t="s">
        <v>5737</v>
      </c>
      <c r="O967">
        <v>30</v>
      </c>
      <c r="P967">
        <v>520</v>
      </c>
      <c r="Q967">
        <v>28.9</v>
      </c>
      <c r="R967">
        <v>445</v>
      </c>
      <c r="U967">
        <v>1.4</v>
      </c>
      <c r="V967" t="s">
        <v>5613</v>
      </c>
      <c r="W967">
        <v>5.5</v>
      </c>
      <c r="X967" t="s">
        <v>5613</v>
      </c>
      <c r="Y967">
        <v>5.6</v>
      </c>
      <c r="Z967" t="s">
        <v>5613</v>
      </c>
      <c r="AA967">
        <v>2.2999999999999998</v>
      </c>
      <c r="AB967" t="s">
        <v>5613</v>
      </c>
      <c r="AC967" t="s">
        <v>6207</v>
      </c>
    </row>
    <row r="968" spans="1:29">
      <c r="A968" t="s">
        <v>6451</v>
      </c>
      <c r="B968" t="s">
        <v>6056</v>
      </c>
      <c r="C968" t="s">
        <v>5096</v>
      </c>
      <c r="D968" t="s">
        <v>5770</v>
      </c>
      <c r="E968" t="s">
        <v>528</v>
      </c>
      <c r="F968" t="s">
        <v>5588</v>
      </c>
      <c r="G968" t="s">
        <v>5651</v>
      </c>
      <c r="I968">
        <v>2</v>
      </c>
      <c r="J968" t="s">
        <v>5591</v>
      </c>
      <c r="K968">
        <v>6.6</v>
      </c>
      <c r="L968" t="s">
        <v>5737</v>
      </c>
      <c r="M968">
        <v>13.1</v>
      </c>
      <c r="N968" t="s">
        <v>5737</v>
      </c>
      <c r="O968">
        <v>51.1</v>
      </c>
      <c r="P968">
        <v>305</v>
      </c>
      <c r="Q968">
        <v>1.5</v>
      </c>
      <c r="R968" t="s">
        <v>5613</v>
      </c>
      <c r="S968">
        <v>25.1</v>
      </c>
      <c r="T968">
        <v>533</v>
      </c>
      <c r="U968">
        <v>1.2</v>
      </c>
      <c r="V968" t="s">
        <v>5613</v>
      </c>
      <c r="W968">
        <v>1</v>
      </c>
      <c r="X968" t="s">
        <v>5613</v>
      </c>
      <c r="Y968">
        <v>8.6999999999999993</v>
      </c>
      <c r="Z968" t="s">
        <v>5613</v>
      </c>
      <c r="AA968">
        <v>1.5</v>
      </c>
      <c r="AB968" t="s">
        <v>5613</v>
      </c>
      <c r="AC968" t="s">
        <v>6207</v>
      </c>
    </row>
    <row r="969" spans="1:29">
      <c r="A969" t="s">
        <v>6451</v>
      </c>
      <c r="B969" t="s">
        <v>6180</v>
      </c>
      <c r="C969" t="s">
        <v>6459</v>
      </c>
      <c r="D969" t="s">
        <v>5696</v>
      </c>
      <c r="E969" t="s">
        <v>5697</v>
      </c>
      <c r="F969" t="s">
        <v>5588</v>
      </c>
      <c r="G969" t="s">
        <v>5602</v>
      </c>
      <c r="H969" t="s">
        <v>5590</v>
      </c>
      <c r="I969">
        <v>5</v>
      </c>
      <c r="J969" t="s">
        <v>5595</v>
      </c>
      <c r="K969">
        <v>5.7</v>
      </c>
      <c r="L969" t="s">
        <v>5737</v>
      </c>
      <c r="M969">
        <v>3.5</v>
      </c>
      <c r="N969" t="s">
        <v>5737</v>
      </c>
      <c r="O969">
        <v>49.4</v>
      </c>
      <c r="P969">
        <v>315</v>
      </c>
      <c r="Q969">
        <v>1.8</v>
      </c>
      <c r="R969" t="s">
        <v>5613</v>
      </c>
      <c r="S969">
        <v>4.5999999999999996</v>
      </c>
      <c r="T969" t="s">
        <v>5613</v>
      </c>
      <c r="U969">
        <v>49.2</v>
      </c>
      <c r="V969">
        <v>302</v>
      </c>
      <c r="W969">
        <v>1.1000000000000001</v>
      </c>
      <c r="X969" t="s">
        <v>5613</v>
      </c>
      <c r="Y969">
        <v>9.4</v>
      </c>
      <c r="Z969" t="s">
        <v>5613</v>
      </c>
      <c r="AA969">
        <v>1.2</v>
      </c>
      <c r="AB969" t="s">
        <v>5613</v>
      </c>
      <c r="AC969" t="s">
        <v>6207</v>
      </c>
    </row>
    <row r="970" spans="1:29">
      <c r="A970" t="s">
        <v>6451</v>
      </c>
      <c r="B970" t="s">
        <v>6240</v>
      </c>
      <c r="C970" t="s">
        <v>6460</v>
      </c>
      <c r="D970" t="s">
        <v>5976</v>
      </c>
      <c r="E970" t="s">
        <v>5977</v>
      </c>
      <c r="F970" t="s">
        <v>5593</v>
      </c>
      <c r="G970" t="s">
        <v>5602</v>
      </c>
      <c r="H970" t="s">
        <v>5590</v>
      </c>
      <c r="I970">
        <v>4</v>
      </c>
      <c r="J970" t="s">
        <v>5595</v>
      </c>
      <c r="K970">
        <v>6.7</v>
      </c>
      <c r="L970" t="s">
        <v>5737</v>
      </c>
      <c r="M970">
        <v>12.3</v>
      </c>
      <c r="N970" t="s">
        <v>5737</v>
      </c>
      <c r="O970">
        <v>4</v>
      </c>
      <c r="P970" t="s">
        <v>5613</v>
      </c>
      <c r="Q970">
        <v>29.1</v>
      </c>
      <c r="R970">
        <v>442</v>
      </c>
      <c r="S970">
        <v>1.6</v>
      </c>
      <c r="T970" t="s">
        <v>5613</v>
      </c>
      <c r="U970">
        <v>1.7</v>
      </c>
      <c r="V970" t="s">
        <v>5613</v>
      </c>
      <c r="W970">
        <v>8.5</v>
      </c>
      <c r="X970" t="s">
        <v>5613</v>
      </c>
      <c r="Y970">
        <v>6.9</v>
      </c>
      <c r="Z970" t="s">
        <v>5613</v>
      </c>
      <c r="AA970">
        <v>1.9</v>
      </c>
      <c r="AB970" t="s">
        <v>5613</v>
      </c>
      <c r="AC970" t="s">
        <v>6207</v>
      </c>
    </row>
    <row r="971" spans="1:29">
      <c r="A971" t="s">
        <v>6451</v>
      </c>
      <c r="B971" t="s">
        <v>6143</v>
      </c>
      <c r="C971" t="s">
        <v>1726</v>
      </c>
      <c r="D971" t="s">
        <v>5696</v>
      </c>
      <c r="E971" t="s">
        <v>5697</v>
      </c>
      <c r="F971" t="s">
        <v>5593</v>
      </c>
      <c r="G971" t="s">
        <v>5589</v>
      </c>
      <c r="H971" t="s">
        <v>5590</v>
      </c>
      <c r="I971">
        <v>4</v>
      </c>
      <c r="J971" t="s">
        <v>5595</v>
      </c>
      <c r="K971">
        <v>9.3000000000000007</v>
      </c>
      <c r="L971" t="s">
        <v>5737</v>
      </c>
      <c r="M971">
        <v>4.2</v>
      </c>
      <c r="N971" t="s">
        <v>5737</v>
      </c>
      <c r="O971">
        <v>39.4</v>
      </c>
      <c r="P971">
        <v>402</v>
      </c>
      <c r="Q971">
        <v>3</v>
      </c>
      <c r="R971" t="s">
        <v>5613</v>
      </c>
      <c r="S971">
        <v>9.6999999999999993</v>
      </c>
      <c r="T971" t="s">
        <v>5613</v>
      </c>
      <c r="U971">
        <v>16.399999999999999</v>
      </c>
      <c r="V971">
        <v>591</v>
      </c>
      <c r="W971">
        <v>36.6</v>
      </c>
      <c r="X971">
        <v>404</v>
      </c>
      <c r="Y971">
        <v>5.0999999999999996</v>
      </c>
      <c r="Z971" t="s">
        <v>5613</v>
      </c>
      <c r="AA971">
        <v>1.3</v>
      </c>
      <c r="AB971" t="s">
        <v>5613</v>
      </c>
      <c r="AC971" t="s">
        <v>6207</v>
      </c>
    </row>
    <row r="972" spans="1:29">
      <c r="A972" t="s">
        <v>6451</v>
      </c>
      <c r="B972" t="s">
        <v>6143</v>
      </c>
      <c r="C972" t="s">
        <v>1122</v>
      </c>
      <c r="D972" t="s">
        <v>6264</v>
      </c>
      <c r="E972" t="s">
        <v>1123</v>
      </c>
      <c r="F972" t="s">
        <v>5588</v>
      </c>
      <c r="G972" t="s">
        <v>5594</v>
      </c>
      <c r="H972" t="s">
        <v>5809</v>
      </c>
      <c r="I972">
        <v>3</v>
      </c>
      <c r="J972" t="s">
        <v>5595</v>
      </c>
      <c r="K972">
        <v>5.6</v>
      </c>
      <c r="L972" t="s">
        <v>5737</v>
      </c>
      <c r="M972">
        <v>5.7</v>
      </c>
      <c r="N972" t="s">
        <v>5737</v>
      </c>
      <c r="O972">
        <v>42.4</v>
      </c>
      <c r="P972">
        <v>373</v>
      </c>
      <c r="Q972">
        <v>2.2999999999999998</v>
      </c>
      <c r="R972" t="s">
        <v>5613</v>
      </c>
      <c r="S972">
        <v>2.9</v>
      </c>
      <c r="T972" t="s">
        <v>5613</v>
      </c>
      <c r="U972">
        <v>63.1</v>
      </c>
      <c r="V972">
        <v>239</v>
      </c>
      <c r="W972">
        <v>1.2</v>
      </c>
      <c r="X972" t="s">
        <v>5613</v>
      </c>
      <c r="Y972">
        <v>9.6999999999999993</v>
      </c>
      <c r="Z972" t="s">
        <v>5613</v>
      </c>
      <c r="AA972">
        <v>3.4</v>
      </c>
      <c r="AB972" t="s">
        <v>5613</v>
      </c>
      <c r="AC972" t="s">
        <v>6207</v>
      </c>
    </row>
    <row r="973" spans="1:29">
      <c r="A973" t="s">
        <v>6451</v>
      </c>
      <c r="B973" t="s">
        <v>6143</v>
      </c>
      <c r="C973" t="s">
        <v>6461</v>
      </c>
      <c r="D973" t="s">
        <v>6170</v>
      </c>
      <c r="E973" t="s">
        <v>2723</v>
      </c>
      <c r="F973" t="s">
        <v>5588</v>
      </c>
      <c r="G973" t="s">
        <v>5589</v>
      </c>
      <c r="H973" t="s">
        <v>5809</v>
      </c>
      <c r="I973">
        <v>4</v>
      </c>
      <c r="J973" t="s">
        <v>5595</v>
      </c>
      <c r="K973">
        <v>8.4</v>
      </c>
      <c r="L973" t="s">
        <v>5737</v>
      </c>
      <c r="M973">
        <v>33.799999999999997</v>
      </c>
      <c r="N973">
        <v>291</v>
      </c>
      <c r="O973">
        <v>23.2</v>
      </c>
      <c r="P973">
        <v>612</v>
      </c>
      <c r="Q973">
        <v>1.4</v>
      </c>
      <c r="R973" t="s">
        <v>5613</v>
      </c>
      <c r="S973">
        <v>6.8</v>
      </c>
      <c r="T973" t="s">
        <v>5613</v>
      </c>
      <c r="U973">
        <v>2</v>
      </c>
      <c r="V973" t="s">
        <v>5613</v>
      </c>
      <c r="W973">
        <v>1</v>
      </c>
      <c r="X973" t="s">
        <v>5613</v>
      </c>
      <c r="Y973">
        <v>12.4</v>
      </c>
      <c r="Z973" t="s">
        <v>5613</v>
      </c>
      <c r="AA973">
        <v>1.9</v>
      </c>
      <c r="AB973" t="s">
        <v>5613</v>
      </c>
      <c r="AC973" t="s">
        <v>6207</v>
      </c>
    </row>
    <row r="974" spans="1:29">
      <c r="A974" t="s">
        <v>6451</v>
      </c>
      <c r="B974" t="s">
        <v>6240</v>
      </c>
      <c r="C974" t="s">
        <v>6462</v>
      </c>
      <c r="D974" t="s">
        <v>5770</v>
      </c>
      <c r="E974" t="s">
        <v>528</v>
      </c>
      <c r="F974" t="s">
        <v>5588</v>
      </c>
      <c r="G974" t="s">
        <v>5602</v>
      </c>
      <c r="H974" t="s">
        <v>5590</v>
      </c>
      <c r="I974">
        <v>4</v>
      </c>
      <c r="J974" t="s">
        <v>5595</v>
      </c>
      <c r="K974">
        <v>3.8</v>
      </c>
      <c r="L974" t="s">
        <v>5737</v>
      </c>
      <c r="M974">
        <v>4</v>
      </c>
      <c r="N974" t="s">
        <v>5737</v>
      </c>
      <c r="O974">
        <v>7.9</v>
      </c>
      <c r="P974" t="s">
        <v>5613</v>
      </c>
      <c r="Q974">
        <v>36.9</v>
      </c>
      <c r="R974">
        <v>379</v>
      </c>
      <c r="S974">
        <v>3.7</v>
      </c>
      <c r="T974" t="s">
        <v>5613</v>
      </c>
      <c r="U974">
        <v>1.6</v>
      </c>
      <c r="V974" t="s">
        <v>5613</v>
      </c>
      <c r="W974">
        <v>1.6</v>
      </c>
      <c r="X974" t="s">
        <v>5613</v>
      </c>
      <c r="Y974">
        <v>8.6999999999999993</v>
      </c>
      <c r="Z974" t="s">
        <v>5613</v>
      </c>
      <c r="AA974">
        <v>1.2</v>
      </c>
      <c r="AB974" t="s">
        <v>5613</v>
      </c>
      <c r="AC974" t="s">
        <v>6207</v>
      </c>
    </row>
    <row r="975" spans="1:29">
      <c r="A975" t="s">
        <v>6451</v>
      </c>
      <c r="B975" t="s">
        <v>6240</v>
      </c>
      <c r="C975" t="s">
        <v>1391</v>
      </c>
      <c r="D975" t="s">
        <v>5587</v>
      </c>
      <c r="E975" t="s">
        <v>29</v>
      </c>
      <c r="F975" t="s">
        <v>5605</v>
      </c>
      <c r="G975" t="s">
        <v>5589</v>
      </c>
      <c r="H975" t="s">
        <v>5590</v>
      </c>
      <c r="I975">
        <v>5</v>
      </c>
      <c r="J975" t="s">
        <v>5595</v>
      </c>
      <c r="K975">
        <v>9.6999999999999993</v>
      </c>
      <c r="L975" t="s">
        <v>5737</v>
      </c>
      <c r="M975">
        <v>19</v>
      </c>
      <c r="N975">
        <v>471</v>
      </c>
      <c r="O975">
        <v>5.9</v>
      </c>
      <c r="P975" t="s">
        <v>5613</v>
      </c>
      <c r="Q975">
        <v>12.8</v>
      </c>
      <c r="R975">
        <v>681</v>
      </c>
      <c r="S975">
        <v>8.9</v>
      </c>
      <c r="T975" t="s">
        <v>5613</v>
      </c>
      <c r="U975">
        <v>2.7</v>
      </c>
      <c r="V975" t="s">
        <v>5613</v>
      </c>
      <c r="W975">
        <v>8.8000000000000007</v>
      </c>
      <c r="X975" t="s">
        <v>5613</v>
      </c>
      <c r="Y975">
        <v>13.3</v>
      </c>
      <c r="Z975">
        <v>646</v>
      </c>
      <c r="AA975">
        <v>16.3</v>
      </c>
      <c r="AB975" t="s">
        <v>5929</v>
      </c>
      <c r="AC975" t="s">
        <v>6207</v>
      </c>
    </row>
    <row r="976" spans="1:29">
      <c r="A976" t="s">
        <v>6451</v>
      </c>
      <c r="B976" t="s">
        <v>6136</v>
      </c>
      <c r="C976" t="s">
        <v>2580</v>
      </c>
      <c r="D976" t="s">
        <v>5631</v>
      </c>
      <c r="E976" t="s">
        <v>94</v>
      </c>
      <c r="F976" t="s">
        <v>5588</v>
      </c>
      <c r="G976" t="s">
        <v>5589</v>
      </c>
      <c r="H976" t="s">
        <v>5590</v>
      </c>
      <c r="I976">
        <v>2</v>
      </c>
      <c r="J976" t="s">
        <v>5595</v>
      </c>
      <c r="K976">
        <v>12.6</v>
      </c>
      <c r="L976" t="s">
        <v>5737</v>
      </c>
      <c r="M976">
        <v>5.4</v>
      </c>
      <c r="N976" t="s">
        <v>5737</v>
      </c>
      <c r="O976">
        <v>28.7</v>
      </c>
      <c r="P976">
        <v>536</v>
      </c>
      <c r="Q976">
        <v>14.3</v>
      </c>
      <c r="R976">
        <v>648</v>
      </c>
      <c r="S976">
        <v>6.9</v>
      </c>
      <c r="T976" t="s">
        <v>5613</v>
      </c>
      <c r="U976">
        <v>6.3</v>
      </c>
      <c r="V976" t="s">
        <v>5613</v>
      </c>
      <c r="W976">
        <v>2.2999999999999998</v>
      </c>
      <c r="X976" t="s">
        <v>5613</v>
      </c>
      <c r="Y976">
        <v>8.8000000000000007</v>
      </c>
      <c r="Z976" t="s">
        <v>5613</v>
      </c>
      <c r="AA976">
        <v>1.1000000000000001</v>
      </c>
      <c r="AB976" t="s">
        <v>5613</v>
      </c>
      <c r="AC976" t="s">
        <v>6207</v>
      </c>
    </row>
    <row r="977" spans="1:29">
      <c r="A977" t="s">
        <v>6451</v>
      </c>
      <c r="B977" t="s">
        <v>6240</v>
      </c>
      <c r="C977" t="s">
        <v>6463</v>
      </c>
      <c r="D977" t="s">
        <v>5772</v>
      </c>
      <c r="E977" t="s">
        <v>386</v>
      </c>
      <c r="F977" t="s">
        <v>5593</v>
      </c>
      <c r="G977" t="s">
        <v>5594</v>
      </c>
      <c r="H977" t="s">
        <v>5809</v>
      </c>
      <c r="I977">
        <v>3</v>
      </c>
      <c r="J977" t="s">
        <v>5595</v>
      </c>
      <c r="K977">
        <v>8.9</v>
      </c>
      <c r="L977" t="s">
        <v>5737</v>
      </c>
      <c r="M977">
        <v>2</v>
      </c>
      <c r="N977" t="s">
        <v>5737</v>
      </c>
      <c r="O977">
        <v>15.5</v>
      </c>
      <c r="P977" t="s">
        <v>5613</v>
      </c>
      <c r="Q977">
        <v>9.6</v>
      </c>
      <c r="R977" t="s">
        <v>5613</v>
      </c>
      <c r="S977">
        <v>2</v>
      </c>
      <c r="T977" t="s">
        <v>5613</v>
      </c>
      <c r="U977">
        <v>4.5</v>
      </c>
      <c r="V977" t="s">
        <v>5613</v>
      </c>
      <c r="W977">
        <v>35.299999999999997</v>
      </c>
      <c r="X977">
        <v>418</v>
      </c>
      <c r="Y977">
        <v>7.5</v>
      </c>
      <c r="Z977" t="s">
        <v>5613</v>
      </c>
      <c r="AA977">
        <v>55.2</v>
      </c>
      <c r="AB977" t="s">
        <v>5874</v>
      </c>
      <c r="AC977" t="s">
        <v>6207</v>
      </c>
    </row>
    <row r="978" spans="1:29">
      <c r="A978" t="s">
        <v>6451</v>
      </c>
      <c r="B978" t="s">
        <v>6143</v>
      </c>
      <c r="C978" t="s">
        <v>6464</v>
      </c>
      <c r="D978" t="s">
        <v>5707</v>
      </c>
      <c r="E978" t="s">
        <v>1613</v>
      </c>
      <c r="F978" t="s">
        <v>5615</v>
      </c>
      <c r="G978" t="s">
        <v>5594</v>
      </c>
      <c r="H978" t="s">
        <v>5809</v>
      </c>
      <c r="I978">
        <v>4</v>
      </c>
      <c r="J978" t="s">
        <v>5591</v>
      </c>
      <c r="K978">
        <v>8.3000000000000007</v>
      </c>
      <c r="L978" t="s">
        <v>5737</v>
      </c>
      <c r="M978">
        <v>13.1</v>
      </c>
      <c r="N978" t="s">
        <v>5737</v>
      </c>
      <c r="O978">
        <v>39.9</v>
      </c>
      <c r="P978">
        <v>394</v>
      </c>
      <c r="Q978">
        <v>1.9</v>
      </c>
      <c r="R978" t="s">
        <v>5613</v>
      </c>
      <c r="S978">
        <v>26.1</v>
      </c>
      <c r="T978">
        <v>522</v>
      </c>
      <c r="U978">
        <v>5.3</v>
      </c>
      <c r="V978" t="s">
        <v>5613</v>
      </c>
      <c r="W978">
        <v>1</v>
      </c>
      <c r="X978" t="s">
        <v>5613</v>
      </c>
      <c r="Y978">
        <v>9.5</v>
      </c>
      <c r="Z978" t="s">
        <v>5613</v>
      </c>
      <c r="AA978">
        <v>1</v>
      </c>
      <c r="AB978" t="s">
        <v>5613</v>
      </c>
      <c r="AC978" t="s">
        <v>6207</v>
      </c>
    </row>
    <row r="979" spans="1:29">
      <c r="A979" t="s">
        <v>6451</v>
      </c>
      <c r="B979" t="s">
        <v>6143</v>
      </c>
      <c r="C979" t="s">
        <v>6465</v>
      </c>
      <c r="D979" t="s">
        <v>5723</v>
      </c>
      <c r="E979" t="s">
        <v>1093</v>
      </c>
      <c r="F979" t="s">
        <v>5588</v>
      </c>
      <c r="G979" t="s">
        <v>5594</v>
      </c>
      <c r="H979" t="s">
        <v>5809</v>
      </c>
      <c r="I979">
        <v>3</v>
      </c>
      <c r="J979" t="s">
        <v>5591</v>
      </c>
      <c r="K979">
        <v>15</v>
      </c>
      <c r="L979">
        <v>581</v>
      </c>
      <c r="M979">
        <v>24.5</v>
      </c>
      <c r="N979">
        <v>394</v>
      </c>
      <c r="O979">
        <v>9</v>
      </c>
      <c r="P979" t="s">
        <v>5613</v>
      </c>
      <c r="Q979">
        <v>3</v>
      </c>
      <c r="R979" t="s">
        <v>5613</v>
      </c>
      <c r="S979">
        <v>12.4</v>
      </c>
      <c r="T979" t="s">
        <v>5613</v>
      </c>
      <c r="U979">
        <v>2.2999999999999998</v>
      </c>
      <c r="V979" t="s">
        <v>5613</v>
      </c>
      <c r="W979">
        <v>1.2</v>
      </c>
      <c r="X979" t="s">
        <v>5613</v>
      </c>
      <c r="Y979">
        <v>9.1</v>
      </c>
      <c r="Z979" t="s">
        <v>5613</v>
      </c>
      <c r="AA979">
        <v>1.1000000000000001</v>
      </c>
      <c r="AB979" t="s">
        <v>5613</v>
      </c>
      <c r="AC979" t="s">
        <v>6207</v>
      </c>
    </row>
    <row r="980" spans="1:29">
      <c r="A980" t="s">
        <v>6451</v>
      </c>
      <c r="B980" t="s">
        <v>6240</v>
      </c>
      <c r="C980" t="s">
        <v>6466</v>
      </c>
      <c r="D980" t="s">
        <v>5772</v>
      </c>
      <c r="E980" t="s">
        <v>386</v>
      </c>
      <c r="F980" t="s">
        <v>5593</v>
      </c>
      <c r="G980" t="s">
        <v>5589</v>
      </c>
      <c r="H980" t="s">
        <v>5590</v>
      </c>
      <c r="I980">
        <v>4</v>
      </c>
      <c r="K980">
        <v>10.3</v>
      </c>
      <c r="L980" t="s">
        <v>5737</v>
      </c>
      <c r="M980">
        <v>3.6</v>
      </c>
      <c r="N980" t="s">
        <v>5737</v>
      </c>
      <c r="O980">
        <v>30</v>
      </c>
      <c r="P980">
        <v>521</v>
      </c>
      <c r="Q980">
        <v>4.5</v>
      </c>
      <c r="R980" t="s">
        <v>5613</v>
      </c>
      <c r="S980">
        <v>5.3</v>
      </c>
      <c r="T980" t="s">
        <v>5613</v>
      </c>
      <c r="U980">
        <v>3.9</v>
      </c>
      <c r="V980" t="s">
        <v>5613</v>
      </c>
      <c r="W980">
        <v>54.4</v>
      </c>
      <c r="X980">
        <v>290</v>
      </c>
      <c r="Y980">
        <v>9.5</v>
      </c>
      <c r="Z980" t="s">
        <v>5613</v>
      </c>
      <c r="AC980" t="s">
        <v>6207</v>
      </c>
    </row>
    <row r="981" spans="1:29">
      <c r="A981" t="s">
        <v>6451</v>
      </c>
      <c r="B981" t="s">
        <v>6143</v>
      </c>
      <c r="C981" t="s">
        <v>6467</v>
      </c>
      <c r="D981" t="s">
        <v>5723</v>
      </c>
      <c r="E981" t="s">
        <v>1093</v>
      </c>
      <c r="F981" t="s">
        <v>5593</v>
      </c>
      <c r="G981" t="s">
        <v>5594</v>
      </c>
      <c r="H981" t="s">
        <v>6146</v>
      </c>
      <c r="I981">
        <v>3</v>
      </c>
      <c r="J981" t="s">
        <v>5591</v>
      </c>
      <c r="K981">
        <v>15</v>
      </c>
      <c r="L981">
        <v>582</v>
      </c>
      <c r="M981">
        <v>22.2</v>
      </c>
      <c r="N981">
        <v>425</v>
      </c>
      <c r="O981">
        <v>8.6</v>
      </c>
      <c r="P981" t="s">
        <v>5613</v>
      </c>
      <c r="Q981">
        <v>4.7</v>
      </c>
      <c r="R981" t="s">
        <v>5613</v>
      </c>
      <c r="S981">
        <v>14.3</v>
      </c>
      <c r="T981">
        <v>677</v>
      </c>
      <c r="U981">
        <v>3.1</v>
      </c>
      <c r="V981" t="s">
        <v>5613</v>
      </c>
      <c r="W981">
        <v>2.8</v>
      </c>
      <c r="X981" t="s">
        <v>5613</v>
      </c>
      <c r="Y981">
        <v>8.4</v>
      </c>
      <c r="Z981" t="s">
        <v>5613</v>
      </c>
      <c r="AA981">
        <v>1.2</v>
      </c>
      <c r="AB981" t="s">
        <v>5613</v>
      </c>
      <c r="AC981" t="s">
        <v>6207</v>
      </c>
    </row>
    <row r="982" spans="1:29">
      <c r="A982" t="s">
        <v>6451</v>
      </c>
      <c r="B982" t="s">
        <v>6143</v>
      </c>
      <c r="C982" t="s">
        <v>6468</v>
      </c>
      <c r="D982" t="s">
        <v>5710</v>
      </c>
      <c r="E982" t="s">
        <v>3726</v>
      </c>
      <c r="F982" t="s">
        <v>5605</v>
      </c>
      <c r="G982" t="s">
        <v>5602</v>
      </c>
      <c r="H982" t="s">
        <v>5590</v>
      </c>
      <c r="I982">
        <v>5</v>
      </c>
      <c r="J982" t="s">
        <v>5595</v>
      </c>
      <c r="K982">
        <v>24.4</v>
      </c>
      <c r="L982">
        <v>353</v>
      </c>
      <c r="M982">
        <v>15.5</v>
      </c>
      <c r="N982">
        <v>533</v>
      </c>
      <c r="O982">
        <v>7.3</v>
      </c>
      <c r="P982" t="s">
        <v>5613</v>
      </c>
      <c r="Q982">
        <v>1.6</v>
      </c>
      <c r="R982" t="s">
        <v>5613</v>
      </c>
      <c r="S982">
        <v>1.4</v>
      </c>
      <c r="T982" t="s">
        <v>5613</v>
      </c>
      <c r="U982">
        <v>1.5</v>
      </c>
      <c r="V982" t="s">
        <v>5613</v>
      </c>
      <c r="W982">
        <v>5.8</v>
      </c>
      <c r="X982" t="s">
        <v>5613</v>
      </c>
      <c r="Y982">
        <v>8.5</v>
      </c>
      <c r="Z982" t="s">
        <v>5613</v>
      </c>
      <c r="AA982">
        <v>2.2000000000000002</v>
      </c>
      <c r="AB982" t="s">
        <v>5613</v>
      </c>
      <c r="AC982" t="s">
        <v>6207</v>
      </c>
    </row>
    <row r="983" spans="1:29">
      <c r="A983" t="s">
        <v>6451</v>
      </c>
      <c r="C983" t="s">
        <v>6469</v>
      </c>
      <c r="D983" t="s">
        <v>5983</v>
      </c>
      <c r="E983" t="s">
        <v>2484</v>
      </c>
      <c r="F983" t="s">
        <v>5593</v>
      </c>
      <c r="G983" t="s">
        <v>5602</v>
      </c>
      <c r="H983" t="s">
        <v>5809</v>
      </c>
      <c r="I983">
        <v>5</v>
      </c>
      <c r="K983">
        <v>7.9</v>
      </c>
      <c r="L983" t="s">
        <v>5737</v>
      </c>
      <c r="M983">
        <v>42.5</v>
      </c>
      <c r="N983">
        <v>218</v>
      </c>
      <c r="O983">
        <v>21.9</v>
      </c>
      <c r="P983">
        <v>633</v>
      </c>
      <c r="Q983">
        <v>1.3</v>
      </c>
      <c r="R983" t="s">
        <v>5613</v>
      </c>
      <c r="W983">
        <v>1</v>
      </c>
      <c r="X983" t="s">
        <v>5613</v>
      </c>
      <c r="Y983">
        <v>4.7</v>
      </c>
      <c r="Z983" t="s">
        <v>5613</v>
      </c>
      <c r="AC983" t="s">
        <v>6207</v>
      </c>
    </row>
    <row r="984" spans="1:29">
      <c r="A984" t="s">
        <v>6451</v>
      </c>
      <c r="B984" t="s">
        <v>6143</v>
      </c>
      <c r="C984" t="s">
        <v>6470</v>
      </c>
      <c r="D984" t="s">
        <v>5710</v>
      </c>
      <c r="E984" t="s">
        <v>3726</v>
      </c>
      <c r="F984" t="s">
        <v>5605</v>
      </c>
      <c r="G984" t="s">
        <v>5594</v>
      </c>
      <c r="H984" t="s">
        <v>6146</v>
      </c>
      <c r="I984">
        <v>4</v>
      </c>
      <c r="J984" t="s">
        <v>5595</v>
      </c>
      <c r="K984">
        <v>19.399999999999999</v>
      </c>
      <c r="L984">
        <v>456</v>
      </c>
      <c r="M984">
        <v>8.8000000000000007</v>
      </c>
      <c r="N984" t="s">
        <v>5737</v>
      </c>
      <c r="O984">
        <v>27.6</v>
      </c>
      <c r="P984">
        <v>550</v>
      </c>
      <c r="Q984">
        <v>1.1000000000000001</v>
      </c>
      <c r="R984" t="s">
        <v>5613</v>
      </c>
      <c r="U984">
        <v>7</v>
      </c>
      <c r="V984" t="s">
        <v>5613</v>
      </c>
      <c r="W984">
        <v>1.1000000000000001</v>
      </c>
      <c r="X984" t="s">
        <v>5613</v>
      </c>
      <c r="Y984">
        <v>5</v>
      </c>
      <c r="Z984" t="s">
        <v>5613</v>
      </c>
      <c r="AA984">
        <v>1.3</v>
      </c>
      <c r="AB984" t="s">
        <v>5613</v>
      </c>
      <c r="AC984" t="s">
        <v>6207</v>
      </c>
    </row>
    <row r="985" spans="1:29">
      <c r="A985" t="s">
        <v>6451</v>
      </c>
      <c r="B985" t="s">
        <v>6056</v>
      </c>
      <c r="C985" t="s">
        <v>2483</v>
      </c>
      <c r="D985" t="s">
        <v>5983</v>
      </c>
      <c r="E985" t="s">
        <v>2484</v>
      </c>
      <c r="F985" t="s">
        <v>5588</v>
      </c>
      <c r="G985" t="s">
        <v>5602</v>
      </c>
      <c r="H985" t="s">
        <v>5590</v>
      </c>
      <c r="I985">
        <v>4</v>
      </c>
      <c r="J985" t="s">
        <v>5591</v>
      </c>
      <c r="K985">
        <v>9.6999999999999993</v>
      </c>
      <c r="L985" t="s">
        <v>5737</v>
      </c>
      <c r="M985">
        <v>10.4</v>
      </c>
      <c r="N985" t="s">
        <v>5737</v>
      </c>
      <c r="O985">
        <v>54.9</v>
      </c>
      <c r="P985">
        <v>277</v>
      </c>
      <c r="Q985">
        <v>2.2999999999999998</v>
      </c>
      <c r="R985" t="s">
        <v>5613</v>
      </c>
      <c r="S985">
        <v>1.2</v>
      </c>
      <c r="T985" t="s">
        <v>5613</v>
      </c>
      <c r="U985">
        <v>1.2</v>
      </c>
      <c r="V985" t="s">
        <v>5613</v>
      </c>
      <c r="W985">
        <v>2.2999999999999998</v>
      </c>
      <c r="X985" t="s">
        <v>5613</v>
      </c>
      <c r="Y985">
        <v>8.4</v>
      </c>
      <c r="Z985" t="s">
        <v>5613</v>
      </c>
      <c r="AA985">
        <v>9.8000000000000007</v>
      </c>
      <c r="AB985" t="s">
        <v>6210</v>
      </c>
      <c r="AC985" t="s">
        <v>6207</v>
      </c>
    </row>
    <row r="986" spans="1:29">
      <c r="A986" t="s">
        <v>6451</v>
      </c>
      <c r="B986" t="s">
        <v>6240</v>
      </c>
      <c r="C986" t="s">
        <v>6471</v>
      </c>
      <c r="D986" t="s">
        <v>5772</v>
      </c>
      <c r="E986" t="s">
        <v>386</v>
      </c>
      <c r="F986" t="s">
        <v>5605</v>
      </c>
      <c r="G986" t="s">
        <v>5589</v>
      </c>
      <c r="H986" t="s">
        <v>5590</v>
      </c>
      <c r="I986">
        <v>3</v>
      </c>
      <c r="J986" t="s">
        <v>5595</v>
      </c>
      <c r="K986">
        <v>7.3</v>
      </c>
      <c r="L986" t="s">
        <v>5737</v>
      </c>
      <c r="M986">
        <v>9.4</v>
      </c>
      <c r="N986" t="s">
        <v>5737</v>
      </c>
      <c r="O986">
        <v>6.4</v>
      </c>
      <c r="P986" t="s">
        <v>5613</v>
      </c>
      <c r="Q986">
        <v>4.0999999999999996</v>
      </c>
      <c r="R986" t="s">
        <v>5613</v>
      </c>
      <c r="S986">
        <v>15.3</v>
      </c>
      <c r="T986">
        <v>663</v>
      </c>
      <c r="U986">
        <v>14.8</v>
      </c>
      <c r="V986">
        <v>623</v>
      </c>
      <c r="W986">
        <v>13.7</v>
      </c>
      <c r="X986">
        <v>614</v>
      </c>
      <c r="Y986">
        <v>9.3000000000000007</v>
      </c>
      <c r="Z986" t="s">
        <v>5613</v>
      </c>
      <c r="AA986">
        <v>60.4</v>
      </c>
      <c r="AB986" t="s">
        <v>5818</v>
      </c>
      <c r="AC986" t="s">
        <v>6207</v>
      </c>
    </row>
    <row r="987" spans="1:29">
      <c r="A987" t="s">
        <v>6451</v>
      </c>
      <c r="B987" t="s">
        <v>6143</v>
      </c>
      <c r="C987" t="s">
        <v>6472</v>
      </c>
      <c r="D987" t="s">
        <v>6194</v>
      </c>
      <c r="E987" t="s">
        <v>3283</v>
      </c>
      <c r="F987" t="s">
        <v>5615</v>
      </c>
      <c r="G987" t="s">
        <v>5602</v>
      </c>
      <c r="H987" t="s">
        <v>5590</v>
      </c>
      <c r="I987">
        <v>4</v>
      </c>
      <c r="J987" t="s">
        <v>5595</v>
      </c>
      <c r="K987">
        <v>17.2</v>
      </c>
      <c r="L987">
        <v>521</v>
      </c>
      <c r="M987">
        <v>21.2</v>
      </c>
      <c r="N987">
        <v>437</v>
      </c>
      <c r="O987">
        <v>11.6</v>
      </c>
      <c r="P987" t="s">
        <v>5613</v>
      </c>
      <c r="Q987">
        <v>2.9</v>
      </c>
      <c r="R987" t="s">
        <v>5613</v>
      </c>
      <c r="S987">
        <v>1.8</v>
      </c>
      <c r="T987" t="s">
        <v>5613</v>
      </c>
      <c r="U987">
        <v>1</v>
      </c>
      <c r="V987" t="s">
        <v>5613</v>
      </c>
      <c r="W987">
        <v>1</v>
      </c>
      <c r="X987" t="s">
        <v>5613</v>
      </c>
      <c r="Y987">
        <v>11.6</v>
      </c>
      <c r="Z987" t="s">
        <v>5613</v>
      </c>
      <c r="AA987">
        <v>1</v>
      </c>
      <c r="AB987" t="s">
        <v>5613</v>
      </c>
      <c r="AC987" t="s">
        <v>6207</v>
      </c>
    </row>
    <row r="988" spans="1:29">
      <c r="A988" t="s">
        <v>6451</v>
      </c>
      <c r="B988" t="s">
        <v>6240</v>
      </c>
      <c r="C988" t="s">
        <v>6473</v>
      </c>
      <c r="D988" t="s">
        <v>6474</v>
      </c>
      <c r="E988" t="s">
        <v>6475</v>
      </c>
      <c r="F988" t="s">
        <v>5593</v>
      </c>
      <c r="G988" t="s">
        <v>5589</v>
      </c>
      <c r="H988" t="s">
        <v>6146</v>
      </c>
      <c r="I988">
        <v>3</v>
      </c>
      <c r="J988" t="s">
        <v>5595</v>
      </c>
      <c r="K988">
        <v>8.8000000000000007</v>
      </c>
      <c r="L988" t="s">
        <v>5737</v>
      </c>
      <c r="M988">
        <v>30.7</v>
      </c>
      <c r="N988">
        <v>319</v>
      </c>
      <c r="O988">
        <v>23.8</v>
      </c>
      <c r="P988">
        <v>599</v>
      </c>
      <c r="Q988">
        <v>1.1000000000000001</v>
      </c>
      <c r="R988" t="s">
        <v>5613</v>
      </c>
      <c r="S988">
        <v>2.7</v>
      </c>
      <c r="T988" t="s">
        <v>5613</v>
      </c>
      <c r="U988">
        <v>3.9</v>
      </c>
      <c r="V988" t="s">
        <v>5613</v>
      </c>
      <c r="W988">
        <v>1</v>
      </c>
      <c r="X988" t="s">
        <v>5613</v>
      </c>
      <c r="Y988">
        <v>14.1</v>
      </c>
      <c r="Z988">
        <v>604</v>
      </c>
      <c r="AA988">
        <v>1</v>
      </c>
      <c r="AB988" t="s">
        <v>5613</v>
      </c>
      <c r="AC988" t="s">
        <v>6207</v>
      </c>
    </row>
    <row r="989" spans="1:29">
      <c r="A989" t="s">
        <v>6451</v>
      </c>
      <c r="B989" t="s">
        <v>6343</v>
      </c>
      <c r="C989" t="s">
        <v>6476</v>
      </c>
      <c r="D989" t="s">
        <v>6477</v>
      </c>
      <c r="E989" t="s">
        <v>2171</v>
      </c>
      <c r="F989" t="s">
        <v>5593</v>
      </c>
      <c r="G989" t="s">
        <v>5594</v>
      </c>
      <c r="H989" t="s">
        <v>5590</v>
      </c>
      <c r="I989">
        <v>2</v>
      </c>
      <c r="J989" t="s">
        <v>5595</v>
      </c>
      <c r="K989">
        <v>8</v>
      </c>
      <c r="L989" t="s">
        <v>5737</v>
      </c>
      <c r="M989">
        <v>2.6</v>
      </c>
      <c r="N989" t="s">
        <v>5737</v>
      </c>
      <c r="O989">
        <v>20.8</v>
      </c>
      <c r="P989">
        <v>649</v>
      </c>
      <c r="Q989">
        <v>4.8</v>
      </c>
      <c r="R989" t="s">
        <v>5613</v>
      </c>
      <c r="S989">
        <v>21.9</v>
      </c>
      <c r="T989">
        <v>573</v>
      </c>
      <c r="U989">
        <v>5.0999999999999996</v>
      </c>
      <c r="V989" t="s">
        <v>5613</v>
      </c>
      <c r="W989">
        <v>50.2</v>
      </c>
      <c r="X989">
        <v>311</v>
      </c>
      <c r="Y989">
        <v>27.3</v>
      </c>
      <c r="Z989">
        <v>299</v>
      </c>
      <c r="AA989">
        <v>8.3000000000000007</v>
      </c>
      <c r="AB989" t="s">
        <v>5613</v>
      </c>
      <c r="AC989" t="s">
        <v>6207</v>
      </c>
    </row>
    <row r="990" spans="1:29">
      <c r="A990" t="s">
        <v>6451</v>
      </c>
      <c r="B990" t="s">
        <v>6240</v>
      </c>
      <c r="C990" t="s">
        <v>6478</v>
      </c>
      <c r="D990" t="s">
        <v>5624</v>
      </c>
      <c r="E990" t="s">
        <v>125</v>
      </c>
      <c r="F990" t="s">
        <v>5593</v>
      </c>
      <c r="G990" t="s">
        <v>5602</v>
      </c>
      <c r="H990" t="s">
        <v>5590</v>
      </c>
      <c r="I990">
        <v>5</v>
      </c>
      <c r="J990" t="s">
        <v>5595</v>
      </c>
      <c r="K990">
        <v>14</v>
      </c>
      <c r="L990" t="s">
        <v>5737</v>
      </c>
      <c r="M990">
        <v>3</v>
      </c>
      <c r="N990" t="s">
        <v>5737</v>
      </c>
      <c r="O990">
        <v>1.5</v>
      </c>
      <c r="P990" t="s">
        <v>5613</v>
      </c>
      <c r="Q990">
        <v>5.4</v>
      </c>
      <c r="R990" t="s">
        <v>5613</v>
      </c>
      <c r="S990">
        <v>29.4</v>
      </c>
      <c r="T990">
        <v>493</v>
      </c>
      <c r="U990">
        <v>52.3</v>
      </c>
      <c r="V990">
        <v>276</v>
      </c>
      <c r="W990">
        <v>13.6</v>
      </c>
      <c r="X990">
        <v>615</v>
      </c>
      <c r="Y990">
        <v>6.4</v>
      </c>
      <c r="Z990" t="s">
        <v>5613</v>
      </c>
      <c r="AA990">
        <v>1</v>
      </c>
      <c r="AB990" t="s">
        <v>5613</v>
      </c>
      <c r="AC990" t="s">
        <v>6207</v>
      </c>
    </row>
    <row r="991" spans="1:29">
      <c r="A991" t="s">
        <v>6451</v>
      </c>
      <c r="B991" t="s">
        <v>6143</v>
      </c>
      <c r="C991" t="s">
        <v>1683</v>
      </c>
      <c r="D991" t="s">
        <v>5672</v>
      </c>
      <c r="E991" t="s">
        <v>664</v>
      </c>
      <c r="F991" t="s">
        <v>5588</v>
      </c>
      <c r="G991" t="s">
        <v>5602</v>
      </c>
      <c r="H991" t="s">
        <v>5590</v>
      </c>
      <c r="I991">
        <v>3</v>
      </c>
      <c r="J991" t="s">
        <v>5595</v>
      </c>
      <c r="K991">
        <v>11.9</v>
      </c>
      <c r="L991" t="s">
        <v>5737</v>
      </c>
      <c r="M991">
        <v>11</v>
      </c>
      <c r="N991" t="s">
        <v>5737</v>
      </c>
      <c r="O991">
        <v>25</v>
      </c>
      <c r="P991">
        <v>584</v>
      </c>
      <c r="Q991">
        <v>2.5</v>
      </c>
      <c r="R991" t="s">
        <v>5613</v>
      </c>
      <c r="S991">
        <v>21</v>
      </c>
      <c r="T991">
        <v>583</v>
      </c>
      <c r="U991">
        <v>28.7</v>
      </c>
      <c r="V991">
        <v>433</v>
      </c>
      <c r="W991">
        <v>1.1000000000000001</v>
      </c>
      <c r="X991" t="s">
        <v>5613</v>
      </c>
      <c r="Y991">
        <v>9.6</v>
      </c>
      <c r="Z991" t="s">
        <v>5613</v>
      </c>
      <c r="AA991">
        <v>6.6</v>
      </c>
      <c r="AB991" t="s">
        <v>5613</v>
      </c>
      <c r="AC991" t="s">
        <v>6207</v>
      </c>
    </row>
    <row r="992" spans="1:29">
      <c r="A992" t="s">
        <v>6451</v>
      </c>
      <c r="B992" t="s">
        <v>6143</v>
      </c>
      <c r="C992" t="s">
        <v>3323</v>
      </c>
      <c r="D992" t="s">
        <v>6479</v>
      </c>
      <c r="E992" t="s">
        <v>2157</v>
      </c>
      <c r="F992" t="s">
        <v>5605</v>
      </c>
      <c r="G992" t="s">
        <v>5594</v>
      </c>
      <c r="H992" t="s">
        <v>5590</v>
      </c>
      <c r="I992">
        <v>4</v>
      </c>
      <c r="J992" t="s">
        <v>5595</v>
      </c>
      <c r="K992">
        <v>9.5</v>
      </c>
      <c r="L992" t="s">
        <v>5737</v>
      </c>
      <c r="M992">
        <v>11.4</v>
      </c>
      <c r="N992" t="s">
        <v>5737</v>
      </c>
      <c r="O992">
        <v>30.9</v>
      </c>
      <c r="P992">
        <v>507</v>
      </c>
      <c r="Q992">
        <v>1.5</v>
      </c>
      <c r="R992" t="s">
        <v>5613</v>
      </c>
      <c r="S992">
        <v>1.8</v>
      </c>
      <c r="T992" t="s">
        <v>5613</v>
      </c>
      <c r="U992">
        <v>1.1000000000000001</v>
      </c>
      <c r="V992" t="s">
        <v>5613</v>
      </c>
      <c r="W992">
        <v>14.1</v>
      </c>
      <c r="X992">
        <v>612</v>
      </c>
      <c r="Y992">
        <v>31.4</v>
      </c>
      <c r="Z992">
        <v>243</v>
      </c>
      <c r="AA992">
        <v>14.2</v>
      </c>
      <c r="AB992" t="s">
        <v>5662</v>
      </c>
      <c r="AC992" t="s">
        <v>6207</v>
      </c>
    </row>
    <row r="993" spans="1:29">
      <c r="A993" t="s">
        <v>6451</v>
      </c>
      <c r="B993" t="s">
        <v>6143</v>
      </c>
      <c r="C993" t="s">
        <v>6480</v>
      </c>
      <c r="D993" t="s">
        <v>6192</v>
      </c>
      <c r="E993" t="s">
        <v>4229</v>
      </c>
      <c r="F993" t="s">
        <v>5593</v>
      </c>
      <c r="G993" t="s">
        <v>5589</v>
      </c>
      <c r="H993" t="s">
        <v>5809</v>
      </c>
      <c r="I993">
        <v>3</v>
      </c>
      <c r="J993" t="s">
        <v>5595</v>
      </c>
      <c r="K993">
        <v>10.7</v>
      </c>
      <c r="L993" t="s">
        <v>5737</v>
      </c>
      <c r="M993">
        <v>7.6</v>
      </c>
      <c r="N993" t="s">
        <v>5737</v>
      </c>
      <c r="O993">
        <v>7.3</v>
      </c>
      <c r="P993" t="s">
        <v>5613</v>
      </c>
      <c r="Q993">
        <v>2.1</v>
      </c>
      <c r="R993" t="s">
        <v>5613</v>
      </c>
      <c r="S993">
        <v>87.6</v>
      </c>
      <c r="T993">
        <v>196</v>
      </c>
      <c r="U993">
        <v>11.4</v>
      </c>
      <c r="V993">
        <v>684</v>
      </c>
      <c r="W993">
        <v>1.3</v>
      </c>
      <c r="X993" t="s">
        <v>5613</v>
      </c>
      <c r="Y993">
        <v>6.8</v>
      </c>
      <c r="Z993" t="s">
        <v>5613</v>
      </c>
      <c r="AA993">
        <v>3</v>
      </c>
      <c r="AB993" t="s">
        <v>5613</v>
      </c>
      <c r="AC993" t="s">
        <v>6207</v>
      </c>
    </row>
    <row r="994" spans="1:29">
      <c r="A994" t="s">
        <v>6451</v>
      </c>
      <c r="B994" t="s">
        <v>6240</v>
      </c>
      <c r="C994" t="s">
        <v>1202</v>
      </c>
      <c r="D994" t="s">
        <v>5747</v>
      </c>
      <c r="E994" t="s">
        <v>397</v>
      </c>
      <c r="F994" t="s">
        <v>5593</v>
      </c>
      <c r="G994" t="s">
        <v>5589</v>
      </c>
      <c r="H994" t="s">
        <v>5590</v>
      </c>
      <c r="I994">
        <v>4</v>
      </c>
      <c r="J994" t="s">
        <v>5595</v>
      </c>
      <c r="K994">
        <v>5.7</v>
      </c>
      <c r="L994" t="s">
        <v>5737</v>
      </c>
      <c r="M994">
        <v>2</v>
      </c>
      <c r="N994" t="s">
        <v>5737</v>
      </c>
      <c r="O994">
        <v>3.9</v>
      </c>
      <c r="P994" t="s">
        <v>5613</v>
      </c>
      <c r="Q994">
        <v>25.7</v>
      </c>
      <c r="R994">
        <v>473</v>
      </c>
      <c r="S994">
        <v>6.2</v>
      </c>
      <c r="T994" t="s">
        <v>5613</v>
      </c>
      <c r="U994">
        <v>5.7</v>
      </c>
      <c r="V994" t="s">
        <v>5613</v>
      </c>
      <c r="W994">
        <v>49.6</v>
      </c>
      <c r="X994">
        <v>316</v>
      </c>
      <c r="Y994">
        <v>4.7</v>
      </c>
      <c r="Z994" t="s">
        <v>5613</v>
      </c>
      <c r="AA994">
        <v>3.3</v>
      </c>
      <c r="AB994" t="s">
        <v>5613</v>
      </c>
      <c r="AC994" t="s">
        <v>6207</v>
      </c>
    </row>
    <row r="995" spans="1:29">
      <c r="A995" t="s">
        <v>6451</v>
      </c>
      <c r="B995" t="s">
        <v>6143</v>
      </c>
      <c r="C995" t="s">
        <v>6481</v>
      </c>
      <c r="D995" t="s">
        <v>5901</v>
      </c>
      <c r="E995" t="s">
        <v>1543</v>
      </c>
      <c r="F995" t="s">
        <v>5593</v>
      </c>
      <c r="G995" t="s">
        <v>5602</v>
      </c>
      <c r="H995" t="s">
        <v>5590</v>
      </c>
      <c r="I995">
        <v>4</v>
      </c>
      <c r="J995" t="s">
        <v>5595</v>
      </c>
      <c r="K995">
        <v>11.5</v>
      </c>
      <c r="L995" t="s">
        <v>5737</v>
      </c>
      <c r="M995">
        <v>7</v>
      </c>
      <c r="N995" t="s">
        <v>5737</v>
      </c>
      <c r="O995">
        <v>32.1</v>
      </c>
      <c r="P995">
        <v>493</v>
      </c>
      <c r="Q995">
        <v>3.8</v>
      </c>
      <c r="R995" t="s">
        <v>5613</v>
      </c>
      <c r="S995">
        <v>4.5999999999999996</v>
      </c>
      <c r="T995" t="s">
        <v>5613</v>
      </c>
      <c r="U995">
        <v>2.2999999999999998</v>
      </c>
      <c r="V995" t="s">
        <v>5613</v>
      </c>
      <c r="W995">
        <v>28</v>
      </c>
      <c r="X995">
        <v>472</v>
      </c>
      <c r="Y995">
        <v>10</v>
      </c>
      <c r="Z995" t="s">
        <v>5613</v>
      </c>
      <c r="AA995">
        <v>2.6</v>
      </c>
      <c r="AB995" t="s">
        <v>5613</v>
      </c>
      <c r="AC995" t="s">
        <v>6207</v>
      </c>
    </row>
    <row r="996" spans="1:29">
      <c r="A996" t="s">
        <v>6451</v>
      </c>
      <c r="B996" t="s">
        <v>6343</v>
      </c>
      <c r="C996" t="s">
        <v>2334</v>
      </c>
      <c r="D996" t="s">
        <v>6482</v>
      </c>
      <c r="E996" t="s">
        <v>1433</v>
      </c>
      <c r="F996" t="s">
        <v>5605</v>
      </c>
      <c r="G996" t="s">
        <v>5594</v>
      </c>
      <c r="H996" t="s">
        <v>5809</v>
      </c>
      <c r="I996">
        <v>4</v>
      </c>
      <c r="J996" t="s">
        <v>5595</v>
      </c>
      <c r="K996">
        <v>10.5</v>
      </c>
      <c r="L996" t="s">
        <v>5737</v>
      </c>
      <c r="M996">
        <v>9.4</v>
      </c>
      <c r="N996" t="s">
        <v>5737</v>
      </c>
      <c r="O996">
        <v>1.8</v>
      </c>
      <c r="P996" t="s">
        <v>5613</v>
      </c>
      <c r="Q996">
        <v>5.0999999999999996</v>
      </c>
      <c r="R996" t="s">
        <v>5613</v>
      </c>
      <c r="S996">
        <v>4.9000000000000004</v>
      </c>
      <c r="T996" t="s">
        <v>5613</v>
      </c>
      <c r="U996">
        <v>1.8</v>
      </c>
      <c r="V996" t="s">
        <v>5613</v>
      </c>
      <c r="W996">
        <v>28.9</v>
      </c>
      <c r="X996">
        <v>463</v>
      </c>
      <c r="Y996">
        <v>64.099999999999994</v>
      </c>
      <c r="Z996">
        <v>89</v>
      </c>
      <c r="AA996">
        <v>9.6999999999999993</v>
      </c>
      <c r="AB996" t="s">
        <v>6227</v>
      </c>
      <c r="AC996" t="s">
        <v>6207</v>
      </c>
    </row>
    <row r="997" spans="1:29">
      <c r="A997" t="s">
        <v>6451</v>
      </c>
      <c r="B997" t="s">
        <v>6143</v>
      </c>
      <c r="C997" t="s">
        <v>3653</v>
      </c>
      <c r="D997" t="s">
        <v>5901</v>
      </c>
      <c r="E997" t="s">
        <v>1543</v>
      </c>
      <c r="F997" t="s">
        <v>5593</v>
      </c>
      <c r="G997" t="s">
        <v>5589</v>
      </c>
      <c r="H997" t="s">
        <v>5590</v>
      </c>
      <c r="I997">
        <v>4</v>
      </c>
      <c r="J997" t="s">
        <v>5595</v>
      </c>
      <c r="K997">
        <v>11.7</v>
      </c>
      <c r="L997" t="s">
        <v>5737</v>
      </c>
      <c r="M997">
        <v>4.3</v>
      </c>
      <c r="N997" t="s">
        <v>5737</v>
      </c>
      <c r="O997">
        <v>39.700000000000003</v>
      </c>
      <c r="P997">
        <v>400</v>
      </c>
      <c r="Q997">
        <v>3.2</v>
      </c>
      <c r="R997" t="s">
        <v>5613</v>
      </c>
      <c r="S997">
        <v>4.2</v>
      </c>
      <c r="T997" t="s">
        <v>5613</v>
      </c>
      <c r="U997">
        <v>12.8</v>
      </c>
      <c r="V997">
        <v>666</v>
      </c>
      <c r="W997">
        <v>26.7</v>
      </c>
      <c r="X997">
        <v>485</v>
      </c>
      <c r="Y997">
        <v>11.8</v>
      </c>
      <c r="Z997" t="s">
        <v>5613</v>
      </c>
      <c r="AA997">
        <v>2.4</v>
      </c>
      <c r="AB997" t="s">
        <v>5613</v>
      </c>
      <c r="AC997" t="s">
        <v>6207</v>
      </c>
    </row>
    <row r="998" spans="1:29">
      <c r="A998" t="s">
        <v>6451</v>
      </c>
      <c r="B998" t="s">
        <v>6143</v>
      </c>
      <c r="C998" t="s">
        <v>6483</v>
      </c>
      <c r="D998" t="s">
        <v>5612</v>
      </c>
      <c r="E998" t="s">
        <v>116</v>
      </c>
      <c r="F998" t="s">
        <v>5593</v>
      </c>
      <c r="G998" t="s">
        <v>5589</v>
      </c>
      <c r="H998" t="s">
        <v>5590</v>
      </c>
      <c r="I998">
        <v>3</v>
      </c>
      <c r="J998" t="s">
        <v>5595</v>
      </c>
      <c r="K998">
        <v>10.9</v>
      </c>
      <c r="L998" t="s">
        <v>5737</v>
      </c>
      <c r="M998">
        <v>6.3</v>
      </c>
      <c r="N998" t="s">
        <v>5737</v>
      </c>
      <c r="O998">
        <v>2.2999999999999998</v>
      </c>
      <c r="P998" t="s">
        <v>5613</v>
      </c>
      <c r="Q998">
        <v>25.4</v>
      </c>
      <c r="R998">
        <v>478</v>
      </c>
      <c r="S998">
        <v>2.9</v>
      </c>
      <c r="T998" t="s">
        <v>5613</v>
      </c>
      <c r="U998">
        <v>5.5</v>
      </c>
      <c r="V998" t="s">
        <v>5613</v>
      </c>
      <c r="W998">
        <v>8.1</v>
      </c>
      <c r="X998" t="s">
        <v>5613</v>
      </c>
      <c r="Y998">
        <v>9.1</v>
      </c>
      <c r="Z998" t="s">
        <v>5613</v>
      </c>
      <c r="AA998">
        <v>14.5</v>
      </c>
      <c r="AB998" t="s">
        <v>6378</v>
      </c>
      <c r="AC998" t="s">
        <v>6207</v>
      </c>
    </row>
    <row r="999" spans="1:29">
      <c r="A999" t="s">
        <v>6451</v>
      </c>
      <c r="B999" t="s">
        <v>6143</v>
      </c>
      <c r="C999" t="s">
        <v>2486</v>
      </c>
      <c r="D999" t="s">
        <v>5959</v>
      </c>
      <c r="E999" t="s">
        <v>1102</v>
      </c>
      <c r="F999" t="s">
        <v>5588</v>
      </c>
      <c r="G999" t="s">
        <v>5602</v>
      </c>
      <c r="H999" t="s">
        <v>5590</v>
      </c>
      <c r="I999">
        <v>4</v>
      </c>
      <c r="J999" t="s">
        <v>5595</v>
      </c>
      <c r="K999">
        <v>6</v>
      </c>
      <c r="L999" t="s">
        <v>5737</v>
      </c>
      <c r="M999">
        <v>9</v>
      </c>
      <c r="N999" t="s">
        <v>5737</v>
      </c>
      <c r="O999">
        <v>36</v>
      </c>
      <c r="P999">
        <v>442</v>
      </c>
      <c r="Q999">
        <v>17.399999999999999</v>
      </c>
      <c r="R999">
        <v>592</v>
      </c>
      <c r="U999">
        <v>2</v>
      </c>
      <c r="V999" t="s">
        <v>5613</v>
      </c>
      <c r="W999">
        <v>3.7</v>
      </c>
      <c r="X999" t="s">
        <v>5613</v>
      </c>
      <c r="Y999">
        <v>5.9</v>
      </c>
      <c r="Z999" t="s">
        <v>5613</v>
      </c>
      <c r="AA999">
        <v>1.2</v>
      </c>
      <c r="AB999" t="s">
        <v>5613</v>
      </c>
      <c r="AC999" t="s">
        <v>6207</v>
      </c>
    </row>
    <row r="1000" spans="1:29">
      <c r="A1000" t="s">
        <v>6451</v>
      </c>
      <c r="B1000" t="s">
        <v>6143</v>
      </c>
      <c r="C1000" t="s">
        <v>6484</v>
      </c>
      <c r="D1000" t="s">
        <v>5644</v>
      </c>
      <c r="E1000" t="s">
        <v>181</v>
      </c>
      <c r="F1000" t="s">
        <v>5588</v>
      </c>
      <c r="G1000" t="s">
        <v>5589</v>
      </c>
      <c r="H1000" t="s">
        <v>5590</v>
      </c>
      <c r="I1000">
        <v>3</v>
      </c>
      <c r="J1000" t="s">
        <v>5595</v>
      </c>
      <c r="K1000">
        <v>12.1</v>
      </c>
      <c r="L1000" t="s">
        <v>5737</v>
      </c>
      <c r="M1000">
        <v>10</v>
      </c>
      <c r="N1000" t="s">
        <v>5737</v>
      </c>
      <c r="O1000">
        <v>37.200000000000003</v>
      </c>
      <c r="P1000">
        <v>424</v>
      </c>
      <c r="Q1000">
        <v>8.1999999999999993</v>
      </c>
      <c r="R1000" t="s">
        <v>5613</v>
      </c>
      <c r="S1000">
        <v>3.2</v>
      </c>
      <c r="T1000" t="s">
        <v>5613</v>
      </c>
      <c r="U1000">
        <v>5.8</v>
      </c>
      <c r="V1000" t="s">
        <v>5613</v>
      </c>
      <c r="W1000">
        <v>1.3</v>
      </c>
      <c r="X1000" t="s">
        <v>5613</v>
      </c>
      <c r="Y1000">
        <v>9.1999999999999993</v>
      </c>
      <c r="Z1000" t="s">
        <v>5613</v>
      </c>
      <c r="AA1000">
        <v>1.4</v>
      </c>
      <c r="AB1000" t="s">
        <v>5613</v>
      </c>
      <c r="AC1000" t="s">
        <v>6207</v>
      </c>
    </row>
    <row r="1001" spans="1:29">
      <c r="A1001" t="s">
        <v>6451</v>
      </c>
      <c r="B1001" t="s">
        <v>6240</v>
      </c>
      <c r="C1001" t="s">
        <v>1774</v>
      </c>
      <c r="D1001" t="s">
        <v>5795</v>
      </c>
      <c r="E1001" t="s">
        <v>421</v>
      </c>
      <c r="F1001" t="s">
        <v>5593</v>
      </c>
      <c r="G1001" t="s">
        <v>5589</v>
      </c>
      <c r="H1001" t="s">
        <v>5590</v>
      </c>
      <c r="I1001">
        <v>4</v>
      </c>
      <c r="J1001" t="s">
        <v>5595</v>
      </c>
      <c r="K1001">
        <v>8.4</v>
      </c>
      <c r="L1001" t="s">
        <v>5737</v>
      </c>
      <c r="M1001">
        <v>7.8</v>
      </c>
      <c r="N1001" t="s">
        <v>5737</v>
      </c>
      <c r="O1001">
        <v>4.2</v>
      </c>
      <c r="P1001" t="s">
        <v>5613</v>
      </c>
      <c r="Q1001">
        <v>15.1</v>
      </c>
      <c r="R1001">
        <v>634</v>
      </c>
      <c r="S1001">
        <v>26.4</v>
      </c>
      <c r="T1001">
        <v>516</v>
      </c>
      <c r="U1001">
        <v>4</v>
      </c>
      <c r="V1001" t="s">
        <v>5613</v>
      </c>
      <c r="W1001">
        <v>40.5</v>
      </c>
      <c r="X1001">
        <v>372</v>
      </c>
      <c r="Y1001">
        <v>11.7</v>
      </c>
      <c r="Z1001" t="s">
        <v>5613</v>
      </c>
      <c r="AA1001">
        <v>4.9000000000000004</v>
      </c>
      <c r="AB1001" t="s">
        <v>5613</v>
      </c>
      <c r="AC1001" t="s">
        <v>6207</v>
      </c>
    </row>
    <row r="1002" spans="1:29">
      <c r="A1002" t="s">
        <v>6451</v>
      </c>
      <c r="B1002" t="s">
        <v>6143</v>
      </c>
      <c r="C1002" t="s">
        <v>6485</v>
      </c>
      <c r="D1002" t="s">
        <v>6144</v>
      </c>
      <c r="E1002" t="s">
        <v>1468</v>
      </c>
      <c r="F1002" t="s">
        <v>5605</v>
      </c>
      <c r="G1002" t="s">
        <v>5589</v>
      </c>
      <c r="H1002" t="s">
        <v>5809</v>
      </c>
      <c r="I1002">
        <v>3</v>
      </c>
      <c r="J1002" t="s">
        <v>5595</v>
      </c>
      <c r="K1002">
        <v>16.899999999999999</v>
      </c>
      <c r="L1002">
        <v>524</v>
      </c>
      <c r="M1002">
        <v>26.4</v>
      </c>
      <c r="N1002">
        <v>366</v>
      </c>
      <c r="O1002">
        <v>7</v>
      </c>
      <c r="P1002" t="s">
        <v>5613</v>
      </c>
      <c r="Q1002">
        <v>2</v>
      </c>
      <c r="R1002" t="s">
        <v>5613</v>
      </c>
      <c r="S1002">
        <v>2.8</v>
      </c>
      <c r="T1002" t="s">
        <v>5613</v>
      </c>
      <c r="U1002">
        <v>1.2</v>
      </c>
      <c r="V1002" t="s">
        <v>5613</v>
      </c>
      <c r="W1002">
        <v>2.2999999999999998</v>
      </c>
      <c r="X1002" t="s">
        <v>5613</v>
      </c>
      <c r="Y1002">
        <v>21.6</v>
      </c>
      <c r="Z1002">
        <v>386</v>
      </c>
      <c r="AA1002">
        <v>3.4</v>
      </c>
      <c r="AB1002" t="s">
        <v>5613</v>
      </c>
      <c r="AC1002" t="s">
        <v>6207</v>
      </c>
    </row>
    <row r="1003" spans="1:29">
      <c r="A1003" t="s">
        <v>6451</v>
      </c>
      <c r="B1003" t="s">
        <v>6143</v>
      </c>
      <c r="C1003" t="s">
        <v>6486</v>
      </c>
      <c r="D1003" t="s">
        <v>6144</v>
      </c>
      <c r="E1003" t="s">
        <v>1468</v>
      </c>
      <c r="F1003" t="s">
        <v>5605</v>
      </c>
      <c r="G1003" t="s">
        <v>5602</v>
      </c>
      <c r="H1003" t="s">
        <v>5590</v>
      </c>
      <c r="I1003">
        <v>3</v>
      </c>
      <c r="J1003" t="s">
        <v>5595</v>
      </c>
      <c r="K1003">
        <v>13.5</v>
      </c>
      <c r="L1003" t="s">
        <v>5737</v>
      </c>
      <c r="M1003">
        <v>21.1</v>
      </c>
      <c r="N1003">
        <v>439</v>
      </c>
      <c r="O1003">
        <v>9.4</v>
      </c>
      <c r="P1003" t="s">
        <v>5613</v>
      </c>
      <c r="Q1003">
        <v>2.2999999999999998</v>
      </c>
      <c r="R1003" t="s">
        <v>5613</v>
      </c>
      <c r="S1003">
        <v>4.7</v>
      </c>
      <c r="T1003" t="s">
        <v>5613</v>
      </c>
      <c r="U1003">
        <v>1.2</v>
      </c>
      <c r="V1003" t="s">
        <v>5613</v>
      </c>
      <c r="W1003">
        <v>10.7</v>
      </c>
      <c r="X1003">
        <v>657</v>
      </c>
      <c r="Y1003">
        <v>20.8</v>
      </c>
      <c r="Z1003">
        <v>399</v>
      </c>
      <c r="AA1003">
        <v>6.1</v>
      </c>
      <c r="AB1003" t="s">
        <v>5613</v>
      </c>
      <c r="AC1003" t="s">
        <v>6207</v>
      </c>
    </row>
    <row r="1004" spans="1:29">
      <c r="A1004" t="s">
        <v>6451</v>
      </c>
      <c r="B1004" t="s">
        <v>6143</v>
      </c>
      <c r="C1004" t="s">
        <v>6487</v>
      </c>
      <c r="D1004" t="s">
        <v>5644</v>
      </c>
      <c r="E1004" t="s">
        <v>181</v>
      </c>
      <c r="F1004" t="s">
        <v>5593</v>
      </c>
      <c r="G1004" t="s">
        <v>5594</v>
      </c>
      <c r="H1004" t="s">
        <v>5809</v>
      </c>
      <c r="I1004">
        <v>4</v>
      </c>
      <c r="J1004" t="s">
        <v>5926</v>
      </c>
      <c r="K1004">
        <v>5.5</v>
      </c>
      <c r="L1004" t="s">
        <v>5737</v>
      </c>
      <c r="M1004">
        <v>3.2</v>
      </c>
      <c r="N1004" t="s">
        <v>5737</v>
      </c>
      <c r="O1004">
        <v>14.3</v>
      </c>
      <c r="P1004" t="s">
        <v>5613</v>
      </c>
      <c r="Q1004">
        <v>23.3</v>
      </c>
      <c r="R1004">
        <v>511</v>
      </c>
      <c r="S1004">
        <v>39.799999999999997</v>
      </c>
      <c r="T1004">
        <v>413</v>
      </c>
      <c r="U1004">
        <v>6.1</v>
      </c>
      <c r="V1004" t="s">
        <v>5613</v>
      </c>
      <c r="W1004">
        <v>2.5</v>
      </c>
      <c r="X1004" t="s">
        <v>5613</v>
      </c>
      <c r="Y1004">
        <v>4.5</v>
      </c>
      <c r="Z1004" t="s">
        <v>5613</v>
      </c>
      <c r="AA1004">
        <v>1.3</v>
      </c>
      <c r="AB1004" t="s">
        <v>5613</v>
      </c>
      <c r="AC1004" t="s">
        <v>6207</v>
      </c>
    </row>
    <row r="1005" spans="1:29">
      <c r="A1005" t="s">
        <v>6451</v>
      </c>
      <c r="B1005" t="s">
        <v>6240</v>
      </c>
      <c r="C1005" t="s">
        <v>6488</v>
      </c>
      <c r="D1005" t="s">
        <v>5981</v>
      </c>
      <c r="E1005" t="s">
        <v>895</v>
      </c>
      <c r="F1005" t="s">
        <v>5593</v>
      </c>
      <c r="G1005" t="s">
        <v>5589</v>
      </c>
      <c r="H1005" t="s">
        <v>5590</v>
      </c>
      <c r="I1005">
        <v>5</v>
      </c>
      <c r="J1005" t="s">
        <v>5595</v>
      </c>
      <c r="K1005">
        <v>8.1</v>
      </c>
      <c r="L1005" t="s">
        <v>5737</v>
      </c>
      <c r="M1005">
        <v>21.5</v>
      </c>
      <c r="N1005">
        <v>433</v>
      </c>
      <c r="O1005">
        <v>5.0999999999999996</v>
      </c>
      <c r="P1005" t="s">
        <v>5613</v>
      </c>
      <c r="Q1005">
        <v>9.3000000000000007</v>
      </c>
      <c r="R1005" t="s">
        <v>5613</v>
      </c>
      <c r="S1005">
        <v>8.6999999999999993</v>
      </c>
      <c r="T1005" t="s">
        <v>5613</v>
      </c>
      <c r="U1005">
        <v>21.6</v>
      </c>
      <c r="V1005">
        <v>523</v>
      </c>
      <c r="W1005">
        <v>2</v>
      </c>
      <c r="X1005" t="s">
        <v>5613</v>
      </c>
      <c r="Y1005">
        <v>10.6</v>
      </c>
      <c r="Z1005" t="s">
        <v>5613</v>
      </c>
      <c r="AA1005">
        <v>24.4</v>
      </c>
      <c r="AB1005" t="s">
        <v>5784</v>
      </c>
      <c r="AC1005" t="s">
        <v>6207</v>
      </c>
    </row>
    <row r="1006" spans="1:29">
      <c r="A1006" t="s">
        <v>6451</v>
      </c>
      <c r="B1006" t="s">
        <v>6143</v>
      </c>
      <c r="C1006" t="s">
        <v>3233</v>
      </c>
      <c r="D1006" t="s">
        <v>5631</v>
      </c>
      <c r="E1006" t="s">
        <v>94</v>
      </c>
      <c r="F1006" t="s">
        <v>5588</v>
      </c>
      <c r="G1006" t="s">
        <v>5589</v>
      </c>
      <c r="H1006" t="s">
        <v>5590</v>
      </c>
      <c r="I1006">
        <v>4</v>
      </c>
      <c r="J1006" t="s">
        <v>5595</v>
      </c>
      <c r="K1006">
        <v>9.6</v>
      </c>
      <c r="L1006" t="s">
        <v>5737</v>
      </c>
      <c r="M1006">
        <v>18.3</v>
      </c>
      <c r="N1006">
        <v>480</v>
      </c>
      <c r="O1006">
        <v>16.7</v>
      </c>
      <c r="P1006" t="s">
        <v>5613</v>
      </c>
      <c r="Q1006">
        <v>8.3000000000000007</v>
      </c>
      <c r="R1006" t="s">
        <v>5613</v>
      </c>
      <c r="S1006">
        <v>8.8000000000000007</v>
      </c>
      <c r="T1006" t="s">
        <v>5613</v>
      </c>
      <c r="U1006">
        <v>9.4</v>
      </c>
      <c r="V1006" t="s">
        <v>5613</v>
      </c>
      <c r="W1006">
        <v>2</v>
      </c>
      <c r="X1006" t="s">
        <v>5613</v>
      </c>
      <c r="Y1006">
        <v>16.2</v>
      </c>
      <c r="Z1006">
        <v>517</v>
      </c>
      <c r="AA1006">
        <v>12.7</v>
      </c>
      <c r="AB1006" t="s">
        <v>6257</v>
      </c>
      <c r="AC1006" t="s">
        <v>6207</v>
      </c>
    </row>
    <row r="1007" spans="1:29">
      <c r="A1007" t="s">
        <v>6240</v>
      </c>
      <c r="C1007" t="s">
        <v>6489</v>
      </c>
      <c r="D1007" t="s">
        <v>5747</v>
      </c>
      <c r="E1007" t="s">
        <v>397</v>
      </c>
      <c r="F1007" t="s">
        <v>5593</v>
      </c>
      <c r="G1007" t="s">
        <v>5589</v>
      </c>
      <c r="H1007" t="s">
        <v>5590</v>
      </c>
      <c r="I1007">
        <v>4</v>
      </c>
      <c r="J1007" t="s">
        <v>5595</v>
      </c>
      <c r="K1007">
        <v>7</v>
      </c>
      <c r="L1007" t="s">
        <v>5737</v>
      </c>
      <c r="M1007">
        <v>1.6</v>
      </c>
      <c r="N1007" t="s">
        <v>5737</v>
      </c>
      <c r="O1007">
        <v>7.1</v>
      </c>
      <c r="P1007" t="s">
        <v>5613</v>
      </c>
      <c r="Q1007">
        <v>22</v>
      </c>
      <c r="R1007">
        <v>528</v>
      </c>
      <c r="S1007">
        <v>1.8</v>
      </c>
      <c r="T1007" t="s">
        <v>5613</v>
      </c>
      <c r="U1007">
        <v>1.5</v>
      </c>
      <c r="V1007" t="s">
        <v>5613</v>
      </c>
      <c r="W1007">
        <v>19.600000000000001</v>
      </c>
      <c r="X1007">
        <v>546</v>
      </c>
      <c r="Y1007">
        <v>4.7</v>
      </c>
      <c r="Z1007" t="s">
        <v>5613</v>
      </c>
      <c r="AC1007" t="s">
        <v>6207</v>
      </c>
    </row>
    <row r="1008" spans="1:29">
      <c r="A1008" t="s">
        <v>6240</v>
      </c>
      <c r="C1008" t="s">
        <v>2361</v>
      </c>
      <c r="D1008" t="s">
        <v>5989</v>
      </c>
      <c r="E1008" t="s">
        <v>1220</v>
      </c>
      <c r="F1008" t="s">
        <v>5605</v>
      </c>
      <c r="K1008">
        <v>6.9</v>
      </c>
      <c r="L1008" t="s">
        <v>5737</v>
      </c>
      <c r="M1008">
        <v>3.7</v>
      </c>
      <c r="N1008" t="s">
        <v>5737</v>
      </c>
      <c r="O1008">
        <v>1.4</v>
      </c>
      <c r="P1008" t="s">
        <v>5613</v>
      </c>
      <c r="Q1008">
        <v>24.6</v>
      </c>
      <c r="R1008">
        <v>494</v>
      </c>
      <c r="S1008">
        <v>1.7</v>
      </c>
      <c r="T1008" t="s">
        <v>5613</v>
      </c>
      <c r="U1008">
        <v>2.7</v>
      </c>
      <c r="V1008" t="s">
        <v>5613</v>
      </c>
      <c r="W1008">
        <v>15.2</v>
      </c>
      <c r="X1008">
        <v>596</v>
      </c>
      <c r="Y1008">
        <v>8.4</v>
      </c>
      <c r="Z1008" t="s">
        <v>5613</v>
      </c>
      <c r="AC1008" t="s">
        <v>6207</v>
      </c>
    </row>
    <row r="1009" spans="1:29">
      <c r="A1009" t="s">
        <v>6240</v>
      </c>
      <c r="B1009" t="s">
        <v>6240</v>
      </c>
      <c r="C1009" t="s">
        <v>6490</v>
      </c>
      <c r="D1009" t="s">
        <v>5620</v>
      </c>
      <c r="E1009" t="s">
        <v>76</v>
      </c>
      <c r="F1009" t="s">
        <v>5588</v>
      </c>
      <c r="G1009" t="s">
        <v>5589</v>
      </c>
      <c r="H1009" t="s">
        <v>6146</v>
      </c>
      <c r="K1009">
        <v>5</v>
      </c>
      <c r="L1009" t="s">
        <v>5737</v>
      </c>
      <c r="M1009">
        <v>3.3</v>
      </c>
      <c r="N1009" t="s">
        <v>5737</v>
      </c>
      <c r="O1009">
        <v>58</v>
      </c>
      <c r="P1009">
        <v>251</v>
      </c>
      <c r="Q1009">
        <v>1.1000000000000001</v>
      </c>
      <c r="R1009" t="s">
        <v>5613</v>
      </c>
      <c r="W1009">
        <v>1.1000000000000001</v>
      </c>
      <c r="X1009" t="s">
        <v>5613</v>
      </c>
      <c r="Y1009">
        <v>6.8</v>
      </c>
      <c r="Z1009" t="s">
        <v>5613</v>
      </c>
      <c r="AC1009" t="s">
        <v>6207</v>
      </c>
    </row>
    <row r="1010" spans="1:29">
      <c r="A1010" t="s">
        <v>6240</v>
      </c>
      <c r="B1010" t="s">
        <v>6240</v>
      </c>
      <c r="C1010" t="s">
        <v>6491</v>
      </c>
      <c r="D1010" t="s">
        <v>6492</v>
      </c>
      <c r="E1010" t="s">
        <v>6493</v>
      </c>
      <c r="F1010" t="s">
        <v>5588</v>
      </c>
      <c r="G1010" t="s">
        <v>5594</v>
      </c>
      <c r="H1010" t="s">
        <v>6146</v>
      </c>
      <c r="I1010">
        <v>3</v>
      </c>
      <c r="J1010" t="s">
        <v>5595</v>
      </c>
      <c r="K1010">
        <v>4.2</v>
      </c>
      <c r="L1010" t="s">
        <v>5737</v>
      </c>
      <c r="M1010">
        <v>10.7</v>
      </c>
      <c r="N1010" t="s">
        <v>5737</v>
      </c>
      <c r="O1010">
        <v>11.3</v>
      </c>
      <c r="P1010" t="s">
        <v>5613</v>
      </c>
      <c r="Q1010">
        <v>1.6</v>
      </c>
      <c r="R1010" t="s">
        <v>5613</v>
      </c>
      <c r="S1010">
        <v>55.1</v>
      </c>
      <c r="T1010">
        <v>335</v>
      </c>
      <c r="U1010">
        <v>34.5</v>
      </c>
      <c r="V1010">
        <v>384</v>
      </c>
      <c r="W1010">
        <v>1.1000000000000001</v>
      </c>
      <c r="X1010" t="s">
        <v>5613</v>
      </c>
      <c r="Y1010">
        <v>12.3</v>
      </c>
      <c r="Z1010" t="s">
        <v>5613</v>
      </c>
      <c r="AA1010">
        <v>1</v>
      </c>
      <c r="AB1010" t="s">
        <v>5613</v>
      </c>
      <c r="AC1010" t="s">
        <v>6207</v>
      </c>
    </row>
    <row r="1011" spans="1:29">
      <c r="A1011" t="s">
        <v>6240</v>
      </c>
      <c r="B1011" t="s">
        <v>6240</v>
      </c>
      <c r="C1011" t="s">
        <v>1395</v>
      </c>
      <c r="D1011" t="s">
        <v>5770</v>
      </c>
      <c r="E1011" t="s">
        <v>528</v>
      </c>
      <c r="F1011" t="s">
        <v>5593</v>
      </c>
      <c r="G1011" t="s">
        <v>5589</v>
      </c>
      <c r="H1011" t="s">
        <v>5590</v>
      </c>
      <c r="I1011">
        <v>5</v>
      </c>
      <c r="J1011" t="s">
        <v>5595</v>
      </c>
      <c r="K1011">
        <v>9.6999999999999993</v>
      </c>
      <c r="L1011" t="s">
        <v>5737</v>
      </c>
      <c r="M1011">
        <v>2.5</v>
      </c>
      <c r="N1011" t="s">
        <v>5737</v>
      </c>
      <c r="O1011">
        <v>20.8</v>
      </c>
      <c r="P1011">
        <v>651</v>
      </c>
      <c r="Q1011">
        <v>10.199999999999999</v>
      </c>
      <c r="R1011" t="s">
        <v>5613</v>
      </c>
      <c r="S1011">
        <v>1.2</v>
      </c>
      <c r="T1011" t="s">
        <v>5613</v>
      </c>
      <c r="U1011">
        <v>1.7</v>
      </c>
      <c r="V1011" t="s">
        <v>5613</v>
      </c>
      <c r="W1011">
        <v>5</v>
      </c>
      <c r="X1011" t="s">
        <v>5613</v>
      </c>
      <c r="Y1011">
        <v>6.1</v>
      </c>
      <c r="Z1011" t="s">
        <v>5613</v>
      </c>
      <c r="AA1011">
        <v>17.100000000000001</v>
      </c>
      <c r="AB1011" t="s">
        <v>6043</v>
      </c>
      <c r="AC1011" t="s">
        <v>6207</v>
      </c>
    </row>
    <row r="1012" spans="1:29">
      <c r="A1012" t="s">
        <v>6240</v>
      </c>
      <c r="B1012" t="s">
        <v>6240</v>
      </c>
      <c r="C1012" t="s">
        <v>1815</v>
      </c>
      <c r="D1012" t="s">
        <v>5770</v>
      </c>
      <c r="E1012" t="s">
        <v>528</v>
      </c>
      <c r="F1012" t="s">
        <v>5593</v>
      </c>
      <c r="G1012" t="s">
        <v>5589</v>
      </c>
      <c r="H1012" t="s">
        <v>5590</v>
      </c>
      <c r="I1012">
        <v>2</v>
      </c>
      <c r="J1012" t="s">
        <v>5591</v>
      </c>
      <c r="K1012">
        <v>8.5</v>
      </c>
      <c r="L1012" t="s">
        <v>5737</v>
      </c>
      <c r="M1012">
        <v>7.6</v>
      </c>
      <c r="N1012" t="s">
        <v>5737</v>
      </c>
      <c r="O1012">
        <v>10.6</v>
      </c>
      <c r="P1012" t="s">
        <v>5613</v>
      </c>
      <c r="Q1012">
        <v>5.9</v>
      </c>
      <c r="R1012" t="s">
        <v>5613</v>
      </c>
      <c r="S1012">
        <v>3.8</v>
      </c>
      <c r="T1012" t="s">
        <v>5613</v>
      </c>
      <c r="U1012">
        <v>21.8</v>
      </c>
      <c r="V1012">
        <v>519</v>
      </c>
      <c r="W1012">
        <v>22.4</v>
      </c>
      <c r="X1012">
        <v>524</v>
      </c>
      <c r="Y1012">
        <v>9.1</v>
      </c>
      <c r="Z1012" t="s">
        <v>5613</v>
      </c>
      <c r="AA1012">
        <v>1.9</v>
      </c>
      <c r="AB1012" t="s">
        <v>5613</v>
      </c>
      <c r="AC1012" t="s">
        <v>6207</v>
      </c>
    </row>
    <row r="1013" spans="1:29">
      <c r="A1013" t="s">
        <v>6240</v>
      </c>
      <c r="B1013" t="s">
        <v>6240</v>
      </c>
      <c r="C1013" t="s">
        <v>1817</v>
      </c>
      <c r="D1013" t="s">
        <v>5770</v>
      </c>
      <c r="E1013" t="s">
        <v>528</v>
      </c>
      <c r="F1013" t="s">
        <v>5593</v>
      </c>
      <c r="G1013" t="s">
        <v>5594</v>
      </c>
      <c r="H1013" t="s">
        <v>5590</v>
      </c>
      <c r="I1013">
        <v>2</v>
      </c>
      <c r="J1013" t="s">
        <v>5591</v>
      </c>
      <c r="K1013">
        <v>4.8</v>
      </c>
      <c r="L1013" t="s">
        <v>5737</v>
      </c>
      <c r="M1013">
        <v>4.0999999999999996</v>
      </c>
      <c r="N1013" t="s">
        <v>5737</v>
      </c>
      <c r="O1013">
        <v>25.3</v>
      </c>
      <c r="P1013">
        <v>579</v>
      </c>
      <c r="Q1013">
        <v>5.2</v>
      </c>
      <c r="R1013" t="s">
        <v>5613</v>
      </c>
      <c r="S1013">
        <v>37</v>
      </c>
      <c r="T1013">
        <v>438</v>
      </c>
      <c r="U1013">
        <v>1.7</v>
      </c>
      <c r="V1013" t="s">
        <v>5613</v>
      </c>
      <c r="W1013">
        <v>1.4</v>
      </c>
      <c r="X1013" t="s">
        <v>5613</v>
      </c>
      <c r="Y1013">
        <v>4.5</v>
      </c>
      <c r="Z1013" t="s">
        <v>5613</v>
      </c>
      <c r="AA1013">
        <v>1.1000000000000001</v>
      </c>
      <c r="AB1013" t="s">
        <v>5613</v>
      </c>
      <c r="AC1013" t="s">
        <v>6207</v>
      </c>
    </row>
    <row r="1014" spans="1:29">
      <c r="A1014" t="s">
        <v>6240</v>
      </c>
      <c r="B1014" t="s">
        <v>6240</v>
      </c>
      <c r="C1014" t="s">
        <v>2223</v>
      </c>
      <c r="D1014" t="s">
        <v>6492</v>
      </c>
      <c r="E1014" t="s">
        <v>6493</v>
      </c>
      <c r="F1014" t="s">
        <v>5593</v>
      </c>
      <c r="G1014" t="s">
        <v>5594</v>
      </c>
      <c r="H1014" t="s">
        <v>6146</v>
      </c>
      <c r="I1014">
        <v>4</v>
      </c>
      <c r="J1014" t="s">
        <v>5595</v>
      </c>
      <c r="K1014">
        <v>6.4</v>
      </c>
      <c r="L1014" t="s">
        <v>5737</v>
      </c>
      <c r="M1014">
        <v>16.5</v>
      </c>
      <c r="N1014">
        <v>518</v>
      </c>
      <c r="O1014">
        <v>7.3</v>
      </c>
      <c r="P1014" t="s">
        <v>5613</v>
      </c>
      <c r="Q1014">
        <v>2.2000000000000002</v>
      </c>
      <c r="R1014" t="s">
        <v>5613</v>
      </c>
      <c r="S1014">
        <v>36.200000000000003</v>
      </c>
      <c r="T1014">
        <v>446</v>
      </c>
      <c r="U1014">
        <v>25</v>
      </c>
      <c r="V1014">
        <v>473</v>
      </c>
      <c r="W1014">
        <v>1.3</v>
      </c>
      <c r="X1014" t="s">
        <v>5613</v>
      </c>
      <c r="Y1014">
        <v>10.9</v>
      </c>
      <c r="Z1014" t="s">
        <v>5613</v>
      </c>
      <c r="AA1014">
        <v>3.1</v>
      </c>
      <c r="AB1014" t="s">
        <v>5613</v>
      </c>
      <c r="AC1014" t="s">
        <v>6207</v>
      </c>
    </row>
    <row r="1015" spans="1:29">
      <c r="A1015" t="s">
        <v>6240</v>
      </c>
      <c r="C1015" t="s">
        <v>2647</v>
      </c>
      <c r="D1015" t="s">
        <v>6015</v>
      </c>
      <c r="E1015" t="s">
        <v>1483</v>
      </c>
      <c r="F1015" t="s">
        <v>5593</v>
      </c>
      <c r="G1015" t="s">
        <v>5602</v>
      </c>
      <c r="H1015" t="s">
        <v>5809</v>
      </c>
      <c r="I1015">
        <v>4</v>
      </c>
      <c r="J1015" t="s">
        <v>5595</v>
      </c>
      <c r="K1015">
        <v>5.3</v>
      </c>
      <c r="L1015" t="s">
        <v>5737</v>
      </c>
      <c r="M1015">
        <v>5.8</v>
      </c>
      <c r="N1015" t="s">
        <v>5737</v>
      </c>
      <c r="O1015">
        <v>32.6</v>
      </c>
      <c r="P1015">
        <v>486</v>
      </c>
      <c r="Q1015">
        <v>1.5</v>
      </c>
      <c r="R1015" t="s">
        <v>5613</v>
      </c>
      <c r="S1015">
        <v>6.9</v>
      </c>
      <c r="T1015" t="s">
        <v>5613</v>
      </c>
      <c r="U1015">
        <v>26.8</v>
      </c>
      <c r="V1015">
        <v>450</v>
      </c>
      <c r="W1015">
        <v>1.1000000000000001</v>
      </c>
      <c r="X1015" t="s">
        <v>5613</v>
      </c>
      <c r="Y1015">
        <v>11.4</v>
      </c>
      <c r="Z1015" t="s">
        <v>5613</v>
      </c>
      <c r="AA1015">
        <v>1.1000000000000001</v>
      </c>
      <c r="AB1015" t="s">
        <v>5613</v>
      </c>
      <c r="AC1015" t="s">
        <v>6207</v>
      </c>
    </row>
    <row r="1016" spans="1:29">
      <c r="A1016" t="s">
        <v>6240</v>
      </c>
      <c r="B1016" t="s">
        <v>6240</v>
      </c>
      <c r="C1016" t="s">
        <v>6494</v>
      </c>
      <c r="D1016" t="s">
        <v>6015</v>
      </c>
      <c r="E1016" t="s">
        <v>1483</v>
      </c>
      <c r="F1016" t="s">
        <v>5605</v>
      </c>
      <c r="G1016" t="s">
        <v>5594</v>
      </c>
      <c r="H1016" t="s">
        <v>5809</v>
      </c>
      <c r="I1016">
        <v>4</v>
      </c>
      <c r="J1016" t="s">
        <v>5595</v>
      </c>
      <c r="K1016">
        <v>11.2</v>
      </c>
      <c r="L1016" t="s">
        <v>5737</v>
      </c>
      <c r="M1016">
        <v>6.9</v>
      </c>
      <c r="N1016" t="s">
        <v>5737</v>
      </c>
      <c r="O1016">
        <v>12.3</v>
      </c>
      <c r="P1016" t="s">
        <v>5613</v>
      </c>
      <c r="Q1016">
        <v>2.2999999999999998</v>
      </c>
      <c r="R1016" t="s">
        <v>5613</v>
      </c>
      <c r="S1016">
        <v>15.5</v>
      </c>
      <c r="T1016">
        <v>660</v>
      </c>
      <c r="U1016">
        <v>4</v>
      </c>
      <c r="V1016" t="s">
        <v>5613</v>
      </c>
      <c r="W1016">
        <v>10.7</v>
      </c>
      <c r="X1016">
        <v>658</v>
      </c>
      <c r="Y1016">
        <v>6.9</v>
      </c>
      <c r="Z1016" t="s">
        <v>5613</v>
      </c>
      <c r="AA1016">
        <v>1.9</v>
      </c>
      <c r="AB1016" t="s">
        <v>5613</v>
      </c>
      <c r="AC1016" t="s">
        <v>6207</v>
      </c>
    </row>
    <row r="1017" spans="1:29">
      <c r="A1017" t="s">
        <v>6240</v>
      </c>
      <c r="B1017" t="s">
        <v>6240</v>
      </c>
      <c r="C1017" t="s">
        <v>4263</v>
      </c>
      <c r="D1017" t="s">
        <v>6495</v>
      </c>
      <c r="E1017" t="s">
        <v>3326</v>
      </c>
      <c r="F1017" t="s">
        <v>5593</v>
      </c>
      <c r="G1017" t="s">
        <v>5651</v>
      </c>
      <c r="I1017">
        <v>4</v>
      </c>
      <c r="J1017" t="s">
        <v>5595</v>
      </c>
      <c r="K1017">
        <v>10.1</v>
      </c>
      <c r="L1017" t="s">
        <v>5737</v>
      </c>
      <c r="M1017">
        <v>9.4</v>
      </c>
      <c r="N1017" t="s">
        <v>5737</v>
      </c>
      <c r="O1017">
        <v>22</v>
      </c>
      <c r="P1017">
        <v>631</v>
      </c>
      <c r="Q1017">
        <v>1.2</v>
      </c>
      <c r="R1017" t="s">
        <v>5613</v>
      </c>
      <c r="S1017">
        <v>7</v>
      </c>
      <c r="T1017" t="s">
        <v>5613</v>
      </c>
      <c r="U1017">
        <v>2.6</v>
      </c>
      <c r="V1017" t="s">
        <v>5613</v>
      </c>
      <c r="W1017">
        <v>1</v>
      </c>
      <c r="X1017" t="s">
        <v>5613</v>
      </c>
      <c r="Y1017">
        <v>10.4</v>
      </c>
      <c r="Z1017" t="s">
        <v>5613</v>
      </c>
      <c r="AA1017">
        <v>1.4</v>
      </c>
      <c r="AB1017" t="s">
        <v>5613</v>
      </c>
      <c r="AC1017" t="s">
        <v>6207</v>
      </c>
    </row>
    <row r="1018" spans="1:29">
      <c r="A1018" t="s">
        <v>6240</v>
      </c>
      <c r="B1018" t="s">
        <v>6240</v>
      </c>
      <c r="C1018" t="s">
        <v>3325</v>
      </c>
      <c r="D1018" t="s">
        <v>6495</v>
      </c>
      <c r="E1018" t="s">
        <v>3326</v>
      </c>
      <c r="F1018" t="s">
        <v>5593</v>
      </c>
      <c r="G1018" t="s">
        <v>5602</v>
      </c>
      <c r="H1018" t="s">
        <v>5590</v>
      </c>
      <c r="I1018">
        <v>5</v>
      </c>
      <c r="J1018" t="s">
        <v>5595</v>
      </c>
      <c r="K1018">
        <v>9.6</v>
      </c>
      <c r="L1018" t="s">
        <v>5737</v>
      </c>
      <c r="M1018">
        <v>3.2</v>
      </c>
      <c r="N1018" t="s">
        <v>5737</v>
      </c>
      <c r="O1018">
        <v>33.9</v>
      </c>
      <c r="P1018">
        <v>472</v>
      </c>
      <c r="Q1018">
        <v>1.4</v>
      </c>
      <c r="R1018" t="s">
        <v>5613</v>
      </c>
      <c r="S1018">
        <v>2.1</v>
      </c>
      <c r="T1018" t="s">
        <v>5613</v>
      </c>
      <c r="U1018">
        <v>1.7</v>
      </c>
      <c r="V1018" t="s">
        <v>5613</v>
      </c>
      <c r="W1018">
        <v>1.1000000000000001</v>
      </c>
      <c r="X1018" t="s">
        <v>5613</v>
      </c>
      <c r="Y1018">
        <v>9.6</v>
      </c>
      <c r="Z1018" t="s">
        <v>5613</v>
      </c>
      <c r="AA1018">
        <v>1</v>
      </c>
      <c r="AB1018" t="s">
        <v>5613</v>
      </c>
      <c r="AC1018" t="s">
        <v>6207</v>
      </c>
    </row>
    <row r="1019" spans="1:29">
      <c r="A1019" t="s">
        <v>6240</v>
      </c>
      <c r="B1019" t="s">
        <v>6240</v>
      </c>
      <c r="C1019" t="s">
        <v>1409</v>
      </c>
      <c r="D1019" t="s">
        <v>5770</v>
      </c>
      <c r="E1019" t="s">
        <v>528</v>
      </c>
      <c r="F1019" t="s">
        <v>5593</v>
      </c>
      <c r="G1019" t="s">
        <v>5594</v>
      </c>
      <c r="H1019" t="s">
        <v>5809</v>
      </c>
      <c r="I1019">
        <v>5</v>
      </c>
      <c r="J1019" t="s">
        <v>5595</v>
      </c>
      <c r="K1019">
        <v>12.1</v>
      </c>
      <c r="L1019" t="s">
        <v>5737</v>
      </c>
      <c r="M1019">
        <v>6.5</v>
      </c>
      <c r="N1019" t="s">
        <v>5737</v>
      </c>
      <c r="O1019">
        <v>15.9</v>
      </c>
      <c r="P1019" t="s">
        <v>5613</v>
      </c>
      <c r="Q1019">
        <v>7.8</v>
      </c>
      <c r="R1019" t="s">
        <v>5613</v>
      </c>
      <c r="S1019">
        <v>1.2</v>
      </c>
      <c r="T1019" t="s">
        <v>5613</v>
      </c>
      <c r="U1019">
        <v>1.6</v>
      </c>
      <c r="V1019" t="s">
        <v>5613</v>
      </c>
      <c r="W1019">
        <v>15.3</v>
      </c>
      <c r="X1019">
        <v>591</v>
      </c>
      <c r="Y1019">
        <v>6.3</v>
      </c>
      <c r="Z1019" t="s">
        <v>5613</v>
      </c>
      <c r="AA1019">
        <v>4.0999999999999996</v>
      </c>
      <c r="AB1019" t="s">
        <v>5613</v>
      </c>
      <c r="AC1019" t="s">
        <v>6207</v>
      </c>
    </row>
    <row r="1020" spans="1:29">
      <c r="A1020" t="s">
        <v>6240</v>
      </c>
      <c r="B1020" t="s">
        <v>6240</v>
      </c>
      <c r="C1020" t="s">
        <v>1415</v>
      </c>
      <c r="D1020" t="s">
        <v>5587</v>
      </c>
      <c r="E1020" t="s">
        <v>29</v>
      </c>
      <c r="F1020" t="s">
        <v>5593</v>
      </c>
      <c r="G1020" t="s">
        <v>5589</v>
      </c>
      <c r="H1020" t="s">
        <v>5590</v>
      </c>
      <c r="I1020">
        <v>5</v>
      </c>
      <c r="J1020" t="s">
        <v>5591</v>
      </c>
      <c r="K1020">
        <v>6.1</v>
      </c>
      <c r="L1020" t="s">
        <v>5737</v>
      </c>
      <c r="M1020">
        <v>16.8</v>
      </c>
      <c r="N1020">
        <v>514</v>
      </c>
      <c r="O1020">
        <v>11.7</v>
      </c>
      <c r="P1020" t="s">
        <v>5613</v>
      </c>
      <c r="Q1020">
        <v>8.3000000000000007</v>
      </c>
      <c r="R1020" t="s">
        <v>5613</v>
      </c>
      <c r="S1020">
        <v>2.4</v>
      </c>
      <c r="T1020" t="s">
        <v>5613</v>
      </c>
      <c r="U1020">
        <v>3.8</v>
      </c>
      <c r="V1020" t="s">
        <v>5613</v>
      </c>
      <c r="W1020">
        <v>3.5</v>
      </c>
      <c r="X1020" t="s">
        <v>5613</v>
      </c>
      <c r="Y1020">
        <v>12.8</v>
      </c>
      <c r="Z1020">
        <v>673</v>
      </c>
      <c r="AA1020">
        <v>3.8</v>
      </c>
      <c r="AB1020" t="s">
        <v>5613</v>
      </c>
      <c r="AC1020" t="s">
        <v>6207</v>
      </c>
    </row>
    <row r="1021" spans="1:29">
      <c r="A1021" t="s">
        <v>6240</v>
      </c>
      <c r="B1021" t="s">
        <v>6143</v>
      </c>
      <c r="C1021" t="s">
        <v>6496</v>
      </c>
      <c r="D1021" t="s">
        <v>5616</v>
      </c>
      <c r="E1021" t="s">
        <v>54</v>
      </c>
      <c r="F1021" t="s">
        <v>5588</v>
      </c>
      <c r="G1021" t="s">
        <v>5651</v>
      </c>
      <c r="I1021">
        <v>4</v>
      </c>
      <c r="J1021" t="s">
        <v>5595</v>
      </c>
      <c r="K1021">
        <v>6.6</v>
      </c>
      <c r="L1021" t="s">
        <v>5737</v>
      </c>
      <c r="M1021">
        <v>2.5</v>
      </c>
      <c r="N1021" t="s">
        <v>5737</v>
      </c>
      <c r="O1021">
        <v>27.3</v>
      </c>
      <c r="P1021">
        <v>557</v>
      </c>
      <c r="Q1021">
        <v>1.5</v>
      </c>
      <c r="R1021" t="s">
        <v>5613</v>
      </c>
      <c r="S1021">
        <v>20.7</v>
      </c>
      <c r="T1021">
        <v>585</v>
      </c>
      <c r="U1021">
        <v>28</v>
      </c>
      <c r="V1021">
        <v>440</v>
      </c>
      <c r="W1021">
        <v>1</v>
      </c>
      <c r="X1021" t="s">
        <v>5613</v>
      </c>
      <c r="Y1021">
        <v>7.8</v>
      </c>
      <c r="Z1021" t="s">
        <v>5613</v>
      </c>
      <c r="AA1021">
        <v>1</v>
      </c>
      <c r="AB1021" t="s">
        <v>5613</v>
      </c>
      <c r="AC1021" t="s">
        <v>6207</v>
      </c>
    </row>
    <row r="1022" spans="1:29">
      <c r="A1022" t="s">
        <v>6240</v>
      </c>
      <c r="B1022" t="s">
        <v>6143</v>
      </c>
      <c r="C1022" t="s">
        <v>6497</v>
      </c>
      <c r="D1022" t="s">
        <v>5616</v>
      </c>
      <c r="E1022" t="s">
        <v>54</v>
      </c>
      <c r="F1022" t="s">
        <v>5588</v>
      </c>
      <c r="G1022" t="s">
        <v>5594</v>
      </c>
      <c r="H1022" t="s">
        <v>5590</v>
      </c>
      <c r="I1022">
        <v>2</v>
      </c>
      <c r="J1022" t="s">
        <v>5595</v>
      </c>
      <c r="K1022">
        <v>4.9000000000000004</v>
      </c>
      <c r="L1022" t="s">
        <v>5737</v>
      </c>
      <c r="M1022">
        <v>1.4</v>
      </c>
      <c r="N1022" t="s">
        <v>5737</v>
      </c>
      <c r="O1022">
        <v>35.799999999999997</v>
      </c>
      <c r="P1022">
        <v>444</v>
      </c>
      <c r="Q1022">
        <v>8.1999999999999993</v>
      </c>
      <c r="R1022" t="s">
        <v>5613</v>
      </c>
      <c r="U1022">
        <v>9.1999999999999993</v>
      </c>
      <c r="V1022" t="s">
        <v>5613</v>
      </c>
      <c r="W1022">
        <v>1</v>
      </c>
      <c r="X1022" t="s">
        <v>5613</v>
      </c>
      <c r="Y1022">
        <v>5.3</v>
      </c>
      <c r="Z1022" t="s">
        <v>5613</v>
      </c>
      <c r="AA1022">
        <v>1</v>
      </c>
      <c r="AB1022" t="s">
        <v>5613</v>
      </c>
      <c r="AC1022" t="s">
        <v>6207</v>
      </c>
    </row>
    <row r="1023" spans="1:29">
      <c r="A1023" t="s">
        <v>6240</v>
      </c>
      <c r="B1023" t="s">
        <v>6240</v>
      </c>
      <c r="C1023" t="s">
        <v>6498</v>
      </c>
      <c r="D1023" t="s">
        <v>5872</v>
      </c>
      <c r="E1023" t="s">
        <v>1955</v>
      </c>
      <c r="F1023" t="s">
        <v>5593</v>
      </c>
      <c r="G1023" t="s">
        <v>5589</v>
      </c>
      <c r="H1023" t="s">
        <v>5590</v>
      </c>
      <c r="I1023">
        <v>3</v>
      </c>
      <c r="J1023" t="s">
        <v>5926</v>
      </c>
      <c r="K1023">
        <v>11</v>
      </c>
      <c r="L1023" t="s">
        <v>5737</v>
      </c>
      <c r="M1023">
        <v>16.100000000000001</v>
      </c>
      <c r="N1023">
        <v>527</v>
      </c>
      <c r="O1023">
        <v>20.6</v>
      </c>
      <c r="P1023">
        <v>655</v>
      </c>
      <c r="Q1023">
        <v>1.9</v>
      </c>
      <c r="R1023" t="s">
        <v>5613</v>
      </c>
      <c r="S1023">
        <v>25.6</v>
      </c>
      <c r="T1023">
        <v>525</v>
      </c>
      <c r="U1023">
        <v>4.5</v>
      </c>
      <c r="V1023" t="s">
        <v>5613</v>
      </c>
      <c r="W1023">
        <v>1</v>
      </c>
      <c r="X1023" t="s">
        <v>5613</v>
      </c>
      <c r="Y1023">
        <v>13.8</v>
      </c>
      <c r="Z1023">
        <v>617</v>
      </c>
      <c r="AA1023">
        <v>1.1000000000000001</v>
      </c>
      <c r="AB1023" t="s">
        <v>5613</v>
      </c>
      <c r="AC1023" t="s">
        <v>6207</v>
      </c>
    </row>
    <row r="1024" spans="1:29">
      <c r="A1024" t="s">
        <v>6240</v>
      </c>
      <c r="B1024" t="s">
        <v>6240</v>
      </c>
      <c r="C1024" t="s">
        <v>6499</v>
      </c>
      <c r="D1024" t="s">
        <v>5587</v>
      </c>
      <c r="E1024" t="s">
        <v>29</v>
      </c>
      <c r="F1024" t="s">
        <v>5593</v>
      </c>
      <c r="G1024" t="s">
        <v>5589</v>
      </c>
      <c r="H1024" t="s">
        <v>5590</v>
      </c>
      <c r="I1024">
        <v>4</v>
      </c>
      <c r="J1024" t="s">
        <v>5595</v>
      </c>
      <c r="K1024">
        <v>6.8</v>
      </c>
      <c r="L1024" t="s">
        <v>5737</v>
      </c>
      <c r="M1024">
        <v>4.8</v>
      </c>
      <c r="N1024" t="s">
        <v>5737</v>
      </c>
      <c r="O1024">
        <v>6.2</v>
      </c>
      <c r="P1024" t="s">
        <v>5613</v>
      </c>
      <c r="Q1024">
        <v>16.899999999999999</v>
      </c>
      <c r="R1024">
        <v>604</v>
      </c>
      <c r="S1024">
        <v>8</v>
      </c>
      <c r="T1024" t="s">
        <v>5613</v>
      </c>
      <c r="U1024">
        <v>9.9</v>
      </c>
      <c r="V1024" t="s">
        <v>5613</v>
      </c>
      <c r="W1024">
        <v>1.6</v>
      </c>
      <c r="X1024" t="s">
        <v>5613</v>
      </c>
      <c r="Y1024">
        <v>10.8</v>
      </c>
      <c r="Z1024" t="s">
        <v>5613</v>
      </c>
      <c r="AA1024">
        <v>3.9</v>
      </c>
      <c r="AB1024" t="s">
        <v>5613</v>
      </c>
      <c r="AC1024" t="s">
        <v>6207</v>
      </c>
    </row>
    <row r="1025" spans="1:29">
      <c r="A1025" t="s">
        <v>6240</v>
      </c>
      <c r="B1025" t="s">
        <v>6240</v>
      </c>
      <c r="C1025" t="s">
        <v>6500</v>
      </c>
      <c r="D1025" t="s">
        <v>5592</v>
      </c>
      <c r="E1025" t="s">
        <v>26</v>
      </c>
      <c r="F1025" t="s">
        <v>5593</v>
      </c>
      <c r="G1025" t="s">
        <v>5589</v>
      </c>
      <c r="H1025" t="s">
        <v>5809</v>
      </c>
      <c r="I1025">
        <v>3</v>
      </c>
      <c r="J1025" t="s">
        <v>5595</v>
      </c>
      <c r="K1025">
        <v>5.8</v>
      </c>
      <c r="L1025" t="s">
        <v>5737</v>
      </c>
      <c r="M1025">
        <v>4.5999999999999996</v>
      </c>
      <c r="N1025" t="s">
        <v>5737</v>
      </c>
      <c r="O1025">
        <v>7.6</v>
      </c>
      <c r="P1025" t="s">
        <v>5613</v>
      </c>
      <c r="Q1025">
        <v>3.1</v>
      </c>
      <c r="R1025" t="s">
        <v>5613</v>
      </c>
      <c r="S1025">
        <v>43.5</v>
      </c>
      <c r="T1025">
        <v>385</v>
      </c>
      <c r="U1025">
        <v>76.5</v>
      </c>
      <c r="V1025">
        <v>179</v>
      </c>
      <c r="W1025">
        <v>1.4</v>
      </c>
      <c r="X1025" t="s">
        <v>5613</v>
      </c>
      <c r="Y1025">
        <v>11.3</v>
      </c>
      <c r="Z1025" t="s">
        <v>5613</v>
      </c>
      <c r="AA1025">
        <v>1.3</v>
      </c>
      <c r="AB1025" t="s">
        <v>5613</v>
      </c>
      <c r="AC1025" t="s">
        <v>6207</v>
      </c>
    </row>
    <row r="1026" spans="1:29">
      <c r="A1026" t="s">
        <v>6240</v>
      </c>
      <c r="B1026" t="s">
        <v>6240</v>
      </c>
      <c r="C1026" t="s">
        <v>1845</v>
      </c>
      <c r="D1026" t="s">
        <v>6272</v>
      </c>
      <c r="E1026" t="s">
        <v>1846</v>
      </c>
      <c r="F1026" t="s">
        <v>5593</v>
      </c>
      <c r="G1026" t="s">
        <v>5589</v>
      </c>
      <c r="H1026" t="s">
        <v>6146</v>
      </c>
      <c r="I1026">
        <v>2</v>
      </c>
      <c r="J1026" t="s">
        <v>5591</v>
      </c>
      <c r="K1026">
        <v>10.6</v>
      </c>
      <c r="L1026" t="s">
        <v>5737</v>
      </c>
      <c r="M1026">
        <v>29.1</v>
      </c>
      <c r="N1026">
        <v>336</v>
      </c>
      <c r="O1026">
        <v>12.4</v>
      </c>
      <c r="P1026" t="s">
        <v>5613</v>
      </c>
      <c r="Q1026">
        <v>1.9</v>
      </c>
      <c r="R1026" t="s">
        <v>5613</v>
      </c>
      <c r="S1026">
        <v>2.5</v>
      </c>
      <c r="T1026" t="s">
        <v>5613</v>
      </c>
      <c r="U1026">
        <v>1.4</v>
      </c>
      <c r="V1026" t="s">
        <v>5613</v>
      </c>
      <c r="W1026">
        <v>1.1000000000000001</v>
      </c>
      <c r="X1026" t="s">
        <v>5613</v>
      </c>
      <c r="Y1026">
        <v>9.6</v>
      </c>
      <c r="Z1026" t="s">
        <v>5613</v>
      </c>
      <c r="AA1026">
        <v>1.1000000000000001</v>
      </c>
      <c r="AB1026" t="s">
        <v>5613</v>
      </c>
      <c r="AC1026" t="s">
        <v>6207</v>
      </c>
    </row>
    <row r="1027" spans="1:29">
      <c r="A1027" t="s">
        <v>6240</v>
      </c>
      <c r="B1027" t="s">
        <v>6240</v>
      </c>
      <c r="C1027" t="s">
        <v>6501</v>
      </c>
      <c r="D1027" t="s">
        <v>5587</v>
      </c>
      <c r="E1027" t="s">
        <v>29</v>
      </c>
      <c r="F1027" t="s">
        <v>5605</v>
      </c>
      <c r="G1027" t="s">
        <v>5589</v>
      </c>
      <c r="H1027" t="s">
        <v>5590</v>
      </c>
      <c r="I1027">
        <v>5</v>
      </c>
      <c r="J1027" t="s">
        <v>5591</v>
      </c>
      <c r="K1027">
        <v>7</v>
      </c>
      <c r="L1027" t="s">
        <v>5737</v>
      </c>
      <c r="M1027">
        <v>5.3</v>
      </c>
      <c r="N1027" t="s">
        <v>5737</v>
      </c>
      <c r="O1027">
        <v>4.5999999999999996</v>
      </c>
      <c r="P1027" t="s">
        <v>5613</v>
      </c>
      <c r="Q1027">
        <v>13.3</v>
      </c>
      <c r="R1027">
        <v>673</v>
      </c>
      <c r="S1027">
        <v>1.3</v>
      </c>
      <c r="T1027" t="s">
        <v>5613</v>
      </c>
      <c r="U1027">
        <v>3.3</v>
      </c>
      <c r="V1027" t="s">
        <v>5613</v>
      </c>
      <c r="W1027">
        <v>8.1999999999999993</v>
      </c>
      <c r="X1027" t="s">
        <v>5613</v>
      </c>
      <c r="Y1027">
        <v>22</v>
      </c>
      <c r="Z1027">
        <v>377</v>
      </c>
      <c r="AA1027">
        <v>7</v>
      </c>
      <c r="AB1027" t="s">
        <v>5613</v>
      </c>
      <c r="AC1027" t="s">
        <v>6207</v>
      </c>
    </row>
    <row r="1028" spans="1:29">
      <c r="A1028" t="s">
        <v>6240</v>
      </c>
      <c r="B1028" t="s">
        <v>6240</v>
      </c>
      <c r="C1028" t="s">
        <v>2262</v>
      </c>
      <c r="D1028" t="s">
        <v>5592</v>
      </c>
      <c r="E1028" t="s">
        <v>26</v>
      </c>
      <c r="F1028" t="s">
        <v>5593</v>
      </c>
      <c r="G1028" t="s">
        <v>5589</v>
      </c>
      <c r="H1028" t="s">
        <v>5809</v>
      </c>
      <c r="I1028">
        <v>4</v>
      </c>
      <c r="J1028" t="s">
        <v>5595</v>
      </c>
      <c r="K1028">
        <v>5.7</v>
      </c>
      <c r="L1028" t="s">
        <v>5737</v>
      </c>
      <c r="M1028">
        <v>2.1</v>
      </c>
      <c r="N1028" t="s">
        <v>5737</v>
      </c>
      <c r="O1028">
        <v>5.8</v>
      </c>
      <c r="P1028" t="s">
        <v>5613</v>
      </c>
      <c r="Q1028">
        <v>4.0999999999999996</v>
      </c>
      <c r="R1028" t="s">
        <v>5613</v>
      </c>
      <c r="S1028">
        <v>35.9</v>
      </c>
      <c r="T1028">
        <v>447</v>
      </c>
      <c r="U1028">
        <v>72.8</v>
      </c>
      <c r="V1028">
        <v>194</v>
      </c>
      <c r="W1028">
        <v>1</v>
      </c>
      <c r="X1028" t="s">
        <v>5613</v>
      </c>
      <c r="Y1028">
        <v>8.6</v>
      </c>
      <c r="Z1028" t="s">
        <v>5613</v>
      </c>
      <c r="AA1028">
        <v>1</v>
      </c>
      <c r="AB1028" t="s">
        <v>5613</v>
      </c>
      <c r="AC1028" t="s">
        <v>6207</v>
      </c>
    </row>
    <row r="1029" spans="1:29">
      <c r="A1029" t="s">
        <v>6240</v>
      </c>
      <c r="B1029" t="s">
        <v>6143</v>
      </c>
      <c r="C1029" t="s">
        <v>6502</v>
      </c>
      <c r="D1029" t="s">
        <v>5678</v>
      </c>
      <c r="E1029" t="s">
        <v>389</v>
      </c>
      <c r="F1029" t="s">
        <v>5588</v>
      </c>
      <c r="G1029" t="s">
        <v>5589</v>
      </c>
      <c r="H1029" t="s">
        <v>5809</v>
      </c>
      <c r="I1029">
        <v>3</v>
      </c>
      <c r="J1029" t="s">
        <v>5591</v>
      </c>
      <c r="K1029">
        <v>6.3</v>
      </c>
      <c r="L1029" t="s">
        <v>5737</v>
      </c>
      <c r="M1029">
        <v>2.5</v>
      </c>
      <c r="N1029" t="s">
        <v>5737</v>
      </c>
      <c r="O1029">
        <v>44.5</v>
      </c>
      <c r="P1029">
        <v>353</v>
      </c>
      <c r="Q1029">
        <v>1.6</v>
      </c>
      <c r="R1029" t="s">
        <v>5613</v>
      </c>
      <c r="S1029">
        <v>6.4</v>
      </c>
      <c r="T1029" t="s">
        <v>5613</v>
      </c>
      <c r="U1029">
        <v>5.4</v>
      </c>
      <c r="V1029" t="s">
        <v>5613</v>
      </c>
      <c r="W1029">
        <v>1</v>
      </c>
      <c r="X1029" t="s">
        <v>5613</v>
      </c>
      <c r="Y1029">
        <v>7.9</v>
      </c>
      <c r="Z1029" t="s">
        <v>5613</v>
      </c>
      <c r="AA1029">
        <v>1.1000000000000001</v>
      </c>
      <c r="AB1029" t="s">
        <v>5613</v>
      </c>
      <c r="AC1029" t="s">
        <v>6207</v>
      </c>
    </row>
    <row r="1030" spans="1:29">
      <c r="A1030" t="s">
        <v>6240</v>
      </c>
      <c r="B1030" t="s">
        <v>6343</v>
      </c>
      <c r="C1030" t="s">
        <v>2272</v>
      </c>
      <c r="D1030" t="s">
        <v>5678</v>
      </c>
      <c r="E1030" t="s">
        <v>389</v>
      </c>
      <c r="F1030" t="s">
        <v>5593</v>
      </c>
      <c r="G1030" t="s">
        <v>5589</v>
      </c>
      <c r="H1030" t="s">
        <v>5809</v>
      </c>
      <c r="I1030">
        <v>3</v>
      </c>
      <c r="J1030" t="s">
        <v>5595</v>
      </c>
      <c r="K1030">
        <v>5.8</v>
      </c>
      <c r="L1030" t="s">
        <v>5737</v>
      </c>
      <c r="M1030">
        <v>5.2</v>
      </c>
      <c r="N1030" t="s">
        <v>5737</v>
      </c>
      <c r="O1030">
        <v>4.4000000000000004</v>
      </c>
      <c r="P1030" t="s">
        <v>5613</v>
      </c>
      <c r="Q1030">
        <v>15.1</v>
      </c>
      <c r="R1030">
        <v>631</v>
      </c>
      <c r="S1030">
        <v>4.4000000000000004</v>
      </c>
      <c r="T1030" t="s">
        <v>5613</v>
      </c>
      <c r="U1030">
        <v>7.2</v>
      </c>
      <c r="V1030" t="s">
        <v>5613</v>
      </c>
      <c r="W1030">
        <v>1</v>
      </c>
      <c r="X1030" t="s">
        <v>5613</v>
      </c>
      <c r="Y1030">
        <v>19.2</v>
      </c>
      <c r="Z1030">
        <v>437</v>
      </c>
      <c r="AA1030">
        <v>3.2</v>
      </c>
      <c r="AB1030" t="s">
        <v>5613</v>
      </c>
      <c r="AC1030" t="s">
        <v>6207</v>
      </c>
    </row>
    <row r="1031" spans="1:29">
      <c r="A1031" t="s">
        <v>6240</v>
      </c>
      <c r="B1031" t="s">
        <v>6240</v>
      </c>
      <c r="C1031" t="s">
        <v>2713</v>
      </c>
      <c r="D1031" t="s">
        <v>5644</v>
      </c>
      <c r="E1031" t="s">
        <v>181</v>
      </c>
      <c r="F1031" t="s">
        <v>5593</v>
      </c>
      <c r="G1031" t="s">
        <v>5594</v>
      </c>
      <c r="H1031" t="s">
        <v>5809</v>
      </c>
      <c r="I1031">
        <v>4</v>
      </c>
      <c r="J1031" t="s">
        <v>5595</v>
      </c>
      <c r="K1031">
        <v>5.4</v>
      </c>
      <c r="L1031" t="s">
        <v>5737</v>
      </c>
      <c r="M1031">
        <v>2.8</v>
      </c>
      <c r="N1031" t="s">
        <v>5737</v>
      </c>
      <c r="O1031">
        <v>30.6</v>
      </c>
      <c r="P1031">
        <v>512</v>
      </c>
      <c r="Q1031">
        <v>8.6</v>
      </c>
      <c r="R1031" t="s">
        <v>5613</v>
      </c>
      <c r="S1031">
        <v>7</v>
      </c>
      <c r="T1031" t="s">
        <v>5613</v>
      </c>
      <c r="U1031">
        <v>4.3</v>
      </c>
      <c r="V1031" t="s">
        <v>5613</v>
      </c>
      <c r="W1031">
        <v>1.9</v>
      </c>
      <c r="X1031" t="s">
        <v>5613</v>
      </c>
      <c r="Y1031">
        <v>4.5</v>
      </c>
      <c r="Z1031" t="s">
        <v>5613</v>
      </c>
      <c r="AA1031">
        <v>1.1000000000000001</v>
      </c>
      <c r="AB1031" t="s">
        <v>5613</v>
      </c>
      <c r="AC1031" t="s">
        <v>6207</v>
      </c>
    </row>
    <row r="1032" spans="1:29">
      <c r="A1032" t="s">
        <v>6240</v>
      </c>
      <c r="B1032" t="s">
        <v>6240</v>
      </c>
      <c r="C1032" t="s">
        <v>6503</v>
      </c>
      <c r="D1032" t="s">
        <v>6213</v>
      </c>
      <c r="E1032" t="s">
        <v>691</v>
      </c>
      <c r="F1032" t="s">
        <v>5588</v>
      </c>
      <c r="G1032" t="s">
        <v>5602</v>
      </c>
      <c r="H1032" t="s">
        <v>5590</v>
      </c>
      <c r="I1032">
        <v>5</v>
      </c>
      <c r="J1032" t="s">
        <v>5591</v>
      </c>
      <c r="K1032">
        <v>10.9</v>
      </c>
      <c r="L1032" t="s">
        <v>5737</v>
      </c>
      <c r="M1032">
        <v>16</v>
      </c>
      <c r="N1032">
        <v>529</v>
      </c>
      <c r="O1032">
        <v>4.8</v>
      </c>
      <c r="P1032" t="s">
        <v>5613</v>
      </c>
      <c r="Q1032">
        <v>3.1</v>
      </c>
      <c r="R1032" t="s">
        <v>5613</v>
      </c>
      <c r="S1032">
        <v>7.8</v>
      </c>
      <c r="T1032" t="s">
        <v>5613</v>
      </c>
      <c r="U1032">
        <v>37.5</v>
      </c>
      <c r="V1032">
        <v>367</v>
      </c>
      <c r="W1032">
        <v>1.2</v>
      </c>
      <c r="X1032" t="s">
        <v>5613</v>
      </c>
      <c r="Y1032">
        <v>5.5</v>
      </c>
      <c r="Z1032" t="s">
        <v>5613</v>
      </c>
      <c r="AA1032">
        <v>1.1000000000000001</v>
      </c>
      <c r="AB1032" t="s">
        <v>5613</v>
      </c>
      <c r="AC1032" t="s">
        <v>6207</v>
      </c>
    </row>
    <row r="1033" spans="1:29">
      <c r="A1033" t="s">
        <v>6240</v>
      </c>
      <c r="B1033" t="s">
        <v>6143</v>
      </c>
      <c r="C1033" t="s">
        <v>3416</v>
      </c>
      <c r="D1033" t="s">
        <v>5901</v>
      </c>
      <c r="E1033" t="s">
        <v>1543</v>
      </c>
      <c r="F1033" t="s">
        <v>5593</v>
      </c>
      <c r="G1033" t="s">
        <v>5602</v>
      </c>
      <c r="H1033" t="s">
        <v>5590</v>
      </c>
      <c r="I1033">
        <v>4</v>
      </c>
      <c r="J1033" t="s">
        <v>5595</v>
      </c>
      <c r="K1033">
        <v>11.4</v>
      </c>
      <c r="L1033" t="s">
        <v>5737</v>
      </c>
      <c r="M1033">
        <v>23.7</v>
      </c>
      <c r="N1033">
        <v>406</v>
      </c>
      <c r="O1033">
        <v>19.600000000000001</v>
      </c>
      <c r="P1033">
        <v>676</v>
      </c>
      <c r="Q1033">
        <v>4.4000000000000004</v>
      </c>
      <c r="R1033" t="s">
        <v>5613</v>
      </c>
      <c r="S1033">
        <v>2.1</v>
      </c>
      <c r="T1033" t="s">
        <v>5613</v>
      </c>
      <c r="U1033">
        <v>2</v>
      </c>
      <c r="V1033" t="s">
        <v>5613</v>
      </c>
      <c r="W1033">
        <v>1.6</v>
      </c>
      <c r="X1033" t="s">
        <v>5613</v>
      </c>
      <c r="Y1033">
        <v>8.8000000000000007</v>
      </c>
      <c r="Z1033" t="s">
        <v>5613</v>
      </c>
      <c r="AA1033">
        <v>1.4</v>
      </c>
      <c r="AB1033" t="s">
        <v>5613</v>
      </c>
      <c r="AC1033" t="s">
        <v>6207</v>
      </c>
    </row>
    <row r="1034" spans="1:29">
      <c r="A1034" t="s">
        <v>6240</v>
      </c>
      <c r="B1034" t="s">
        <v>6180</v>
      </c>
      <c r="C1034" t="s">
        <v>6504</v>
      </c>
      <c r="D1034" t="s">
        <v>5644</v>
      </c>
      <c r="E1034" t="s">
        <v>181</v>
      </c>
      <c r="F1034" t="s">
        <v>5593</v>
      </c>
      <c r="G1034" t="s">
        <v>5594</v>
      </c>
      <c r="H1034" t="s">
        <v>5809</v>
      </c>
      <c r="I1034">
        <v>4</v>
      </c>
      <c r="J1034" t="s">
        <v>5591</v>
      </c>
      <c r="K1034">
        <v>4.8</v>
      </c>
      <c r="L1034" t="s">
        <v>5737</v>
      </c>
      <c r="M1034">
        <v>3.5</v>
      </c>
      <c r="N1034" t="s">
        <v>5737</v>
      </c>
      <c r="O1034">
        <v>68.900000000000006</v>
      </c>
      <c r="P1034">
        <v>188</v>
      </c>
      <c r="Q1034">
        <v>2.8</v>
      </c>
      <c r="R1034" t="s">
        <v>5613</v>
      </c>
      <c r="S1034">
        <v>4.5</v>
      </c>
      <c r="T1034" t="s">
        <v>5613</v>
      </c>
      <c r="U1034">
        <v>5.8</v>
      </c>
      <c r="V1034" t="s">
        <v>5613</v>
      </c>
      <c r="W1034">
        <v>1</v>
      </c>
      <c r="X1034" t="s">
        <v>5613</v>
      </c>
      <c r="Y1034">
        <v>6.8</v>
      </c>
      <c r="Z1034" t="s">
        <v>5613</v>
      </c>
      <c r="AA1034">
        <v>1</v>
      </c>
      <c r="AB1034" t="s">
        <v>5613</v>
      </c>
      <c r="AC1034" t="s">
        <v>6207</v>
      </c>
    </row>
    <row r="1035" spans="1:29">
      <c r="A1035" t="s">
        <v>6240</v>
      </c>
      <c r="B1035" t="s">
        <v>6240</v>
      </c>
      <c r="C1035" t="s">
        <v>3435</v>
      </c>
      <c r="D1035" t="s">
        <v>5631</v>
      </c>
      <c r="E1035" t="s">
        <v>94</v>
      </c>
      <c r="F1035" t="s">
        <v>5593</v>
      </c>
      <c r="G1035" t="s">
        <v>5589</v>
      </c>
      <c r="H1035" t="s">
        <v>5809</v>
      </c>
      <c r="I1035">
        <v>5</v>
      </c>
      <c r="J1035" t="s">
        <v>5591</v>
      </c>
      <c r="K1035">
        <v>9</v>
      </c>
      <c r="L1035" t="s">
        <v>5737</v>
      </c>
      <c r="M1035">
        <v>13.7</v>
      </c>
      <c r="N1035">
        <v>592</v>
      </c>
      <c r="O1035">
        <v>5.3</v>
      </c>
      <c r="P1035" t="s">
        <v>5613</v>
      </c>
      <c r="Q1035">
        <v>2.1</v>
      </c>
      <c r="R1035" t="s">
        <v>5613</v>
      </c>
      <c r="S1035">
        <v>18.600000000000001</v>
      </c>
      <c r="T1035">
        <v>606</v>
      </c>
      <c r="U1035">
        <v>4</v>
      </c>
      <c r="V1035" t="s">
        <v>5613</v>
      </c>
      <c r="W1035">
        <v>1.1000000000000001</v>
      </c>
      <c r="X1035" t="s">
        <v>5613</v>
      </c>
      <c r="Y1035">
        <v>15.9</v>
      </c>
      <c r="Z1035">
        <v>527</v>
      </c>
      <c r="AA1035">
        <v>1</v>
      </c>
      <c r="AB1035" t="s">
        <v>5613</v>
      </c>
      <c r="AC1035" t="s">
        <v>6207</v>
      </c>
    </row>
    <row r="1036" spans="1:29">
      <c r="A1036" t="s">
        <v>6240</v>
      </c>
      <c r="B1036" t="s">
        <v>6343</v>
      </c>
      <c r="C1036" t="s">
        <v>6505</v>
      </c>
      <c r="D1036" t="s">
        <v>5981</v>
      </c>
      <c r="E1036" t="s">
        <v>895</v>
      </c>
      <c r="F1036" t="s">
        <v>5605</v>
      </c>
      <c r="G1036" t="s">
        <v>5594</v>
      </c>
      <c r="H1036" t="s">
        <v>5809</v>
      </c>
      <c r="I1036">
        <v>3</v>
      </c>
      <c r="J1036" t="s">
        <v>5595</v>
      </c>
      <c r="K1036">
        <v>8.6</v>
      </c>
      <c r="L1036" t="s">
        <v>5737</v>
      </c>
      <c r="M1036">
        <v>10.3</v>
      </c>
      <c r="N1036" t="s">
        <v>5737</v>
      </c>
      <c r="O1036">
        <v>13.8</v>
      </c>
      <c r="P1036" t="s">
        <v>5613</v>
      </c>
      <c r="Q1036">
        <v>3</v>
      </c>
      <c r="R1036" t="s">
        <v>5613</v>
      </c>
      <c r="S1036">
        <v>1.3</v>
      </c>
      <c r="T1036" t="s">
        <v>5613</v>
      </c>
      <c r="U1036">
        <v>3.3</v>
      </c>
      <c r="V1036" t="s">
        <v>5613</v>
      </c>
      <c r="W1036">
        <v>10.6</v>
      </c>
      <c r="X1036">
        <v>661</v>
      </c>
      <c r="Y1036">
        <v>8.5</v>
      </c>
      <c r="Z1036" t="s">
        <v>5613</v>
      </c>
      <c r="AA1036">
        <v>17.2</v>
      </c>
      <c r="AB1036" t="s">
        <v>5935</v>
      </c>
      <c r="AC1036" t="s">
        <v>6207</v>
      </c>
    </row>
    <row r="1037" spans="1:29">
      <c r="A1037" t="s">
        <v>6240</v>
      </c>
      <c r="B1037" t="s">
        <v>6240</v>
      </c>
      <c r="C1037" t="s">
        <v>6506</v>
      </c>
      <c r="D1037" t="s">
        <v>6372</v>
      </c>
      <c r="E1037" t="s">
        <v>2513</v>
      </c>
      <c r="F1037" t="s">
        <v>5588</v>
      </c>
      <c r="G1037" t="s">
        <v>5602</v>
      </c>
      <c r="H1037" t="s">
        <v>5590</v>
      </c>
      <c r="I1037">
        <v>5</v>
      </c>
      <c r="J1037" t="s">
        <v>5595</v>
      </c>
      <c r="K1037">
        <v>6.3</v>
      </c>
      <c r="L1037" t="s">
        <v>5737</v>
      </c>
      <c r="M1037">
        <v>17.600000000000001</v>
      </c>
      <c r="N1037">
        <v>498</v>
      </c>
      <c r="O1037">
        <v>16.600000000000001</v>
      </c>
      <c r="P1037" t="s">
        <v>5613</v>
      </c>
      <c r="Q1037">
        <v>3.3</v>
      </c>
      <c r="R1037" t="s">
        <v>5613</v>
      </c>
      <c r="S1037">
        <v>6.7</v>
      </c>
      <c r="T1037" t="s">
        <v>5613</v>
      </c>
      <c r="U1037">
        <v>1.9</v>
      </c>
      <c r="V1037" t="s">
        <v>5613</v>
      </c>
      <c r="W1037">
        <v>1.1000000000000001</v>
      </c>
      <c r="X1037" t="s">
        <v>5613</v>
      </c>
      <c r="Y1037">
        <v>10.6</v>
      </c>
      <c r="Z1037" t="s">
        <v>5613</v>
      </c>
      <c r="AA1037">
        <v>1.1000000000000001</v>
      </c>
      <c r="AB1037" t="s">
        <v>5613</v>
      </c>
      <c r="AC1037" t="s">
        <v>6207</v>
      </c>
    </row>
    <row r="1038" spans="1:29">
      <c r="A1038" t="s">
        <v>6240</v>
      </c>
      <c r="B1038" t="s">
        <v>6240</v>
      </c>
      <c r="C1038" t="s">
        <v>6507</v>
      </c>
      <c r="D1038" t="s">
        <v>6372</v>
      </c>
      <c r="E1038" t="s">
        <v>2513</v>
      </c>
      <c r="F1038" t="s">
        <v>5588</v>
      </c>
      <c r="G1038" t="s">
        <v>5602</v>
      </c>
      <c r="H1038" t="s">
        <v>5590</v>
      </c>
      <c r="I1038">
        <v>4</v>
      </c>
      <c r="J1038" t="s">
        <v>5595</v>
      </c>
      <c r="K1038">
        <v>12.9</v>
      </c>
      <c r="L1038" t="s">
        <v>5737</v>
      </c>
      <c r="M1038">
        <v>9.1</v>
      </c>
      <c r="N1038" t="s">
        <v>5737</v>
      </c>
      <c r="O1038">
        <v>19.2</v>
      </c>
      <c r="P1038">
        <v>690</v>
      </c>
      <c r="Q1038">
        <v>2.7</v>
      </c>
      <c r="R1038" t="s">
        <v>5613</v>
      </c>
      <c r="S1038">
        <v>13</v>
      </c>
      <c r="T1038" t="s">
        <v>5613</v>
      </c>
      <c r="U1038">
        <v>1.7</v>
      </c>
      <c r="V1038" t="s">
        <v>5613</v>
      </c>
      <c r="W1038">
        <v>1.4</v>
      </c>
      <c r="X1038" t="s">
        <v>5613</v>
      </c>
      <c r="Y1038">
        <v>11.9</v>
      </c>
      <c r="Z1038" t="s">
        <v>5613</v>
      </c>
      <c r="AA1038">
        <v>23</v>
      </c>
      <c r="AB1038" t="s">
        <v>5960</v>
      </c>
      <c r="AC1038" t="s">
        <v>6207</v>
      </c>
    </row>
    <row r="1039" spans="1:29">
      <c r="A1039" t="s">
        <v>6240</v>
      </c>
      <c r="C1039" t="s">
        <v>1920</v>
      </c>
      <c r="D1039" t="s">
        <v>5976</v>
      </c>
      <c r="E1039" t="s">
        <v>5977</v>
      </c>
      <c r="F1039" t="s">
        <v>5593</v>
      </c>
      <c r="G1039" t="s">
        <v>5589</v>
      </c>
      <c r="H1039" t="s">
        <v>5590</v>
      </c>
      <c r="I1039">
        <v>4</v>
      </c>
      <c r="J1039" t="s">
        <v>5595</v>
      </c>
      <c r="K1039">
        <v>5.8</v>
      </c>
      <c r="L1039" t="s">
        <v>5737</v>
      </c>
      <c r="M1039">
        <v>10.3</v>
      </c>
      <c r="N1039" t="s">
        <v>5737</v>
      </c>
      <c r="O1039">
        <v>3.5</v>
      </c>
      <c r="P1039" t="s">
        <v>5613</v>
      </c>
      <c r="Q1039">
        <v>25.8</v>
      </c>
      <c r="R1039">
        <v>472</v>
      </c>
      <c r="S1039">
        <v>1.3</v>
      </c>
      <c r="T1039" t="s">
        <v>5613</v>
      </c>
      <c r="U1039">
        <v>7.9</v>
      </c>
      <c r="V1039" t="s">
        <v>5613</v>
      </c>
      <c r="W1039">
        <v>18.100000000000001</v>
      </c>
      <c r="X1039">
        <v>559</v>
      </c>
      <c r="Y1039">
        <v>5.4</v>
      </c>
      <c r="Z1039" t="s">
        <v>5613</v>
      </c>
      <c r="AC1039" t="s">
        <v>6207</v>
      </c>
    </row>
    <row r="1040" spans="1:29">
      <c r="A1040" t="s">
        <v>6240</v>
      </c>
      <c r="B1040" t="s">
        <v>6240</v>
      </c>
      <c r="C1040" t="s">
        <v>2316</v>
      </c>
      <c r="D1040" t="s">
        <v>5696</v>
      </c>
      <c r="E1040" t="s">
        <v>5697</v>
      </c>
      <c r="F1040" t="s">
        <v>5593</v>
      </c>
      <c r="G1040" t="s">
        <v>5602</v>
      </c>
      <c r="H1040" t="s">
        <v>5590</v>
      </c>
      <c r="I1040">
        <v>5</v>
      </c>
      <c r="J1040" t="s">
        <v>5595</v>
      </c>
      <c r="K1040">
        <v>5.5</v>
      </c>
      <c r="L1040" t="s">
        <v>5737</v>
      </c>
      <c r="M1040">
        <v>7.8</v>
      </c>
      <c r="N1040" t="s">
        <v>5737</v>
      </c>
      <c r="O1040">
        <v>37.1</v>
      </c>
      <c r="P1040">
        <v>426</v>
      </c>
      <c r="Q1040">
        <v>1.6</v>
      </c>
      <c r="R1040" t="s">
        <v>5613</v>
      </c>
      <c r="S1040">
        <v>4.0999999999999996</v>
      </c>
      <c r="T1040" t="s">
        <v>5613</v>
      </c>
      <c r="U1040">
        <v>13.1</v>
      </c>
      <c r="V1040">
        <v>660</v>
      </c>
      <c r="W1040">
        <v>1.9</v>
      </c>
      <c r="X1040" t="s">
        <v>5613</v>
      </c>
      <c r="Y1040">
        <v>33.4</v>
      </c>
      <c r="Z1040">
        <v>230</v>
      </c>
      <c r="AA1040">
        <v>5.2</v>
      </c>
      <c r="AB1040" t="s">
        <v>5613</v>
      </c>
      <c r="AC1040" t="s">
        <v>6207</v>
      </c>
    </row>
    <row r="1041" spans="1:29">
      <c r="A1041" t="s">
        <v>6240</v>
      </c>
      <c r="B1041" t="s">
        <v>6240</v>
      </c>
      <c r="C1041" t="s">
        <v>6508</v>
      </c>
      <c r="D1041" t="s">
        <v>5587</v>
      </c>
      <c r="E1041" t="s">
        <v>29</v>
      </c>
      <c r="F1041" t="s">
        <v>5593</v>
      </c>
      <c r="G1041" t="s">
        <v>5589</v>
      </c>
      <c r="H1041" t="s">
        <v>5809</v>
      </c>
      <c r="I1041">
        <v>5</v>
      </c>
      <c r="J1041" t="s">
        <v>5591</v>
      </c>
      <c r="K1041">
        <v>6.4</v>
      </c>
      <c r="L1041" t="s">
        <v>5737</v>
      </c>
      <c r="M1041">
        <v>7.3</v>
      </c>
      <c r="N1041" t="s">
        <v>5737</v>
      </c>
      <c r="O1041">
        <v>15.4</v>
      </c>
      <c r="P1041" t="s">
        <v>5613</v>
      </c>
      <c r="Q1041">
        <v>5.9</v>
      </c>
      <c r="R1041" t="s">
        <v>5613</v>
      </c>
      <c r="S1041">
        <v>7.8</v>
      </c>
      <c r="T1041" t="s">
        <v>5613</v>
      </c>
      <c r="U1041">
        <v>14.6</v>
      </c>
      <c r="V1041">
        <v>629</v>
      </c>
      <c r="W1041">
        <v>1.5</v>
      </c>
      <c r="X1041" t="s">
        <v>5613</v>
      </c>
      <c r="Y1041">
        <v>24.7</v>
      </c>
      <c r="Z1041">
        <v>338</v>
      </c>
      <c r="AA1041">
        <v>1.3</v>
      </c>
      <c r="AB1041" t="s">
        <v>5613</v>
      </c>
      <c r="AC1041" t="s">
        <v>6207</v>
      </c>
    </row>
    <row r="1042" spans="1:29">
      <c r="A1042" t="s">
        <v>6240</v>
      </c>
      <c r="B1042" t="s">
        <v>6240</v>
      </c>
      <c r="C1042" t="s">
        <v>6509</v>
      </c>
      <c r="D1042" t="s">
        <v>5772</v>
      </c>
      <c r="E1042" t="s">
        <v>386</v>
      </c>
      <c r="F1042" t="s">
        <v>5593</v>
      </c>
      <c r="G1042" t="s">
        <v>5589</v>
      </c>
      <c r="H1042" t="s">
        <v>5809</v>
      </c>
      <c r="I1042">
        <v>5</v>
      </c>
      <c r="K1042">
        <v>4.5</v>
      </c>
      <c r="L1042" t="s">
        <v>5737</v>
      </c>
      <c r="M1042">
        <v>7.3</v>
      </c>
      <c r="N1042" t="s">
        <v>5737</v>
      </c>
      <c r="O1042">
        <v>16.600000000000001</v>
      </c>
      <c r="P1042" t="s">
        <v>5613</v>
      </c>
      <c r="Q1042">
        <v>2.2000000000000002</v>
      </c>
      <c r="R1042" t="s">
        <v>5613</v>
      </c>
      <c r="S1042">
        <v>4</v>
      </c>
      <c r="T1042" t="s">
        <v>5613</v>
      </c>
      <c r="U1042">
        <v>50.6</v>
      </c>
      <c r="V1042">
        <v>287</v>
      </c>
      <c r="W1042">
        <v>1</v>
      </c>
      <c r="X1042" t="s">
        <v>5613</v>
      </c>
      <c r="Y1042">
        <v>5.0999999999999996</v>
      </c>
      <c r="Z1042" t="s">
        <v>5613</v>
      </c>
      <c r="AC1042" t="s">
        <v>6207</v>
      </c>
    </row>
    <row r="1043" spans="1:29">
      <c r="A1043" t="s">
        <v>6240</v>
      </c>
      <c r="B1043" t="s">
        <v>6240</v>
      </c>
      <c r="C1043" t="s">
        <v>4584</v>
      </c>
      <c r="D1043" t="s">
        <v>6015</v>
      </c>
      <c r="E1043" t="s">
        <v>1483</v>
      </c>
      <c r="F1043" t="s">
        <v>5588</v>
      </c>
      <c r="G1043" t="s">
        <v>5602</v>
      </c>
      <c r="H1043" t="s">
        <v>5809</v>
      </c>
      <c r="I1043">
        <v>2</v>
      </c>
      <c r="J1043" t="s">
        <v>5591</v>
      </c>
      <c r="K1043">
        <v>4.5</v>
      </c>
      <c r="L1043" t="s">
        <v>5737</v>
      </c>
      <c r="M1043">
        <v>27.8</v>
      </c>
      <c r="N1043">
        <v>349</v>
      </c>
      <c r="O1043">
        <v>31.4</v>
      </c>
      <c r="P1043">
        <v>503</v>
      </c>
      <c r="Q1043">
        <v>1.8</v>
      </c>
      <c r="R1043" t="s">
        <v>5613</v>
      </c>
      <c r="S1043">
        <v>6.9</v>
      </c>
      <c r="T1043" t="s">
        <v>5613</v>
      </c>
      <c r="U1043">
        <v>14.7</v>
      </c>
      <c r="V1043">
        <v>627</v>
      </c>
      <c r="W1043">
        <v>1</v>
      </c>
      <c r="X1043" t="s">
        <v>5613</v>
      </c>
      <c r="Y1043">
        <v>8.8000000000000007</v>
      </c>
      <c r="Z1043" t="s">
        <v>5613</v>
      </c>
      <c r="AA1043">
        <v>1.6</v>
      </c>
      <c r="AB1043" t="s">
        <v>5613</v>
      </c>
      <c r="AC1043" t="s">
        <v>6207</v>
      </c>
    </row>
    <row r="1044" spans="1:29">
      <c r="A1044" t="s">
        <v>6240</v>
      </c>
      <c r="B1044" t="s">
        <v>6240</v>
      </c>
      <c r="C1044" t="s">
        <v>6510</v>
      </c>
      <c r="D1044" t="s">
        <v>5981</v>
      </c>
      <c r="E1044" t="s">
        <v>895</v>
      </c>
      <c r="F1044" t="s">
        <v>5605</v>
      </c>
      <c r="G1044" t="s">
        <v>5594</v>
      </c>
      <c r="H1044" t="s">
        <v>5809</v>
      </c>
      <c r="I1044">
        <v>4</v>
      </c>
      <c r="J1044" t="s">
        <v>5595</v>
      </c>
      <c r="K1044">
        <v>16.399999999999999</v>
      </c>
      <c r="L1044">
        <v>534</v>
      </c>
      <c r="M1044">
        <v>11.3</v>
      </c>
      <c r="N1044" t="s">
        <v>5737</v>
      </c>
      <c r="O1044">
        <v>5.5</v>
      </c>
      <c r="P1044" t="s">
        <v>5613</v>
      </c>
      <c r="Q1044">
        <v>4</v>
      </c>
      <c r="R1044" t="s">
        <v>5613</v>
      </c>
      <c r="S1044">
        <v>1.1000000000000001</v>
      </c>
      <c r="T1044" t="s">
        <v>5613</v>
      </c>
      <c r="U1044">
        <v>2.8</v>
      </c>
      <c r="V1044" t="s">
        <v>5613</v>
      </c>
      <c r="W1044">
        <v>14.4</v>
      </c>
      <c r="X1044">
        <v>604</v>
      </c>
      <c r="Y1044">
        <v>14.5</v>
      </c>
      <c r="Z1044">
        <v>580</v>
      </c>
      <c r="AA1044">
        <v>14.5</v>
      </c>
      <c r="AB1044" t="s">
        <v>6378</v>
      </c>
      <c r="AC1044" t="s">
        <v>6207</v>
      </c>
    </row>
    <row r="1045" spans="1:29">
      <c r="A1045" t="s">
        <v>6240</v>
      </c>
      <c r="B1045" t="s">
        <v>6143</v>
      </c>
      <c r="C1045" t="s">
        <v>2800</v>
      </c>
      <c r="D1045" t="s">
        <v>6134</v>
      </c>
      <c r="E1045" t="s">
        <v>1554</v>
      </c>
      <c r="F1045" t="s">
        <v>5615</v>
      </c>
      <c r="G1045" t="s">
        <v>5602</v>
      </c>
      <c r="H1045" t="s">
        <v>5590</v>
      </c>
      <c r="I1045">
        <v>2</v>
      </c>
      <c r="J1045" t="s">
        <v>5595</v>
      </c>
      <c r="K1045">
        <v>7.1</v>
      </c>
      <c r="L1045" t="s">
        <v>5737</v>
      </c>
      <c r="M1045">
        <v>13.4</v>
      </c>
      <c r="N1045" t="s">
        <v>5737</v>
      </c>
      <c r="O1045">
        <v>18.8</v>
      </c>
      <c r="P1045" t="s">
        <v>5613</v>
      </c>
      <c r="Q1045">
        <v>4.8</v>
      </c>
      <c r="R1045" t="s">
        <v>5613</v>
      </c>
      <c r="S1045">
        <v>44.1</v>
      </c>
      <c r="T1045">
        <v>382</v>
      </c>
      <c r="U1045">
        <v>14.4</v>
      </c>
      <c r="V1045">
        <v>632</v>
      </c>
      <c r="W1045">
        <v>1.1000000000000001</v>
      </c>
      <c r="X1045" t="s">
        <v>5613</v>
      </c>
      <c r="Y1045">
        <v>10.6</v>
      </c>
      <c r="Z1045" t="s">
        <v>5613</v>
      </c>
      <c r="AA1045">
        <v>1</v>
      </c>
      <c r="AB1045" t="s">
        <v>5613</v>
      </c>
      <c r="AC1045" t="s">
        <v>6207</v>
      </c>
    </row>
    <row r="1046" spans="1:29">
      <c r="A1046" t="s">
        <v>6240</v>
      </c>
      <c r="B1046" t="s">
        <v>6240</v>
      </c>
      <c r="C1046" t="s">
        <v>1502</v>
      </c>
      <c r="D1046" t="s">
        <v>5592</v>
      </c>
      <c r="E1046" t="s">
        <v>26</v>
      </c>
      <c r="F1046" t="s">
        <v>5593</v>
      </c>
      <c r="G1046" t="s">
        <v>5602</v>
      </c>
      <c r="H1046" t="s">
        <v>5590</v>
      </c>
      <c r="I1046">
        <v>3</v>
      </c>
      <c r="J1046" t="s">
        <v>5595</v>
      </c>
      <c r="K1046">
        <v>5.5</v>
      </c>
      <c r="L1046" t="s">
        <v>5737</v>
      </c>
      <c r="M1046">
        <v>4.9000000000000004</v>
      </c>
      <c r="N1046" t="s">
        <v>5737</v>
      </c>
      <c r="O1046">
        <v>4.4000000000000004</v>
      </c>
      <c r="P1046" t="s">
        <v>5613</v>
      </c>
      <c r="Q1046">
        <v>6.5</v>
      </c>
      <c r="R1046" t="s">
        <v>5613</v>
      </c>
      <c r="S1046">
        <v>31.4</v>
      </c>
      <c r="T1046">
        <v>479</v>
      </c>
      <c r="U1046">
        <v>37.5</v>
      </c>
      <c r="V1046">
        <v>366</v>
      </c>
      <c r="W1046">
        <v>2.4</v>
      </c>
      <c r="X1046" t="s">
        <v>5613</v>
      </c>
      <c r="Y1046">
        <v>11.2</v>
      </c>
      <c r="Z1046" t="s">
        <v>5613</v>
      </c>
      <c r="AA1046">
        <v>14</v>
      </c>
      <c r="AB1046">
        <v>624</v>
      </c>
      <c r="AC1046" t="s">
        <v>6207</v>
      </c>
    </row>
    <row r="1047" spans="1:29">
      <c r="A1047" t="s">
        <v>6240</v>
      </c>
      <c r="B1047" t="s">
        <v>6143</v>
      </c>
      <c r="C1047" t="s">
        <v>1941</v>
      </c>
      <c r="D1047" t="s">
        <v>5616</v>
      </c>
      <c r="E1047" t="s">
        <v>54</v>
      </c>
      <c r="F1047" t="s">
        <v>5605</v>
      </c>
      <c r="G1047" t="s">
        <v>5602</v>
      </c>
      <c r="H1047" t="s">
        <v>5590</v>
      </c>
      <c r="I1047">
        <v>4</v>
      </c>
      <c r="J1047" t="s">
        <v>5595</v>
      </c>
      <c r="K1047">
        <v>4.5999999999999996</v>
      </c>
      <c r="L1047" t="s">
        <v>5737</v>
      </c>
      <c r="M1047">
        <v>2</v>
      </c>
      <c r="N1047" t="s">
        <v>5737</v>
      </c>
      <c r="O1047">
        <v>14.6</v>
      </c>
      <c r="P1047" t="s">
        <v>5613</v>
      </c>
      <c r="Q1047">
        <v>23</v>
      </c>
      <c r="R1047">
        <v>513</v>
      </c>
      <c r="S1047">
        <v>2.5</v>
      </c>
      <c r="T1047" t="s">
        <v>5613</v>
      </c>
      <c r="U1047">
        <v>2</v>
      </c>
      <c r="V1047" t="s">
        <v>5613</v>
      </c>
      <c r="W1047">
        <v>2.1</v>
      </c>
      <c r="X1047" t="s">
        <v>5613</v>
      </c>
      <c r="Y1047">
        <v>6.2</v>
      </c>
      <c r="Z1047" t="s">
        <v>5613</v>
      </c>
      <c r="AA1047">
        <v>1.3</v>
      </c>
      <c r="AB1047" t="s">
        <v>5613</v>
      </c>
      <c r="AC1047" t="s">
        <v>6207</v>
      </c>
    </row>
    <row r="1048" spans="1:29">
      <c r="A1048" t="s">
        <v>6240</v>
      </c>
      <c r="B1048" t="s">
        <v>6240</v>
      </c>
      <c r="C1048" t="s">
        <v>4628</v>
      </c>
      <c r="D1048" t="s">
        <v>5592</v>
      </c>
      <c r="E1048" t="s">
        <v>26</v>
      </c>
      <c r="F1048" t="s">
        <v>5615</v>
      </c>
      <c r="G1048" t="s">
        <v>5589</v>
      </c>
      <c r="H1048" t="s">
        <v>5809</v>
      </c>
      <c r="I1048">
        <v>2</v>
      </c>
      <c r="J1048" t="s">
        <v>5595</v>
      </c>
      <c r="K1048">
        <v>4.2</v>
      </c>
      <c r="L1048" t="s">
        <v>5737</v>
      </c>
      <c r="M1048">
        <v>12.6</v>
      </c>
      <c r="N1048" t="s">
        <v>5737</v>
      </c>
      <c r="O1048">
        <v>6.1</v>
      </c>
      <c r="P1048" t="s">
        <v>5613</v>
      </c>
      <c r="Q1048">
        <v>8.5</v>
      </c>
      <c r="R1048" t="s">
        <v>5613</v>
      </c>
      <c r="S1048">
        <v>18.5</v>
      </c>
      <c r="T1048">
        <v>607</v>
      </c>
      <c r="U1048">
        <v>9.1</v>
      </c>
      <c r="V1048" t="s">
        <v>5613</v>
      </c>
      <c r="W1048">
        <v>1</v>
      </c>
      <c r="X1048" t="s">
        <v>5613</v>
      </c>
      <c r="Y1048">
        <v>9.3000000000000007</v>
      </c>
      <c r="Z1048" t="s">
        <v>5613</v>
      </c>
      <c r="AA1048">
        <v>1</v>
      </c>
      <c r="AB1048" t="s">
        <v>5613</v>
      </c>
      <c r="AC1048" t="s">
        <v>6207</v>
      </c>
    </row>
    <row r="1049" spans="1:29">
      <c r="A1049" t="s">
        <v>6240</v>
      </c>
      <c r="B1049" t="s">
        <v>6180</v>
      </c>
      <c r="C1049" t="s">
        <v>1945</v>
      </c>
      <c r="D1049" t="s">
        <v>5587</v>
      </c>
      <c r="E1049" t="s">
        <v>29</v>
      </c>
      <c r="F1049" t="s">
        <v>5588</v>
      </c>
      <c r="G1049" t="s">
        <v>5594</v>
      </c>
      <c r="H1049" t="s">
        <v>5809</v>
      </c>
      <c r="I1049">
        <v>5</v>
      </c>
      <c r="J1049" t="s">
        <v>5591</v>
      </c>
      <c r="K1049">
        <v>6.5</v>
      </c>
      <c r="L1049" t="s">
        <v>5737</v>
      </c>
      <c r="M1049">
        <v>7.7</v>
      </c>
      <c r="N1049" t="s">
        <v>5737</v>
      </c>
      <c r="O1049">
        <v>46.7</v>
      </c>
      <c r="P1049">
        <v>336</v>
      </c>
      <c r="Q1049">
        <v>3.4</v>
      </c>
      <c r="R1049" t="s">
        <v>5613</v>
      </c>
      <c r="S1049">
        <v>1.1000000000000001</v>
      </c>
      <c r="T1049" t="s">
        <v>5613</v>
      </c>
      <c r="U1049">
        <v>3.8</v>
      </c>
      <c r="V1049" t="s">
        <v>5613</v>
      </c>
      <c r="W1049">
        <v>2.6</v>
      </c>
      <c r="X1049" t="s">
        <v>5613</v>
      </c>
      <c r="Y1049">
        <v>16.100000000000001</v>
      </c>
      <c r="Z1049">
        <v>520</v>
      </c>
      <c r="AA1049">
        <v>1.2</v>
      </c>
      <c r="AB1049" t="s">
        <v>5613</v>
      </c>
      <c r="AC1049" t="s">
        <v>6207</v>
      </c>
    </row>
    <row r="1050" spans="1:29">
      <c r="A1050" t="s">
        <v>6240</v>
      </c>
      <c r="B1050" t="s">
        <v>6143</v>
      </c>
      <c r="C1050" t="s">
        <v>2828</v>
      </c>
      <c r="D1050" t="s">
        <v>6213</v>
      </c>
      <c r="E1050" t="s">
        <v>691</v>
      </c>
      <c r="F1050" t="s">
        <v>5588</v>
      </c>
      <c r="G1050" t="s">
        <v>5602</v>
      </c>
      <c r="H1050" t="s">
        <v>5590</v>
      </c>
      <c r="I1050">
        <v>5</v>
      </c>
      <c r="J1050" t="s">
        <v>5591</v>
      </c>
      <c r="K1050">
        <v>5.6</v>
      </c>
      <c r="L1050" t="s">
        <v>5737</v>
      </c>
      <c r="M1050">
        <v>4</v>
      </c>
      <c r="N1050" t="s">
        <v>5737</v>
      </c>
      <c r="O1050">
        <v>34.1</v>
      </c>
      <c r="P1050">
        <v>469</v>
      </c>
      <c r="Q1050">
        <v>2.9</v>
      </c>
      <c r="R1050" t="s">
        <v>5613</v>
      </c>
      <c r="S1050">
        <v>1.9</v>
      </c>
      <c r="T1050" t="s">
        <v>5613</v>
      </c>
      <c r="U1050">
        <v>29.1</v>
      </c>
      <c r="V1050">
        <v>429</v>
      </c>
      <c r="W1050">
        <v>8.5</v>
      </c>
      <c r="X1050" t="s">
        <v>5613</v>
      </c>
      <c r="Y1050">
        <v>5.5</v>
      </c>
      <c r="Z1050" t="s">
        <v>5613</v>
      </c>
      <c r="AA1050">
        <v>1.4</v>
      </c>
      <c r="AB1050" t="s">
        <v>5613</v>
      </c>
      <c r="AC1050" t="s">
        <v>6207</v>
      </c>
    </row>
    <row r="1051" spans="1:29">
      <c r="A1051" t="s">
        <v>6240</v>
      </c>
      <c r="B1051" t="s">
        <v>6240</v>
      </c>
      <c r="C1051" t="s">
        <v>6511</v>
      </c>
      <c r="D1051" t="s">
        <v>5762</v>
      </c>
      <c r="E1051" t="s">
        <v>534</v>
      </c>
      <c r="F1051" t="s">
        <v>5605</v>
      </c>
      <c r="G1051" t="s">
        <v>5602</v>
      </c>
      <c r="H1051" t="s">
        <v>5809</v>
      </c>
      <c r="I1051">
        <v>4</v>
      </c>
      <c r="J1051" t="s">
        <v>5595</v>
      </c>
      <c r="K1051">
        <v>10.6</v>
      </c>
      <c r="L1051" t="s">
        <v>5737</v>
      </c>
      <c r="M1051">
        <v>4.8</v>
      </c>
      <c r="N1051" t="s">
        <v>5737</v>
      </c>
      <c r="O1051">
        <v>14.8</v>
      </c>
      <c r="P1051" t="s">
        <v>5613</v>
      </c>
      <c r="Q1051">
        <v>1.4</v>
      </c>
      <c r="R1051" t="s">
        <v>5613</v>
      </c>
      <c r="S1051">
        <v>46.6</v>
      </c>
      <c r="T1051">
        <v>370</v>
      </c>
      <c r="U1051">
        <v>2.9</v>
      </c>
      <c r="V1051" t="s">
        <v>5613</v>
      </c>
      <c r="W1051">
        <v>1.8</v>
      </c>
      <c r="X1051" t="s">
        <v>5613</v>
      </c>
      <c r="Y1051">
        <v>5.6</v>
      </c>
      <c r="Z1051" t="s">
        <v>5613</v>
      </c>
      <c r="AA1051">
        <v>1</v>
      </c>
      <c r="AB1051" t="s">
        <v>5613</v>
      </c>
      <c r="AC1051" t="s">
        <v>6207</v>
      </c>
    </row>
    <row r="1052" spans="1:29">
      <c r="A1052" t="s">
        <v>6240</v>
      </c>
      <c r="B1052" t="s">
        <v>6143</v>
      </c>
      <c r="C1052" t="s">
        <v>6512</v>
      </c>
      <c r="D1052" t="s">
        <v>6513</v>
      </c>
      <c r="E1052" t="s">
        <v>5392</v>
      </c>
      <c r="F1052" t="s">
        <v>5588</v>
      </c>
      <c r="G1052" t="s">
        <v>5602</v>
      </c>
      <c r="H1052" t="s">
        <v>6146</v>
      </c>
      <c r="I1052">
        <v>4</v>
      </c>
      <c r="J1052" t="s">
        <v>5595</v>
      </c>
      <c r="K1052">
        <v>2.7</v>
      </c>
      <c r="L1052" t="s">
        <v>5737</v>
      </c>
      <c r="M1052">
        <v>7.9</v>
      </c>
      <c r="N1052" t="s">
        <v>5737</v>
      </c>
      <c r="O1052">
        <v>31.4</v>
      </c>
      <c r="P1052">
        <v>502</v>
      </c>
      <c r="Q1052">
        <v>1.4</v>
      </c>
      <c r="R1052" t="s">
        <v>5613</v>
      </c>
      <c r="S1052">
        <v>18.5</v>
      </c>
      <c r="T1052">
        <v>608</v>
      </c>
      <c r="U1052">
        <v>3.1</v>
      </c>
      <c r="V1052" t="s">
        <v>5613</v>
      </c>
      <c r="W1052">
        <v>1</v>
      </c>
      <c r="X1052" t="s">
        <v>5613</v>
      </c>
      <c r="Y1052">
        <v>19.8</v>
      </c>
      <c r="Z1052">
        <v>422</v>
      </c>
      <c r="AC1052" t="s">
        <v>6207</v>
      </c>
    </row>
    <row r="1053" spans="1:29">
      <c r="A1053" t="s">
        <v>6240</v>
      </c>
      <c r="B1053" t="s">
        <v>6143</v>
      </c>
      <c r="C1053" t="s">
        <v>4700</v>
      </c>
      <c r="D1053" t="s">
        <v>5631</v>
      </c>
      <c r="E1053" t="s">
        <v>94</v>
      </c>
      <c r="F1053" t="s">
        <v>5615</v>
      </c>
      <c r="G1053" t="s">
        <v>5589</v>
      </c>
      <c r="H1053" t="s">
        <v>6146</v>
      </c>
      <c r="I1053">
        <v>4</v>
      </c>
      <c r="J1053" t="s">
        <v>5926</v>
      </c>
      <c r="K1053">
        <v>4.9000000000000004</v>
      </c>
      <c r="L1053" t="s">
        <v>5737</v>
      </c>
      <c r="M1053">
        <v>13.2</v>
      </c>
      <c r="N1053" t="s">
        <v>5737</v>
      </c>
      <c r="O1053">
        <v>17.899999999999999</v>
      </c>
      <c r="P1053" t="s">
        <v>5613</v>
      </c>
      <c r="Q1053">
        <v>1.7</v>
      </c>
      <c r="R1053" t="s">
        <v>5613</v>
      </c>
      <c r="S1053">
        <v>76.599999999999994</v>
      </c>
      <c r="T1053">
        <v>242</v>
      </c>
      <c r="U1053">
        <v>6</v>
      </c>
      <c r="V1053" t="s">
        <v>5613</v>
      </c>
      <c r="W1053">
        <v>1</v>
      </c>
      <c r="X1053" t="s">
        <v>5613</v>
      </c>
      <c r="Y1053">
        <v>13.5</v>
      </c>
      <c r="Z1053">
        <v>636</v>
      </c>
      <c r="AA1053">
        <v>1</v>
      </c>
      <c r="AB1053" t="s">
        <v>5613</v>
      </c>
      <c r="AC1053" t="s">
        <v>6207</v>
      </c>
    </row>
    <row r="1054" spans="1:29">
      <c r="A1054" t="s">
        <v>6240</v>
      </c>
      <c r="B1054" t="s">
        <v>6143</v>
      </c>
      <c r="C1054" t="s">
        <v>6514</v>
      </c>
      <c r="D1054" t="s">
        <v>5707</v>
      </c>
      <c r="E1054" t="s">
        <v>1613</v>
      </c>
      <c r="F1054" t="s">
        <v>5588</v>
      </c>
      <c r="G1054" t="s">
        <v>5589</v>
      </c>
      <c r="H1054" t="s">
        <v>6146</v>
      </c>
      <c r="I1054">
        <v>4</v>
      </c>
      <c r="J1054" t="s">
        <v>5591</v>
      </c>
      <c r="K1054">
        <v>6.3</v>
      </c>
      <c r="L1054" t="s">
        <v>5737</v>
      </c>
      <c r="M1054">
        <v>5.5</v>
      </c>
      <c r="N1054" t="s">
        <v>5737</v>
      </c>
      <c r="O1054">
        <v>58.8</v>
      </c>
      <c r="P1054">
        <v>245</v>
      </c>
      <c r="Q1054">
        <v>1</v>
      </c>
      <c r="R1054" t="s">
        <v>5613</v>
      </c>
      <c r="S1054">
        <v>2.5</v>
      </c>
      <c r="T1054" t="s">
        <v>5613</v>
      </c>
      <c r="U1054">
        <v>1.5</v>
      </c>
      <c r="V1054" t="s">
        <v>5613</v>
      </c>
      <c r="W1054">
        <v>1</v>
      </c>
      <c r="X1054" t="s">
        <v>5613</v>
      </c>
      <c r="Y1054">
        <v>6.6</v>
      </c>
      <c r="Z1054" t="s">
        <v>5613</v>
      </c>
      <c r="AC1054" t="s">
        <v>6207</v>
      </c>
    </row>
    <row r="1055" spans="1:29">
      <c r="A1055" t="s">
        <v>6240</v>
      </c>
      <c r="B1055" t="s">
        <v>6240</v>
      </c>
      <c r="C1055" t="s">
        <v>1984</v>
      </c>
      <c r="D1055" t="s">
        <v>5616</v>
      </c>
      <c r="E1055" t="s">
        <v>54</v>
      </c>
      <c r="F1055" t="s">
        <v>5593</v>
      </c>
      <c r="G1055" t="s">
        <v>5594</v>
      </c>
      <c r="H1055" t="s">
        <v>5590</v>
      </c>
      <c r="I1055">
        <v>2</v>
      </c>
      <c r="J1055" t="s">
        <v>5595</v>
      </c>
      <c r="K1055">
        <v>4.9000000000000004</v>
      </c>
      <c r="L1055" t="s">
        <v>5737</v>
      </c>
      <c r="M1055">
        <v>6.8</v>
      </c>
      <c r="N1055" t="s">
        <v>5737</v>
      </c>
      <c r="O1055">
        <v>16.8</v>
      </c>
      <c r="P1055" t="s">
        <v>5613</v>
      </c>
      <c r="Q1055">
        <v>20.5</v>
      </c>
      <c r="R1055">
        <v>552</v>
      </c>
      <c r="W1055">
        <v>5.8</v>
      </c>
      <c r="X1055" t="s">
        <v>5613</v>
      </c>
      <c r="Y1055">
        <v>5.3</v>
      </c>
      <c r="Z1055" t="s">
        <v>5613</v>
      </c>
      <c r="AA1055">
        <v>1.2</v>
      </c>
      <c r="AB1055" t="s">
        <v>5613</v>
      </c>
      <c r="AC1055" t="s">
        <v>6207</v>
      </c>
    </row>
    <row r="1056" spans="1:29">
      <c r="A1056" t="s">
        <v>6240</v>
      </c>
      <c r="B1056" t="s">
        <v>6136</v>
      </c>
      <c r="C1056" t="s">
        <v>2868</v>
      </c>
      <c r="D1056" t="s">
        <v>5631</v>
      </c>
      <c r="E1056" t="s">
        <v>94</v>
      </c>
      <c r="F1056" t="s">
        <v>5588</v>
      </c>
      <c r="G1056" t="s">
        <v>5594</v>
      </c>
      <c r="H1056" t="s">
        <v>5809</v>
      </c>
      <c r="I1056">
        <v>4</v>
      </c>
      <c r="J1056" t="s">
        <v>5595</v>
      </c>
      <c r="K1056">
        <v>6.1</v>
      </c>
      <c r="L1056" t="s">
        <v>5737</v>
      </c>
      <c r="M1056">
        <v>2.9</v>
      </c>
      <c r="N1056" t="s">
        <v>5737</v>
      </c>
      <c r="O1056">
        <v>65.8</v>
      </c>
      <c r="P1056">
        <v>206</v>
      </c>
      <c r="Q1056">
        <v>3.9</v>
      </c>
      <c r="R1056" t="s">
        <v>5613</v>
      </c>
      <c r="S1056">
        <v>4</v>
      </c>
      <c r="T1056" t="s">
        <v>5613</v>
      </c>
      <c r="U1056">
        <v>3</v>
      </c>
      <c r="V1056" t="s">
        <v>5613</v>
      </c>
      <c r="W1056">
        <v>1.8</v>
      </c>
      <c r="X1056" t="s">
        <v>5613</v>
      </c>
      <c r="Y1056">
        <v>7.2</v>
      </c>
      <c r="Z1056" t="s">
        <v>5613</v>
      </c>
      <c r="AA1056">
        <v>1.3</v>
      </c>
      <c r="AB1056" t="s">
        <v>5613</v>
      </c>
      <c r="AC1056" t="s">
        <v>6207</v>
      </c>
    </row>
    <row r="1057" spans="1:29">
      <c r="A1057" t="s">
        <v>6240</v>
      </c>
      <c r="B1057" t="s">
        <v>6240</v>
      </c>
      <c r="C1057" t="s">
        <v>6515</v>
      </c>
      <c r="D1057" t="s">
        <v>5644</v>
      </c>
      <c r="E1057" t="s">
        <v>181</v>
      </c>
      <c r="F1057" t="s">
        <v>5593</v>
      </c>
      <c r="G1057" t="s">
        <v>5594</v>
      </c>
      <c r="H1057" t="s">
        <v>5809</v>
      </c>
      <c r="I1057">
        <v>2</v>
      </c>
      <c r="J1057" t="s">
        <v>5595</v>
      </c>
      <c r="K1057">
        <v>5.8</v>
      </c>
      <c r="L1057" t="s">
        <v>5737</v>
      </c>
      <c r="M1057">
        <v>5.4</v>
      </c>
      <c r="N1057" t="s">
        <v>5737</v>
      </c>
      <c r="O1057">
        <v>20</v>
      </c>
      <c r="P1057">
        <v>665</v>
      </c>
      <c r="Q1057">
        <v>8.9</v>
      </c>
      <c r="R1057" t="s">
        <v>5613</v>
      </c>
      <c r="S1057">
        <v>4</v>
      </c>
      <c r="T1057" t="s">
        <v>5613</v>
      </c>
      <c r="U1057">
        <v>2.5</v>
      </c>
      <c r="V1057" t="s">
        <v>5613</v>
      </c>
      <c r="W1057">
        <v>1.7</v>
      </c>
      <c r="X1057" t="s">
        <v>5613</v>
      </c>
      <c r="Y1057">
        <v>6</v>
      </c>
      <c r="Z1057" t="s">
        <v>5613</v>
      </c>
      <c r="AA1057">
        <v>17.600000000000001</v>
      </c>
      <c r="AB1057">
        <v>573</v>
      </c>
      <c r="AC1057" t="s">
        <v>6207</v>
      </c>
    </row>
    <row r="1058" spans="1:29">
      <c r="A1058" t="s">
        <v>6240</v>
      </c>
      <c r="B1058" t="s">
        <v>6240</v>
      </c>
      <c r="C1058" t="s">
        <v>6516</v>
      </c>
      <c r="D1058" t="s">
        <v>5863</v>
      </c>
      <c r="E1058" t="s">
        <v>1306</v>
      </c>
      <c r="F1058" t="s">
        <v>5588</v>
      </c>
      <c r="G1058" t="s">
        <v>5651</v>
      </c>
      <c r="I1058">
        <v>4</v>
      </c>
      <c r="J1058" t="s">
        <v>5595</v>
      </c>
      <c r="K1058">
        <v>6.5</v>
      </c>
      <c r="L1058" t="s">
        <v>5737</v>
      </c>
      <c r="M1058">
        <v>6.7</v>
      </c>
      <c r="N1058" t="s">
        <v>5737</v>
      </c>
      <c r="O1058">
        <v>35.5</v>
      </c>
      <c r="P1058">
        <v>448</v>
      </c>
      <c r="Q1058">
        <v>1</v>
      </c>
      <c r="R1058" t="s">
        <v>5613</v>
      </c>
      <c r="S1058">
        <v>6.7</v>
      </c>
      <c r="T1058" t="s">
        <v>5613</v>
      </c>
      <c r="U1058">
        <v>4.4000000000000004</v>
      </c>
      <c r="V1058" t="s">
        <v>5613</v>
      </c>
      <c r="W1058">
        <v>1</v>
      </c>
      <c r="X1058" t="s">
        <v>5613</v>
      </c>
      <c r="Y1058">
        <v>12.1</v>
      </c>
      <c r="Z1058" t="s">
        <v>5613</v>
      </c>
      <c r="AA1058">
        <v>1.8</v>
      </c>
      <c r="AB1058" t="s">
        <v>5613</v>
      </c>
      <c r="AC1058" t="s">
        <v>6207</v>
      </c>
    </row>
    <row r="1059" spans="1:29">
      <c r="A1059" t="s">
        <v>6240</v>
      </c>
      <c r="B1059" t="s">
        <v>6143</v>
      </c>
      <c r="C1059" t="s">
        <v>4780</v>
      </c>
      <c r="D1059" t="s">
        <v>5863</v>
      </c>
      <c r="E1059" t="s">
        <v>1306</v>
      </c>
      <c r="F1059" t="s">
        <v>5615</v>
      </c>
      <c r="G1059" t="s">
        <v>5602</v>
      </c>
      <c r="H1059" t="s">
        <v>5590</v>
      </c>
      <c r="I1059">
        <v>2</v>
      </c>
      <c r="J1059" t="s">
        <v>5595</v>
      </c>
      <c r="K1059">
        <v>13.1</v>
      </c>
      <c r="L1059" t="s">
        <v>5737</v>
      </c>
      <c r="M1059">
        <v>22.6</v>
      </c>
      <c r="N1059">
        <v>420</v>
      </c>
      <c r="O1059">
        <v>20</v>
      </c>
      <c r="P1059">
        <v>666</v>
      </c>
      <c r="Q1059">
        <v>1.4</v>
      </c>
      <c r="R1059" t="s">
        <v>5613</v>
      </c>
      <c r="S1059">
        <v>5.3</v>
      </c>
      <c r="T1059" t="s">
        <v>5613</v>
      </c>
      <c r="U1059">
        <v>2.1</v>
      </c>
      <c r="V1059" t="s">
        <v>5613</v>
      </c>
      <c r="W1059">
        <v>1</v>
      </c>
      <c r="X1059" t="s">
        <v>5613</v>
      </c>
      <c r="Y1059">
        <v>12.2</v>
      </c>
      <c r="Z1059" t="s">
        <v>5613</v>
      </c>
      <c r="AA1059">
        <v>1</v>
      </c>
      <c r="AB1059" t="s">
        <v>5613</v>
      </c>
      <c r="AC1059" t="s">
        <v>6207</v>
      </c>
    </row>
    <row r="1060" spans="1:29">
      <c r="A1060" t="s">
        <v>6240</v>
      </c>
      <c r="B1060" t="s">
        <v>6240</v>
      </c>
      <c r="C1060" t="s">
        <v>3600</v>
      </c>
      <c r="D1060" t="s">
        <v>5696</v>
      </c>
      <c r="E1060" t="s">
        <v>5697</v>
      </c>
      <c r="F1060" t="s">
        <v>5593</v>
      </c>
      <c r="G1060" t="s">
        <v>5602</v>
      </c>
      <c r="H1060" t="s">
        <v>5590</v>
      </c>
      <c r="I1060">
        <v>5</v>
      </c>
      <c r="J1060" t="s">
        <v>5595</v>
      </c>
      <c r="K1060">
        <v>5</v>
      </c>
      <c r="L1060" t="s">
        <v>5737</v>
      </c>
      <c r="M1060">
        <v>3.6</v>
      </c>
      <c r="N1060" t="s">
        <v>5737</v>
      </c>
      <c r="O1060">
        <v>23.1</v>
      </c>
      <c r="P1060">
        <v>615</v>
      </c>
      <c r="Q1060">
        <v>1.4</v>
      </c>
      <c r="R1060" t="s">
        <v>5613</v>
      </c>
      <c r="S1060">
        <v>2.5</v>
      </c>
      <c r="T1060" t="s">
        <v>5613</v>
      </c>
      <c r="U1060">
        <v>44</v>
      </c>
      <c r="V1060">
        <v>329</v>
      </c>
      <c r="W1060">
        <v>1</v>
      </c>
      <c r="X1060" t="s">
        <v>5613</v>
      </c>
      <c r="Y1060">
        <v>7.8</v>
      </c>
      <c r="Z1060" t="s">
        <v>5613</v>
      </c>
      <c r="AA1060">
        <v>1</v>
      </c>
      <c r="AB1060" t="s">
        <v>5613</v>
      </c>
      <c r="AC1060" t="s">
        <v>6207</v>
      </c>
    </row>
    <row r="1061" spans="1:29">
      <c r="A1061" t="s">
        <v>6240</v>
      </c>
      <c r="B1061" t="s">
        <v>6240</v>
      </c>
      <c r="C1061" t="s">
        <v>6517</v>
      </c>
      <c r="D1061" t="s">
        <v>5587</v>
      </c>
      <c r="E1061" t="s">
        <v>29</v>
      </c>
      <c r="F1061" t="s">
        <v>5593</v>
      </c>
      <c r="G1061" t="s">
        <v>5589</v>
      </c>
      <c r="H1061" t="s">
        <v>5590</v>
      </c>
      <c r="I1061">
        <v>5</v>
      </c>
      <c r="J1061" t="s">
        <v>5595</v>
      </c>
      <c r="K1061">
        <v>5.9</v>
      </c>
      <c r="L1061" t="s">
        <v>5737</v>
      </c>
      <c r="M1061">
        <v>4.0999999999999996</v>
      </c>
      <c r="N1061" t="s">
        <v>5737</v>
      </c>
      <c r="O1061">
        <v>6.6</v>
      </c>
      <c r="P1061" t="s">
        <v>5613</v>
      </c>
      <c r="Q1061">
        <v>15.1</v>
      </c>
      <c r="R1061">
        <v>633</v>
      </c>
      <c r="S1061">
        <v>27.2</v>
      </c>
      <c r="T1061">
        <v>506</v>
      </c>
      <c r="U1061">
        <v>4.8</v>
      </c>
      <c r="V1061" t="s">
        <v>5613</v>
      </c>
      <c r="W1061">
        <v>7.5</v>
      </c>
      <c r="X1061" t="s">
        <v>5613</v>
      </c>
      <c r="Y1061">
        <v>10.4</v>
      </c>
      <c r="Z1061" t="s">
        <v>5613</v>
      </c>
      <c r="AA1061">
        <v>4.4000000000000004</v>
      </c>
      <c r="AB1061" t="s">
        <v>5613</v>
      </c>
      <c r="AC1061" t="s">
        <v>6207</v>
      </c>
    </row>
    <row r="1062" spans="1:29">
      <c r="A1062" t="s">
        <v>6240</v>
      </c>
      <c r="B1062" t="s">
        <v>6240</v>
      </c>
      <c r="C1062" t="s">
        <v>6518</v>
      </c>
      <c r="D1062" t="s">
        <v>5644</v>
      </c>
      <c r="E1062" t="s">
        <v>181</v>
      </c>
      <c r="F1062" t="s">
        <v>5593</v>
      </c>
      <c r="G1062" t="s">
        <v>5589</v>
      </c>
      <c r="H1062" t="s">
        <v>5809</v>
      </c>
      <c r="I1062">
        <v>4</v>
      </c>
      <c r="J1062" t="s">
        <v>5926</v>
      </c>
      <c r="K1062">
        <v>5.2</v>
      </c>
      <c r="L1062" t="s">
        <v>5737</v>
      </c>
      <c r="M1062">
        <v>4</v>
      </c>
      <c r="N1062" t="s">
        <v>5737</v>
      </c>
      <c r="O1062">
        <v>28.8</v>
      </c>
      <c r="P1062">
        <v>535</v>
      </c>
      <c r="Q1062">
        <v>3.5</v>
      </c>
      <c r="R1062" t="s">
        <v>5613</v>
      </c>
      <c r="S1062">
        <v>5.5</v>
      </c>
      <c r="T1062" t="s">
        <v>5613</v>
      </c>
      <c r="U1062">
        <v>21</v>
      </c>
      <c r="V1062">
        <v>535</v>
      </c>
      <c r="W1062">
        <v>1</v>
      </c>
      <c r="X1062" t="s">
        <v>5613</v>
      </c>
      <c r="Y1062">
        <v>6.5</v>
      </c>
      <c r="Z1062" t="s">
        <v>5613</v>
      </c>
      <c r="AA1062">
        <v>1</v>
      </c>
      <c r="AB1062" t="s">
        <v>5613</v>
      </c>
      <c r="AC1062" t="s">
        <v>6207</v>
      </c>
    </row>
    <row r="1063" spans="1:29">
      <c r="A1063" t="s">
        <v>6240</v>
      </c>
      <c r="B1063" t="s">
        <v>6240</v>
      </c>
      <c r="C1063" t="s">
        <v>2893</v>
      </c>
      <c r="D1063" t="s">
        <v>5631</v>
      </c>
      <c r="E1063" t="s">
        <v>94</v>
      </c>
      <c r="F1063" t="s">
        <v>5615</v>
      </c>
      <c r="G1063" t="s">
        <v>5602</v>
      </c>
      <c r="H1063" t="s">
        <v>5590</v>
      </c>
      <c r="I1063">
        <v>4</v>
      </c>
      <c r="J1063" t="s">
        <v>5595</v>
      </c>
      <c r="K1063">
        <v>6.4</v>
      </c>
      <c r="L1063" t="s">
        <v>5737</v>
      </c>
      <c r="M1063">
        <v>4</v>
      </c>
      <c r="N1063" t="s">
        <v>5737</v>
      </c>
      <c r="O1063">
        <v>16.2</v>
      </c>
      <c r="P1063" t="s">
        <v>5613</v>
      </c>
      <c r="Q1063">
        <v>12.9</v>
      </c>
      <c r="R1063">
        <v>678</v>
      </c>
      <c r="S1063">
        <v>11</v>
      </c>
      <c r="T1063" t="s">
        <v>5613</v>
      </c>
      <c r="U1063">
        <v>7.9</v>
      </c>
      <c r="V1063" t="s">
        <v>5613</v>
      </c>
      <c r="W1063">
        <v>1</v>
      </c>
      <c r="X1063" t="s">
        <v>5613</v>
      </c>
      <c r="Y1063">
        <v>7.8</v>
      </c>
      <c r="Z1063" t="s">
        <v>5613</v>
      </c>
      <c r="AA1063">
        <v>1.1000000000000001</v>
      </c>
      <c r="AB1063" t="s">
        <v>5613</v>
      </c>
      <c r="AC1063" t="s">
        <v>6207</v>
      </c>
    </row>
    <row r="1064" spans="1:29">
      <c r="A1064" t="s">
        <v>6240</v>
      </c>
      <c r="B1064" t="s">
        <v>6240</v>
      </c>
      <c r="C1064" t="s">
        <v>6519</v>
      </c>
      <c r="D1064" t="s">
        <v>5631</v>
      </c>
      <c r="E1064" t="s">
        <v>94</v>
      </c>
      <c r="F1064" t="s">
        <v>5588</v>
      </c>
      <c r="G1064" t="s">
        <v>5602</v>
      </c>
      <c r="H1064" t="s">
        <v>5590</v>
      </c>
      <c r="I1064">
        <v>5</v>
      </c>
      <c r="J1064" t="s">
        <v>5595</v>
      </c>
      <c r="K1064">
        <v>4.7</v>
      </c>
      <c r="L1064" t="s">
        <v>5737</v>
      </c>
      <c r="M1064">
        <v>5.4</v>
      </c>
      <c r="N1064" t="s">
        <v>5737</v>
      </c>
      <c r="O1064">
        <v>11.3</v>
      </c>
      <c r="P1064" t="s">
        <v>5613</v>
      </c>
      <c r="Q1064">
        <v>23</v>
      </c>
      <c r="R1064">
        <v>514</v>
      </c>
      <c r="S1064">
        <v>9</v>
      </c>
      <c r="T1064" t="s">
        <v>5613</v>
      </c>
      <c r="U1064">
        <v>4.5999999999999996</v>
      </c>
      <c r="V1064" t="s">
        <v>5613</v>
      </c>
      <c r="W1064">
        <v>1.1000000000000001</v>
      </c>
      <c r="X1064" t="s">
        <v>5613</v>
      </c>
      <c r="Y1064">
        <v>8</v>
      </c>
      <c r="Z1064" t="s">
        <v>5613</v>
      </c>
      <c r="AA1064">
        <v>1</v>
      </c>
      <c r="AB1064" t="s">
        <v>5613</v>
      </c>
      <c r="AC1064" t="s">
        <v>6207</v>
      </c>
    </row>
    <row r="1065" spans="1:29">
      <c r="A1065" t="s">
        <v>6240</v>
      </c>
      <c r="B1065" t="s">
        <v>6240</v>
      </c>
      <c r="C1065" t="s">
        <v>2022</v>
      </c>
      <c r="D1065" t="s">
        <v>5592</v>
      </c>
      <c r="E1065" t="s">
        <v>26</v>
      </c>
      <c r="F1065" t="s">
        <v>5593</v>
      </c>
      <c r="G1065" t="s">
        <v>5589</v>
      </c>
      <c r="H1065" t="s">
        <v>5809</v>
      </c>
      <c r="I1065">
        <v>3</v>
      </c>
      <c r="J1065" t="s">
        <v>5595</v>
      </c>
      <c r="K1065">
        <v>4.4000000000000004</v>
      </c>
      <c r="L1065" t="s">
        <v>5737</v>
      </c>
      <c r="M1065">
        <v>8</v>
      </c>
      <c r="N1065" t="s">
        <v>5737</v>
      </c>
      <c r="O1065">
        <v>4.4000000000000004</v>
      </c>
      <c r="P1065" t="s">
        <v>5613</v>
      </c>
      <c r="Q1065">
        <v>8.1</v>
      </c>
      <c r="R1065" t="s">
        <v>5613</v>
      </c>
      <c r="S1065">
        <v>35.200000000000003</v>
      </c>
      <c r="T1065">
        <v>453</v>
      </c>
      <c r="U1065">
        <v>18</v>
      </c>
      <c r="V1065">
        <v>574</v>
      </c>
      <c r="W1065">
        <v>2.2000000000000002</v>
      </c>
      <c r="X1065" t="s">
        <v>5613</v>
      </c>
      <c r="Y1065">
        <v>11.5</v>
      </c>
      <c r="Z1065" t="s">
        <v>5613</v>
      </c>
      <c r="AA1065">
        <v>1.6</v>
      </c>
      <c r="AB1065" t="s">
        <v>5613</v>
      </c>
      <c r="AC1065" t="s">
        <v>6207</v>
      </c>
    </row>
    <row r="1066" spans="1:29">
      <c r="A1066" t="s">
        <v>6240</v>
      </c>
      <c r="B1066" t="s">
        <v>6180</v>
      </c>
      <c r="C1066" t="s">
        <v>6520</v>
      </c>
      <c r="D1066" t="s">
        <v>5696</v>
      </c>
      <c r="E1066" t="s">
        <v>5697</v>
      </c>
      <c r="F1066" t="s">
        <v>5593</v>
      </c>
      <c r="G1066" t="s">
        <v>5602</v>
      </c>
      <c r="H1066" t="s">
        <v>5590</v>
      </c>
      <c r="I1066">
        <v>5</v>
      </c>
      <c r="J1066" t="s">
        <v>5595</v>
      </c>
      <c r="K1066">
        <v>8.8000000000000007</v>
      </c>
      <c r="L1066" t="s">
        <v>5737</v>
      </c>
      <c r="M1066">
        <v>3.7</v>
      </c>
      <c r="N1066" t="s">
        <v>5737</v>
      </c>
      <c r="O1066">
        <v>45.9</v>
      </c>
      <c r="P1066">
        <v>342</v>
      </c>
      <c r="Q1066">
        <v>2.1</v>
      </c>
      <c r="R1066" t="s">
        <v>5613</v>
      </c>
      <c r="S1066">
        <v>2.2000000000000002</v>
      </c>
      <c r="T1066" t="s">
        <v>5613</v>
      </c>
      <c r="U1066">
        <v>21.9</v>
      </c>
      <c r="V1066">
        <v>516</v>
      </c>
      <c r="W1066">
        <v>1.3</v>
      </c>
      <c r="X1066" t="s">
        <v>5613</v>
      </c>
      <c r="Y1066">
        <v>8.5</v>
      </c>
      <c r="Z1066" t="s">
        <v>5613</v>
      </c>
      <c r="AA1066">
        <v>5.9</v>
      </c>
      <c r="AB1066" t="s">
        <v>5613</v>
      </c>
      <c r="AC1066" t="s">
        <v>6207</v>
      </c>
    </row>
    <row r="1067" spans="1:29">
      <c r="A1067" t="s">
        <v>6240</v>
      </c>
      <c r="B1067" t="s">
        <v>6143</v>
      </c>
      <c r="C1067" t="s">
        <v>2899</v>
      </c>
      <c r="D1067" t="s">
        <v>5901</v>
      </c>
      <c r="E1067" t="s">
        <v>1543</v>
      </c>
      <c r="F1067" t="s">
        <v>5588</v>
      </c>
      <c r="G1067" t="s">
        <v>5589</v>
      </c>
      <c r="H1067" t="s">
        <v>5590</v>
      </c>
      <c r="I1067">
        <v>4</v>
      </c>
      <c r="J1067" t="s">
        <v>5595</v>
      </c>
      <c r="K1067">
        <v>5.4</v>
      </c>
      <c r="L1067" t="s">
        <v>5737</v>
      </c>
      <c r="M1067">
        <v>3.7</v>
      </c>
      <c r="N1067" t="s">
        <v>5737</v>
      </c>
      <c r="O1067">
        <v>42.4</v>
      </c>
      <c r="P1067">
        <v>372</v>
      </c>
      <c r="Q1067">
        <v>8.3000000000000007</v>
      </c>
      <c r="R1067" t="s">
        <v>5613</v>
      </c>
      <c r="S1067">
        <v>4.2</v>
      </c>
      <c r="T1067" t="s">
        <v>5613</v>
      </c>
      <c r="U1067">
        <v>3.5</v>
      </c>
      <c r="V1067" t="s">
        <v>5613</v>
      </c>
      <c r="W1067">
        <v>7.8</v>
      </c>
      <c r="X1067" t="s">
        <v>5613</v>
      </c>
      <c r="Y1067">
        <v>8.4</v>
      </c>
      <c r="Z1067" t="s">
        <v>5613</v>
      </c>
      <c r="AA1067">
        <v>3.9</v>
      </c>
      <c r="AB1067" t="s">
        <v>5613</v>
      </c>
      <c r="AC1067" t="s">
        <v>6207</v>
      </c>
    </row>
    <row r="1068" spans="1:29">
      <c r="A1068" t="s">
        <v>6240</v>
      </c>
      <c r="B1068" t="s">
        <v>6343</v>
      </c>
      <c r="C1068" t="s">
        <v>2045</v>
      </c>
      <c r="D1068" t="s">
        <v>6015</v>
      </c>
      <c r="E1068" t="s">
        <v>1483</v>
      </c>
      <c r="F1068" t="s">
        <v>5605</v>
      </c>
      <c r="G1068" t="s">
        <v>5594</v>
      </c>
      <c r="H1068" t="s">
        <v>5809</v>
      </c>
      <c r="I1068">
        <v>4</v>
      </c>
      <c r="J1068" t="s">
        <v>5595</v>
      </c>
      <c r="K1068">
        <v>12.9</v>
      </c>
      <c r="L1068" t="s">
        <v>5737</v>
      </c>
      <c r="M1068">
        <v>8.1</v>
      </c>
      <c r="N1068" t="s">
        <v>5737</v>
      </c>
      <c r="O1068">
        <v>3.2</v>
      </c>
      <c r="P1068" t="s">
        <v>5613</v>
      </c>
      <c r="Q1068">
        <v>2.4</v>
      </c>
      <c r="R1068" t="s">
        <v>5613</v>
      </c>
      <c r="S1068">
        <v>5.8</v>
      </c>
      <c r="T1068" t="s">
        <v>5613</v>
      </c>
      <c r="U1068">
        <v>4.0999999999999996</v>
      </c>
      <c r="V1068" t="s">
        <v>5613</v>
      </c>
      <c r="W1068">
        <v>33.5</v>
      </c>
      <c r="X1068">
        <v>428</v>
      </c>
      <c r="Y1068">
        <v>9.6</v>
      </c>
      <c r="Z1068" t="s">
        <v>5613</v>
      </c>
      <c r="AA1068">
        <v>19.899999999999999</v>
      </c>
      <c r="AB1068" t="s">
        <v>5880</v>
      </c>
      <c r="AC1068" t="s">
        <v>6207</v>
      </c>
    </row>
    <row r="1069" spans="1:29">
      <c r="A1069" t="s">
        <v>6240</v>
      </c>
      <c r="B1069" t="s">
        <v>6343</v>
      </c>
      <c r="C1069" t="s">
        <v>3683</v>
      </c>
      <c r="D1069" t="s">
        <v>5631</v>
      </c>
      <c r="E1069" t="s">
        <v>94</v>
      </c>
      <c r="F1069" t="s">
        <v>5605</v>
      </c>
      <c r="G1069" t="s">
        <v>5589</v>
      </c>
      <c r="H1069" t="s">
        <v>5809</v>
      </c>
      <c r="I1069">
        <v>5</v>
      </c>
      <c r="J1069" t="s">
        <v>5926</v>
      </c>
      <c r="K1069">
        <v>7.4</v>
      </c>
      <c r="L1069" t="s">
        <v>5737</v>
      </c>
      <c r="M1069">
        <v>24.5</v>
      </c>
      <c r="N1069">
        <v>390</v>
      </c>
      <c r="O1069">
        <v>4.9000000000000004</v>
      </c>
      <c r="P1069" t="s">
        <v>5613</v>
      </c>
      <c r="Q1069">
        <v>1.7</v>
      </c>
      <c r="R1069" t="s">
        <v>5613</v>
      </c>
      <c r="S1069">
        <v>10.1</v>
      </c>
      <c r="T1069" t="s">
        <v>5613</v>
      </c>
      <c r="U1069">
        <v>5.3</v>
      </c>
      <c r="V1069" t="s">
        <v>5613</v>
      </c>
      <c r="W1069">
        <v>1.5</v>
      </c>
      <c r="X1069" t="s">
        <v>5613</v>
      </c>
      <c r="Y1069">
        <v>16</v>
      </c>
      <c r="Z1069">
        <v>524</v>
      </c>
      <c r="AA1069">
        <v>1.1000000000000001</v>
      </c>
      <c r="AB1069" t="s">
        <v>5613</v>
      </c>
      <c r="AC1069" t="s">
        <v>6207</v>
      </c>
    </row>
    <row r="1070" spans="1:29">
      <c r="A1070" t="s">
        <v>6240</v>
      </c>
      <c r="B1070" t="s">
        <v>6240</v>
      </c>
      <c r="C1070" t="s">
        <v>1610</v>
      </c>
      <c r="D1070" t="s">
        <v>5587</v>
      </c>
      <c r="E1070" t="s">
        <v>29</v>
      </c>
      <c r="F1070" t="s">
        <v>5593</v>
      </c>
      <c r="G1070" t="s">
        <v>5589</v>
      </c>
      <c r="H1070" t="s">
        <v>5590</v>
      </c>
      <c r="I1070">
        <v>5</v>
      </c>
      <c r="J1070" t="s">
        <v>5595</v>
      </c>
      <c r="K1070">
        <v>6</v>
      </c>
      <c r="L1070" t="s">
        <v>5737</v>
      </c>
      <c r="M1070">
        <v>5.8</v>
      </c>
      <c r="N1070" t="s">
        <v>5737</v>
      </c>
      <c r="O1070">
        <v>6.7</v>
      </c>
      <c r="P1070" t="s">
        <v>5613</v>
      </c>
      <c r="Q1070">
        <v>18.399999999999999</v>
      </c>
      <c r="R1070">
        <v>576</v>
      </c>
      <c r="S1070">
        <v>15.7</v>
      </c>
      <c r="T1070">
        <v>657</v>
      </c>
      <c r="U1070">
        <v>3.2</v>
      </c>
      <c r="V1070" t="s">
        <v>5613</v>
      </c>
      <c r="W1070">
        <v>9.1999999999999993</v>
      </c>
      <c r="X1070">
        <v>688</v>
      </c>
      <c r="Y1070">
        <v>10.8</v>
      </c>
      <c r="Z1070" t="s">
        <v>5613</v>
      </c>
      <c r="AA1070">
        <v>11.7</v>
      </c>
      <c r="AB1070" t="s">
        <v>6087</v>
      </c>
      <c r="AC1070" t="s">
        <v>6207</v>
      </c>
    </row>
    <row r="1071" spans="1:29">
      <c r="A1071" t="s">
        <v>6240</v>
      </c>
      <c r="B1071" t="s">
        <v>6240</v>
      </c>
      <c r="C1071" t="s">
        <v>2941</v>
      </c>
      <c r="D1071" t="s">
        <v>5672</v>
      </c>
      <c r="E1071" t="s">
        <v>664</v>
      </c>
      <c r="F1071" t="s">
        <v>5588</v>
      </c>
      <c r="G1071" t="s">
        <v>5651</v>
      </c>
      <c r="I1071">
        <v>3</v>
      </c>
      <c r="J1071" t="s">
        <v>5926</v>
      </c>
      <c r="K1071">
        <v>8.8000000000000007</v>
      </c>
      <c r="L1071" t="s">
        <v>5737</v>
      </c>
      <c r="M1071">
        <v>17.600000000000001</v>
      </c>
      <c r="N1071">
        <v>497</v>
      </c>
      <c r="O1071">
        <v>11.6</v>
      </c>
      <c r="P1071" t="s">
        <v>5613</v>
      </c>
      <c r="Q1071">
        <v>5.8</v>
      </c>
      <c r="R1071" t="s">
        <v>5613</v>
      </c>
      <c r="S1071">
        <v>16.3</v>
      </c>
      <c r="T1071">
        <v>649</v>
      </c>
      <c r="U1071">
        <v>23.5</v>
      </c>
      <c r="V1071">
        <v>494</v>
      </c>
      <c r="W1071">
        <v>1.3</v>
      </c>
      <c r="X1071" t="s">
        <v>5613</v>
      </c>
      <c r="Y1071">
        <v>9.1</v>
      </c>
      <c r="Z1071" t="s">
        <v>5613</v>
      </c>
      <c r="AA1071">
        <v>1.3</v>
      </c>
      <c r="AB1071" t="s">
        <v>5613</v>
      </c>
      <c r="AC1071" t="s">
        <v>6207</v>
      </c>
    </row>
    <row r="1072" spans="1:29">
      <c r="A1072" t="s">
        <v>6240</v>
      </c>
      <c r="B1072" t="s">
        <v>6240</v>
      </c>
      <c r="C1072" t="s">
        <v>3721</v>
      </c>
      <c r="D1072" t="s">
        <v>6479</v>
      </c>
      <c r="E1072" t="s">
        <v>2157</v>
      </c>
      <c r="F1072" t="s">
        <v>5605</v>
      </c>
      <c r="G1072" t="s">
        <v>5594</v>
      </c>
      <c r="H1072" t="s">
        <v>5809</v>
      </c>
      <c r="I1072">
        <v>4</v>
      </c>
      <c r="J1072" t="s">
        <v>5595</v>
      </c>
      <c r="K1072">
        <v>3.7</v>
      </c>
      <c r="L1072" t="s">
        <v>5737</v>
      </c>
      <c r="M1072">
        <v>5.3</v>
      </c>
      <c r="N1072" t="s">
        <v>5737</v>
      </c>
      <c r="O1072">
        <v>43.7</v>
      </c>
      <c r="P1072">
        <v>359</v>
      </c>
      <c r="Q1072">
        <v>1.3</v>
      </c>
      <c r="R1072" t="s">
        <v>5613</v>
      </c>
      <c r="S1072">
        <v>33</v>
      </c>
      <c r="T1072">
        <v>466</v>
      </c>
      <c r="U1072">
        <v>4</v>
      </c>
      <c r="V1072" t="s">
        <v>5613</v>
      </c>
      <c r="W1072">
        <v>1</v>
      </c>
      <c r="X1072" t="s">
        <v>5613</v>
      </c>
      <c r="Y1072">
        <v>9.3000000000000007</v>
      </c>
      <c r="Z1072" t="s">
        <v>5613</v>
      </c>
      <c r="AA1072">
        <v>1</v>
      </c>
      <c r="AB1072" t="s">
        <v>5613</v>
      </c>
      <c r="AC1072" t="s">
        <v>6207</v>
      </c>
    </row>
    <row r="1073" spans="1:29">
      <c r="A1073" t="s">
        <v>6240</v>
      </c>
      <c r="B1073" t="s">
        <v>6240</v>
      </c>
      <c r="C1073" t="s">
        <v>2943</v>
      </c>
      <c r="D1073" t="s">
        <v>6134</v>
      </c>
      <c r="E1073" t="s">
        <v>1554</v>
      </c>
      <c r="F1073" t="s">
        <v>5588</v>
      </c>
      <c r="G1073" t="s">
        <v>5594</v>
      </c>
      <c r="H1073" t="s">
        <v>6146</v>
      </c>
      <c r="I1073">
        <v>3</v>
      </c>
      <c r="J1073" t="s">
        <v>5595</v>
      </c>
      <c r="K1073">
        <v>7.6</v>
      </c>
      <c r="L1073" t="s">
        <v>5737</v>
      </c>
      <c r="M1073">
        <v>8.9</v>
      </c>
      <c r="N1073" t="s">
        <v>5737</v>
      </c>
      <c r="O1073">
        <v>10.1</v>
      </c>
      <c r="P1073" t="s">
        <v>5613</v>
      </c>
      <c r="Q1073">
        <v>1.7</v>
      </c>
      <c r="R1073" t="s">
        <v>5613</v>
      </c>
      <c r="S1073">
        <v>10.1</v>
      </c>
      <c r="T1073" t="s">
        <v>5613</v>
      </c>
      <c r="U1073">
        <v>43.6</v>
      </c>
      <c r="V1073">
        <v>330</v>
      </c>
      <c r="W1073">
        <v>1</v>
      </c>
      <c r="X1073" t="s">
        <v>5613</v>
      </c>
      <c r="Y1073">
        <v>8.6999999999999993</v>
      </c>
      <c r="Z1073" t="s">
        <v>5613</v>
      </c>
      <c r="AA1073">
        <v>1.7</v>
      </c>
      <c r="AB1073" t="s">
        <v>5613</v>
      </c>
      <c r="AC1073" t="s">
        <v>6207</v>
      </c>
    </row>
    <row r="1074" spans="1:29">
      <c r="A1074" t="s">
        <v>6240</v>
      </c>
      <c r="B1074" t="s">
        <v>6240</v>
      </c>
      <c r="C1074" t="s">
        <v>6521</v>
      </c>
      <c r="D1074" t="s">
        <v>6119</v>
      </c>
      <c r="E1074" t="s">
        <v>2026</v>
      </c>
      <c r="F1074" t="s">
        <v>5615</v>
      </c>
      <c r="G1074" t="s">
        <v>5602</v>
      </c>
      <c r="H1074" t="s">
        <v>5590</v>
      </c>
      <c r="I1074">
        <v>2</v>
      </c>
      <c r="J1074" t="s">
        <v>5595</v>
      </c>
      <c r="K1074">
        <v>5.3</v>
      </c>
      <c r="L1074" t="s">
        <v>5737</v>
      </c>
      <c r="M1074">
        <v>9.5</v>
      </c>
      <c r="N1074" t="s">
        <v>5737</v>
      </c>
      <c r="O1074">
        <v>14.3</v>
      </c>
      <c r="P1074" t="s">
        <v>5613</v>
      </c>
      <c r="Q1074">
        <v>4.2</v>
      </c>
      <c r="R1074" t="s">
        <v>5613</v>
      </c>
      <c r="S1074">
        <v>12.5</v>
      </c>
      <c r="T1074" t="s">
        <v>5613</v>
      </c>
      <c r="U1074">
        <v>27.8</v>
      </c>
      <c r="V1074">
        <v>441</v>
      </c>
      <c r="W1074">
        <v>1</v>
      </c>
      <c r="X1074" t="s">
        <v>5613</v>
      </c>
      <c r="Y1074">
        <v>21.7</v>
      </c>
      <c r="Z1074">
        <v>382</v>
      </c>
      <c r="AA1074">
        <v>8.4</v>
      </c>
      <c r="AB1074" t="s">
        <v>6162</v>
      </c>
      <c r="AC1074" t="s">
        <v>6207</v>
      </c>
    </row>
    <row r="1075" spans="1:29">
      <c r="A1075" t="s">
        <v>6240</v>
      </c>
      <c r="B1075" t="s">
        <v>6240</v>
      </c>
      <c r="C1075" t="s">
        <v>2062</v>
      </c>
      <c r="D1075" t="s">
        <v>5616</v>
      </c>
      <c r="E1075" t="s">
        <v>54</v>
      </c>
      <c r="F1075" t="s">
        <v>5605</v>
      </c>
      <c r="G1075" t="s">
        <v>5651</v>
      </c>
      <c r="I1075">
        <v>3</v>
      </c>
      <c r="J1075" t="s">
        <v>5595</v>
      </c>
      <c r="K1075">
        <v>5.0999999999999996</v>
      </c>
      <c r="L1075" t="s">
        <v>5737</v>
      </c>
      <c r="M1075">
        <v>1.7</v>
      </c>
      <c r="N1075" t="s">
        <v>5737</v>
      </c>
      <c r="O1075">
        <v>16.600000000000001</v>
      </c>
      <c r="P1075" t="s">
        <v>5613</v>
      </c>
      <c r="Q1075">
        <v>21.6</v>
      </c>
      <c r="R1075">
        <v>532</v>
      </c>
      <c r="U1075">
        <v>4.5999999999999996</v>
      </c>
      <c r="V1075" t="s">
        <v>5613</v>
      </c>
      <c r="W1075">
        <v>7.5</v>
      </c>
      <c r="X1075" t="s">
        <v>5613</v>
      </c>
      <c r="Y1075">
        <v>6.4</v>
      </c>
      <c r="Z1075" t="s">
        <v>5613</v>
      </c>
      <c r="AA1075">
        <v>7.1</v>
      </c>
      <c r="AB1075" t="s">
        <v>5613</v>
      </c>
      <c r="AC1075" t="s">
        <v>6207</v>
      </c>
    </row>
    <row r="1076" spans="1:29">
      <c r="A1076" t="s">
        <v>6240</v>
      </c>
      <c r="B1076" t="s">
        <v>6240</v>
      </c>
      <c r="C1076" t="s">
        <v>6522</v>
      </c>
      <c r="D1076" t="s">
        <v>6264</v>
      </c>
      <c r="E1076" t="s">
        <v>1123</v>
      </c>
      <c r="F1076" t="s">
        <v>5615</v>
      </c>
      <c r="G1076" t="s">
        <v>5602</v>
      </c>
      <c r="H1076" t="s">
        <v>5809</v>
      </c>
      <c r="I1076">
        <v>5</v>
      </c>
      <c r="J1076" t="s">
        <v>5595</v>
      </c>
      <c r="K1076">
        <v>5.2</v>
      </c>
      <c r="L1076" t="s">
        <v>5737</v>
      </c>
      <c r="M1076">
        <v>11.6</v>
      </c>
      <c r="N1076" t="s">
        <v>5737</v>
      </c>
      <c r="O1076">
        <v>39.9</v>
      </c>
      <c r="P1076">
        <v>396</v>
      </c>
      <c r="Q1076">
        <v>1.2</v>
      </c>
      <c r="R1076" t="s">
        <v>5613</v>
      </c>
      <c r="S1076">
        <v>2.2000000000000002</v>
      </c>
      <c r="T1076" t="s">
        <v>5613</v>
      </c>
      <c r="U1076">
        <v>1.4</v>
      </c>
      <c r="V1076" t="s">
        <v>5613</v>
      </c>
      <c r="W1076">
        <v>1</v>
      </c>
      <c r="X1076" t="s">
        <v>5613</v>
      </c>
      <c r="Y1076">
        <v>12.7</v>
      </c>
      <c r="Z1076">
        <v>685</v>
      </c>
      <c r="AA1076">
        <v>1.3</v>
      </c>
      <c r="AB1076" t="s">
        <v>5613</v>
      </c>
      <c r="AC1076" t="s">
        <v>6207</v>
      </c>
    </row>
    <row r="1077" spans="1:29">
      <c r="A1077" t="s">
        <v>6240</v>
      </c>
      <c r="B1077" t="s">
        <v>6343</v>
      </c>
      <c r="C1077" t="s">
        <v>6523</v>
      </c>
      <c r="D1077" t="s">
        <v>5587</v>
      </c>
      <c r="E1077" t="s">
        <v>29</v>
      </c>
      <c r="F1077" t="s">
        <v>5593</v>
      </c>
      <c r="G1077" t="s">
        <v>5589</v>
      </c>
      <c r="H1077" t="s">
        <v>5590</v>
      </c>
      <c r="I1077">
        <v>5</v>
      </c>
      <c r="J1077" t="s">
        <v>5595</v>
      </c>
      <c r="K1077">
        <v>6.5</v>
      </c>
      <c r="L1077" t="s">
        <v>5737</v>
      </c>
      <c r="M1077">
        <v>6</v>
      </c>
      <c r="N1077" t="s">
        <v>5737</v>
      </c>
      <c r="O1077">
        <v>4.8</v>
      </c>
      <c r="P1077" t="s">
        <v>5613</v>
      </c>
      <c r="Q1077">
        <v>12.2</v>
      </c>
      <c r="R1077">
        <v>695</v>
      </c>
      <c r="S1077">
        <v>2.8</v>
      </c>
      <c r="T1077" t="s">
        <v>5613</v>
      </c>
      <c r="U1077">
        <v>2.4</v>
      </c>
      <c r="V1077" t="s">
        <v>5613</v>
      </c>
      <c r="W1077">
        <v>7.4</v>
      </c>
      <c r="X1077" t="s">
        <v>5613</v>
      </c>
      <c r="Y1077">
        <v>9.1</v>
      </c>
      <c r="Z1077" t="s">
        <v>5613</v>
      </c>
      <c r="AA1077">
        <v>12.4</v>
      </c>
      <c r="AB1077">
        <v>639</v>
      </c>
      <c r="AC1077" t="s">
        <v>6207</v>
      </c>
    </row>
    <row r="1078" spans="1:29">
      <c r="A1078" t="s">
        <v>6240</v>
      </c>
      <c r="B1078" t="s">
        <v>6143</v>
      </c>
      <c r="C1078" t="s">
        <v>2471</v>
      </c>
      <c r="D1078" t="s">
        <v>5616</v>
      </c>
      <c r="E1078" t="s">
        <v>54</v>
      </c>
      <c r="F1078" t="s">
        <v>5593</v>
      </c>
      <c r="G1078" t="s">
        <v>5589</v>
      </c>
      <c r="H1078" t="s">
        <v>5590</v>
      </c>
      <c r="I1078">
        <v>5</v>
      </c>
      <c r="J1078" t="s">
        <v>5595</v>
      </c>
      <c r="K1078">
        <v>4.7</v>
      </c>
      <c r="L1078" t="s">
        <v>5737</v>
      </c>
      <c r="M1078">
        <v>1.5</v>
      </c>
      <c r="N1078" t="s">
        <v>5737</v>
      </c>
      <c r="O1078">
        <v>50.9</v>
      </c>
      <c r="P1078">
        <v>308</v>
      </c>
      <c r="Q1078">
        <v>14.3</v>
      </c>
      <c r="R1078">
        <v>647</v>
      </c>
      <c r="S1078">
        <v>3.8</v>
      </c>
      <c r="T1078" t="s">
        <v>5613</v>
      </c>
      <c r="U1078">
        <v>2.8</v>
      </c>
      <c r="V1078" t="s">
        <v>5613</v>
      </c>
      <c r="W1078">
        <v>3</v>
      </c>
      <c r="X1078" t="s">
        <v>5613</v>
      </c>
      <c r="Y1078">
        <v>5.9</v>
      </c>
      <c r="Z1078" t="s">
        <v>5613</v>
      </c>
      <c r="AA1078">
        <v>2.7</v>
      </c>
      <c r="AB1078" t="s">
        <v>5613</v>
      </c>
      <c r="AC1078" t="s">
        <v>6207</v>
      </c>
    </row>
    <row r="1079" spans="1:29">
      <c r="A1079" t="s">
        <v>6240</v>
      </c>
      <c r="B1079" t="s">
        <v>6143</v>
      </c>
      <c r="C1079" t="s">
        <v>3786</v>
      </c>
      <c r="D1079" t="s">
        <v>5696</v>
      </c>
      <c r="E1079" t="s">
        <v>5697</v>
      </c>
      <c r="F1079" t="s">
        <v>5588</v>
      </c>
      <c r="G1079" t="s">
        <v>5602</v>
      </c>
      <c r="H1079" t="s">
        <v>5590</v>
      </c>
      <c r="I1079">
        <v>4</v>
      </c>
      <c r="J1079" t="s">
        <v>5595</v>
      </c>
      <c r="K1079">
        <v>6.8</v>
      </c>
      <c r="L1079" t="s">
        <v>5737</v>
      </c>
      <c r="M1079">
        <v>5.9</v>
      </c>
      <c r="N1079" t="s">
        <v>5737</v>
      </c>
      <c r="O1079">
        <v>29.1</v>
      </c>
      <c r="P1079">
        <v>532</v>
      </c>
      <c r="Q1079">
        <v>1.8</v>
      </c>
      <c r="R1079" t="s">
        <v>5613</v>
      </c>
      <c r="S1079">
        <v>1.4</v>
      </c>
      <c r="T1079" t="s">
        <v>5613</v>
      </c>
      <c r="U1079">
        <v>44.6</v>
      </c>
      <c r="V1079">
        <v>325</v>
      </c>
      <c r="W1079">
        <v>1</v>
      </c>
      <c r="X1079" t="s">
        <v>5613</v>
      </c>
      <c r="Y1079">
        <v>9.9</v>
      </c>
      <c r="Z1079" t="s">
        <v>5613</v>
      </c>
      <c r="AA1079">
        <v>1.3</v>
      </c>
      <c r="AB1079" t="s">
        <v>5613</v>
      </c>
      <c r="AC1079" t="s">
        <v>6207</v>
      </c>
    </row>
    <row r="1080" spans="1:29">
      <c r="A1080" t="s">
        <v>6240</v>
      </c>
      <c r="B1080" t="s">
        <v>6240</v>
      </c>
      <c r="C1080" t="s">
        <v>6524</v>
      </c>
      <c r="D1080" t="s">
        <v>6264</v>
      </c>
      <c r="E1080" t="s">
        <v>1123</v>
      </c>
      <c r="F1080" t="s">
        <v>5588</v>
      </c>
      <c r="G1080" t="s">
        <v>5602</v>
      </c>
      <c r="H1080" t="s">
        <v>5809</v>
      </c>
      <c r="I1080">
        <v>5</v>
      </c>
      <c r="J1080" t="s">
        <v>5595</v>
      </c>
      <c r="K1080">
        <v>4.0999999999999996</v>
      </c>
      <c r="L1080" t="s">
        <v>5737</v>
      </c>
      <c r="M1080">
        <v>2.6</v>
      </c>
      <c r="N1080" t="s">
        <v>5737</v>
      </c>
      <c r="O1080">
        <v>47.7</v>
      </c>
      <c r="P1080">
        <v>329</v>
      </c>
      <c r="Q1080">
        <v>1.3</v>
      </c>
      <c r="R1080" t="s">
        <v>5613</v>
      </c>
      <c r="S1080">
        <v>1.8</v>
      </c>
      <c r="T1080" t="s">
        <v>5613</v>
      </c>
      <c r="U1080">
        <v>3.6</v>
      </c>
      <c r="V1080" t="s">
        <v>5613</v>
      </c>
      <c r="W1080">
        <v>1</v>
      </c>
      <c r="X1080" t="s">
        <v>5613</v>
      </c>
      <c r="Y1080">
        <v>10.5</v>
      </c>
      <c r="Z1080" t="s">
        <v>5613</v>
      </c>
      <c r="AA1080">
        <v>1</v>
      </c>
      <c r="AB1080" t="s">
        <v>5613</v>
      </c>
      <c r="AC1080" t="s">
        <v>6207</v>
      </c>
    </row>
    <row r="1081" spans="1:29">
      <c r="A1081" t="s">
        <v>6240</v>
      </c>
      <c r="B1081" t="s">
        <v>6240</v>
      </c>
      <c r="C1081" t="s">
        <v>6525</v>
      </c>
      <c r="D1081" t="s">
        <v>5587</v>
      </c>
      <c r="E1081" t="s">
        <v>29</v>
      </c>
      <c r="F1081" t="s">
        <v>5593</v>
      </c>
      <c r="G1081" t="s">
        <v>5594</v>
      </c>
      <c r="H1081" t="s">
        <v>5809</v>
      </c>
      <c r="I1081">
        <v>5</v>
      </c>
      <c r="J1081" t="s">
        <v>5595</v>
      </c>
      <c r="K1081">
        <v>8.5</v>
      </c>
      <c r="L1081" t="s">
        <v>5737</v>
      </c>
      <c r="M1081">
        <v>9.3000000000000007</v>
      </c>
      <c r="N1081" t="s">
        <v>5737</v>
      </c>
      <c r="O1081">
        <v>5.5</v>
      </c>
      <c r="P1081" t="s">
        <v>5613</v>
      </c>
      <c r="Q1081">
        <v>14.3</v>
      </c>
      <c r="R1081">
        <v>651</v>
      </c>
      <c r="S1081">
        <v>5.5</v>
      </c>
      <c r="T1081" t="s">
        <v>5613</v>
      </c>
      <c r="U1081">
        <v>3.9</v>
      </c>
      <c r="V1081" t="s">
        <v>5613</v>
      </c>
      <c r="W1081">
        <v>15.1</v>
      </c>
      <c r="X1081">
        <v>597</v>
      </c>
      <c r="Y1081">
        <v>15.5</v>
      </c>
      <c r="Z1081">
        <v>538</v>
      </c>
      <c r="AA1081">
        <v>3.9</v>
      </c>
      <c r="AB1081" t="s">
        <v>5613</v>
      </c>
      <c r="AC1081" t="s">
        <v>6207</v>
      </c>
    </row>
    <row r="1082" spans="1:29">
      <c r="A1082" t="s">
        <v>6240</v>
      </c>
      <c r="B1082" t="s">
        <v>6343</v>
      </c>
      <c r="C1082" t="s">
        <v>1677</v>
      </c>
      <c r="D1082" t="s">
        <v>5770</v>
      </c>
      <c r="E1082" t="s">
        <v>528</v>
      </c>
      <c r="F1082" t="s">
        <v>5593</v>
      </c>
      <c r="G1082" t="s">
        <v>5589</v>
      </c>
      <c r="H1082" t="s">
        <v>5590</v>
      </c>
      <c r="I1082">
        <v>4</v>
      </c>
      <c r="J1082" t="s">
        <v>5595</v>
      </c>
      <c r="K1082">
        <v>6.7</v>
      </c>
      <c r="L1082" t="s">
        <v>5737</v>
      </c>
      <c r="M1082">
        <v>5.9</v>
      </c>
      <c r="N1082" t="s">
        <v>5737</v>
      </c>
      <c r="O1082">
        <v>5.6</v>
      </c>
      <c r="P1082" t="s">
        <v>5613</v>
      </c>
      <c r="Q1082">
        <v>21</v>
      </c>
      <c r="R1082">
        <v>545</v>
      </c>
      <c r="U1082">
        <v>1.8</v>
      </c>
      <c r="V1082" t="s">
        <v>5613</v>
      </c>
      <c r="W1082">
        <v>1.9</v>
      </c>
      <c r="X1082" t="s">
        <v>5613</v>
      </c>
      <c r="Y1082">
        <v>29.8</v>
      </c>
      <c r="Z1082">
        <v>265</v>
      </c>
      <c r="AA1082">
        <v>2.2000000000000002</v>
      </c>
      <c r="AB1082" t="s">
        <v>5613</v>
      </c>
      <c r="AC1082" t="s">
        <v>6207</v>
      </c>
    </row>
    <row r="1083" spans="1:29">
      <c r="A1083" t="s">
        <v>6240</v>
      </c>
      <c r="B1083" t="s">
        <v>6240</v>
      </c>
      <c r="C1083" t="s">
        <v>6526</v>
      </c>
      <c r="D1083" t="s">
        <v>5624</v>
      </c>
      <c r="E1083" t="s">
        <v>125</v>
      </c>
      <c r="F1083" t="s">
        <v>5593</v>
      </c>
      <c r="G1083" t="s">
        <v>5602</v>
      </c>
      <c r="H1083" t="s">
        <v>5590</v>
      </c>
      <c r="I1083">
        <v>5</v>
      </c>
      <c r="J1083" t="s">
        <v>5595</v>
      </c>
      <c r="K1083">
        <v>12.2</v>
      </c>
      <c r="L1083" t="s">
        <v>5737</v>
      </c>
      <c r="M1083">
        <v>2.7</v>
      </c>
      <c r="N1083" t="s">
        <v>5737</v>
      </c>
      <c r="O1083">
        <v>2.9</v>
      </c>
      <c r="P1083" t="s">
        <v>5613</v>
      </c>
      <c r="Q1083">
        <v>4.5999999999999996</v>
      </c>
      <c r="R1083" t="s">
        <v>5613</v>
      </c>
      <c r="S1083">
        <v>5.4</v>
      </c>
      <c r="T1083" t="s">
        <v>5613</v>
      </c>
      <c r="U1083">
        <v>34.799999999999997</v>
      </c>
      <c r="V1083">
        <v>381</v>
      </c>
      <c r="W1083">
        <v>6.6</v>
      </c>
      <c r="X1083" t="s">
        <v>5613</v>
      </c>
      <c r="Y1083">
        <v>6.4</v>
      </c>
      <c r="Z1083" t="s">
        <v>5613</v>
      </c>
      <c r="AA1083">
        <v>2.4</v>
      </c>
      <c r="AB1083" t="s">
        <v>5613</v>
      </c>
      <c r="AC1083" t="s">
        <v>6207</v>
      </c>
    </row>
    <row r="1084" spans="1:29">
      <c r="A1084" t="s">
        <v>6240</v>
      </c>
      <c r="B1084" t="s">
        <v>6143</v>
      </c>
      <c r="C1084" t="s">
        <v>6527</v>
      </c>
      <c r="D1084" t="s">
        <v>5695</v>
      </c>
      <c r="E1084" t="s">
        <v>577</v>
      </c>
      <c r="F1084" t="s">
        <v>5588</v>
      </c>
      <c r="G1084" t="s">
        <v>5594</v>
      </c>
      <c r="H1084" t="s">
        <v>6146</v>
      </c>
      <c r="I1084">
        <v>4</v>
      </c>
      <c r="J1084" t="s">
        <v>5591</v>
      </c>
      <c r="K1084">
        <v>11.3</v>
      </c>
      <c r="L1084" t="s">
        <v>5737</v>
      </c>
      <c r="M1084">
        <v>11.2</v>
      </c>
      <c r="N1084" t="s">
        <v>5737</v>
      </c>
      <c r="O1084">
        <v>34.1</v>
      </c>
      <c r="P1084">
        <v>470</v>
      </c>
      <c r="Q1084">
        <v>1.2</v>
      </c>
      <c r="R1084" t="s">
        <v>5613</v>
      </c>
      <c r="S1084">
        <v>4.4000000000000004</v>
      </c>
      <c r="T1084" t="s">
        <v>5613</v>
      </c>
      <c r="U1084">
        <v>1.2</v>
      </c>
      <c r="V1084" t="s">
        <v>5613</v>
      </c>
      <c r="W1084">
        <v>1</v>
      </c>
      <c r="X1084" t="s">
        <v>5613</v>
      </c>
      <c r="Y1084">
        <v>13.8</v>
      </c>
      <c r="Z1084">
        <v>615</v>
      </c>
      <c r="AA1084">
        <v>1.2</v>
      </c>
      <c r="AB1084" t="s">
        <v>5613</v>
      </c>
      <c r="AC1084" t="s">
        <v>6207</v>
      </c>
    </row>
    <row r="1085" spans="1:29">
      <c r="A1085" t="s">
        <v>6240</v>
      </c>
      <c r="B1085" t="s">
        <v>6143</v>
      </c>
      <c r="C1085" t="s">
        <v>6528</v>
      </c>
      <c r="D1085" t="s">
        <v>5901</v>
      </c>
      <c r="E1085" t="s">
        <v>1543</v>
      </c>
      <c r="F1085" t="s">
        <v>5593</v>
      </c>
      <c r="G1085" t="s">
        <v>5651</v>
      </c>
      <c r="I1085">
        <v>5</v>
      </c>
      <c r="J1085" t="s">
        <v>5595</v>
      </c>
      <c r="K1085">
        <v>7.4</v>
      </c>
      <c r="L1085" t="s">
        <v>5737</v>
      </c>
      <c r="M1085">
        <v>5.6</v>
      </c>
      <c r="N1085" t="s">
        <v>5737</v>
      </c>
      <c r="O1085">
        <v>32.6</v>
      </c>
      <c r="P1085">
        <v>488</v>
      </c>
      <c r="Q1085">
        <v>5.9</v>
      </c>
      <c r="R1085" t="s">
        <v>5613</v>
      </c>
      <c r="S1085">
        <v>2.2000000000000002</v>
      </c>
      <c r="T1085" t="s">
        <v>5613</v>
      </c>
      <c r="U1085">
        <v>4</v>
      </c>
      <c r="V1085" t="s">
        <v>5613</v>
      </c>
      <c r="W1085">
        <v>5.5</v>
      </c>
      <c r="X1085" t="s">
        <v>5613</v>
      </c>
      <c r="Y1085">
        <v>7.5</v>
      </c>
      <c r="Z1085" t="s">
        <v>5613</v>
      </c>
      <c r="AA1085">
        <v>1.2</v>
      </c>
      <c r="AB1085" t="s">
        <v>5613</v>
      </c>
      <c r="AC1085" t="s">
        <v>6207</v>
      </c>
    </row>
    <row r="1086" spans="1:29">
      <c r="A1086" t="s">
        <v>6240</v>
      </c>
      <c r="B1086" t="s">
        <v>6240</v>
      </c>
      <c r="C1086" t="s">
        <v>2119</v>
      </c>
      <c r="D1086" t="s">
        <v>5587</v>
      </c>
      <c r="E1086" t="s">
        <v>29</v>
      </c>
      <c r="F1086" t="s">
        <v>5593</v>
      </c>
      <c r="G1086" t="s">
        <v>5589</v>
      </c>
      <c r="H1086" t="s">
        <v>5590</v>
      </c>
      <c r="I1086">
        <v>5</v>
      </c>
      <c r="J1086" t="s">
        <v>5591</v>
      </c>
      <c r="K1086">
        <v>6.2</v>
      </c>
      <c r="L1086" t="s">
        <v>5737</v>
      </c>
      <c r="M1086">
        <v>9.4</v>
      </c>
      <c r="N1086" t="s">
        <v>5737</v>
      </c>
      <c r="O1086">
        <v>19.8</v>
      </c>
      <c r="P1086">
        <v>672</v>
      </c>
      <c r="Q1086">
        <v>7.6</v>
      </c>
      <c r="R1086" t="s">
        <v>5613</v>
      </c>
      <c r="S1086">
        <v>5</v>
      </c>
      <c r="T1086" t="s">
        <v>5613</v>
      </c>
      <c r="U1086">
        <v>17.7</v>
      </c>
      <c r="V1086">
        <v>579</v>
      </c>
      <c r="W1086">
        <v>7.8</v>
      </c>
      <c r="X1086" t="s">
        <v>5613</v>
      </c>
      <c r="Y1086">
        <v>17.3</v>
      </c>
      <c r="Z1086">
        <v>482</v>
      </c>
      <c r="AA1086">
        <v>1.9</v>
      </c>
      <c r="AB1086" t="s">
        <v>5613</v>
      </c>
      <c r="AC1086" t="s">
        <v>6207</v>
      </c>
    </row>
    <row r="1087" spans="1:29">
      <c r="A1087" t="s">
        <v>6240</v>
      </c>
      <c r="B1087" t="s">
        <v>6143</v>
      </c>
      <c r="C1087" t="s">
        <v>3878</v>
      </c>
      <c r="D1087" t="s">
        <v>5696</v>
      </c>
      <c r="E1087" t="s">
        <v>5697</v>
      </c>
      <c r="F1087" t="s">
        <v>5605</v>
      </c>
      <c r="G1087" t="s">
        <v>5602</v>
      </c>
      <c r="H1087" t="s">
        <v>5809</v>
      </c>
      <c r="I1087">
        <v>3</v>
      </c>
      <c r="J1087" t="s">
        <v>5595</v>
      </c>
      <c r="K1087">
        <v>5.2</v>
      </c>
      <c r="L1087" t="s">
        <v>5737</v>
      </c>
      <c r="M1087">
        <v>6.8</v>
      </c>
      <c r="N1087" t="s">
        <v>5737</v>
      </c>
      <c r="O1087">
        <v>49</v>
      </c>
      <c r="P1087">
        <v>320</v>
      </c>
      <c r="Q1087">
        <v>1.1000000000000001</v>
      </c>
      <c r="R1087" t="s">
        <v>5613</v>
      </c>
      <c r="S1087">
        <v>2</v>
      </c>
      <c r="T1087" t="s">
        <v>5613</v>
      </c>
      <c r="U1087">
        <v>3</v>
      </c>
      <c r="V1087" t="s">
        <v>5613</v>
      </c>
      <c r="W1087">
        <v>1.1000000000000001</v>
      </c>
      <c r="X1087" t="s">
        <v>5613</v>
      </c>
      <c r="Y1087">
        <v>26</v>
      </c>
      <c r="Z1087">
        <v>315</v>
      </c>
      <c r="AA1087">
        <v>1.1000000000000001</v>
      </c>
      <c r="AB1087" t="s">
        <v>5613</v>
      </c>
      <c r="AC1087" t="s">
        <v>6207</v>
      </c>
    </row>
    <row r="1088" spans="1:29">
      <c r="A1088" t="s">
        <v>6240</v>
      </c>
      <c r="B1088" t="s">
        <v>6143</v>
      </c>
      <c r="C1088" t="s">
        <v>1708</v>
      </c>
      <c r="D1088" t="s">
        <v>5696</v>
      </c>
      <c r="E1088" t="s">
        <v>5697</v>
      </c>
      <c r="F1088" t="s">
        <v>5588</v>
      </c>
      <c r="G1088" t="s">
        <v>5602</v>
      </c>
      <c r="H1088" t="s">
        <v>5590</v>
      </c>
      <c r="I1088">
        <v>5</v>
      </c>
      <c r="J1088" t="s">
        <v>5595</v>
      </c>
      <c r="K1088">
        <v>3.7</v>
      </c>
      <c r="L1088" t="s">
        <v>5737</v>
      </c>
      <c r="M1088">
        <v>3.1</v>
      </c>
      <c r="N1088" t="s">
        <v>5737</v>
      </c>
      <c r="O1088">
        <v>53.9</v>
      </c>
      <c r="P1088">
        <v>285</v>
      </c>
      <c r="Q1088">
        <v>2.2000000000000002</v>
      </c>
      <c r="R1088" t="s">
        <v>5613</v>
      </c>
      <c r="S1088">
        <v>19.7</v>
      </c>
      <c r="T1088">
        <v>592</v>
      </c>
      <c r="U1088">
        <v>20.6</v>
      </c>
      <c r="V1088">
        <v>539</v>
      </c>
      <c r="W1088">
        <v>1</v>
      </c>
      <c r="X1088" t="s">
        <v>5613</v>
      </c>
      <c r="Y1088">
        <v>12</v>
      </c>
      <c r="Z1088" t="s">
        <v>5613</v>
      </c>
      <c r="AA1088">
        <v>4.0999999999999996</v>
      </c>
      <c r="AB1088" t="s">
        <v>5613</v>
      </c>
      <c r="AC1088" t="s">
        <v>6207</v>
      </c>
    </row>
    <row r="1089" spans="1:29">
      <c r="A1089" t="s">
        <v>6240</v>
      </c>
      <c r="B1089" t="s">
        <v>6240</v>
      </c>
      <c r="C1089" t="s">
        <v>2127</v>
      </c>
      <c r="D1089" t="s">
        <v>5587</v>
      </c>
      <c r="E1089" t="s">
        <v>29</v>
      </c>
      <c r="F1089" t="s">
        <v>5605</v>
      </c>
      <c r="G1089" t="s">
        <v>5589</v>
      </c>
      <c r="H1089" t="s">
        <v>5590</v>
      </c>
      <c r="I1089">
        <v>5</v>
      </c>
      <c r="J1089" t="s">
        <v>5595</v>
      </c>
      <c r="K1089">
        <v>5.2</v>
      </c>
      <c r="L1089" t="s">
        <v>5737</v>
      </c>
      <c r="M1089">
        <v>3</v>
      </c>
      <c r="N1089" t="s">
        <v>5737</v>
      </c>
      <c r="O1089">
        <v>3.2</v>
      </c>
      <c r="P1089" t="s">
        <v>5613</v>
      </c>
      <c r="Q1089">
        <v>17.100000000000001</v>
      </c>
      <c r="R1089">
        <v>598</v>
      </c>
      <c r="S1089">
        <v>6.5</v>
      </c>
      <c r="T1089" t="s">
        <v>5613</v>
      </c>
      <c r="U1089">
        <v>4.4000000000000004</v>
      </c>
      <c r="V1089" t="s">
        <v>5613</v>
      </c>
      <c r="W1089">
        <v>27.1</v>
      </c>
      <c r="X1089">
        <v>479</v>
      </c>
      <c r="Y1089">
        <v>17.8</v>
      </c>
      <c r="Z1089">
        <v>467</v>
      </c>
      <c r="AA1089">
        <v>23.7</v>
      </c>
      <c r="AB1089" t="s">
        <v>5984</v>
      </c>
      <c r="AC1089" t="s">
        <v>6207</v>
      </c>
    </row>
    <row r="1090" spans="1:29">
      <c r="A1090" t="s">
        <v>6240</v>
      </c>
      <c r="B1090" t="s">
        <v>6240</v>
      </c>
      <c r="C1090" t="s">
        <v>3050</v>
      </c>
      <c r="D1090" t="s">
        <v>5770</v>
      </c>
      <c r="E1090" t="s">
        <v>528</v>
      </c>
      <c r="F1090" t="s">
        <v>5593</v>
      </c>
      <c r="G1090" t="s">
        <v>5589</v>
      </c>
      <c r="H1090" t="s">
        <v>5590</v>
      </c>
      <c r="I1090">
        <v>3</v>
      </c>
      <c r="J1090" t="s">
        <v>5591</v>
      </c>
      <c r="K1090">
        <v>5</v>
      </c>
      <c r="L1090" t="s">
        <v>5737</v>
      </c>
      <c r="M1090">
        <v>6.3</v>
      </c>
      <c r="N1090" t="s">
        <v>5737</v>
      </c>
      <c r="O1090">
        <v>29.1</v>
      </c>
      <c r="P1090">
        <v>530</v>
      </c>
      <c r="Q1090">
        <v>3.9</v>
      </c>
      <c r="R1090" t="s">
        <v>5613</v>
      </c>
      <c r="S1090">
        <v>5.9</v>
      </c>
      <c r="T1090" t="s">
        <v>5613</v>
      </c>
      <c r="U1090">
        <v>4.0999999999999996</v>
      </c>
      <c r="V1090" t="s">
        <v>5613</v>
      </c>
      <c r="W1090">
        <v>1.1000000000000001</v>
      </c>
      <c r="X1090" t="s">
        <v>5613</v>
      </c>
      <c r="Y1090">
        <v>8.6999999999999993</v>
      </c>
      <c r="Z1090" t="s">
        <v>5613</v>
      </c>
      <c r="AA1090">
        <v>7.5</v>
      </c>
      <c r="AB1090" t="s">
        <v>5613</v>
      </c>
      <c r="AC1090" t="s">
        <v>6207</v>
      </c>
    </row>
    <row r="1091" spans="1:29">
      <c r="A1091" t="s">
        <v>6240</v>
      </c>
      <c r="B1091" t="s">
        <v>6240</v>
      </c>
      <c r="C1091" t="s">
        <v>6529</v>
      </c>
      <c r="D1091" t="s">
        <v>5644</v>
      </c>
      <c r="E1091" t="s">
        <v>181</v>
      </c>
      <c r="F1091" t="s">
        <v>5588</v>
      </c>
      <c r="G1091" t="s">
        <v>5602</v>
      </c>
      <c r="H1091" t="s">
        <v>5590</v>
      </c>
      <c r="I1091">
        <v>3</v>
      </c>
      <c r="J1091" t="s">
        <v>5595</v>
      </c>
      <c r="K1091">
        <v>7.4</v>
      </c>
      <c r="L1091" t="s">
        <v>5737</v>
      </c>
      <c r="M1091">
        <v>3.8</v>
      </c>
      <c r="N1091" t="s">
        <v>5737</v>
      </c>
      <c r="O1091">
        <v>10.8</v>
      </c>
      <c r="P1091" t="s">
        <v>5613</v>
      </c>
      <c r="Q1091">
        <v>10</v>
      </c>
      <c r="R1091" t="s">
        <v>5613</v>
      </c>
      <c r="S1091">
        <v>11.1</v>
      </c>
      <c r="T1091" t="s">
        <v>5613</v>
      </c>
      <c r="U1091">
        <v>11.9</v>
      </c>
      <c r="V1091">
        <v>680</v>
      </c>
      <c r="W1091">
        <v>1</v>
      </c>
      <c r="X1091" t="s">
        <v>5613</v>
      </c>
      <c r="Y1091">
        <v>7.6</v>
      </c>
      <c r="Z1091" t="s">
        <v>5613</v>
      </c>
      <c r="AA1091">
        <v>1</v>
      </c>
      <c r="AB1091" t="s">
        <v>5613</v>
      </c>
      <c r="AC1091" t="s">
        <v>6207</v>
      </c>
    </row>
    <row r="1092" spans="1:29">
      <c r="A1092" t="s">
        <v>6240</v>
      </c>
      <c r="B1092" t="s">
        <v>6240</v>
      </c>
      <c r="C1092" t="s">
        <v>6530</v>
      </c>
      <c r="D1092" t="s">
        <v>5616</v>
      </c>
      <c r="E1092" t="s">
        <v>54</v>
      </c>
      <c r="F1092" t="s">
        <v>5593</v>
      </c>
      <c r="G1092" t="s">
        <v>5651</v>
      </c>
      <c r="I1092">
        <v>3</v>
      </c>
      <c r="J1092" t="s">
        <v>5595</v>
      </c>
      <c r="K1092">
        <v>5.3</v>
      </c>
      <c r="L1092" t="s">
        <v>5737</v>
      </c>
      <c r="M1092">
        <v>2.5</v>
      </c>
      <c r="N1092" t="s">
        <v>5737</v>
      </c>
      <c r="O1092">
        <v>17.600000000000001</v>
      </c>
      <c r="P1092" t="s">
        <v>5613</v>
      </c>
      <c r="Q1092">
        <v>1.7</v>
      </c>
      <c r="R1092" t="s">
        <v>5613</v>
      </c>
      <c r="S1092">
        <v>28.2</v>
      </c>
      <c r="T1092">
        <v>500</v>
      </c>
      <c r="U1092">
        <v>29.6</v>
      </c>
      <c r="V1092">
        <v>424</v>
      </c>
      <c r="W1092">
        <v>1</v>
      </c>
      <c r="X1092" t="s">
        <v>5613</v>
      </c>
      <c r="Y1092">
        <v>6.8</v>
      </c>
      <c r="Z1092" t="s">
        <v>5613</v>
      </c>
      <c r="AA1092">
        <v>1</v>
      </c>
      <c r="AB1092" t="s">
        <v>5613</v>
      </c>
      <c r="AC1092" t="s">
        <v>6207</v>
      </c>
    </row>
    <row r="1093" spans="1:29">
      <c r="A1093" t="s">
        <v>6240</v>
      </c>
      <c r="B1093" t="s">
        <v>6240</v>
      </c>
      <c r="C1093" t="s">
        <v>2140</v>
      </c>
      <c r="D1093" t="s">
        <v>5592</v>
      </c>
      <c r="E1093" t="s">
        <v>26</v>
      </c>
      <c r="F1093" t="s">
        <v>5593</v>
      </c>
      <c r="G1093" t="s">
        <v>5589</v>
      </c>
      <c r="H1093" t="s">
        <v>5809</v>
      </c>
      <c r="I1093">
        <v>3</v>
      </c>
      <c r="J1093" t="s">
        <v>5595</v>
      </c>
      <c r="K1093">
        <v>6.5</v>
      </c>
      <c r="L1093" t="s">
        <v>5737</v>
      </c>
      <c r="M1093">
        <v>12.1</v>
      </c>
      <c r="N1093" t="s">
        <v>5737</v>
      </c>
      <c r="O1093">
        <v>10</v>
      </c>
      <c r="P1093" t="s">
        <v>5613</v>
      </c>
      <c r="Q1093">
        <v>4.9000000000000004</v>
      </c>
      <c r="R1093" t="s">
        <v>5613</v>
      </c>
      <c r="S1093">
        <v>35</v>
      </c>
      <c r="T1093">
        <v>455</v>
      </c>
      <c r="U1093">
        <v>30.9</v>
      </c>
      <c r="V1093">
        <v>412</v>
      </c>
      <c r="W1093">
        <v>6.7</v>
      </c>
      <c r="X1093" t="s">
        <v>5613</v>
      </c>
      <c r="Y1093">
        <v>11.9</v>
      </c>
      <c r="Z1093" t="s">
        <v>5613</v>
      </c>
      <c r="AA1093">
        <v>2.5</v>
      </c>
      <c r="AB1093" t="s">
        <v>5613</v>
      </c>
      <c r="AC1093" t="s">
        <v>6207</v>
      </c>
    </row>
    <row r="1094" spans="1:29">
      <c r="A1094" t="s">
        <v>6240</v>
      </c>
      <c r="B1094" t="s">
        <v>6143</v>
      </c>
      <c r="C1094" t="s">
        <v>6531</v>
      </c>
      <c r="D1094" t="s">
        <v>5631</v>
      </c>
      <c r="E1094" t="s">
        <v>94</v>
      </c>
      <c r="F1094" t="s">
        <v>5588</v>
      </c>
      <c r="G1094" t="s">
        <v>5594</v>
      </c>
      <c r="H1094" t="s">
        <v>5590</v>
      </c>
      <c r="I1094">
        <v>4</v>
      </c>
      <c r="J1094" t="s">
        <v>5595</v>
      </c>
      <c r="K1094">
        <v>3.4</v>
      </c>
      <c r="L1094" t="s">
        <v>5737</v>
      </c>
      <c r="M1094">
        <v>3.4</v>
      </c>
      <c r="N1094" t="s">
        <v>5737</v>
      </c>
      <c r="O1094">
        <v>35.1</v>
      </c>
      <c r="P1094">
        <v>450</v>
      </c>
      <c r="Q1094">
        <v>12</v>
      </c>
      <c r="R1094">
        <v>699</v>
      </c>
      <c r="S1094">
        <v>10.7</v>
      </c>
      <c r="T1094" t="s">
        <v>5613</v>
      </c>
      <c r="U1094">
        <v>2.9</v>
      </c>
      <c r="V1094" t="s">
        <v>5613</v>
      </c>
      <c r="W1094">
        <v>1.3</v>
      </c>
      <c r="X1094" t="s">
        <v>5613</v>
      </c>
      <c r="Y1094">
        <v>7.8</v>
      </c>
      <c r="Z1094" t="s">
        <v>5613</v>
      </c>
      <c r="AA1094">
        <v>1.1000000000000001</v>
      </c>
      <c r="AB1094" t="s">
        <v>5613</v>
      </c>
      <c r="AC1094" t="s">
        <v>6207</v>
      </c>
    </row>
    <row r="1095" spans="1:29">
      <c r="A1095" t="s">
        <v>6240</v>
      </c>
      <c r="B1095" t="s">
        <v>6240</v>
      </c>
      <c r="C1095" t="s">
        <v>6532</v>
      </c>
      <c r="D1095" t="s">
        <v>5696</v>
      </c>
      <c r="E1095" t="s">
        <v>5697</v>
      </c>
      <c r="F1095" t="s">
        <v>5588</v>
      </c>
      <c r="G1095" t="s">
        <v>5589</v>
      </c>
      <c r="H1095" t="s">
        <v>5590</v>
      </c>
      <c r="I1095">
        <v>2</v>
      </c>
      <c r="J1095" t="s">
        <v>5595</v>
      </c>
      <c r="K1095">
        <v>7.8</v>
      </c>
      <c r="L1095" t="s">
        <v>5737</v>
      </c>
      <c r="M1095">
        <v>3.8</v>
      </c>
      <c r="N1095" t="s">
        <v>5737</v>
      </c>
      <c r="O1095">
        <v>15.5</v>
      </c>
      <c r="P1095" t="s">
        <v>5613</v>
      </c>
      <c r="Q1095">
        <v>3.5</v>
      </c>
      <c r="R1095" t="s">
        <v>5613</v>
      </c>
      <c r="S1095">
        <v>45.5</v>
      </c>
      <c r="T1095">
        <v>375</v>
      </c>
      <c r="U1095">
        <v>31.2</v>
      </c>
      <c r="V1095">
        <v>408</v>
      </c>
      <c r="W1095">
        <v>2.4</v>
      </c>
      <c r="X1095" t="s">
        <v>5613</v>
      </c>
      <c r="Y1095">
        <v>10.4</v>
      </c>
      <c r="Z1095" t="s">
        <v>5613</v>
      </c>
      <c r="AA1095">
        <v>7.4</v>
      </c>
      <c r="AB1095" t="s">
        <v>5613</v>
      </c>
      <c r="AC1095" t="s">
        <v>6207</v>
      </c>
    </row>
    <row r="1096" spans="1:29">
      <c r="A1096" t="s">
        <v>6240</v>
      </c>
      <c r="B1096" t="s">
        <v>6240</v>
      </c>
      <c r="C1096" t="s">
        <v>3073</v>
      </c>
      <c r="D1096" t="s">
        <v>5901</v>
      </c>
      <c r="E1096" t="s">
        <v>1543</v>
      </c>
      <c r="F1096" t="s">
        <v>5593</v>
      </c>
      <c r="G1096" t="s">
        <v>5602</v>
      </c>
      <c r="H1096" t="s">
        <v>5590</v>
      </c>
      <c r="I1096">
        <v>4</v>
      </c>
      <c r="J1096" t="s">
        <v>5595</v>
      </c>
      <c r="K1096">
        <v>6.5</v>
      </c>
      <c r="L1096" t="s">
        <v>5737</v>
      </c>
      <c r="M1096">
        <v>3.6</v>
      </c>
      <c r="N1096" t="s">
        <v>5737</v>
      </c>
      <c r="O1096">
        <v>27.7</v>
      </c>
      <c r="P1096">
        <v>549</v>
      </c>
      <c r="Q1096">
        <v>6.2</v>
      </c>
      <c r="R1096" t="s">
        <v>5613</v>
      </c>
      <c r="S1096">
        <v>2.4</v>
      </c>
      <c r="T1096" t="s">
        <v>5613</v>
      </c>
      <c r="U1096">
        <v>4.4000000000000004</v>
      </c>
      <c r="V1096" t="s">
        <v>5613</v>
      </c>
      <c r="W1096">
        <v>9</v>
      </c>
      <c r="X1096">
        <v>697</v>
      </c>
      <c r="Y1096">
        <v>11.1</v>
      </c>
      <c r="Z1096" t="s">
        <v>5613</v>
      </c>
      <c r="AA1096">
        <v>1.4</v>
      </c>
      <c r="AB1096" t="s">
        <v>5613</v>
      </c>
      <c r="AC1096" t="s">
        <v>6207</v>
      </c>
    </row>
    <row r="1097" spans="1:29">
      <c r="A1097" t="s">
        <v>6240</v>
      </c>
      <c r="B1097" t="s">
        <v>6143</v>
      </c>
      <c r="C1097" t="s">
        <v>3940</v>
      </c>
      <c r="D1097" t="s">
        <v>6333</v>
      </c>
      <c r="E1097" t="s">
        <v>2278</v>
      </c>
      <c r="F1097" t="s">
        <v>5593</v>
      </c>
      <c r="G1097" t="s">
        <v>5602</v>
      </c>
      <c r="H1097" t="s">
        <v>5590</v>
      </c>
      <c r="I1097">
        <v>4</v>
      </c>
      <c r="J1097" t="s">
        <v>5595</v>
      </c>
      <c r="K1097">
        <v>9.6999999999999993</v>
      </c>
      <c r="L1097" t="s">
        <v>5737</v>
      </c>
      <c r="M1097">
        <v>7.9</v>
      </c>
      <c r="N1097" t="s">
        <v>5737</v>
      </c>
      <c r="O1097">
        <v>34.700000000000003</v>
      </c>
      <c r="P1097">
        <v>460</v>
      </c>
      <c r="Q1097">
        <v>3.6</v>
      </c>
      <c r="R1097" t="s">
        <v>5613</v>
      </c>
      <c r="S1097">
        <v>2.1</v>
      </c>
      <c r="T1097" t="s">
        <v>5613</v>
      </c>
      <c r="U1097">
        <v>2.7</v>
      </c>
      <c r="V1097" t="s">
        <v>5613</v>
      </c>
      <c r="W1097">
        <v>2.6</v>
      </c>
      <c r="X1097" t="s">
        <v>5613</v>
      </c>
      <c r="Y1097">
        <v>18.2</v>
      </c>
      <c r="Z1097">
        <v>459</v>
      </c>
      <c r="AA1097">
        <v>1.4</v>
      </c>
      <c r="AB1097" t="s">
        <v>5613</v>
      </c>
      <c r="AC1097" t="s">
        <v>6207</v>
      </c>
    </row>
    <row r="1098" spans="1:29">
      <c r="A1098" t="s">
        <v>6240</v>
      </c>
      <c r="C1098" t="s">
        <v>3081</v>
      </c>
      <c r="D1098" t="s">
        <v>5644</v>
      </c>
      <c r="E1098" t="s">
        <v>181</v>
      </c>
      <c r="F1098" t="s">
        <v>5588</v>
      </c>
      <c r="G1098" t="s">
        <v>5594</v>
      </c>
      <c r="H1098" t="s">
        <v>5809</v>
      </c>
      <c r="I1098">
        <v>3</v>
      </c>
      <c r="J1098" t="s">
        <v>5591</v>
      </c>
      <c r="K1098">
        <v>5</v>
      </c>
      <c r="L1098" t="s">
        <v>5737</v>
      </c>
      <c r="M1098">
        <v>2.9</v>
      </c>
      <c r="N1098" t="s">
        <v>5737</v>
      </c>
      <c r="O1098">
        <v>46.6</v>
      </c>
      <c r="P1098">
        <v>337</v>
      </c>
      <c r="Q1098">
        <v>7.3</v>
      </c>
      <c r="R1098" t="s">
        <v>5613</v>
      </c>
      <c r="S1098">
        <v>5.7</v>
      </c>
      <c r="T1098" t="s">
        <v>5613</v>
      </c>
      <c r="U1098">
        <v>4.8</v>
      </c>
      <c r="V1098" t="s">
        <v>5613</v>
      </c>
      <c r="W1098">
        <v>1</v>
      </c>
      <c r="X1098" t="s">
        <v>5613</v>
      </c>
      <c r="Y1098">
        <v>6.8</v>
      </c>
      <c r="Z1098" t="s">
        <v>5613</v>
      </c>
      <c r="AA1098">
        <v>1.1000000000000001</v>
      </c>
      <c r="AB1098" t="s">
        <v>5613</v>
      </c>
      <c r="AC1098" t="s">
        <v>6207</v>
      </c>
    </row>
    <row r="1099" spans="1:29">
      <c r="A1099" t="s">
        <v>6240</v>
      </c>
      <c r="B1099" t="s">
        <v>6143</v>
      </c>
      <c r="C1099" t="s">
        <v>6533</v>
      </c>
      <c r="D1099" t="s">
        <v>5587</v>
      </c>
      <c r="E1099" t="s">
        <v>29</v>
      </c>
      <c r="F1099" t="s">
        <v>5588</v>
      </c>
      <c r="G1099" t="s">
        <v>5589</v>
      </c>
      <c r="H1099" t="s">
        <v>5590</v>
      </c>
      <c r="I1099">
        <v>5</v>
      </c>
      <c r="J1099" t="s">
        <v>5591</v>
      </c>
      <c r="K1099">
        <v>5.2</v>
      </c>
      <c r="L1099" t="s">
        <v>5737</v>
      </c>
      <c r="M1099">
        <v>3.8</v>
      </c>
      <c r="N1099" t="s">
        <v>5737</v>
      </c>
      <c r="O1099">
        <v>28</v>
      </c>
      <c r="P1099">
        <v>545</v>
      </c>
      <c r="Q1099">
        <v>8.6</v>
      </c>
      <c r="R1099" t="s">
        <v>5613</v>
      </c>
      <c r="S1099">
        <v>13</v>
      </c>
      <c r="T1099">
        <v>700</v>
      </c>
      <c r="U1099">
        <v>8.8000000000000007</v>
      </c>
      <c r="V1099" t="s">
        <v>5613</v>
      </c>
      <c r="W1099">
        <v>2.7</v>
      </c>
      <c r="X1099" t="s">
        <v>5613</v>
      </c>
      <c r="Y1099">
        <v>30.5</v>
      </c>
      <c r="Z1099">
        <v>252</v>
      </c>
      <c r="AA1099">
        <v>1.6</v>
      </c>
      <c r="AB1099" t="s">
        <v>5613</v>
      </c>
      <c r="AC1099" t="s">
        <v>6207</v>
      </c>
    </row>
    <row r="1100" spans="1:29">
      <c r="A1100" t="s">
        <v>6240</v>
      </c>
      <c r="B1100" t="s">
        <v>6343</v>
      </c>
      <c r="C1100" t="s">
        <v>6534</v>
      </c>
      <c r="D1100" t="s">
        <v>5616</v>
      </c>
      <c r="E1100" t="s">
        <v>54</v>
      </c>
      <c r="F1100" t="s">
        <v>5605</v>
      </c>
      <c r="G1100" t="s">
        <v>5589</v>
      </c>
      <c r="H1100" t="s">
        <v>5590</v>
      </c>
      <c r="I1100">
        <v>2</v>
      </c>
      <c r="J1100" t="s">
        <v>5595</v>
      </c>
      <c r="K1100">
        <v>3.9</v>
      </c>
      <c r="L1100" t="s">
        <v>5737</v>
      </c>
      <c r="M1100">
        <v>1.7</v>
      </c>
      <c r="N1100" t="s">
        <v>5737</v>
      </c>
      <c r="O1100">
        <v>12.6</v>
      </c>
      <c r="P1100" t="s">
        <v>5613</v>
      </c>
      <c r="Q1100">
        <v>19.2</v>
      </c>
      <c r="R1100">
        <v>566</v>
      </c>
      <c r="S1100">
        <v>1.3</v>
      </c>
      <c r="T1100" t="s">
        <v>5613</v>
      </c>
      <c r="U1100">
        <v>1.7</v>
      </c>
      <c r="V1100" t="s">
        <v>5613</v>
      </c>
      <c r="W1100">
        <v>5.9</v>
      </c>
      <c r="X1100" t="s">
        <v>5613</v>
      </c>
      <c r="Y1100">
        <v>9</v>
      </c>
      <c r="Z1100" t="s">
        <v>5613</v>
      </c>
      <c r="AA1100">
        <v>5.8</v>
      </c>
      <c r="AB1100" t="s">
        <v>5613</v>
      </c>
      <c r="AC1100" t="s">
        <v>6207</v>
      </c>
    </row>
    <row r="1101" spans="1:29">
      <c r="A1101" t="s">
        <v>6240</v>
      </c>
      <c r="B1101" t="s">
        <v>6143</v>
      </c>
      <c r="C1101" t="s">
        <v>6535</v>
      </c>
      <c r="D1101" t="s">
        <v>6213</v>
      </c>
      <c r="E1101" t="s">
        <v>691</v>
      </c>
      <c r="F1101" t="s">
        <v>5588</v>
      </c>
      <c r="G1101" t="s">
        <v>5594</v>
      </c>
      <c r="H1101" t="s">
        <v>6146</v>
      </c>
      <c r="I1101">
        <v>2</v>
      </c>
      <c r="J1101" t="s">
        <v>5926</v>
      </c>
      <c r="K1101">
        <v>8.1</v>
      </c>
      <c r="L1101" t="s">
        <v>5737</v>
      </c>
      <c r="M1101">
        <v>24.7</v>
      </c>
      <c r="N1101">
        <v>388</v>
      </c>
      <c r="O1101">
        <v>22.8</v>
      </c>
      <c r="P1101">
        <v>622</v>
      </c>
      <c r="Q1101">
        <v>1.6</v>
      </c>
      <c r="R1101" t="s">
        <v>5613</v>
      </c>
      <c r="S1101">
        <v>4.2</v>
      </c>
      <c r="T1101" t="s">
        <v>5613</v>
      </c>
      <c r="U1101">
        <v>6.6</v>
      </c>
      <c r="V1101" t="s">
        <v>5613</v>
      </c>
      <c r="W1101">
        <v>1</v>
      </c>
      <c r="X1101" t="s">
        <v>5613</v>
      </c>
      <c r="Y1101">
        <v>9.1999999999999993</v>
      </c>
      <c r="Z1101" t="s">
        <v>5613</v>
      </c>
      <c r="AA1101">
        <v>1.3</v>
      </c>
      <c r="AB1101" t="s">
        <v>5613</v>
      </c>
      <c r="AC1101" t="s">
        <v>6207</v>
      </c>
    </row>
    <row r="1102" spans="1:29">
      <c r="A1102" t="s">
        <v>6240</v>
      </c>
      <c r="B1102" t="s">
        <v>6240</v>
      </c>
      <c r="C1102" t="s">
        <v>2563</v>
      </c>
      <c r="D1102" t="s">
        <v>5762</v>
      </c>
      <c r="E1102" t="s">
        <v>534</v>
      </c>
      <c r="F1102" t="s">
        <v>5605</v>
      </c>
      <c r="G1102" t="s">
        <v>5594</v>
      </c>
      <c r="H1102" t="s">
        <v>5809</v>
      </c>
      <c r="I1102">
        <v>2</v>
      </c>
      <c r="J1102" t="s">
        <v>5595</v>
      </c>
      <c r="K1102">
        <v>5.7</v>
      </c>
      <c r="L1102" t="s">
        <v>5737</v>
      </c>
      <c r="M1102">
        <v>2.2999999999999998</v>
      </c>
      <c r="N1102" t="s">
        <v>5737</v>
      </c>
      <c r="O1102">
        <v>4.0999999999999996</v>
      </c>
      <c r="P1102" t="s">
        <v>5613</v>
      </c>
      <c r="Q1102">
        <v>3.2</v>
      </c>
      <c r="R1102" t="s">
        <v>5613</v>
      </c>
      <c r="S1102">
        <v>97.7</v>
      </c>
      <c r="T1102">
        <v>121</v>
      </c>
      <c r="U1102">
        <v>2.2999999999999998</v>
      </c>
      <c r="V1102" t="s">
        <v>5613</v>
      </c>
      <c r="W1102">
        <v>2.4</v>
      </c>
      <c r="X1102" t="s">
        <v>5613</v>
      </c>
      <c r="Y1102">
        <v>4.5</v>
      </c>
      <c r="Z1102" t="s">
        <v>5613</v>
      </c>
      <c r="AA1102">
        <v>2.1</v>
      </c>
      <c r="AB1102" t="s">
        <v>5613</v>
      </c>
      <c r="AC1102" t="s">
        <v>6207</v>
      </c>
    </row>
    <row r="1103" spans="1:29">
      <c r="A1103" t="s">
        <v>6240</v>
      </c>
      <c r="B1103" t="s">
        <v>6240</v>
      </c>
      <c r="C1103" t="s">
        <v>6536</v>
      </c>
      <c r="D1103" t="s">
        <v>5999</v>
      </c>
      <c r="E1103" t="s">
        <v>813</v>
      </c>
      <c r="F1103" t="s">
        <v>5588</v>
      </c>
      <c r="G1103" t="s">
        <v>5602</v>
      </c>
      <c r="H1103" t="s">
        <v>5590</v>
      </c>
      <c r="I1103">
        <v>2</v>
      </c>
      <c r="J1103" t="s">
        <v>5595</v>
      </c>
      <c r="K1103">
        <v>8.6999999999999993</v>
      </c>
      <c r="L1103" t="s">
        <v>5737</v>
      </c>
      <c r="M1103">
        <v>5.7</v>
      </c>
      <c r="N1103" t="s">
        <v>5737</v>
      </c>
      <c r="O1103">
        <v>6.9</v>
      </c>
      <c r="P1103" t="s">
        <v>5613</v>
      </c>
      <c r="Q1103">
        <v>6.1</v>
      </c>
      <c r="R1103" t="s">
        <v>5613</v>
      </c>
      <c r="S1103">
        <v>40</v>
      </c>
      <c r="T1103">
        <v>412</v>
      </c>
      <c r="U1103">
        <v>19.3</v>
      </c>
      <c r="V1103">
        <v>556</v>
      </c>
      <c r="W1103">
        <v>9.3000000000000007</v>
      </c>
      <c r="X1103">
        <v>686</v>
      </c>
      <c r="Y1103">
        <v>11</v>
      </c>
      <c r="Z1103" t="s">
        <v>5613</v>
      </c>
      <c r="AA1103">
        <v>1.3</v>
      </c>
      <c r="AB1103" t="s">
        <v>5613</v>
      </c>
      <c r="AC1103" t="s">
        <v>6207</v>
      </c>
    </row>
    <row r="1104" spans="1:29">
      <c r="A1104" t="s">
        <v>6240</v>
      </c>
      <c r="B1104" t="s">
        <v>6143</v>
      </c>
      <c r="C1104" t="s">
        <v>6537</v>
      </c>
      <c r="D1104" t="s">
        <v>6333</v>
      </c>
      <c r="E1104" t="s">
        <v>2278</v>
      </c>
      <c r="F1104" t="s">
        <v>5588</v>
      </c>
      <c r="G1104" t="s">
        <v>5602</v>
      </c>
      <c r="H1104" t="s">
        <v>5590</v>
      </c>
      <c r="I1104">
        <v>4</v>
      </c>
      <c r="J1104" t="s">
        <v>5595</v>
      </c>
      <c r="K1104">
        <v>7.5</v>
      </c>
      <c r="L1104" t="s">
        <v>5737</v>
      </c>
      <c r="M1104">
        <v>2.5</v>
      </c>
      <c r="N1104" t="s">
        <v>5737</v>
      </c>
      <c r="O1104">
        <v>22.8</v>
      </c>
      <c r="P1104">
        <v>621</v>
      </c>
      <c r="Q1104">
        <v>5.2</v>
      </c>
      <c r="R1104" t="s">
        <v>5613</v>
      </c>
      <c r="S1104">
        <v>1.5</v>
      </c>
      <c r="T1104" t="s">
        <v>5613</v>
      </c>
      <c r="U1104">
        <v>59.3</v>
      </c>
      <c r="V1104">
        <v>251</v>
      </c>
      <c r="W1104">
        <v>1.7</v>
      </c>
      <c r="X1104" t="s">
        <v>5613</v>
      </c>
      <c r="Y1104">
        <v>12.8</v>
      </c>
      <c r="Z1104">
        <v>670</v>
      </c>
      <c r="AA1104">
        <v>1.1000000000000001</v>
      </c>
      <c r="AB1104" t="s">
        <v>5613</v>
      </c>
      <c r="AC1104" t="s">
        <v>6207</v>
      </c>
    </row>
    <row r="1105" spans="1:29">
      <c r="A1105" t="s">
        <v>6240</v>
      </c>
      <c r="B1105" t="s">
        <v>6143</v>
      </c>
      <c r="C1105" t="s">
        <v>3977</v>
      </c>
      <c r="D1105" t="s">
        <v>5882</v>
      </c>
      <c r="E1105" t="s">
        <v>984</v>
      </c>
      <c r="F1105" t="s">
        <v>5588</v>
      </c>
      <c r="G1105" t="s">
        <v>5651</v>
      </c>
      <c r="I1105">
        <v>4</v>
      </c>
      <c r="J1105" t="s">
        <v>5595</v>
      </c>
      <c r="K1105">
        <v>4.3</v>
      </c>
      <c r="L1105" t="s">
        <v>5737</v>
      </c>
      <c r="M1105">
        <v>3.2</v>
      </c>
      <c r="N1105" t="s">
        <v>5737</v>
      </c>
      <c r="O1105">
        <v>45.5</v>
      </c>
      <c r="P1105">
        <v>346</v>
      </c>
      <c r="Q1105">
        <v>4.3</v>
      </c>
      <c r="R1105" t="s">
        <v>5613</v>
      </c>
      <c r="S1105">
        <v>16.399999999999999</v>
      </c>
      <c r="T1105">
        <v>647</v>
      </c>
      <c r="U1105">
        <v>10.1</v>
      </c>
      <c r="V1105" t="s">
        <v>5613</v>
      </c>
      <c r="W1105">
        <v>1.6</v>
      </c>
      <c r="X1105" t="s">
        <v>5613</v>
      </c>
      <c r="Y1105">
        <v>7.8</v>
      </c>
      <c r="Z1105" t="s">
        <v>5613</v>
      </c>
      <c r="AA1105">
        <v>1</v>
      </c>
      <c r="AB1105" t="s">
        <v>5613</v>
      </c>
      <c r="AC1105" t="s">
        <v>6207</v>
      </c>
    </row>
    <row r="1106" spans="1:29">
      <c r="A1106" t="s">
        <v>6240</v>
      </c>
      <c r="B1106" t="s">
        <v>6240</v>
      </c>
      <c r="C1106" t="s">
        <v>3991</v>
      </c>
      <c r="D1106" t="s">
        <v>5872</v>
      </c>
      <c r="E1106" t="s">
        <v>1955</v>
      </c>
      <c r="F1106" t="s">
        <v>5593</v>
      </c>
      <c r="G1106" t="s">
        <v>5651</v>
      </c>
      <c r="I1106">
        <v>2</v>
      </c>
      <c r="J1106" t="s">
        <v>5926</v>
      </c>
      <c r="K1106">
        <v>7.4</v>
      </c>
      <c r="L1106" t="s">
        <v>5737</v>
      </c>
      <c r="M1106">
        <v>9.4</v>
      </c>
      <c r="N1106" t="s">
        <v>5737</v>
      </c>
      <c r="O1106">
        <v>27</v>
      </c>
      <c r="P1106">
        <v>561</v>
      </c>
      <c r="Q1106">
        <v>1.4</v>
      </c>
      <c r="R1106" t="s">
        <v>5613</v>
      </c>
      <c r="S1106">
        <v>22.3</v>
      </c>
      <c r="T1106">
        <v>568</v>
      </c>
      <c r="U1106">
        <v>3.6</v>
      </c>
      <c r="V1106" t="s">
        <v>5613</v>
      </c>
      <c r="W1106">
        <v>1</v>
      </c>
      <c r="X1106" t="s">
        <v>5613</v>
      </c>
      <c r="Y1106">
        <v>10.4</v>
      </c>
      <c r="Z1106" t="s">
        <v>5613</v>
      </c>
      <c r="AA1106">
        <v>3.4</v>
      </c>
      <c r="AB1106" t="s">
        <v>5613</v>
      </c>
      <c r="AC1106" t="s">
        <v>6207</v>
      </c>
    </row>
    <row r="1107" spans="1:29">
      <c r="A1107" t="s">
        <v>6240</v>
      </c>
      <c r="B1107" t="s">
        <v>6240</v>
      </c>
      <c r="C1107" t="s">
        <v>6538</v>
      </c>
      <c r="D1107" t="s">
        <v>5959</v>
      </c>
      <c r="E1107" t="s">
        <v>1102</v>
      </c>
      <c r="F1107" t="s">
        <v>5593</v>
      </c>
      <c r="G1107" t="s">
        <v>5602</v>
      </c>
      <c r="H1107" t="s">
        <v>5590</v>
      </c>
      <c r="I1107">
        <v>2</v>
      </c>
      <c r="J1107" t="s">
        <v>5591</v>
      </c>
      <c r="K1107">
        <v>9.4</v>
      </c>
      <c r="L1107" t="s">
        <v>5737</v>
      </c>
      <c r="M1107">
        <v>17.5</v>
      </c>
      <c r="N1107">
        <v>499</v>
      </c>
      <c r="O1107">
        <v>15.3</v>
      </c>
      <c r="P1107" t="s">
        <v>5613</v>
      </c>
      <c r="Q1107">
        <v>2.6</v>
      </c>
      <c r="R1107" t="s">
        <v>5613</v>
      </c>
      <c r="S1107">
        <v>3</v>
      </c>
      <c r="T1107" t="s">
        <v>5613</v>
      </c>
      <c r="U1107">
        <v>2.5</v>
      </c>
      <c r="V1107" t="s">
        <v>5613</v>
      </c>
      <c r="W1107">
        <v>6.9</v>
      </c>
      <c r="X1107" t="s">
        <v>5613</v>
      </c>
      <c r="Y1107">
        <v>9.1</v>
      </c>
      <c r="Z1107" t="s">
        <v>5613</v>
      </c>
      <c r="AA1107">
        <v>10.6</v>
      </c>
      <c r="AB1107" t="s">
        <v>6165</v>
      </c>
      <c r="AC1107" t="s">
        <v>6207</v>
      </c>
    </row>
    <row r="1108" spans="1:29">
      <c r="A1108" t="s">
        <v>6240</v>
      </c>
      <c r="B1108" t="s">
        <v>6240</v>
      </c>
      <c r="C1108" t="s">
        <v>6539</v>
      </c>
      <c r="D1108" t="s">
        <v>5592</v>
      </c>
      <c r="E1108" t="s">
        <v>26</v>
      </c>
      <c r="F1108" t="s">
        <v>5588</v>
      </c>
      <c r="G1108" t="s">
        <v>5589</v>
      </c>
      <c r="H1108" t="s">
        <v>5809</v>
      </c>
      <c r="I1108">
        <v>2</v>
      </c>
      <c r="J1108" t="s">
        <v>5595</v>
      </c>
      <c r="K1108">
        <v>3.4</v>
      </c>
      <c r="L1108" t="s">
        <v>5737</v>
      </c>
      <c r="M1108">
        <v>2.9</v>
      </c>
      <c r="N1108" t="s">
        <v>5737</v>
      </c>
      <c r="O1108">
        <v>5.7</v>
      </c>
      <c r="P1108" t="s">
        <v>5613</v>
      </c>
      <c r="Q1108">
        <v>2.9</v>
      </c>
      <c r="R1108" t="s">
        <v>5613</v>
      </c>
      <c r="S1108">
        <v>37.799999999999997</v>
      </c>
      <c r="T1108">
        <v>426</v>
      </c>
      <c r="U1108">
        <v>96.7</v>
      </c>
      <c r="V1108">
        <v>78</v>
      </c>
      <c r="W1108">
        <v>1</v>
      </c>
      <c r="X1108" t="s">
        <v>5613</v>
      </c>
      <c r="Y1108">
        <v>9.6</v>
      </c>
      <c r="Z1108" t="s">
        <v>5613</v>
      </c>
      <c r="AA1108">
        <v>1</v>
      </c>
      <c r="AB1108" t="s">
        <v>5613</v>
      </c>
      <c r="AC1108" t="s">
        <v>6207</v>
      </c>
    </row>
    <row r="1109" spans="1:29">
      <c r="A1109" t="s">
        <v>6240</v>
      </c>
      <c r="B1109" t="s">
        <v>6343</v>
      </c>
      <c r="C1109" t="s">
        <v>6540</v>
      </c>
      <c r="D1109" t="s">
        <v>5587</v>
      </c>
      <c r="E1109" t="s">
        <v>29</v>
      </c>
      <c r="F1109" t="s">
        <v>5605</v>
      </c>
      <c r="G1109" t="s">
        <v>5589</v>
      </c>
      <c r="H1109" t="s">
        <v>5590</v>
      </c>
      <c r="I1109">
        <v>5</v>
      </c>
      <c r="J1109" t="s">
        <v>5595</v>
      </c>
      <c r="K1109">
        <v>5.2</v>
      </c>
      <c r="L1109" t="s">
        <v>5737</v>
      </c>
      <c r="M1109">
        <v>4.7</v>
      </c>
      <c r="N1109" t="s">
        <v>5737</v>
      </c>
      <c r="O1109">
        <v>4.7</v>
      </c>
      <c r="P1109" t="s">
        <v>5613</v>
      </c>
      <c r="Q1109">
        <v>10.4</v>
      </c>
      <c r="R1109" t="s">
        <v>5613</v>
      </c>
      <c r="S1109">
        <v>2.2999999999999998</v>
      </c>
      <c r="T1109" t="s">
        <v>5613</v>
      </c>
      <c r="U1109">
        <v>20.5</v>
      </c>
      <c r="V1109">
        <v>541</v>
      </c>
      <c r="W1109">
        <v>7.9</v>
      </c>
      <c r="X1109" t="s">
        <v>5613</v>
      </c>
      <c r="Y1109">
        <v>10</v>
      </c>
      <c r="Z1109" t="s">
        <v>5613</v>
      </c>
      <c r="AA1109">
        <v>34.299999999999997</v>
      </c>
      <c r="AB1109" t="s">
        <v>6058</v>
      </c>
      <c r="AC1109" t="s">
        <v>6207</v>
      </c>
    </row>
    <row r="1110" spans="1:29">
      <c r="A1110" t="s">
        <v>6240</v>
      </c>
      <c r="B1110" t="s">
        <v>6240</v>
      </c>
      <c r="C1110" t="s">
        <v>3148</v>
      </c>
      <c r="D1110" t="s">
        <v>5631</v>
      </c>
      <c r="E1110" t="s">
        <v>94</v>
      </c>
      <c r="F1110" t="s">
        <v>5593</v>
      </c>
      <c r="G1110" t="s">
        <v>5594</v>
      </c>
      <c r="H1110" t="s">
        <v>5809</v>
      </c>
      <c r="I1110">
        <v>2</v>
      </c>
      <c r="J1110" t="s">
        <v>5591</v>
      </c>
      <c r="K1110">
        <v>11.4</v>
      </c>
      <c r="L1110" t="s">
        <v>5737</v>
      </c>
      <c r="M1110">
        <v>6.4</v>
      </c>
      <c r="N1110" t="s">
        <v>5737</v>
      </c>
      <c r="O1110">
        <v>14.4</v>
      </c>
      <c r="P1110" t="s">
        <v>5613</v>
      </c>
      <c r="Q1110">
        <v>3</v>
      </c>
      <c r="R1110" t="s">
        <v>5613</v>
      </c>
      <c r="S1110">
        <v>6</v>
      </c>
      <c r="T1110" t="s">
        <v>5613</v>
      </c>
      <c r="U1110">
        <v>3.1</v>
      </c>
      <c r="V1110" t="s">
        <v>5613</v>
      </c>
      <c r="W1110">
        <v>1.6</v>
      </c>
      <c r="X1110" t="s">
        <v>5613</v>
      </c>
      <c r="Y1110">
        <v>7.8</v>
      </c>
      <c r="Z1110" t="s">
        <v>5613</v>
      </c>
      <c r="AA1110">
        <v>1.2</v>
      </c>
      <c r="AB1110" t="s">
        <v>5613</v>
      </c>
      <c r="AC1110" t="s">
        <v>6207</v>
      </c>
    </row>
    <row r="1111" spans="1:29">
      <c r="A1111" t="s">
        <v>6240</v>
      </c>
      <c r="B1111" t="s">
        <v>6136</v>
      </c>
      <c r="C1111" t="s">
        <v>3150</v>
      </c>
      <c r="D1111" t="s">
        <v>5631</v>
      </c>
      <c r="E1111" t="s">
        <v>94</v>
      </c>
      <c r="F1111" t="s">
        <v>5588</v>
      </c>
      <c r="G1111" t="s">
        <v>5594</v>
      </c>
      <c r="H1111" t="s">
        <v>5590</v>
      </c>
      <c r="I1111">
        <v>4</v>
      </c>
      <c r="J1111" t="s">
        <v>5595</v>
      </c>
      <c r="K1111">
        <v>4.8</v>
      </c>
      <c r="L1111" t="s">
        <v>5737</v>
      </c>
      <c r="M1111">
        <v>1.9</v>
      </c>
      <c r="N1111" t="s">
        <v>5737</v>
      </c>
      <c r="O1111">
        <v>66.3</v>
      </c>
      <c r="P1111">
        <v>200</v>
      </c>
      <c r="Q1111">
        <v>6.6</v>
      </c>
      <c r="R1111" t="s">
        <v>5613</v>
      </c>
      <c r="S1111">
        <v>2.7</v>
      </c>
      <c r="T1111" t="s">
        <v>5613</v>
      </c>
      <c r="U1111">
        <v>2.4</v>
      </c>
      <c r="V1111" t="s">
        <v>5613</v>
      </c>
      <c r="W1111">
        <v>1.2</v>
      </c>
      <c r="X1111" t="s">
        <v>5613</v>
      </c>
      <c r="Y1111">
        <v>9</v>
      </c>
      <c r="Z1111" t="s">
        <v>5613</v>
      </c>
      <c r="AA1111">
        <v>1</v>
      </c>
      <c r="AB1111" t="s">
        <v>5613</v>
      </c>
      <c r="AC1111" t="s">
        <v>6207</v>
      </c>
    </row>
    <row r="1112" spans="1:29">
      <c r="A1112" t="s">
        <v>6240</v>
      </c>
      <c r="B1112" t="s">
        <v>6240</v>
      </c>
      <c r="C1112" t="s">
        <v>6541</v>
      </c>
      <c r="D1112" t="s">
        <v>5882</v>
      </c>
      <c r="E1112" t="s">
        <v>984</v>
      </c>
      <c r="F1112" t="s">
        <v>5615</v>
      </c>
      <c r="G1112" t="s">
        <v>5589</v>
      </c>
      <c r="H1112" t="s">
        <v>5590</v>
      </c>
      <c r="I1112">
        <v>2</v>
      </c>
      <c r="J1112" t="s">
        <v>5595</v>
      </c>
      <c r="K1112">
        <v>4.4000000000000004</v>
      </c>
      <c r="L1112" t="s">
        <v>5737</v>
      </c>
      <c r="M1112">
        <v>15</v>
      </c>
      <c r="N1112">
        <v>547</v>
      </c>
      <c r="O1112">
        <v>11.3</v>
      </c>
      <c r="P1112" t="s">
        <v>5613</v>
      </c>
      <c r="Q1112">
        <v>5</v>
      </c>
      <c r="R1112" t="s">
        <v>5613</v>
      </c>
      <c r="S1112">
        <v>19.5</v>
      </c>
      <c r="T1112">
        <v>595</v>
      </c>
      <c r="U1112">
        <v>33.9</v>
      </c>
      <c r="V1112">
        <v>389</v>
      </c>
      <c r="W1112">
        <v>1.2</v>
      </c>
      <c r="X1112" t="s">
        <v>5613</v>
      </c>
      <c r="Y1112">
        <v>10.1</v>
      </c>
      <c r="Z1112" t="s">
        <v>5613</v>
      </c>
      <c r="AA1112">
        <v>1</v>
      </c>
      <c r="AB1112" t="s">
        <v>5613</v>
      </c>
      <c r="AC1112" t="s">
        <v>6207</v>
      </c>
    </row>
    <row r="1113" spans="1:29">
      <c r="A1113" t="s">
        <v>6240</v>
      </c>
      <c r="B1113" t="s">
        <v>6143</v>
      </c>
      <c r="C1113" t="s">
        <v>6542</v>
      </c>
      <c r="D1113" t="s">
        <v>5696</v>
      </c>
      <c r="E1113" t="s">
        <v>5697</v>
      </c>
      <c r="F1113" t="s">
        <v>5588</v>
      </c>
      <c r="G1113" t="s">
        <v>5602</v>
      </c>
      <c r="H1113" t="s">
        <v>5590</v>
      </c>
      <c r="I1113">
        <v>3</v>
      </c>
      <c r="J1113" t="s">
        <v>5595</v>
      </c>
      <c r="K1113">
        <v>3.9</v>
      </c>
      <c r="L1113" t="s">
        <v>5737</v>
      </c>
      <c r="M1113">
        <v>2</v>
      </c>
      <c r="N1113" t="s">
        <v>5737</v>
      </c>
      <c r="O1113">
        <v>51</v>
      </c>
      <c r="P1113">
        <v>307</v>
      </c>
      <c r="Q1113">
        <v>1.5</v>
      </c>
      <c r="R1113" t="s">
        <v>5613</v>
      </c>
      <c r="S1113">
        <v>1.2</v>
      </c>
      <c r="T1113" t="s">
        <v>5613</v>
      </c>
      <c r="U1113">
        <v>2.2999999999999998</v>
      </c>
      <c r="V1113" t="s">
        <v>5613</v>
      </c>
      <c r="Y1113">
        <v>8</v>
      </c>
      <c r="Z1113" t="s">
        <v>5613</v>
      </c>
      <c r="AA1113">
        <v>1.2</v>
      </c>
      <c r="AB1113" t="s">
        <v>5613</v>
      </c>
      <c r="AC1113" t="s">
        <v>6207</v>
      </c>
    </row>
    <row r="1114" spans="1:29">
      <c r="A1114" t="s">
        <v>6240</v>
      </c>
      <c r="B1114" t="s">
        <v>6240</v>
      </c>
      <c r="C1114" t="s">
        <v>6543</v>
      </c>
      <c r="D1114" t="s">
        <v>5723</v>
      </c>
      <c r="E1114" t="s">
        <v>1093</v>
      </c>
      <c r="F1114" t="s">
        <v>5605</v>
      </c>
      <c r="G1114" t="s">
        <v>5594</v>
      </c>
      <c r="H1114" t="s">
        <v>5809</v>
      </c>
      <c r="I1114">
        <v>3</v>
      </c>
      <c r="J1114" t="s">
        <v>5591</v>
      </c>
      <c r="K1114">
        <v>11</v>
      </c>
      <c r="L1114" t="s">
        <v>5737</v>
      </c>
      <c r="M1114">
        <v>11</v>
      </c>
      <c r="N1114" t="s">
        <v>5737</v>
      </c>
      <c r="O1114">
        <v>6.2</v>
      </c>
      <c r="P1114" t="s">
        <v>5613</v>
      </c>
      <c r="Q1114">
        <v>2.5</v>
      </c>
      <c r="R1114" t="s">
        <v>5613</v>
      </c>
      <c r="S1114">
        <v>7</v>
      </c>
      <c r="T1114" t="s">
        <v>5613</v>
      </c>
      <c r="U1114">
        <v>1.5</v>
      </c>
      <c r="V1114" t="s">
        <v>5613</v>
      </c>
      <c r="W1114">
        <v>7.5</v>
      </c>
      <c r="X1114" t="s">
        <v>5613</v>
      </c>
      <c r="Y1114">
        <v>8.5</v>
      </c>
      <c r="Z1114" t="s">
        <v>5613</v>
      </c>
      <c r="AA1114">
        <v>9.6</v>
      </c>
      <c r="AB1114" t="s">
        <v>5997</v>
      </c>
      <c r="AC1114" t="s">
        <v>6207</v>
      </c>
    </row>
    <row r="1115" spans="1:29">
      <c r="A1115" t="s">
        <v>6240</v>
      </c>
      <c r="B1115" t="s">
        <v>6240</v>
      </c>
      <c r="C1115" t="s">
        <v>6544</v>
      </c>
      <c r="D1115" t="s">
        <v>5723</v>
      </c>
      <c r="E1115" t="s">
        <v>1093</v>
      </c>
      <c r="F1115" t="s">
        <v>5593</v>
      </c>
      <c r="G1115" t="s">
        <v>5594</v>
      </c>
      <c r="H1115" t="s">
        <v>5809</v>
      </c>
      <c r="I1115">
        <v>4</v>
      </c>
      <c r="J1115" t="s">
        <v>5591</v>
      </c>
      <c r="K1115">
        <v>15.6</v>
      </c>
      <c r="L1115">
        <v>560</v>
      </c>
      <c r="M1115">
        <v>10.7</v>
      </c>
      <c r="N1115" t="s">
        <v>5737</v>
      </c>
      <c r="O1115">
        <v>3.5</v>
      </c>
      <c r="P1115" t="s">
        <v>5613</v>
      </c>
      <c r="Q1115">
        <v>6.6</v>
      </c>
      <c r="R1115" t="s">
        <v>5613</v>
      </c>
      <c r="S1115">
        <v>16</v>
      </c>
      <c r="T1115">
        <v>650</v>
      </c>
      <c r="U1115">
        <v>1.9</v>
      </c>
      <c r="V1115" t="s">
        <v>5613</v>
      </c>
      <c r="W1115">
        <v>7.6</v>
      </c>
      <c r="X1115" t="s">
        <v>5613</v>
      </c>
      <c r="Y1115">
        <v>4.7</v>
      </c>
      <c r="Z1115" t="s">
        <v>5613</v>
      </c>
      <c r="AA1115">
        <v>2.2000000000000002</v>
      </c>
      <c r="AB1115" t="s">
        <v>5613</v>
      </c>
      <c r="AC1115" t="s">
        <v>6207</v>
      </c>
    </row>
    <row r="1116" spans="1:29">
      <c r="A1116" t="s">
        <v>6240</v>
      </c>
      <c r="B1116" t="s">
        <v>6180</v>
      </c>
      <c r="C1116" t="s">
        <v>6545</v>
      </c>
      <c r="D1116" t="s">
        <v>5707</v>
      </c>
      <c r="E1116" t="s">
        <v>1613</v>
      </c>
      <c r="F1116" t="s">
        <v>5588</v>
      </c>
      <c r="G1116" t="s">
        <v>5602</v>
      </c>
      <c r="H1116" t="s">
        <v>5809</v>
      </c>
      <c r="I1116">
        <v>5</v>
      </c>
      <c r="J1116" t="s">
        <v>5595</v>
      </c>
      <c r="K1116">
        <v>4.0999999999999996</v>
      </c>
      <c r="L1116" t="s">
        <v>5737</v>
      </c>
      <c r="M1116">
        <v>2.5</v>
      </c>
      <c r="N1116" t="s">
        <v>5737</v>
      </c>
      <c r="O1116">
        <v>73.5</v>
      </c>
      <c r="P1116">
        <v>169</v>
      </c>
      <c r="Q1116">
        <v>1.4</v>
      </c>
      <c r="R1116" t="s">
        <v>5613</v>
      </c>
      <c r="S1116">
        <v>2.8</v>
      </c>
      <c r="T1116" t="s">
        <v>5613</v>
      </c>
      <c r="U1116">
        <v>1.3</v>
      </c>
      <c r="V1116" t="s">
        <v>5613</v>
      </c>
      <c r="W1116">
        <v>1</v>
      </c>
      <c r="X1116" t="s">
        <v>5613</v>
      </c>
      <c r="Y1116">
        <v>6.7</v>
      </c>
      <c r="Z1116" t="s">
        <v>5613</v>
      </c>
      <c r="AA1116">
        <v>1.6</v>
      </c>
      <c r="AB1116" t="s">
        <v>5613</v>
      </c>
      <c r="AC1116" t="s">
        <v>6207</v>
      </c>
    </row>
    <row r="1117" spans="1:29">
      <c r="A1117" t="s">
        <v>6240</v>
      </c>
      <c r="B1117" t="s">
        <v>6546</v>
      </c>
      <c r="C1117" t="s">
        <v>6547</v>
      </c>
      <c r="D1117" t="s">
        <v>5707</v>
      </c>
      <c r="E1117" t="s">
        <v>1613</v>
      </c>
      <c r="F1117" t="s">
        <v>5593</v>
      </c>
      <c r="G1117" t="s">
        <v>5594</v>
      </c>
      <c r="H1117" t="s">
        <v>6548</v>
      </c>
      <c r="I1117">
        <v>4</v>
      </c>
      <c r="J1117" t="s">
        <v>5926</v>
      </c>
      <c r="K1117">
        <v>6.5</v>
      </c>
      <c r="L1117" t="s">
        <v>5737</v>
      </c>
      <c r="M1117">
        <v>5.2</v>
      </c>
      <c r="N1117" t="s">
        <v>5737</v>
      </c>
      <c r="O1117">
        <v>17.5</v>
      </c>
      <c r="P1117" t="s">
        <v>5613</v>
      </c>
      <c r="Q1117">
        <v>1.1000000000000001</v>
      </c>
      <c r="R1117" t="s">
        <v>5613</v>
      </c>
      <c r="S1117">
        <v>39.4</v>
      </c>
      <c r="T1117">
        <v>414</v>
      </c>
      <c r="U1117">
        <v>20</v>
      </c>
      <c r="V1117">
        <v>548</v>
      </c>
      <c r="W1117">
        <v>1</v>
      </c>
      <c r="X1117" t="s">
        <v>5613</v>
      </c>
      <c r="Y1117">
        <v>3.9</v>
      </c>
      <c r="Z1117" t="s">
        <v>5613</v>
      </c>
      <c r="AC1117" t="s">
        <v>6207</v>
      </c>
    </row>
    <row r="1118" spans="1:29">
      <c r="A1118" t="s">
        <v>6240</v>
      </c>
      <c r="B1118" t="s">
        <v>6240</v>
      </c>
      <c r="C1118" t="s">
        <v>6549</v>
      </c>
      <c r="D1118" t="s">
        <v>5707</v>
      </c>
      <c r="E1118" t="s">
        <v>1613</v>
      </c>
      <c r="F1118" t="s">
        <v>5605</v>
      </c>
      <c r="G1118" t="s">
        <v>5594</v>
      </c>
      <c r="H1118" t="s">
        <v>5809</v>
      </c>
      <c r="I1118">
        <v>4</v>
      </c>
      <c r="J1118" t="s">
        <v>5595</v>
      </c>
      <c r="K1118">
        <v>15.4</v>
      </c>
      <c r="L1118">
        <v>566</v>
      </c>
      <c r="M1118">
        <v>12.5</v>
      </c>
      <c r="N1118" t="s">
        <v>5737</v>
      </c>
      <c r="O1118">
        <v>2.2000000000000002</v>
      </c>
      <c r="P1118" t="s">
        <v>5613</v>
      </c>
      <c r="Q1118">
        <v>1.8</v>
      </c>
      <c r="R1118" t="s">
        <v>5613</v>
      </c>
      <c r="S1118">
        <v>3.4</v>
      </c>
      <c r="T1118" t="s">
        <v>5613</v>
      </c>
      <c r="U1118">
        <v>1.1000000000000001</v>
      </c>
      <c r="V1118" t="s">
        <v>5613</v>
      </c>
      <c r="W1118">
        <v>2.2000000000000002</v>
      </c>
      <c r="X1118" t="s">
        <v>5613</v>
      </c>
      <c r="Y1118">
        <v>11.5</v>
      </c>
      <c r="Z1118" t="s">
        <v>5613</v>
      </c>
      <c r="AA1118">
        <v>15.4</v>
      </c>
      <c r="AB1118" t="s">
        <v>5893</v>
      </c>
      <c r="AC1118" t="s">
        <v>6207</v>
      </c>
    </row>
    <row r="1119" spans="1:29">
      <c r="A1119" t="s">
        <v>6240</v>
      </c>
      <c r="B1119" t="s">
        <v>6143</v>
      </c>
      <c r="C1119" t="s">
        <v>6550</v>
      </c>
      <c r="D1119" t="s">
        <v>5707</v>
      </c>
      <c r="E1119" t="s">
        <v>1613</v>
      </c>
      <c r="F1119" t="s">
        <v>5605</v>
      </c>
      <c r="G1119" t="s">
        <v>5594</v>
      </c>
      <c r="H1119" t="s">
        <v>6146</v>
      </c>
      <c r="I1119">
        <v>5</v>
      </c>
      <c r="J1119" t="s">
        <v>5595</v>
      </c>
      <c r="K1119">
        <v>3.9</v>
      </c>
      <c r="L1119" t="s">
        <v>5737</v>
      </c>
      <c r="M1119">
        <v>7.2</v>
      </c>
      <c r="N1119" t="s">
        <v>5737</v>
      </c>
      <c r="O1119">
        <v>43.2</v>
      </c>
      <c r="P1119">
        <v>362</v>
      </c>
      <c r="Q1119">
        <v>1.4</v>
      </c>
      <c r="R1119" t="s">
        <v>5613</v>
      </c>
      <c r="S1119">
        <v>2.4</v>
      </c>
      <c r="T1119" t="s">
        <v>5613</v>
      </c>
      <c r="U1119">
        <v>1.8</v>
      </c>
      <c r="V1119" t="s">
        <v>5613</v>
      </c>
      <c r="W1119">
        <v>1</v>
      </c>
      <c r="X1119" t="s">
        <v>5613</v>
      </c>
      <c r="Y1119">
        <v>7.6</v>
      </c>
      <c r="Z1119" t="s">
        <v>5613</v>
      </c>
      <c r="AA1119">
        <v>2.6</v>
      </c>
      <c r="AB1119" t="s">
        <v>5613</v>
      </c>
      <c r="AC1119" t="s">
        <v>6207</v>
      </c>
    </row>
    <row r="1120" spans="1:29">
      <c r="A1120" t="s">
        <v>6240</v>
      </c>
      <c r="B1120" t="s">
        <v>6143</v>
      </c>
      <c r="C1120" t="s">
        <v>6551</v>
      </c>
      <c r="D1120" t="s">
        <v>5707</v>
      </c>
      <c r="E1120" t="s">
        <v>1613</v>
      </c>
      <c r="F1120" t="s">
        <v>5605</v>
      </c>
      <c r="G1120" t="s">
        <v>5594</v>
      </c>
      <c r="H1120" t="s">
        <v>6146</v>
      </c>
      <c r="I1120">
        <v>5</v>
      </c>
      <c r="J1120" t="s">
        <v>5595</v>
      </c>
      <c r="K1120">
        <v>21.4</v>
      </c>
      <c r="L1120">
        <v>404</v>
      </c>
      <c r="M1120">
        <v>6.5</v>
      </c>
      <c r="N1120" t="s">
        <v>5737</v>
      </c>
      <c r="O1120">
        <v>4.9000000000000004</v>
      </c>
      <c r="P1120" t="s">
        <v>5613</v>
      </c>
      <c r="Q1120">
        <v>1.5</v>
      </c>
      <c r="R1120" t="s">
        <v>5613</v>
      </c>
      <c r="S1120">
        <v>3</v>
      </c>
      <c r="T1120" t="s">
        <v>5613</v>
      </c>
      <c r="U1120">
        <v>1.1000000000000001</v>
      </c>
      <c r="V1120" t="s">
        <v>5613</v>
      </c>
      <c r="W1120">
        <v>1.1000000000000001</v>
      </c>
      <c r="X1120" t="s">
        <v>5613</v>
      </c>
      <c r="Y1120">
        <v>3.9</v>
      </c>
      <c r="Z1120" t="s">
        <v>5613</v>
      </c>
      <c r="AA1120">
        <v>8.4</v>
      </c>
      <c r="AB1120" t="s">
        <v>6162</v>
      </c>
      <c r="AC1120" t="s">
        <v>6207</v>
      </c>
    </row>
    <row r="1121" spans="1:29">
      <c r="A1121" t="s">
        <v>6240</v>
      </c>
      <c r="C1121" t="s">
        <v>6552</v>
      </c>
      <c r="D1121" t="s">
        <v>5772</v>
      </c>
      <c r="E1121" t="s">
        <v>386</v>
      </c>
      <c r="F1121" t="s">
        <v>5593</v>
      </c>
      <c r="G1121" t="s">
        <v>5589</v>
      </c>
      <c r="H1121" t="s">
        <v>5590</v>
      </c>
      <c r="I1121">
        <v>4</v>
      </c>
      <c r="K1121">
        <v>10.6</v>
      </c>
      <c r="L1121" t="s">
        <v>5737</v>
      </c>
      <c r="M1121">
        <v>3.4</v>
      </c>
      <c r="N1121" t="s">
        <v>5737</v>
      </c>
      <c r="O1121">
        <v>28</v>
      </c>
      <c r="P1121">
        <v>546</v>
      </c>
      <c r="Q1121">
        <v>10.4</v>
      </c>
      <c r="R1121" t="s">
        <v>5613</v>
      </c>
      <c r="W1121">
        <v>33.299999999999997</v>
      </c>
      <c r="X1121">
        <v>430</v>
      </c>
      <c r="Y1121">
        <v>4.3</v>
      </c>
      <c r="Z1121" t="s">
        <v>5613</v>
      </c>
      <c r="AC1121" t="s">
        <v>6207</v>
      </c>
    </row>
    <row r="1122" spans="1:29">
      <c r="A1122" t="s">
        <v>6240</v>
      </c>
      <c r="C1122" t="s">
        <v>6553</v>
      </c>
      <c r="D1122" t="s">
        <v>5772</v>
      </c>
      <c r="E1122" t="s">
        <v>386</v>
      </c>
      <c r="F1122" t="s">
        <v>5588</v>
      </c>
      <c r="G1122" t="s">
        <v>5602</v>
      </c>
      <c r="H1122" t="s">
        <v>5590</v>
      </c>
      <c r="I1122">
        <v>3</v>
      </c>
      <c r="K1122">
        <v>5.7</v>
      </c>
      <c r="L1122" t="s">
        <v>5737</v>
      </c>
      <c r="M1122">
        <v>3.1</v>
      </c>
      <c r="N1122" t="s">
        <v>5737</v>
      </c>
      <c r="O1122">
        <v>63.9</v>
      </c>
      <c r="P1122">
        <v>220</v>
      </c>
      <c r="Q1122">
        <v>3.9</v>
      </c>
      <c r="R1122" t="s">
        <v>5613</v>
      </c>
      <c r="S1122">
        <v>3.5</v>
      </c>
      <c r="T1122" t="s">
        <v>5613</v>
      </c>
      <c r="U1122">
        <v>4.4000000000000004</v>
      </c>
      <c r="V1122" t="s">
        <v>5613</v>
      </c>
      <c r="W1122">
        <v>4.5</v>
      </c>
      <c r="X1122" t="s">
        <v>5613</v>
      </c>
      <c r="Y1122">
        <v>8.1</v>
      </c>
      <c r="Z1122" t="s">
        <v>5613</v>
      </c>
      <c r="AC1122" t="s">
        <v>6207</v>
      </c>
    </row>
    <row r="1123" spans="1:29">
      <c r="A1123" t="s">
        <v>6240</v>
      </c>
      <c r="B1123" t="s">
        <v>6240</v>
      </c>
      <c r="C1123" t="s">
        <v>6554</v>
      </c>
      <c r="D1123" t="s">
        <v>5983</v>
      </c>
      <c r="E1123" t="s">
        <v>2484</v>
      </c>
      <c r="F1123" t="s">
        <v>5593</v>
      </c>
      <c r="G1123" t="s">
        <v>5602</v>
      </c>
      <c r="H1123" t="s">
        <v>6146</v>
      </c>
      <c r="I1123">
        <v>4</v>
      </c>
      <c r="J1123" t="s">
        <v>5591</v>
      </c>
      <c r="K1123">
        <v>10.3</v>
      </c>
      <c r="L1123" t="s">
        <v>5737</v>
      </c>
      <c r="M1123">
        <v>27.3</v>
      </c>
      <c r="N1123">
        <v>355</v>
      </c>
      <c r="O1123">
        <v>4.3</v>
      </c>
      <c r="P1123" t="s">
        <v>5613</v>
      </c>
      <c r="Q1123">
        <v>1.2</v>
      </c>
      <c r="R1123" t="s">
        <v>5613</v>
      </c>
      <c r="S1123">
        <v>3.4</v>
      </c>
      <c r="T1123" t="s">
        <v>5613</v>
      </c>
      <c r="U1123">
        <v>2</v>
      </c>
      <c r="V1123" t="s">
        <v>5613</v>
      </c>
      <c r="W1123">
        <v>1</v>
      </c>
      <c r="X1123" t="s">
        <v>5613</v>
      </c>
      <c r="Y1123">
        <v>16.100000000000001</v>
      </c>
      <c r="Z1123">
        <v>522</v>
      </c>
      <c r="AA1123">
        <v>1.5</v>
      </c>
      <c r="AB1123" t="s">
        <v>5613</v>
      </c>
      <c r="AC1123" t="s">
        <v>6207</v>
      </c>
    </row>
    <row r="1124" spans="1:29">
      <c r="A1124" t="s">
        <v>6240</v>
      </c>
      <c r="B1124" t="s">
        <v>6143</v>
      </c>
      <c r="C1124" t="s">
        <v>6555</v>
      </c>
      <c r="D1124" t="s">
        <v>6194</v>
      </c>
      <c r="E1124" t="s">
        <v>3283</v>
      </c>
      <c r="F1124" t="s">
        <v>5593</v>
      </c>
      <c r="G1124" t="s">
        <v>5594</v>
      </c>
      <c r="H1124" t="s">
        <v>6146</v>
      </c>
      <c r="I1124">
        <v>5</v>
      </c>
      <c r="J1124" t="s">
        <v>5595</v>
      </c>
      <c r="K1124">
        <v>16.2</v>
      </c>
      <c r="L1124">
        <v>541</v>
      </c>
      <c r="M1124">
        <v>12.8</v>
      </c>
      <c r="N1124" t="s">
        <v>5737</v>
      </c>
      <c r="O1124">
        <v>23</v>
      </c>
      <c r="P1124">
        <v>616</v>
      </c>
      <c r="Q1124">
        <v>1.2</v>
      </c>
      <c r="R1124" t="s">
        <v>5613</v>
      </c>
      <c r="S1124">
        <v>1.3</v>
      </c>
      <c r="T1124" t="s">
        <v>5613</v>
      </c>
      <c r="U1124">
        <v>1.8</v>
      </c>
      <c r="V1124" t="s">
        <v>5613</v>
      </c>
      <c r="W1124">
        <v>1.2</v>
      </c>
      <c r="X1124" t="s">
        <v>5613</v>
      </c>
      <c r="Y1124">
        <v>10.4</v>
      </c>
      <c r="Z1124" t="s">
        <v>5613</v>
      </c>
      <c r="AA1124">
        <v>2.2999999999999998</v>
      </c>
      <c r="AB1124" t="s">
        <v>5613</v>
      </c>
      <c r="AC1124" t="s">
        <v>6207</v>
      </c>
    </row>
    <row r="1125" spans="1:29">
      <c r="A1125" t="s">
        <v>6240</v>
      </c>
      <c r="B1125" t="s">
        <v>6240</v>
      </c>
      <c r="C1125" t="s">
        <v>6556</v>
      </c>
      <c r="D1125" t="s">
        <v>5707</v>
      </c>
      <c r="E1125" t="s">
        <v>1613</v>
      </c>
      <c r="F1125" t="s">
        <v>5588</v>
      </c>
      <c r="G1125" t="s">
        <v>5602</v>
      </c>
      <c r="H1125" t="s">
        <v>5809</v>
      </c>
      <c r="I1125">
        <v>4</v>
      </c>
      <c r="J1125" t="s">
        <v>5591</v>
      </c>
      <c r="K1125">
        <v>12.2</v>
      </c>
      <c r="L1125" t="s">
        <v>5737</v>
      </c>
      <c r="M1125">
        <v>23.1</v>
      </c>
      <c r="N1125">
        <v>411</v>
      </c>
      <c r="O1125">
        <v>9.9</v>
      </c>
      <c r="P1125" t="s">
        <v>5613</v>
      </c>
      <c r="Q1125">
        <v>1.4</v>
      </c>
      <c r="R1125" t="s">
        <v>5613</v>
      </c>
      <c r="S1125">
        <v>8.6</v>
      </c>
      <c r="T1125" t="s">
        <v>5613</v>
      </c>
      <c r="U1125">
        <v>1.5</v>
      </c>
      <c r="V1125" t="s">
        <v>5613</v>
      </c>
      <c r="W1125">
        <v>1</v>
      </c>
      <c r="X1125" t="s">
        <v>5613</v>
      </c>
      <c r="Y1125">
        <v>9.1999999999999993</v>
      </c>
      <c r="Z1125" t="s">
        <v>5613</v>
      </c>
      <c r="AA1125">
        <v>1</v>
      </c>
      <c r="AB1125" t="s">
        <v>5613</v>
      </c>
      <c r="AC1125" t="s">
        <v>6207</v>
      </c>
    </row>
    <row r="1126" spans="1:29">
      <c r="A1126" t="s">
        <v>6240</v>
      </c>
      <c r="B1126" t="s">
        <v>6143</v>
      </c>
      <c r="C1126" t="s">
        <v>6557</v>
      </c>
      <c r="D1126" t="s">
        <v>6236</v>
      </c>
      <c r="E1126" t="s">
        <v>3525</v>
      </c>
      <c r="F1126" t="s">
        <v>5593</v>
      </c>
      <c r="G1126" t="s">
        <v>5602</v>
      </c>
      <c r="H1126" t="s">
        <v>6146</v>
      </c>
      <c r="I1126">
        <v>4</v>
      </c>
      <c r="J1126" t="s">
        <v>5595</v>
      </c>
      <c r="K1126">
        <v>10.6</v>
      </c>
      <c r="L1126" t="s">
        <v>5737</v>
      </c>
      <c r="M1126">
        <v>10.8</v>
      </c>
      <c r="N1126" t="s">
        <v>5737</v>
      </c>
      <c r="O1126">
        <v>25.9</v>
      </c>
      <c r="P1126">
        <v>571</v>
      </c>
      <c r="Q1126">
        <v>1.1000000000000001</v>
      </c>
      <c r="R1126" t="s">
        <v>5613</v>
      </c>
      <c r="W1126">
        <v>1</v>
      </c>
      <c r="X1126" t="s">
        <v>5613</v>
      </c>
      <c r="Y1126">
        <v>13.9</v>
      </c>
      <c r="Z1126">
        <v>612</v>
      </c>
      <c r="AC1126" t="s">
        <v>6207</v>
      </c>
    </row>
    <row r="1127" spans="1:29">
      <c r="A1127" t="s">
        <v>6240</v>
      </c>
      <c r="B1127" t="s">
        <v>6240</v>
      </c>
      <c r="C1127" t="s">
        <v>6558</v>
      </c>
      <c r="D1127" t="s">
        <v>5772</v>
      </c>
      <c r="E1127" t="s">
        <v>386</v>
      </c>
      <c r="F1127" t="s">
        <v>5593</v>
      </c>
      <c r="G1127" t="s">
        <v>5589</v>
      </c>
      <c r="H1127" t="s">
        <v>5590</v>
      </c>
      <c r="I1127">
        <v>5</v>
      </c>
      <c r="J1127" t="s">
        <v>5595</v>
      </c>
      <c r="K1127">
        <v>12.6</v>
      </c>
      <c r="L1127" t="s">
        <v>5737</v>
      </c>
      <c r="M1127">
        <v>3.5</v>
      </c>
      <c r="N1127" t="s">
        <v>5737</v>
      </c>
      <c r="O1127">
        <v>14.3</v>
      </c>
      <c r="P1127" t="s">
        <v>5613</v>
      </c>
      <c r="Q1127">
        <v>7.7</v>
      </c>
      <c r="R1127" t="s">
        <v>5613</v>
      </c>
      <c r="W1127">
        <v>24.8</v>
      </c>
      <c r="X1127">
        <v>500</v>
      </c>
      <c r="Y1127">
        <v>4.3</v>
      </c>
      <c r="Z1127" t="s">
        <v>5613</v>
      </c>
      <c r="AA1127">
        <v>7.2</v>
      </c>
      <c r="AB1127" t="s">
        <v>5613</v>
      </c>
      <c r="AC1127" t="s">
        <v>6207</v>
      </c>
    </row>
    <row r="1128" spans="1:29">
      <c r="A1128" t="s">
        <v>6240</v>
      </c>
      <c r="B1128" t="s">
        <v>6343</v>
      </c>
      <c r="C1128" t="s">
        <v>6559</v>
      </c>
      <c r="D1128" t="s">
        <v>6560</v>
      </c>
      <c r="E1128" t="s">
        <v>3028</v>
      </c>
      <c r="F1128" t="s">
        <v>5605</v>
      </c>
      <c r="G1128" t="s">
        <v>5594</v>
      </c>
      <c r="H1128" t="s">
        <v>5809</v>
      </c>
      <c r="I1128">
        <v>5</v>
      </c>
      <c r="J1128" t="s">
        <v>5595</v>
      </c>
      <c r="K1128">
        <v>9.4</v>
      </c>
      <c r="L1128" t="s">
        <v>5737</v>
      </c>
      <c r="M1128">
        <v>6.2</v>
      </c>
      <c r="N1128" t="s">
        <v>5737</v>
      </c>
      <c r="O1128">
        <v>11.4</v>
      </c>
      <c r="P1128" t="s">
        <v>5613</v>
      </c>
      <c r="Q1128">
        <v>2.1</v>
      </c>
      <c r="R1128" t="s">
        <v>5613</v>
      </c>
      <c r="S1128">
        <v>1.4</v>
      </c>
      <c r="T1128" t="s">
        <v>5613</v>
      </c>
      <c r="U1128">
        <v>1.5</v>
      </c>
      <c r="V1128" t="s">
        <v>5613</v>
      </c>
      <c r="W1128">
        <v>2.4</v>
      </c>
      <c r="X1128" t="s">
        <v>5613</v>
      </c>
      <c r="Y1128">
        <v>46.4</v>
      </c>
      <c r="Z1128">
        <v>150</v>
      </c>
      <c r="AA1128">
        <v>29.1</v>
      </c>
      <c r="AB1128" t="s">
        <v>5991</v>
      </c>
      <c r="AC1128" t="s">
        <v>6207</v>
      </c>
    </row>
    <row r="1129" spans="1:29">
      <c r="A1129" t="s">
        <v>6240</v>
      </c>
      <c r="B1129" t="s">
        <v>6240</v>
      </c>
      <c r="C1129" t="s">
        <v>6561</v>
      </c>
      <c r="D1129" t="s">
        <v>5723</v>
      </c>
      <c r="E1129" t="s">
        <v>1093</v>
      </c>
      <c r="F1129" t="s">
        <v>5588</v>
      </c>
      <c r="G1129" t="s">
        <v>5602</v>
      </c>
      <c r="H1129" t="s">
        <v>5590</v>
      </c>
      <c r="I1129">
        <v>3</v>
      </c>
      <c r="J1129" t="s">
        <v>5595</v>
      </c>
      <c r="K1129">
        <v>11</v>
      </c>
      <c r="L1129" t="s">
        <v>5737</v>
      </c>
      <c r="M1129">
        <v>8.6</v>
      </c>
      <c r="N1129" t="s">
        <v>5737</v>
      </c>
      <c r="O1129">
        <v>6.7</v>
      </c>
      <c r="P1129" t="s">
        <v>5613</v>
      </c>
      <c r="Q1129">
        <v>5.7</v>
      </c>
      <c r="R1129" t="s">
        <v>5613</v>
      </c>
      <c r="S1129">
        <v>22.5</v>
      </c>
      <c r="T1129">
        <v>567</v>
      </c>
      <c r="U1129">
        <v>1.4</v>
      </c>
      <c r="V1129" t="s">
        <v>5613</v>
      </c>
      <c r="W1129">
        <v>3.8</v>
      </c>
      <c r="X1129" t="s">
        <v>5613</v>
      </c>
      <c r="Y1129">
        <v>6.8</v>
      </c>
      <c r="Z1129" t="s">
        <v>5613</v>
      </c>
      <c r="AA1129">
        <v>7</v>
      </c>
      <c r="AB1129" t="s">
        <v>5613</v>
      </c>
      <c r="AC1129" t="s">
        <v>6207</v>
      </c>
    </row>
    <row r="1130" spans="1:29">
      <c r="A1130" t="s">
        <v>6240</v>
      </c>
      <c r="B1130" t="s">
        <v>6240</v>
      </c>
      <c r="C1130" t="s">
        <v>6562</v>
      </c>
      <c r="D1130" t="s">
        <v>5589</v>
      </c>
      <c r="E1130" t="s">
        <v>1820</v>
      </c>
      <c r="F1130" t="s">
        <v>5593</v>
      </c>
      <c r="G1130" t="s">
        <v>5594</v>
      </c>
      <c r="H1130" t="s">
        <v>6146</v>
      </c>
      <c r="I1130">
        <v>4</v>
      </c>
      <c r="J1130" t="s">
        <v>5591</v>
      </c>
      <c r="K1130">
        <v>9.8000000000000007</v>
      </c>
      <c r="L1130" t="s">
        <v>5737</v>
      </c>
      <c r="M1130">
        <v>20.8</v>
      </c>
      <c r="N1130">
        <v>447</v>
      </c>
      <c r="O1130">
        <v>12.3</v>
      </c>
      <c r="P1130" t="s">
        <v>5613</v>
      </c>
      <c r="Q1130">
        <v>2.7</v>
      </c>
      <c r="R1130" t="s">
        <v>5613</v>
      </c>
      <c r="S1130">
        <v>8.3000000000000007</v>
      </c>
      <c r="T1130" t="s">
        <v>5613</v>
      </c>
      <c r="U1130">
        <v>1.3</v>
      </c>
      <c r="V1130" t="s">
        <v>5613</v>
      </c>
      <c r="W1130">
        <v>1.7</v>
      </c>
      <c r="X1130" t="s">
        <v>5613</v>
      </c>
      <c r="Y1130">
        <v>9.1999999999999993</v>
      </c>
      <c r="Z1130" t="s">
        <v>5613</v>
      </c>
      <c r="AA1130">
        <v>1.7</v>
      </c>
      <c r="AB1130" t="s">
        <v>5613</v>
      </c>
      <c r="AC1130" t="s">
        <v>6207</v>
      </c>
    </row>
    <row r="1131" spans="1:29">
      <c r="A1131" t="s">
        <v>6240</v>
      </c>
      <c r="B1131" t="s">
        <v>6240</v>
      </c>
      <c r="C1131" t="s">
        <v>6563</v>
      </c>
      <c r="D1131" t="s">
        <v>5983</v>
      </c>
      <c r="E1131" t="s">
        <v>2484</v>
      </c>
      <c r="F1131" t="s">
        <v>5588</v>
      </c>
      <c r="G1131" t="s">
        <v>5651</v>
      </c>
      <c r="I1131">
        <v>4</v>
      </c>
      <c r="J1131" t="s">
        <v>5591</v>
      </c>
      <c r="K1131">
        <v>7.3</v>
      </c>
      <c r="L1131" t="s">
        <v>5737</v>
      </c>
      <c r="M1131">
        <v>30.8</v>
      </c>
      <c r="N1131">
        <v>318</v>
      </c>
      <c r="O1131">
        <v>3.3</v>
      </c>
      <c r="P1131" t="s">
        <v>5613</v>
      </c>
      <c r="Q1131">
        <v>3.1</v>
      </c>
      <c r="R1131" t="s">
        <v>5613</v>
      </c>
      <c r="S1131">
        <v>18.2</v>
      </c>
      <c r="T1131">
        <v>612</v>
      </c>
      <c r="U1131">
        <v>3</v>
      </c>
      <c r="V1131" t="s">
        <v>5613</v>
      </c>
      <c r="W1131">
        <v>1</v>
      </c>
      <c r="X1131" t="s">
        <v>5613</v>
      </c>
      <c r="Y1131">
        <v>7.7</v>
      </c>
      <c r="Z1131" t="s">
        <v>5613</v>
      </c>
      <c r="AA1131">
        <v>1</v>
      </c>
      <c r="AB1131" t="s">
        <v>5613</v>
      </c>
      <c r="AC1131" t="s">
        <v>6207</v>
      </c>
    </row>
    <row r="1132" spans="1:29">
      <c r="A1132" t="s">
        <v>6240</v>
      </c>
      <c r="B1132" t="s">
        <v>6143</v>
      </c>
      <c r="C1132" t="s">
        <v>4025</v>
      </c>
      <c r="D1132" t="s">
        <v>5589</v>
      </c>
      <c r="E1132" t="s">
        <v>1820</v>
      </c>
      <c r="F1132" t="s">
        <v>5605</v>
      </c>
      <c r="G1132" t="s">
        <v>5594</v>
      </c>
      <c r="H1132" t="s">
        <v>6146</v>
      </c>
      <c r="I1132">
        <v>4</v>
      </c>
      <c r="J1132" t="s">
        <v>5595</v>
      </c>
      <c r="K1132">
        <v>18.2</v>
      </c>
      <c r="L1132">
        <v>492</v>
      </c>
      <c r="M1132">
        <v>15</v>
      </c>
      <c r="N1132">
        <v>549</v>
      </c>
      <c r="O1132">
        <v>8.1</v>
      </c>
      <c r="P1132" t="s">
        <v>5613</v>
      </c>
      <c r="Q1132">
        <v>2</v>
      </c>
      <c r="R1132" t="s">
        <v>5613</v>
      </c>
      <c r="S1132">
        <v>2.2000000000000002</v>
      </c>
      <c r="T1132" t="s">
        <v>5613</v>
      </c>
      <c r="U1132">
        <v>1.4</v>
      </c>
      <c r="V1132" t="s">
        <v>5613</v>
      </c>
      <c r="W1132">
        <v>1.2</v>
      </c>
      <c r="X1132" t="s">
        <v>5613</v>
      </c>
      <c r="Y1132">
        <v>10</v>
      </c>
      <c r="Z1132" t="s">
        <v>5613</v>
      </c>
      <c r="AA1132">
        <v>2.1</v>
      </c>
      <c r="AB1132" t="s">
        <v>5613</v>
      </c>
      <c r="AC1132" t="s">
        <v>6207</v>
      </c>
    </row>
    <row r="1133" spans="1:29">
      <c r="A1133" t="s">
        <v>6240</v>
      </c>
      <c r="B1133" t="s">
        <v>6240</v>
      </c>
      <c r="C1133" t="s">
        <v>6564</v>
      </c>
      <c r="D1133" t="s">
        <v>5589</v>
      </c>
      <c r="E1133" t="s">
        <v>1820</v>
      </c>
      <c r="F1133" t="s">
        <v>5593</v>
      </c>
      <c r="G1133" t="s">
        <v>5594</v>
      </c>
      <c r="H1133" t="s">
        <v>6146</v>
      </c>
      <c r="I1133">
        <v>4</v>
      </c>
      <c r="J1133" t="s">
        <v>5595</v>
      </c>
      <c r="K1133">
        <v>10.3</v>
      </c>
      <c r="L1133" t="s">
        <v>5737</v>
      </c>
      <c r="M1133">
        <v>25.2</v>
      </c>
      <c r="N1133">
        <v>380</v>
      </c>
      <c r="O1133">
        <v>5.2</v>
      </c>
      <c r="P1133" t="s">
        <v>5613</v>
      </c>
      <c r="Q1133">
        <v>2.1</v>
      </c>
      <c r="R1133" t="s">
        <v>5613</v>
      </c>
      <c r="S1133">
        <v>4.3</v>
      </c>
      <c r="T1133" t="s">
        <v>5613</v>
      </c>
      <c r="U1133">
        <v>1.3</v>
      </c>
      <c r="V1133" t="s">
        <v>5613</v>
      </c>
      <c r="W1133">
        <v>1</v>
      </c>
      <c r="X1133" t="s">
        <v>5613</v>
      </c>
      <c r="Y1133">
        <v>6.4</v>
      </c>
      <c r="Z1133" t="s">
        <v>5613</v>
      </c>
      <c r="AA1133">
        <v>6.2</v>
      </c>
      <c r="AB1133" t="s">
        <v>5613</v>
      </c>
      <c r="AC1133" t="s">
        <v>6207</v>
      </c>
    </row>
    <row r="1134" spans="1:29">
      <c r="A1134" t="s">
        <v>6240</v>
      </c>
      <c r="B1134" t="s">
        <v>6343</v>
      </c>
      <c r="C1134" t="s">
        <v>6565</v>
      </c>
      <c r="D1134" t="s">
        <v>5707</v>
      </c>
      <c r="E1134" t="s">
        <v>1613</v>
      </c>
      <c r="F1134" t="s">
        <v>5588</v>
      </c>
      <c r="G1134" t="s">
        <v>5594</v>
      </c>
      <c r="H1134" t="s">
        <v>6146</v>
      </c>
      <c r="I1134">
        <v>4</v>
      </c>
      <c r="J1134" t="s">
        <v>5926</v>
      </c>
      <c r="K1134">
        <v>3.9</v>
      </c>
      <c r="L1134" t="s">
        <v>5737</v>
      </c>
      <c r="M1134">
        <v>26.5</v>
      </c>
      <c r="N1134">
        <v>364</v>
      </c>
      <c r="O1134">
        <v>20.100000000000001</v>
      </c>
      <c r="P1134">
        <v>663</v>
      </c>
      <c r="Q1134">
        <v>1.1000000000000001</v>
      </c>
      <c r="R1134" t="s">
        <v>5613</v>
      </c>
      <c r="S1134">
        <v>4.0999999999999996</v>
      </c>
      <c r="T1134" t="s">
        <v>5613</v>
      </c>
      <c r="U1134">
        <v>1.7</v>
      </c>
      <c r="V1134" t="s">
        <v>5613</v>
      </c>
      <c r="W1134">
        <v>1</v>
      </c>
      <c r="X1134" t="s">
        <v>5613</v>
      </c>
      <c r="Y1134">
        <v>9.6</v>
      </c>
      <c r="Z1134" t="s">
        <v>5613</v>
      </c>
      <c r="AA1134">
        <v>1.2</v>
      </c>
      <c r="AB1134" t="s">
        <v>5613</v>
      </c>
      <c r="AC1134" t="s">
        <v>6207</v>
      </c>
    </row>
    <row r="1135" spans="1:29">
      <c r="A1135" t="s">
        <v>6240</v>
      </c>
      <c r="B1135" t="s">
        <v>6343</v>
      </c>
      <c r="C1135" t="s">
        <v>6566</v>
      </c>
      <c r="D1135" t="s">
        <v>6194</v>
      </c>
      <c r="E1135" t="s">
        <v>3283</v>
      </c>
      <c r="F1135" t="s">
        <v>5615</v>
      </c>
      <c r="G1135" t="s">
        <v>5589</v>
      </c>
      <c r="H1135" t="s">
        <v>6548</v>
      </c>
      <c r="I1135">
        <v>4</v>
      </c>
      <c r="J1135" t="s">
        <v>5591</v>
      </c>
      <c r="K1135">
        <v>6.5</v>
      </c>
      <c r="L1135" t="s">
        <v>5737</v>
      </c>
      <c r="M1135">
        <v>14.6</v>
      </c>
      <c r="N1135">
        <v>558</v>
      </c>
      <c r="O1135">
        <v>5.2</v>
      </c>
      <c r="P1135" t="s">
        <v>5613</v>
      </c>
      <c r="Q1135">
        <v>1.1000000000000001</v>
      </c>
      <c r="R1135" t="s">
        <v>5613</v>
      </c>
      <c r="S1135">
        <v>9.9</v>
      </c>
      <c r="T1135" t="s">
        <v>5613</v>
      </c>
      <c r="U1135">
        <v>1.5</v>
      </c>
      <c r="V1135" t="s">
        <v>5613</v>
      </c>
      <c r="Y1135">
        <v>41.2</v>
      </c>
      <c r="Z1135">
        <v>178</v>
      </c>
      <c r="AC1135" t="s">
        <v>6207</v>
      </c>
    </row>
    <row r="1136" spans="1:29">
      <c r="A1136" t="s">
        <v>6240</v>
      </c>
      <c r="B1136" t="s">
        <v>6240</v>
      </c>
      <c r="C1136" t="s">
        <v>6567</v>
      </c>
      <c r="D1136" t="s">
        <v>5710</v>
      </c>
      <c r="E1136" t="s">
        <v>3726</v>
      </c>
      <c r="F1136" t="s">
        <v>5605</v>
      </c>
      <c r="G1136" t="s">
        <v>5594</v>
      </c>
      <c r="H1136" t="s">
        <v>6146</v>
      </c>
      <c r="I1136">
        <v>4</v>
      </c>
      <c r="J1136" t="s">
        <v>5595</v>
      </c>
      <c r="K1136">
        <v>12.3</v>
      </c>
      <c r="L1136" t="s">
        <v>5737</v>
      </c>
      <c r="M1136">
        <v>6.2</v>
      </c>
      <c r="N1136" t="s">
        <v>5737</v>
      </c>
      <c r="O1136">
        <v>21.1</v>
      </c>
      <c r="P1136">
        <v>643</v>
      </c>
      <c r="Q1136">
        <v>1.7</v>
      </c>
      <c r="R1136" t="s">
        <v>5613</v>
      </c>
      <c r="S1136">
        <v>1.9</v>
      </c>
      <c r="T1136" t="s">
        <v>5613</v>
      </c>
      <c r="U1136">
        <v>15.3</v>
      </c>
      <c r="V1136">
        <v>615</v>
      </c>
      <c r="W1136">
        <v>1.8</v>
      </c>
      <c r="X1136" t="s">
        <v>5613</v>
      </c>
      <c r="Y1136">
        <v>5.0999999999999996</v>
      </c>
      <c r="Z1136" t="s">
        <v>5613</v>
      </c>
      <c r="AA1136">
        <v>1.6</v>
      </c>
      <c r="AB1136" t="s">
        <v>5613</v>
      </c>
      <c r="AC1136" t="s">
        <v>6207</v>
      </c>
    </row>
    <row r="1137" spans="1:29">
      <c r="A1137" t="s">
        <v>6240</v>
      </c>
      <c r="B1137" t="s">
        <v>6240</v>
      </c>
      <c r="C1137" t="s">
        <v>6568</v>
      </c>
      <c r="D1137" t="s">
        <v>6569</v>
      </c>
      <c r="E1137" t="s">
        <v>4994</v>
      </c>
      <c r="F1137" t="s">
        <v>5605</v>
      </c>
      <c r="G1137" t="s">
        <v>5594</v>
      </c>
      <c r="H1137" t="s">
        <v>6146</v>
      </c>
      <c r="I1137">
        <v>5</v>
      </c>
      <c r="J1137" t="s">
        <v>5595</v>
      </c>
      <c r="K1137">
        <v>5.4</v>
      </c>
      <c r="L1137" t="s">
        <v>5737</v>
      </c>
      <c r="M1137">
        <v>10.199999999999999</v>
      </c>
      <c r="N1137" t="s">
        <v>5737</v>
      </c>
      <c r="O1137">
        <v>28.6</v>
      </c>
      <c r="P1137">
        <v>537</v>
      </c>
      <c r="Q1137">
        <v>1.1000000000000001</v>
      </c>
      <c r="R1137" t="s">
        <v>5613</v>
      </c>
      <c r="S1137">
        <v>1.4</v>
      </c>
      <c r="T1137" t="s">
        <v>5613</v>
      </c>
      <c r="U1137">
        <v>1.8</v>
      </c>
      <c r="V1137" t="s">
        <v>5613</v>
      </c>
      <c r="W1137">
        <v>1</v>
      </c>
      <c r="X1137" t="s">
        <v>5613</v>
      </c>
      <c r="Y1137">
        <v>21.5</v>
      </c>
      <c r="Z1137">
        <v>389</v>
      </c>
      <c r="AA1137">
        <v>3.4</v>
      </c>
      <c r="AB1137" t="s">
        <v>5613</v>
      </c>
      <c r="AC1137" t="s">
        <v>6207</v>
      </c>
    </row>
    <row r="1138" spans="1:29">
      <c r="A1138" t="s">
        <v>6240</v>
      </c>
      <c r="B1138" t="s">
        <v>6143</v>
      </c>
      <c r="C1138" t="s">
        <v>6570</v>
      </c>
      <c r="D1138" t="s">
        <v>5710</v>
      </c>
      <c r="E1138" t="s">
        <v>3726</v>
      </c>
      <c r="F1138" t="s">
        <v>5593</v>
      </c>
      <c r="G1138" t="s">
        <v>5589</v>
      </c>
      <c r="H1138" t="s">
        <v>6146</v>
      </c>
      <c r="I1138">
        <v>4</v>
      </c>
      <c r="J1138" t="s">
        <v>5595</v>
      </c>
      <c r="K1138">
        <v>4.0999999999999996</v>
      </c>
      <c r="L1138" t="s">
        <v>5737</v>
      </c>
      <c r="M1138">
        <v>1.9</v>
      </c>
      <c r="N1138" t="s">
        <v>5737</v>
      </c>
      <c r="O1138">
        <v>67.5</v>
      </c>
      <c r="P1138">
        <v>195</v>
      </c>
      <c r="Q1138">
        <v>1.2</v>
      </c>
      <c r="R1138" t="s">
        <v>5613</v>
      </c>
      <c r="W1138">
        <v>1</v>
      </c>
      <c r="X1138" t="s">
        <v>5613</v>
      </c>
      <c r="Y1138">
        <v>5.0999999999999996</v>
      </c>
      <c r="Z1138" t="s">
        <v>5613</v>
      </c>
      <c r="AA1138">
        <v>1</v>
      </c>
      <c r="AB1138" t="s">
        <v>5613</v>
      </c>
      <c r="AC1138" t="s">
        <v>6207</v>
      </c>
    </row>
    <row r="1139" spans="1:29">
      <c r="A1139" t="s">
        <v>6240</v>
      </c>
      <c r="B1139" t="s">
        <v>6056</v>
      </c>
      <c r="C1139" t="s">
        <v>6571</v>
      </c>
      <c r="D1139" t="s">
        <v>5710</v>
      </c>
      <c r="E1139" t="s">
        <v>3726</v>
      </c>
      <c r="F1139" t="s">
        <v>5593</v>
      </c>
      <c r="G1139" t="s">
        <v>5594</v>
      </c>
      <c r="H1139" t="s">
        <v>6146</v>
      </c>
      <c r="I1139">
        <v>3</v>
      </c>
      <c r="J1139" t="s">
        <v>5595</v>
      </c>
      <c r="K1139">
        <v>5.4</v>
      </c>
      <c r="L1139" t="s">
        <v>5737</v>
      </c>
      <c r="M1139">
        <v>2.7</v>
      </c>
      <c r="N1139" t="s">
        <v>5737</v>
      </c>
      <c r="O1139">
        <v>78.8</v>
      </c>
      <c r="P1139">
        <v>142</v>
      </c>
      <c r="Q1139">
        <v>1.4</v>
      </c>
      <c r="R1139" t="s">
        <v>5613</v>
      </c>
      <c r="W1139">
        <v>1</v>
      </c>
      <c r="X1139" t="s">
        <v>5613</v>
      </c>
      <c r="Y1139">
        <v>5.0999999999999996</v>
      </c>
      <c r="Z1139" t="s">
        <v>5613</v>
      </c>
      <c r="AA1139">
        <v>1</v>
      </c>
      <c r="AB1139" t="s">
        <v>5613</v>
      </c>
      <c r="AC1139" t="s">
        <v>6207</v>
      </c>
    </row>
    <row r="1140" spans="1:29">
      <c r="A1140" t="s">
        <v>6240</v>
      </c>
      <c r="B1140" t="s">
        <v>6240</v>
      </c>
      <c r="C1140" t="s">
        <v>6572</v>
      </c>
      <c r="D1140" t="s">
        <v>6170</v>
      </c>
      <c r="E1140" t="s">
        <v>2723</v>
      </c>
      <c r="F1140" t="s">
        <v>5593</v>
      </c>
      <c r="G1140" t="s">
        <v>5589</v>
      </c>
      <c r="H1140" t="s">
        <v>6146</v>
      </c>
      <c r="I1140">
        <v>4</v>
      </c>
      <c r="J1140" t="s">
        <v>5595</v>
      </c>
      <c r="K1140">
        <v>10.8</v>
      </c>
      <c r="L1140" t="s">
        <v>5737</v>
      </c>
      <c r="M1140">
        <v>18.3</v>
      </c>
      <c r="N1140">
        <v>479</v>
      </c>
      <c r="O1140">
        <v>12.8</v>
      </c>
      <c r="P1140" t="s">
        <v>5613</v>
      </c>
      <c r="Q1140">
        <v>1.5</v>
      </c>
      <c r="R1140" t="s">
        <v>5613</v>
      </c>
      <c r="S1140">
        <v>10.4</v>
      </c>
      <c r="T1140" t="s">
        <v>5613</v>
      </c>
      <c r="U1140">
        <v>2.5</v>
      </c>
      <c r="V1140" t="s">
        <v>5613</v>
      </c>
      <c r="W1140">
        <v>1.1000000000000001</v>
      </c>
      <c r="X1140" t="s">
        <v>5613</v>
      </c>
      <c r="Y1140">
        <v>9.6</v>
      </c>
      <c r="Z1140" t="s">
        <v>5613</v>
      </c>
      <c r="AA1140">
        <v>1.1000000000000001</v>
      </c>
      <c r="AB1140" t="s">
        <v>5613</v>
      </c>
      <c r="AC1140" t="s">
        <v>6207</v>
      </c>
    </row>
    <row r="1141" spans="1:29">
      <c r="A1141" t="s">
        <v>6240</v>
      </c>
      <c r="B1141" t="s">
        <v>6240</v>
      </c>
      <c r="C1141" t="s">
        <v>6573</v>
      </c>
      <c r="D1141" t="s">
        <v>5983</v>
      </c>
      <c r="E1141" t="s">
        <v>2484</v>
      </c>
      <c r="F1141" t="s">
        <v>5605</v>
      </c>
      <c r="G1141" t="s">
        <v>5602</v>
      </c>
      <c r="H1141" t="s">
        <v>5809</v>
      </c>
      <c r="I1141">
        <v>3</v>
      </c>
      <c r="J1141" t="s">
        <v>5591</v>
      </c>
      <c r="K1141">
        <v>10.7</v>
      </c>
      <c r="L1141" t="s">
        <v>5737</v>
      </c>
      <c r="M1141">
        <v>25.8</v>
      </c>
      <c r="N1141">
        <v>372</v>
      </c>
      <c r="O1141">
        <v>3.3</v>
      </c>
      <c r="P1141" t="s">
        <v>5613</v>
      </c>
      <c r="Q1141">
        <v>1.1000000000000001</v>
      </c>
      <c r="R1141" t="s">
        <v>5613</v>
      </c>
      <c r="S1141">
        <v>16.600000000000001</v>
      </c>
      <c r="T1141">
        <v>641</v>
      </c>
      <c r="U1141">
        <v>1.8</v>
      </c>
      <c r="V1141" t="s">
        <v>5613</v>
      </c>
      <c r="W1141">
        <v>1</v>
      </c>
      <c r="X1141" t="s">
        <v>5613</v>
      </c>
      <c r="Y1141">
        <v>9.9</v>
      </c>
      <c r="Z1141" t="s">
        <v>5613</v>
      </c>
      <c r="AA1141">
        <v>1.3</v>
      </c>
      <c r="AB1141" t="s">
        <v>5613</v>
      </c>
      <c r="AC1141" t="s">
        <v>6207</v>
      </c>
    </row>
    <row r="1142" spans="1:29">
      <c r="A1142" t="s">
        <v>6240</v>
      </c>
      <c r="B1142" t="s">
        <v>6143</v>
      </c>
      <c r="C1142" t="s">
        <v>6574</v>
      </c>
      <c r="D1142" t="s">
        <v>5710</v>
      </c>
      <c r="E1142" t="s">
        <v>3726</v>
      </c>
      <c r="F1142" t="s">
        <v>5605</v>
      </c>
      <c r="G1142" t="s">
        <v>5602</v>
      </c>
      <c r="H1142" t="s">
        <v>5809</v>
      </c>
      <c r="I1142">
        <v>4</v>
      </c>
      <c r="J1142" t="s">
        <v>5595</v>
      </c>
      <c r="K1142">
        <v>4.0999999999999996</v>
      </c>
      <c r="L1142" t="s">
        <v>5737</v>
      </c>
      <c r="M1142">
        <v>24.1</v>
      </c>
      <c r="N1142">
        <v>401</v>
      </c>
      <c r="O1142">
        <v>49.1</v>
      </c>
      <c r="P1142">
        <v>318</v>
      </c>
      <c r="Q1142">
        <v>1.1000000000000001</v>
      </c>
      <c r="R1142" t="s">
        <v>5613</v>
      </c>
      <c r="U1142">
        <v>1.5</v>
      </c>
      <c r="V1142" t="s">
        <v>5613</v>
      </c>
      <c r="W1142">
        <v>1</v>
      </c>
      <c r="X1142" t="s">
        <v>5613</v>
      </c>
      <c r="Y1142">
        <v>5</v>
      </c>
      <c r="Z1142" t="s">
        <v>5613</v>
      </c>
      <c r="AA1142">
        <v>1</v>
      </c>
      <c r="AB1142" t="s">
        <v>5613</v>
      </c>
      <c r="AC1142" t="s">
        <v>6207</v>
      </c>
    </row>
    <row r="1143" spans="1:29">
      <c r="A1143" t="s">
        <v>6240</v>
      </c>
      <c r="B1143" t="s">
        <v>6240</v>
      </c>
      <c r="C1143" t="s">
        <v>6575</v>
      </c>
      <c r="D1143" t="s">
        <v>5772</v>
      </c>
      <c r="E1143" t="s">
        <v>386</v>
      </c>
      <c r="F1143" t="s">
        <v>5593</v>
      </c>
      <c r="G1143" t="s">
        <v>5589</v>
      </c>
      <c r="H1143" t="s">
        <v>5590</v>
      </c>
      <c r="I1143">
        <v>3</v>
      </c>
      <c r="J1143" t="s">
        <v>5595</v>
      </c>
      <c r="K1143">
        <v>5.8</v>
      </c>
      <c r="L1143" t="s">
        <v>5737</v>
      </c>
      <c r="M1143">
        <v>5.6</v>
      </c>
      <c r="N1143" t="s">
        <v>5737</v>
      </c>
      <c r="O1143">
        <v>25.1</v>
      </c>
      <c r="P1143">
        <v>582</v>
      </c>
      <c r="Q1143">
        <v>7.1</v>
      </c>
      <c r="R1143" t="s">
        <v>5613</v>
      </c>
      <c r="S1143">
        <v>2.8</v>
      </c>
      <c r="T1143" t="s">
        <v>5613</v>
      </c>
      <c r="U1143">
        <v>4.5999999999999996</v>
      </c>
      <c r="V1143" t="s">
        <v>5613</v>
      </c>
      <c r="W1143">
        <v>12</v>
      </c>
      <c r="X1143">
        <v>636</v>
      </c>
      <c r="Y1143">
        <v>7.6</v>
      </c>
      <c r="Z1143" t="s">
        <v>5613</v>
      </c>
      <c r="AA1143">
        <v>42.6</v>
      </c>
      <c r="AB1143" t="s">
        <v>5700</v>
      </c>
      <c r="AC1143" t="s">
        <v>6207</v>
      </c>
    </row>
    <row r="1144" spans="1:29">
      <c r="A1144" t="s">
        <v>6240</v>
      </c>
      <c r="B1144" t="s">
        <v>6240</v>
      </c>
      <c r="C1144" t="s">
        <v>6576</v>
      </c>
      <c r="D1144" t="s">
        <v>5695</v>
      </c>
      <c r="E1144" t="s">
        <v>577</v>
      </c>
      <c r="F1144" t="s">
        <v>5605</v>
      </c>
      <c r="G1144" t="s">
        <v>5594</v>
      </c>
      <c r="H1144" t="s">
        <v>5809</v>
      </c>
      <c r="I1144">
        <v>4</v>
      </c>
      <c r="J1144" t="s">
        <v>5595</v>
      </c>
      <c r="K1144">
        <v>12.4</v>
      </c>
      <c r="L1144" t="s">
        <v>5737</v>
      </c>
      <c r="M1144">
        <v>2.6</v>
      </c>
      <c r="N1144" t="s">
        <v>5737</v>
      </c>
      <c r="O1144">
        <v>17.600000000000001</v>
      </c>
      <c r="P1144" t="s">
        <v>5613</v>
      </c>
      <c r="Q1144">
        <v>4.2</v>
      </c>
      <c r="R1144" t="s">
        <v>5613</v>
      </c>
      <c r="S1144">
        <v>1.7</v>
      </c>
      <c r="T1144" t="s">
        <v>5613</v>
      </c>
      <c r="U1144">
        <v>1.3</v>
      </c>
      <c r="V1144" t="s">
        <v>5613</v>
      </c>
      <c r="W1144">
        <v>10</v>
      </c>
      <c r="X1144">
        <v>669</v>
      </c>
      <c r="Y1144">
        <v>4.5999999999999996</v>
      </c>
      <c r="Z1144" t="s">
        <v>5613</v>
      </c>
      <c r="AA1144">
        <v>1.6</v>
      </c>
      <c r="AB1144" t="s">
        <v>5613</v>
      </c>
      <c r="AC1144" t="s">
        <v>6207</v>
      </c>
    </row>
    <row r="1145" spans="1:29">
      <c r="A1145" t="s">
        <v>6240</v>
      </c>
      <c r="B1145" t="s">
        <v>6143</v>
      </c>
      <c r="C1145" t="s">
        <v>6577</v>
      </c>
      <c r="D1145" t="s">
        <v>5695</v>
      </c>
      <c r="E1145" t="s">
        <v>577</v>
      </c>
      <c r="F1145" t="s">
        <v>5593</v>
      </c>
      <c r="G1145" t="s">
        <v>5594</v>
      </c>
      <c r="H1145" t="s">
        <v>5590</v>
      </c>
      <c r="I1145">
        <v>4</v>
      </c>
      <c r="J1145" t="s">
        <v>5595</v>
      </c>
      <c r="K1145">
        <v>12.4</v>
      </c>
      <c r="L1145" t="s">
        <v>5737</v>
      </c>
      <c r="M1145">
        <v>5.0999999999999996</v>
      </c>
      <c r="N1145" t="s">
        <v>5737</v>
      </c>
      <c r="O1145">
        <v>16.3</v>
      </c>
      <c r="P1145" t="s">
        <v>5613</v>
      </c>
      <c r="Q1145">
        <v>16.100000000000001</v>
      </c>
      <c r="R1145">
        <v>615</v>
      </c>
      <c r="S1145">
        <v>2.8</v>
      </c>
      <c r="T1145" t="s">
        <v>5613</v>
      </c>
      <c r="U1145">
        <v>1.7</v>
      </c>
      <c r="V1145" t="s">
        <v>5613</v>
      </c>
      <c r="W1145">
        <v>6.5</v>
      </c>
      <c r="X1145" t="s">
        <v>5613</v>
      </c>
      <c r="Y1145">
        <v>3.8</v>
      </c>
      <c r="Z1145" t="s">
        <v>5613</v>
      </c>
      <c r="AA1145">
        <v>4</v>
      </c>
      <c r="AB1145" t="s">
        <v>5613</v>
      </c>
      <c r="AC1145" t="s">
        <v>6207</v>
      </c>
    </row>
    <row r="1146" spans="1:29">
      <c r="A1146" t="s">
        <v>6240</v>
      </c>
      <c r="B1146" t="s">
        <v>6143</v>
      </c>
      <c r="C1146" t="s">
        <v>6578</v>
      </c>
      <c r="D1146" t="s">
        <v>5695</v>
      </c>
      <c r="E1146" t="s">
        <v>577</v>
      </c>
      <c r="F1146" t="s">
        <v>5605</v>
      </c>
      <c r="G1146" t="s">
        <v>5594</v>
      </c>
      <c r="H1146" t="s">
        <v>5590</v>
      </c>
      <c r="I1146">
        <v>5</v>
      </c>
      <c r="J1146" t="s">
        <v>5595</v>
      </c>
      <c r="K1146">
        <v>13</v>
      </c>
      <c r="L1146" t="s">
        <v>5737</v>
      </c>
      <c r="M1146">
        <v>5.8</v>
      </c>
      <c r="N1146" t="s">
        <v>5737</v>
      </c>
      <c r="O1146">
        <v>18.8</v>
      </c>
      <c r="P1146">
        <v>699</v>
      </c>
      <c r="Q1146">
        <v>5.5</v>
      </c>
      <c r="R1146" t="s">
        <v>5613</v>
      </c>
      <c r="S1146">
        <v>3.1</v>
      </c>
      <c r="T1146" t="s">
        <v>5613</v>
      </c>
      <c r="U1146">
        <v>4</v>
      </c>
      <c r="V1146" t="s">
        <v>5613</v>
      </c>
      <c r="W1146">
        <v>3</v>
      </c>
      <c r="X1146" t="s">
        <v>5613</v>
      </c>
      <c r="Y1146">
        <v>5.9</v>
      </c>
      <c r="Z1146" t="s">
        <v>5613</v>
      </c>
      <c r="AA1146">
        <v>3.8</v>
      </c>
      <c r="AB1146" t="s">
        <v>5613</v>
      </c>
      <c r="AC1146" t="s">
        <v>6207</v>
      </c>
    </row>
    <row r="1147" spans="1:29">
      <c r="A1147" t="s">
        <v>6240</v>
      </c>
      <c r="B1147" t="s">
        <v>6343</v>
      </c>
      <c r="C1147" t="s">
        <v>6579</v>
      </c>
      <c r="D1147" t="s">
        <v>5747</v>
      </c>
      <c r="E1147" t="s">
        <v>397</v>
      </c>
      <c r="F1147" t="s">
        <v>5593</v>
      </c>
      <c r="G1147" t="s">
        <v>5602</v>
      </c>
      <c r="H1147" t="s">
        <v>5590</v>
      </c>
      <c r="I1147">
        <v>4</v>
      </c>
      <c r="J1147" t="s">
        <v>5595</v>
      </c>
      <c r="K1147">
        <v>3.6</v>
      </c>
      <c r="L1147" t="s">
        <v>5737</v>
      </c>
      <c r="M1147">
        <v>1.5</v>
      </c>
      <c r="N1147" t="s">
        <v>5737</v>
      </c>
      <c r="O1147">
        <v>3.3</v>
      </c>
      <c r="P1147" t="s">
        <v>5613</v>
      </c>
      <c r="Q1147">
        <v>25.3</v>
      </c>
      <c r="R1147">
        <v>481</v>
      </c>
      <c r="S1147">
        <v>4.0999999999999996</v>
      </c>
      <c r="T1147" t="s">
        <v>5613</v>
      </c>
      <c r="U1147">
        <v>3</v>
      </c>
      <c r="V1147" t="s">
        <v>5613</v>
      </c>
      <c r="W1147">
        <v>5.5</v>
      </c>
      <c r="X1147" t="s">
        <v>5613</v>
      </c>
      <c r="Y1147">
        <v>4.7</v>
      </c>
      <c r="Z1147" t="s">
        <v>5613</v>
      </c>
      <c r="AA1147">
        <v>1</v>
      </c>
      <c r="AB1147" t="s">
        <v>5613</v>
      </c>
      <c r="AC1147" t="s">
        <v>6207</v>
      </c>
    </row>
    <row r="1148" spans="1:29">
      <c r="A1148" t="s">
        <v>6240</v>
      </c>
      <c r="B1148" t="s">
        <v>6240</v>
      </c>
      <c r="C1148" t="s">
        <v>6580</v>
      </c>
      <c r="D1148" t="s">
        <v>5747</v>
      </c>
      <c r="E1148" t="s">
        <v>397</v>
      </c>
      <c r="F1148" t="s">
        <v>5588</v>
      </c>
      <c r="G1148" t="s">
        <v>5589</v>
      </c>
      <c r="H1148" t="s">
        <v>5590</v>
      </c>
      <c r="I1148">
        <v>3</v>
      </c>
      <c r="J1148" t="s">
        <v>5595</v>
      </c>
      <c r="K1148">
        <v>3.9</v>
      </c>
      <c r="L1148" t="s">
        <v>5737</v>
      </c>
      <c r="M1148">
        <v>1.3</v>
      </c>
      <c r="N1148" t="s">
        <v>5737</v>
      </c>
      <c r="O1148">
        <v>6.1</v>
      </c>
      <c r="P1148" t="s">
        <v>5613</v>
      </c>
      <c r="Q1148">
        <v>33.5</v>
      </c>
      <c r="R1148">
        <v>409</v>
      </c>
      <c r="S1148">
        <v>10.7</v>
      </c>
      <c r="T1148" t="s">
        <v>5613</v>
      </c>
      <c r="U1148">
        <v>6.7</v>
      </c>
      <c r="V1148" t="s">
        <v>5613</v>
      </c>
      <c r="W1148">
        <v>2.4</v>
      </c>
      <c r="X1148" t="s">
        <v>5613</v>
      </c>
      <c r="Y1148">
        <v>6.8</v>
      </c>
      <c r="Z1148" t="s">
        <v>5613</v>
      </c>
      <c r="AA1148">
        <v>14.4</v>
      </c>
      <c r="AB1148">
        <v>620</v>
      </c>
      <c r="AC1148" t="s">
        <v>6207</v>
      </c>
    </row>
    <row r="1149" spans="1:29">
      <c r="A1149" t="s">
        <v>6240</v>
      </c>
      <c r="B1149" t="s">
        <v>6240</v>
      </c>
      <c r="C1149" t="s">
        <v>6581</v>
      </c>
      <c r="D1149" t="s">
        <v>5747</v>
      </c>
      <c r="E1149" t="s">
        <v>397</v>
      </c>
      <c r="F1149" t="s">
        <v>5588</v>
      </c>
      <c r="G1149" t="s">
        <v>5589</v>
      </c>
      <c r="H1149" t="s">
        <v>5590</v>
      </c>
      <c r="I1149">
        <v>3</v>
      </c>
      <c r="J1149" t="s">
        <v>5595</v>
      </c>
      <c r="K1149">
        <v>7.2</v>
      </c>
      <c r="L1149" t="s">
        <v>5737</v>
      </c>
      <c r="M1149">
        <v>2.5</v>
      </c>
      <c r="N1149" t="s">
        <v>5737</v>
      </c>
      <c r="O1149">
        <v>10.199999999999999</v>
      </c>
      <c r="P1149" t="s">
        <v>5613</v>
      </c>
      <c r="Q1149">
        <v>22</v>
      </c>
      <c r="R1149">
        <v>528</v>
      </c>
      <c r="S1149">
        <v>4.7</v>
      </c>
      <c r="T1149" t="s">
        <v>5613</v>
      </c>
      <c r="U1149">
        <v>4</v>
      </c>
      <c r="V1149" t="s">
        <v>5613</v>
      </c>
      <c r="W1149">
        <v>5.8</v>
      </c>
      <c r="X1149" t="s">
        <v>5613</v>
      </c>
      <c r="Y1149">
        <v>7.7</v>
      </c>
      <c r="Z1149" t="s">
        <v>5613</v>
      </c>
      <c r="AA1149">
        <v>20.7</v>
      </c>
      <c r="AB1149">
        <v>539</v>
      </c>
      <c r="AC1149" t="s">
        <v>6207</v>
      </c>
    </row>
    <row r="1150" spans="1:29">
      <c r="A1150" t="s">
        <v>6240</v>
      </c>
      <c r="B1150" t="s">
        <v>6240</v>
      </c>
      <c r="C1150" t="s">
        <v>6582</v>
      </c>
      <c r="D1150" t="s">
        <v>5872</v>
      </c>
      <c r="E1150" t="s">
        <v>1955</v>
      </c>
      <c r="F1150" t="s">
        <v>5605</v>
      </c>
      <c r="G1150" t="s">
        <v>5594</v>
      </c>
      <c r="H1150" t="s">
        <v>5809</v>
      </c>
      <c r="I1150">
        <v>4</v>
      </c>
      <c r="J1150" t="s">
        <v>5595</v>
      </c>
      <c r="K1150">
        <v>12.5</v>
      </c>
      <c r="L1150" t="s">
        <v>5737</v>
      </c>
      <c r="M1150">
        <v>9.5</v>
      </c>
      <c r="N1150" t="s">
        <v>5737</v>
      </c>
      <c r="O1150">
        <v>14.5</v>
      </c>
      <c r="P1150" t="s">
        <v>5613</v>
      </c>
      <c r="Q1150">
        <v>1.3</v>
      </c>
      <c r="R1150" t="s">
        <v>5613</v>
      </c>
      <c r="S1150">
        <v>4.5999999999999996</v>
      </c>
      <c r="T1150" t="s">
        <v>5613</v>
      </c>
      <c r="U1150">
        <v>1.2</v>
      </c>
      <c r="V1150" t="s">
        <v>5613</v>
      </c>
      <c r="W1150">
        <v>1.1000000000000001</v>
      </c>
      <c r="X1150" t="s">
        <v>5613</v>
      </c>
      <c r="Y1150">
        <v>10.199999999999999</v>
      </c>
      <c r="Z1150" t="s">
        <v>5613</v>
      </c>
      <c r="AA1150">
        <v>1.8</v>
      </c>
      <c r="AB1150" t="s">
        <v>5613</v>
      </c>
      <c r="AC1150" t="s">
        <v>6207</v>
      </c>
    </row>
    <row r="1151" spans="1:29">
      <c r="A1151" t="s">
        <v>6240</v>
      </c>
      <c r="B1151" t="s">
        <v>6240</v>
      </c>
      <c r="C1151" t="s">
        <v>3052</v>
      </c>
      <c r="D1151" t="s">
        <v>5872</v>
      </c>
      <c r="E1151" t="s">
        <v>1955</v>
      </c>
      <c r="F1151" t="s">
        <v>5605</v>
      </c>
      <c r="G1151" t="s">
        <v>5594</v>
      </c>
      <c r="H1151" t="s">
        <v>5809</v>
      </c>
      <c r="I1151">
        <v>3</v>
      </c>
      <c r="J1151" t="s">
        <v>5595</v>
      </c>
      <c r="K1151">
        <v>10.7</v>
      </c>
      <c r="L1151" t="s">
        <v>5737</v>
      </c>
      <c r="M1151">
        <v>11.5</v>
      </c>
      <c r="N1151" t="s">
        <v>5737</v>
      </c>
      <c r="O1151">
        <v>13.6</v>
      </c>
      <c r="P1151" t="s">
        <v>5613</v>
      </c>
      <c r="Q1151">
        <v>1.5</v>
      </c>
      <c r="R1151" t="s">
        <v>5613</v>
      </c>
      <c r="S1151">
        <v>10.3</v>
      </c>
      <c r="T1151" t="s">
        <v>5613</v>
      </c>
      <c r="U1151">
        <v>2</v>
      </c>
      <c r="V1151" t="s">
        <v>5613</v>
      </c>
      <c r="W1151">
        <v>1</v>
      </c>
      <c r="X1151" t="s">
        <v>5613</v>
      </c>
      <c r="Y1151">
        <v>7.5</v>
      </c>
      <c r="Z1151" t="s">
        <v>5613</v>
      </c>
      <c r="AA1151">
        <v>7</v>
      </c>
      <c r="AB1151" t="s">
        <v>5613</v>
      </c>
      <c r="AC1151" t="s">
        <v>6207</v>
      </c>
    </row>
    <row r="1152" spans="1:29">
      <c r="A1152" t="s">
        <v>6240</v>
      </c>
      <c r="C1152" t="s">
        <v>6583</v>
      </c>
      <c r="D1152" t="s">
        <v>5772</v>
      </c>
      <c r="E1152" t="s">
        <v>386</v>
      </c>
      <c r="F1152" t="s">
        <v>5588</v>
      </c>
      <c r="G1152" t="s">
        <v>5589</v>
      </c>
      <c r="H1152" t="s">
        <v>5590</v>
      </c>
      <c r="I1152">
        <v>3</v>
      </c>
      <c r="K1152">
        <v>5.8</v>
      </c>
      <c r="L1152" t="s">
        <v>5737</v>
      </c>
      <c r="M1152">
        <v>1.9</v>
      </c>
      <c r="N1152" t="s">
        <v>5737</v>
      </c>
      <c r="O1152">
        <v>18.7</v>
      </c>
      <c r="P1152" t="s">
        <v>5613</v>
      </c>
      <c r="Q1152">
        <v>13.1</v>
      </c>
      <c r="R1152">
        <v>676</v>
      </c>
      <c r="S1152">
        <v>2.9</v>
      </c>
      <c r="T1152" t="s">
        <v>5613</v>
      </c>
      <c r="U1152">
        <v>12.5</v>
      </c>
      <c r="V1152">
        <v>671</v>
      </c>
      <c r="W1152">
        <v>4.9000000000000004</v>
      </c>
      <c r="X1152" t="s">
        <v>5613</v>
      </c>
      <c r="Y1152">
        <v>7.9</v>
      </c>
      <c r="Z1152" t="s">
        <v>5613</v>
      </c>
      <c r="AC1152" t="s">
        <v>6207</v>
      </c>
    </row>
    <row r="1153" spans="1:29">
      <c r="A1153" t="s">
        <v>6240</v>
      </c>
      <c r="B1153" t="s">
        <v>6240</v>
      </c>
      <c r="C1153" t="s">
        <v>6584</v>
      </c>
      <c r="D1153" t="s">
        <v>5639</v>
      </c>
      <c r="E1153" t="s">
        <v>99</v>
      </c>
      <c r="F1153" t="s">
        <v>5593</v>
      </c>
      <c r="G1153" t="s">
        <v>5589</v>
      </c>
      <c r="H1153" t="s">
        <v>5809</v>
      </c>
      <c r="I1153">
        <v>4</v>
      </c>
      <c r="J1153" t="s">
        <v>5595</v>
      </c>
      <c r="K1153">
        <v>4.7</v>
      </c>
      <c r="L1153" t="s">
        <v>5737</v>
      </c>
      <c r="M1153">
        <v>1.9</v>
      </c>
      <c r="N1153" t="s">
        <v>5737</v>
      </c>
      <c r="O1153">
        <v>9.6999999999999993</v>
      </c>
      <c r="P1153" t="s">
        <v>5613</v>
      </c>
      <c r="Q1153">
        <v>6.5</v>
      </c>
      <c r="R1153" t="s">
        <v>5613</v>
      </c>
      <c r="S1153">
        <v>52.4</v>
      </c>
      <c r="T1153">
        <v>350</v>
      </c>
      <c r="U1153">
        <v>29.1</v>
      </c>
      <c r="V1153">
        <v>430</v>
      </c>
      <c r="W1153">
        <v>5.7</v>
      </c>
      <c r="X1153" t="s">
        <v>5613</v>
      </c>
      <c r="Y1153">
        <v>8.9</v>
      </c>
      <c r="Z1153" t="s">
        <v>5613</v>
      </c>
      <c r="AA1153">
        <v>1.3</v>
      </c>
      <c r="AB1153" t="s">
        <v>5613</v>
      </c>
      <c r="AC1153" t="s">
        <v>6207</v>
      </c>
    </row>
    <row r="1154" spans="1:29">
      <c r="A1154" t="s">
        <v>6240</v>
      </c>
      <c r="B1154" t="s">
        <v>6343</v>
      </c>
      <c r="C1154" t="s">
        <v>6585</v>
      </c>
      <c r="D1154" t="s">
        <v>5624</v>
      </c>
      <c r="E1154" t="s">
        <v>125</v>
      </c>
      <c r="F1154" t="s">
        <v>5593</v>
      </c>
      <c r="G1154" t="s">
        <v>5594</v>
      </c>
      <c r="H1154" t="s">
        <v>5809</v>
      </c>
      <c r="I1154">
        <v>5</v>
      </c>
      <c r="J1154" t="s">
        <v>5595</v>
      </c>
      <c r="K1154">
        <v>9</v>
      </c>
      <c r="L1154" t="s">
        <v>5737</v>
      </c>
      <c r="M1154">
        <v>2.6</v>
      </c>
      <c r="N1154" t="s">
        <v>5737</v>
      </c>
      <c r="O1154">
        <v>6</v>
      </c>
      <c r="P1154" t="s">
        <v>5613</v>
      </c>
      <c r="Q1154">
        <v>5.7</v>
      </c>
      <c r="R1154" t="s">
        <v>5613</v>
      </c>
      <c r="S1154">
        <v>9.3000000000000007</v>
      </c>
      <c r="T1154" t="s">
        <v>5613</v>
      </c>
      <c r="U1154">
        <v>6.9</v>
      </c>
      <c r="V1154" t="s">
        <v>5613</v>
      </c>
      <c r="W1154">
        <v>36.799999999999997</v>
      </c>
      <c r="X1154">
        <v>402</v>
      </c>
      <c r="Y1154">
        <v>6.4</v>
      </c>
      <c r="Z1154" t="s">
        <v>5613</v>
      </c>
      <c r="AA1154">
        <v>1.2</v>
      </c>
      <c r="AB1154" t="s">
        <v>5613</v>
      </c>
      <c r="AC1154" t="s">
        <v>6207</v>
      </c>
    </row>
    <row r="1155" spans="1:29">
      <c r="A1155" t="s">
        <v>6240</v>
      </c>
      <c r="B1155" t="s">
        <v>6240</v>
      </c>
      <c r="C1155" t="s">
        <v>6586</v>
      </c>
      <c r="D1155" t="s">
        <v>5624</v>
      </c>
      <c r="E1155" t="s">
        <v>125</v>
      </c>
      <c r="F1155" t="s">
        <v>5593</v>
      </c>
      <c r="G1155" t="s">
        <v>5589</v>
      </c>
      <c r="H1155" t="s">
        <v>5590</v>
      </c>
      <c r="I1155">
        <v>5</v>
      </c>
      <c r="J1155" t="s">
        <v>5595</v>
      </c>
      <c r="K1155">
        <v>8.6999999999999993</v>
      </c>
      <c r="L1155" t="s">
        <v>5737</v>
      </c>
      <c r="M1155">
        <v>2</v>
      </c>
      <c r="N1155" t="s">
        <v>5737</v>
      </c>
      <c r="O1155">
        <v>4.9000000000000004</v>
      </c>
      <c r="P1155" t="s">
        <v>5613</v>
      </c>
      <c r="Q1155">
        <v>6.2</v>
      </c>
      <c r="R1155" t="s">
        <v>5613</v>
      </c>
      <c r="U1155">
        <v>29.1</v>
      </c>
      <c r="V1155">
        <v>431</v>
      </c>
      <c r="W1155">
        <v>36.299999999999997</v>
      </c>
      <c r="X1155">
        <v>409</v>
      </c>
      <c r="Y1155">
        <v>7.8</v>
      </c>
      <c r="Z1155" t="s">
        <v>5613</v>
      </c>
      <c r="AA1155">
        <v>2.2999999999999998</v>
      </c>
      <c r="AB1155" t="s">
        <v>5613</v>
      </c>
      <c r="AC1155" t="s">
        <v>6207</v>
      </c>
    </row>
    <row r="1156" spans="1:29">
      <c r="A1156" t="s">
        <v>6240</v>
      </c>
      <c r="C1156" t="s">
        <v>6587</v>
      </c>
      <c r="D1156" t="s">
        <v>6477</v>
      </c>
      <c r="E1156" t="s">
        <v>2171</v>
      </c>
      <c r="F1156" t="s">
        <v>5605</v>
      </c>
      <c r="G1156" t="s">
        <v>5589</v>
      </c>
      <c r="H1156" t="s">
        <v>5590</v>
      </c>
      <c r="I1156">
        <v>2</v>
      </c>
      <c r="J1156" t="s">
        <v>5595</v>
      </c>
      <c r="K1156">
        <v>5.9</v>
      </c>
      <c r="L1156" t="s">
        <v>5737</v>
      </c>
      <c r="M1156">
        <v>2.5</v>
      </c>
      <c r="N1156" t="s">
        <v>5737</v>
      </c>
      <c r="O1156">
        <v>40.6</v>
      </c>
      <c r="P1156">
        <v>386</v>
      </c>
      <c r="Q1156">
        <v>4.0999999999999996</v>
      </c>
      <c r="R1156" t="s">
        <v>5613</v>
      </c>
      <c r="S1156">
        <v>1.1000000000000001</v>
      </c>
      <c r="T1156" t="s">
        <v>5613</v>
      </c>
      <c r="U1156">
        <v>3.3</v>
      </c>
      <c r="V1156" t="s">
        <v>5613</v>
      </c>
      <c r="W1156">
        <v>4.2</v>
      </c>
      <c r="X1156" t="s">
        <v>5613</v>
      </c>
      <c r="Y1156">
        <v>11.3</v>
      </c>
      <c r="Z1156" t="s">
        <v>5613</v>
      </c>
      <c r="AC1156" t="s">
        <v>6207</v>
      </c>
    </row>
    <row r="1157" spans="1:29">
      <c r="A1157" t="s">
        <v>6240</v>
      </c>
      <c r="B1157" t="s">
        <v>6180</v>
      </c>
      <c r="C1157" t="s">
        <v>6588</v>
      </c>
      <c r="D1157" t="s">
        <v>6477</v>
      </c>
      <c r="E1157" t="s">
        <v>2171</v>
      </c>
      <c r="F1157" t="s">
        <v>5593</v>
      </c>
      <c r="G1157" t="s">
        <v>5594</v>
      </c>
      <c r="H1157" t="s">
        <v>5809</v>
      </c>
      <c r="I1157">
        <v>2</v>
      </c>
      <c r="J1157" t="s">
        <v>5595</v>
      </c>
      <c r="K1157">
        <v>3.7</v>
      </c>
      <c r="L1157" t="s">
        <v>5737</v>
      </c>
      <c r="M1157">
        <v>1.1000000000000001</v>
      </c>
      <c r="N1157" t="s">
        <v>5737</v>
      </c>
      <c r="O1157">
        <v>60.7</v>
      </c>
      <c r="P1157">
        <v>233</v>
      </c>
      <c r="Q1157">
        <v>1.7</v>
      </c>
      <c r="R1157" t="s">
        <v>5613</v>
      </c>
      <c r="S1157">
        <v>1.1000000000000001</v>
      </c>
      <c r="T1157" t="s">
        <v>5613</v>
      </c>
      <c r="U1157">
        <v>2.1</v>
      </c>
      <c r="V1157" t="s">
        <v>5613</v>
      </c>
      <c r="W1157">
        <v>1.2</v>
      </c>
      <c r="X1157" t="s">
        <v>5613</v>
      </c>
      <c r="Y1157">
        <v>7.9</v>
      </c>
      <c r="Z1157" t="s">
        <v>5613</v>
      </c>
      <c r="AA1157">
        <v>1</v>
      </c>
      <c r="AB1157" t="s">
        <v>5613</v>
      </c>
      <c r="AC1157" t="s">
        <v>6207</v>
      </c>
    </row>
    <row r="1158" spans="1:29">
      <c r="A1158" t="s">
        <v>6240</v>
      </c>
      <c r="B1158" t="s">
        <v>6240</v>
      </c>
      <c r="C1158" t="s">
        <v>6589</v>
      </c>
      <c r="D1158" t="s">
        <v>5624</v>
      </c>
      <c r="E1158" t="s">
        <v>125</v>
      </c>
      <c r="F1158" t="s">
        <v>5605</v>
      </c>
      <c r="G1158" t="s">
        <v>5602</v>
      </c>
      <c r="H1158" t="s">
        <v>5590</v>
      </c>
      <c r="I1158">
        <v>5</v>
      </c>
      <c r="J1158" t="s">
        <v>5595</v>
      </c>
      <c r="K1158">
        <v>10.1</v>
      </c>
      <c r="L1158" t="s">
        <v>5737</v>
      </c>
      <c r="M1158">
        <v>2.6</v>
      </c>
      <c r="N1158" t="s">
        <v>5737</v>
      </c>
      <c r="O1158">
        <v>1.2</v>
      </c>
      <c r="P1158" t="s">
        <v>5613</v>
      </c>
      <c r="Q1158">
        <v>7</v>
      </c>
      <c r="R1158" t="s">
        <v>5613</v>
      </c>
      <c r="S1158">
        <v>28.5</v>
      </c>
      <c r="T1158">
        <v>499</v>
      </c>
      <c r="U1158">
        <v>21.6</v>
      </c>
      <c r="V1158">
        <v>524</v>
      </c>
      <c r="W1158">
        <v>12.5</v>
      </c>
      <c r="X1158">
        <v>630</v>
      </c>
      <c r="Y1158">
        <v>6.7</v>
      </c>
      <c r="Z1158" t="s">
        <v>5613</v>
      </c>
      <c r="AA1158">
        <v>1.1000000000000001</v>
      </c>
      <c r="AB1158" t="s">
        <v>5613</v>
      </c>
      <c r="AC1158" t="s">
        <v>6207</v>
      </c>
    </row>
    <row r="1159" spans="1:29">
      <c r="A1159" t="s">
        <v>6240</v>
      </c>
      <c r="B1159" t="s">
        <v>6240</v>
      </c>
      <c r="C1159" t="s">
        <v>6590</v>
      </c>
      <c r="D1159" t="s">
        <v>5624</v>
      </c>
      <c r="E1159" t="s">
        <v>125</v>
      </c>
      <c r="F1159" t="s">
        <v>5593</v>
      </c>
      <c r="G1159" t="s">
        <v>5651</v>
      </c>
      <c r="I1159">
        <v>4</v>
      </c>
      <c r="J1159" t="s">
        <v>5595</v>
      </c>
      <c r="K1159">
        <v>10.9</v>
      </c>
      <c r="L1159" t="s">
        <v>5737</v>
      </c>
      <c r="M1159">
        <v>2.5</v>
      </c>
      <c r="N1159" t="s">
        <v>5737</v>
      </c>
      <c r="O1159">
        <v>5.5</v>
      </c>
      <c r="P1159" t="s">
        <v>5613</v>
      </c>
      <c r="Q1159">
        <v>6.3</v>
      </c>
      <c r="R1159" t="s">
        <v>5613</v>
      </c>
      <c r="S1159">
        <v>28</v>
      </c>
      <c r="T1159">
        <v>501</v>
      </c>
      <c r="U1159">
        <v>38.200000000000003</v>
      </c>
      <c r="V1159">
        <v>361</v>
      </c>
      <c r="W1159">
        <v>12.2</v>
      </c>
      <c r="X1159">
        <v>633</v>
      </c>
      <c r="Y1159">
        <v>6.7</v>
      </c>
      <c r="Z1159" t="s">
        <v>5613</v>
      </c>
      <c r="AA1159">
        <v>3.7</v>
      </c>
      <c r="AB1159" t="s">
        <v>5613</v>
      </c>
      <c r="AC1159" t="s">
        <v>6207</v>
      </c>
    </row>
    <row r="1160" spans="1:29">
      <c r="A1160" t="s">
        <v>6240</v>
      </c>
      <c r="B1160" t="s">
        <v>6240</v>
      </c>
      <c r="C1160" t="s">
        <v>3626</v>
      </c>
      <c r="D1160" t="s">
        <v>5672</v>
      </c>
      <c r="E1160" t="s">
        <v>664</v>
      </c>
      <c r="F1160" t="s">
        <v>5593</v>
      </c>
      <c r="G1160" t="s">
        <v>5594</v>
      </c>
      <c r="H1160" t="s">
        <v>5809</v>
      </c>
      <c r="I1160">
        <v>2</v>
      </c>
      <c r="J1160" t="s">
        <v>5926</v>
      </c>
      <c r="K1160">
        <v>6.4</v>
      </c>
      <c r="L1160" t="s">
        <v>5737</v>
      </c>
      <c r="M1160">
        <v>9.9</v>
      </c>
      <c r="N1160" t="s">
        <v>5737</v>
      </c>
      <c r="O1160">
        <v>33.6</v>
      </c>
      <c r="P1160">
        <v>475</v>
      </c>
      <c r="Q1160">
        <v>2.1</v>
      </c>
      <c r="R1160" t="s">
        <v>5613</v>
      </c>
      <c r="S1160">
        <v>8</v>
      </c>
      <c r="T1160" t="s">
        <v>5613</v>
      </c>
      <c r="U1160">
        <v>3.8</v>
      </c>
      <c r="V1160" t="s">
        <v>5613</v>
      </c>
      <c r="W1160">
        <v>1.1000000000000001</v>
      </c>
      <c r="X1160" t="s">
        <v>5613</v>
      </c>
      <c r="Y1160">
        <v>9.8000000000000007</v>
      </c>
      <c r="Z1160" t="s">
        <v>5613</v>
      </c>
      <c r="AA1160">
        <v>1.1000000000000001</v>
      </c>
      <c r="AB1160" t="s">
        <v>5613</v>
      </c>
      <c r="AC1160" t="s">
        <v>6207</v>
      </c>
    </row>
    <row r="1161" spans="1:29">
      <c r="A1161" t="s">
        <v>6240</v>
      </c>
      <c r="B1161" t="s">
        <v>6143</v>
      </c>
      <c r="C1161" t="s">
        <v>2907</v>
      </c>
      <c r="D1161" t="s">
        <v>5672</v>
      </c>
      <c r="E1161" t="s">
        <v>664</v>
      </c>
      <c r="F1161" t="s">
        <v>5588</v>
      </c>
      <c r="G1161" t="s">
        <v>5602</v>
      </c>
      <c r="H1161" t="s">
        <v>5590</v>
      </c>
      <c r="I1161">
        <v>2</v>
      </c>
      <c r="J1161" t="s">
        <v>5595</v>
      </c>
      <c r="K1161">
        <v>7.3</v>
      </c>
      <c r="L1161" t="s">
        <v>5737</v>
      </c>
      <c r="M1161">
        <v>5.5</v>
      </c>
      <c r="N1161" t="s">
        <v>5737</v>
      </c>
      <c r="O1161">
        <v>24.1</v>
      </c>
      <c r="P1161">
        <v>590</v>
      </c>
      <c r="Q1161">
        <v>7.5</v>
      </c>
      <c r="R1161" t="s">
        <v>5613</v>
      </c>
      <c r="S1161">
        <v>2</v>
      </c>
      <c r="T1161" t="s">
        <v>5613</v>
      </c>
      <c r="U1161">
        <v>4</v>
      </c>
      <c r="V1161" t="s">
        <v>5613</v>
      </c>
      <c r="W1161">
        <v>1.6</v>
      </c>
      <c r="X1161" t="s">
        <v>5613</v>
      </c>
      <c r="Y1161">
        <v>9</v>
      </c>
      <c r="Z1161" t="s">
        <v>5613</v>
      </c>
      <c r="AA1161">
        <v>15.6</v>
      </c>
      <c r="AB1161" t="s">
        <v>6340</v>
      </c>
      <c r="AC1161" t="s">
        <v>6207</v>
      </c>
    </row>
    <row r="1162" spans="1:29">
      <c r="A1162" t="s">
        <v>6240</v>
      </c>
      <c r="B1162" t="s">
        <v>6240</v>
      </c>
      <c r="C1162" t="s">
        <v>6591</v>
      </c>
      <c r="D1162" t="s">
        <v>5672</v>
      </c>
      <c r="E1162" t="s">
        <v>664</v>
      </c>
      <c r="F1162" t="s">
        <v>5593</v>
      </c>
      <c r="G1162" t="s">
        <v>5594</v>
      </c>
      <c r="H1162" t="s">
        <v>5809</v>
      </c>
      <c r="I1162">
        <v>3</v>
      </c>
      <c r="J1162" t="s">
        <v>5595</v>
      </c>
      <c r="K1162">
        <v>13.6</v>
      </c>
      <c r="L1162" t="s">
        <v>5737</v>
      </c>
      <c r="M1162">
        <v>10</v>
      </c>
      <c r="N1162" t="s">
        <v>5737</v>
      </c>
      <c r="O1162">
        <v>7.8</v>
      </c>
      <c r="P1162" t="s">
        <v>5613</v>
      </c>
      <c r="Q1162">
        <v>3.3</v>
      </c>
      <c r="R1162" t="s">
        <v>5613</v>
      </c>
      <c r="S1162">
        <v>9.8000000000000007</v>
      </c>
      <c r="T1162" t="s">
        <v>5613</v>
      </c>
      <c r="U1162">
        <v>4</v>
      </c>
      <c r="V1162" t="s">
        <v>5613</v>
      </c>
      <c r="W1162">
        <v>1.7</v>
      </c>
      <c r="X1162" t="s">
        <v>5613</v>
      </c>
      <c r="Y1162">
        <v>9.6</v>
      </c>
      <c r="Z1162" t="s">
        <v>5613</v>
      </c>
      <c r="AA1162">
        <v>2</v>
      </c>
      <c r="AB1162" t="s">
        <v>5613</v>
      </c>
      <c r="AC1162" t="s">
        <v>6207</v>
      </c>
    </row>
    <row r="1163" spans="1:29">
      <c r="A1163" t="s">
        <v>6240</v>
      </c>
      <c r="B1163" t="s">
        <v>6240</v>
      </c>
      <c r="C1163" t="s">
        <v>6592</v>
      </c>
      <c r="D1163" t="s">
        <v>5672</v>
      </c>
      <c r="E1163" t="s">
        <v>664</v>
      </c>
      <c r="F1163" t="s">
        <v>5593</v>
      </c>
      <c r="G1163" t="s">
        <v>5594</v>
      </c>
      <c r="H1163" t="s">
        <v>5809</v>
      </c>
      <c r="I1163">
        <v>3</v>
      </c>
      <c r="J1163" t="s">
        <v>5595</v>
      </c>
      <c r="K1163">
        <v>12.6</v>
      </c>
      <c r="L1163" t="s">
        <v>5737</v>
      </c>
      <c r="M1163">
        <v>8.6999999999999993</v>
      </c>
      <c r="N1163" t="s">
        <v>5737</v>
      </c>
      <c r="O1163">
        <v>11.9</v>
      </c>
      <c r="P1163" t="s">
        <v>5613</v>
      </c>
      <c r="Q1163">
        <v>3</v>
      </c>
      <c r="R1163" t="s">
        <v>5613</v>
      </c>
      <c r="S1163">
        <v>37.299999999999997</v>
      </c>
      <c r="T1163">
        <v>433</v>
      </c>
      <c r="U1163">
        <v>8.6999999999999993</v>
      </c>
      <c r="V1163" t="s">
        <v>5613</v>
      </c>
      <c r="W1163">
        <v>1.3</v>
      </c>
      <c r="X1163" t="s">
        <v>5613</v>
      </c>
      <c r="Y1163">
        <v>8.9</v>
      </c>
      <c r="Z1163" t="s">
        <v>5613</v>
      </c>
      <c r="AA1163">
        <v>1.2</v>
      </c>
      <c r="AB1163" t="s">
        <v>5613</v>
      </c>
      <c r="AC1163" t="s">
        <v>6207</v>
      </c>
    </row>
    <row r="1164" spans="1:29">
      <c r="A1164" t="s">
        <v>6240</v>
      </c>
      <c r="B1164" t="s">
        <v>6240</v>
      </c>
      <c r="C1164" t="s">
        <v>6593</v>
      </c>
      <c r="D1164" t="s">
        <v>5672</v>
      </c>
      <c r="E1164" t="s">
        <v>664</v>
      </c>
      <c r="F1164" t="s">
        <v>5588</v>
      </c>
      <c r="G1164" t="s">
        <v>5602</v>
      </c>
      <c r="H1164" t="s">
        <v>5590</v>
      </c>
      <c r="I1164">
        <v>2</v>
      </c>
      <c r="J1164" t="s">
        <v>5595</v>
      </c>
      <c r="K1164">
        <v>10</v>
      </c>
      <c r="L1164" t="s">
        <v>5737</v>
      </c>
      <c r="M1164">
        <v>4.5999999999999996</v>
      </c>
      <c r="N1164" t="s">
        <v>5737</v>
      </c>
      <c r="O1164">
        <v>10.8</v>
      </c>
      <c r="P1164" t="s">
        <v>5613</v>
      </c>
      <c r="Q1164">
        <v>9.3000000000000007</v>
      </c>
      <c r="R1164" t="s">
        <v>5613</v>
      </c>
      <c r="S1164">
        <v>12.9</v>
      </c>
      <c r="T1164" t="s">
        <v>5613</v>
      </c>
      <c r="U1164">
        <v>6.7</v>
      </c>
      <c r="V1164" t="s">
        <v>5613</v>
      </c>
      <c r="W1164">
        <v>7.4</v>
      </c>
      <c r="X1164" t="s">
        <v>5613</v>
      </c>
      <c r="Y1164">
        <v>8.6</v>
      </c>
      <c r="Z1164" t="s">
        <v>5613</v>
      </c>
      <c r="AA1164">
        <v>23.7</v>
      </c>
      <c r="AB1164" t="s">
        <v>5984</v>
      </c>
      <c r="AC1164" t="s">
        <v>6207</v>
      </c>
    </row>
    <row r="1165" spans="1:29">
      <c r="A1165" t="s">
        <v>6240</v>
      </c>
      <c r="B1165" t="s">
        <v>6240</v>
      </c>
      <c r="C1165" t="s">
        <v>6594</v>
      </c>
      <c r="D1165" t="s">
        <v>5672</v>
      </c>
      <c r="E1165" t="s">
        <v>664</v>
      </c>
      <c r="F1165" t="s">
        <v>5593</v>
      </c>
      <c r="G1165" t="s">
        <v>5589</v>
      </c>
      <c r="H1165" t="s">
        <v>5590</v>
      </c>
      <c r="I1165">
        <v>2</v>
      </c>
      <c r="J1165" t="s">
        <v>5595</v>
      </c>
      <c r="K1165">
        <v>9.1</v>
      </c>
      <c r="L1165" t="s">
        <v>5737</v>
      </c>
      <c r="M1165">
        <v>7</v>
      </c>
      <c r="N1165" t="s">
        <v>5737</v>
      </c>
      <c r="O1165">
        <v>9.6</v>
      </c>
      <c r="P1165" t="s">
        <v>5613</v>
      </c>
      <c r="Q1165">
        <v>7.7</v>
      </c>
      <c r="R1165" t="s">
        <v>5613</v>
      </c>
      <c r="S1165">
        <v>8</v>
      </c>
      <c r="T1165" t="s">
        <v>5613</v>
      </c>
      <c r="U1165">
        <v>7</v>
      </c>
      <c r="V1165" t="s">
        <v>5613</v>
      </c>
      <c r="W1165">
        <v>5</v>
      </c>
      <c r="X1165" t="s">
        <v>5613</v>
      </c>
      <c r="Y1165">
        <v>9.4</v>
      </c>
      <c r="Z1165" t="s">
        <v>5613</v>
      </c>
      <c r="AA1165">
        <v>11.3</v>
      </c>
      <c r="AB1165">
        <v>654</v>
      </c>
      <c r="AC1165" t="s">
        <v>6207</v>
      </c>
    </row>
    <row r="1166" spans="1:29">
      <c r="A1166" t="s">
        <v>6240</v>
      </c>
      <c r="B1166" t="s">
        <v>6240</v>
      </c>
      <c r="C1166" t="s">
        <v>6595</v>
      </c>
      <c r="D1166" t="s">
        <v>5587</v>
      </c>
      <c r="E1166" t="s">
        <v>29</v>
      </c>
      <c r="F1166" t="s">
        <v>5593</v>
      </c>
      <c r="G1166" t="s">
        <v>5602</v>
      </c>
      <c r="H1166" t="s">
        <v>5590</v>
      </c>
      <c r="I1166">
        <v>5</v>
      </c>
      <c r="J1166" t="s">
        <v>5595</v>
      </c>
      <c r="K1166">
        <v>6.8</v>
      </c>
      <c r="L1166" t="s">
        <v>5737</v>
      </c>
      <c r="M1166">
        <v>4.3</v>
      </c>
      <c r="N1166" t="s">
        <v>5737</v>
      </c>
      <c r="O1166">
        <v>6.6</v>
      </c>
      <c r="P1166" t="s">
        <v>5613</v>
      </c>
      <c r="Q1166">
        <v>11.9</v>
      </c>
      <c r="R1166" t="s">
        <v>5613</v>
      </c>
      <c r="S1166">
        <v>5.0999999999999996</v>
      </c>
      <c r="T1166" t="s">
        <v>5613</v>
      </c>
      <c r="U1166">
        <v>3.2</v>
      </c>
      <c r="V1166" t="s">
        <v>5613</v>
      </c>
      <c r="W1166">
        <v>7.1</v>
      </c>
      <c r="X1166" t="s">
        <v>5613</v>
      </c>
      <c r="Y1166">
        <v>15.7</v>
      </c>
      <c r="Z1166">
        <v>531</v>
      </c>
      <c r="AA1166">
        <v>6.2</v>
      </c>
      <c r="AB1166" t="s">
        <v>5613</v>
      </c>
      <c r="AC1166" t="s">
        <v>6207</v>
      </c>
    </row>
    <row r="1167" spans="1:29">
      <c r="A1167" t="s">
        <v>6240</v>
      </c>
      <c r="B1167" t="s">
        <v>6343</v>
      </c>
      <c r="C1167" t="s">
        <v>2274</v>
      </c>
      <c r="D1167" t="s">
        <v>6596</v>
      </c>
      <c r="E1167" t="s">
        <v>2275</v>
      </c>
      <c r="F1167" t="s">
        <v>5593</v>
      </c>
      <c r="G1167" t="s">
        <v>5589</v>
      </c>
      <c r="H1167" t="s">
        <v>5809</v>
      </c>
      <c r="I1167">
        <v>5</v>
      </c>
      <c r="J1167" t="s">
        <v>5595</v>
      </c>
      <c r="K1167">
        <v>11.7</v>
      </c>
      <c r="L1167" t="s">
        <v>5737</v>
      </c>
      <c r="M1167">
        <v>14.8</v>
      </c>
      <c r="N1167">
        <v>555</v>
      </c>
      <c r="O1167">
        <v>2.5</v>
      </c>
      <c r="P1167" t="s">
        <v>5613</v>
      </c>
      <c r="Q1167">
        <v>3.1</v>
      </c>
      <c r="R1167" t="s">
        <v>5613</v>
      </c>
      <c r="S1167">
        <v>1.1000000000000001</v>
      </c>
      <c r="T1167" t="s">
        <v>5613</v>
      </c>
      <c r="U1167">
        <v>1.3</v>
      </c>
      <c r="V1167" t="s">
        <v>5613</v>
      </c>
      <c r="W1167">
        <v>1.1000000000000001</v>
      </c>
      <c r="X1167" t="s">
        <v>5613</v>
      </c>
      <c r="Y1167">
        <v>44.5</v>
      </c>
      <c r="Z1167">
        <v>161</v>
      </c>
      <c r="AA1167">
        <v>19.899999999999999</v>
      </c>
      <c r="AB1167" t="s">
        <v>5880</v>
      </c>
      <c r="AC1167" t="s">
        <v>6207</v>
      </c>
    </row>
    <row r="1168" spans="1:29">
      <c r="A1168" t="s">
        <v>6240</v>
      </c>
      <c r="B1168" t="s">
        <v>6240</v>
      </c>
      <c r="C1168" t="s">
        <v>1465</v>
      </c>
      <c r="D1168" t="s">
        <v>5592</v>
      </c>
      <c r="E1168" t="s">
        <v>26</v>
      </c>
      <c r="F1168" t="s">
        <v>5593</v>
      </c>
      <c r="G1168" t="s">
        <v>5589</v>
      </c>
      <c r="H1168" t="s">
        <v>5809</v>
      </c>
      <c r="I1168">
        <v>3</v>
      </c>
      <c r="J1168" t="s">
        <v>5595</v>
      </c>
      <c r="K1168">
        <v>4.8</v>
      </c>
      <c r="L1168" t="s">
        <v>5737</v>
      </c>
      <c r="M1168">
        <v>3.2</v>
      </c>
      <c r="N1168" t="s">
        <v>5737</v>
      </c>
      <c r="O1168">
        <v>11.3</v>
      </c>
      <c r="P1168" t="s">
        <v>5613</v>
      </c>
      <c r="Q1168">
        <v>4.7</v>
      </c>
      <c r="R1168" t="s">
        <v>5613</v>
      </c>
      <c r="S1168">
        <v>30.5</v>
      </c>
      <c r="T1168">
        <v>486</v>
      </c>
      <c r="U1168">
        <v>48.5</v>
      </c>
      <c r="V1168">
        <v>305</v>
      </c>
      <c r="W1168">
        <v>4.4000000000000004</v>
      </c>
      <c r="X1168" t="s">
        <v>5613</v>
      </c>
      <c r="Y1168">
        <v>9.3000000000000007</v>
      </c>
      <c r="Z1168" t="s">
        <v>5613</v>
      </c>
      <c r="AA1168">
        <v>3.8</v>
      </c>
      <c r="AB1168" t="s">
        <v>5613</v>
      </c>
      <c r="AC1168" t="s">
        <v>6207</v>
      </c>
    </row>
    <row r="1169" spans="1:29">
      <c r="A1169" t="s">
        <v>6240</v>
      </c>
      <c r="C1169" t="s">
        <v>1908</v>
      </c>
      <c r="D1169" t="s">
        <v>5772</v>
      </c>
      <c r="E1169" t="s">
        <v>386</v>
      </c>
      <c r="F1169" t="s">
        <v>5588</v>
      </c>
      <c r="G1169" t="s">
        <v>5602</v>
      </c>
      <c r="H1169" t="s">
        <v>5590</v>
      </c>
      <c r="I1169">
        <v>5</v>
      </c>
      <c r="K1169">
        <v>5.8</v>
      </c>
      <c r="L1169" t="s">
        <v>5737</v>
      </c>
      <c r="M1169">
        <v>20.9</v>
      </c>
      <c r="N1169">
        <v>445</v>
      </c>
      <c r="O1169">
        <v>5</v>
      </c>
      <c r="P1169" t="s">
        <v>5613</v>
      </c>
      <c r="Q1169">
        <v>6.8</v>
      </c>
      <c r="R1169" t="s">
        <v>5613</v>
      </c>
      <c r="W1169">
        <v>1.3</v>
      </c>
      <c r="X1169" t="s">
        <v>5613</v>
      </c>
      <c r="Y1169">
        <v>12.7</v>
      </c>
      <c r="Z1169">
        <v>677</v>
      </c>
      <c r="AC1169" t="s">
        <v>6207</v>
      </c>
    </row>
    <row r="1170" spans="1:29">
      <c r="A1170" t="s">
        <v>6240</v>
      </c>
      <c r="B1170" t="s">
        <v>6143</v>
      </c>
      <c r="C1170" t="s">
        <v>6597</v>
      </c>
      <c r="D1170" t="s">
        <v>5882</v>
      </c>
      <c r="E1170" t="s">
        <v>984</v>
      </c>
      <c r="F1170" t="s">
        <v>5588</v>
      </c>
      <c r="G1170" t="s">
        <v>5602</v>
      </c>
      <c r="H1170" t="s">
        <v>5590</v>
      </c>
      <c r="I1170">
        <v>4</v>
      </c>
      <c r="J1170" t="s">
        <v>5595</v>
      </c>
      <c r="K1170">
        <v>5</v>
      </c>
      <c r="L1170" t="s">
        <v>5737</v>
      </c>
      <c r="M1170">
        <v>1.9</v>
      </c>
      <c r="N1170" t="s">
        <v>5737</v>
      </c>
      <c r="O1170">
        <v>27.9</v>
      </c>
      <c r="P1170">
        <v>547</v>
      </c>
      <c r="Q1170">
        <v>4.5</v>
      </c>
      <c r="R1170" t="s">
        <v>5613</v>
      </c>
      <c r="S1170">
        <v>41.4</v>
      </c>
      <c r="T1170">
        <v>400</v>
      </c>
      <c r="U1170">
        <v>3</v>
      </c>
      <c r="V1170" t="s">
        <v>5613</v>
      </c>
      <c r="W1170">
        <v>3.4</v>
      </c>
      <c r="X1170" t="s">
        <v>5613</v>
      </c>
      <c r="Y1170">
        <v>10</v>
      </c>
      <c r="Z1170" t="s">
        <v>5613</v>
      </c>
      <c r="AA1170">
        <v>1</v>
      </c>
      <c r="AB1170" t="s">
        <v>5613</v>
      </c>
      <c r="AC1170" t="s">
        <v>6207</v>
      </c>
    </row>
    <row r="1171" spans="1:29">
      <c r="A1171" t="s">
        <v>6240</v>
      </c>
      <c r="B1171" t="s">
        <v>6143</v>
      </c>
      <c r="C1171" t="s">
        <v>6598</v>
      </c>
      <c r="D1171" t="s">
        <v>5587</v>
      </c>
      <c r="E1171" t="s">
        <v>29</v>
      </c>
      <c r="F1171" t="s">
        <v>5588</v>
      </c>
      <c r="G1171" t="s">
        <v>5589</v>
      </c>
      <c r="H1171" t="s">
        <v>5590</v>
      </c>
      <c r="J1171" t="s">
        <v>5595</v>
      </c>
      <c r="K1171">
        <v>3.7</v>
      </c>
      <c r="L1171" t="s">
        <v>5737</v>
      </c>
      <c r="M1171">
        <v>1.4</v>
      </c>
      <c r="N1171" t="s">
        <v>5737</v>
      </c>
      <c r="O1171">
        <v>12.2</v>
      </c>
      <c r="P1171" t="s">
        <v>5613</v>
      </c>
      <c r="Q1171">
        <v>34.700000000000003</v>
      </c>
      <c r="R1171">
        <v>390</v>
      </c>
      <c r="S1171">
        <v>5.4</v>
      </c>
      <c r="T1171" t="s">
        <v>5613</v>
      </c>
      <c r="U1171">
        <v>5</v>
      </c>
      <c r="V1171" t="s">
        <v>5613</v>
      </c>
      <c r="W1171">
        <v>2.5</v>
      </c>
      <c r="X1171" t="s">
        <v>5613</v>
      </c>
      <c r="Y1171">
        <v>8.3000000000000007</v>
      </c>
      <c r="Z1171" t="s">
        <v>5613</v>
      </c>
      <c r="AC1171" t="s">
        <v>6207</v>
      </c>
    </row>
    <row r="1172" spans="1:29">
      <c r="A1172" t="s">
        <v>6240</v>
      </c>
      <c r="B1172" t="s">
        <v>6343</v>
      </c>
      <c r="C1172" t="s">
        <v>3588</v>
      </c>
      <c r="D1172" t="s">
        <v>5959</v>
      </c>
      <c r="E1172" t="s">
        <v>1102</v>
      </c>
      <c r="F1172" t="s">
        <v>5605</v>
      </c>
      <c r="G1172" t="s">
        <v>5589</v>
      </c>
      <c r="H1172" t="s">
        <v>5809</v>
      </c>
      <c r="I1172">
        <v>4</v>
      </c>
      <c r="J1172" t="s">
        <v>5595</v>
      </c>
      <c r="K1172">
        <v>10.4</v>
      </c>
      <c r="L1172" t="s">
        <v>5737</v>
      </c>
      <c r="M1172">
        <v>15.3</v>
      </c>
      <c r="N1172">
        <v>540</v>
      </c>
      <c r="O1172">
        <v>1.6</v>
      </c>
      <c r="P1172" t="s">
        <v>5613</v>
      </c>
      <c r="Q1172">
        <v>4.5999999999999996</v>
      </c>
      <c r="R1172" t="s">
        <v>5613</v>
      </c>
      <c r="S1172">
        <v>3.8</v>
      </c>
      <c r="T1172" t="s">
        <v>5613</v>
      </c>
      <c r="U1172">
        <v>1.1000000000000001</v>
      </c>
      <c r="V1172" t="s">
        <v>5613</v>
      </c>
      <c r="W1172">
        <v>2.6</v>
      </c>
      <c r="X1172" t="s">
        <v>5613</v>
      </c>
      <c r="Y1172">
        <v>6.9</v>
      </c>
      <c r="Z1172" t="s">
        <v>5613</v>
      </c>
      <c r="AA1172">
        <v>12.3</v>
      </c>
      <c r="AB1172" t="s">
        <v>6092</v>
      </c>
      <c r="AC1172" t="s">
        <v>6207</v>
      </c>
    </row>
    <row r="1173" spans="1:29">
      <c r="A1173" t="s">
        <v>6240</v>
      </c>
      <c r="B1173" t="s">
        <v>6143</v>
      </c>
      <c r="C1173" t="s">
        <v>6599</v>
      </c>
      <c r="D1173" t="s">
        <v>5587</v>
      </c>
      <c r="E1173" t="s">
        <v>29</v>
      </c>
      <c r="F1173" t="s">
        <v>5593</v>
      </c>
      <c r="G1173" t="s">
        <v>5594</v>
      </c>
      <c r="H1173" t="s">
        <v>5809</v>
      </c>
      <c r="I1173">
        <v>5</v>
      </c>
      <c r="J1173" t="s">
        <v>5595</v>
      </c>
      <c r="K1173">
        <v>3.5</v>
      </c>
      <c r="L1173" t="s">
        <v>5737</v>
      </c>
      <c r="M1173">
        <v>4.5</v>
      </c>
      <c r="N1173" t="s">
        <v>5737</v>
      </c>
      <c r="O1173">
        <v>24.9</v>
      </c>
      <c r="P1173">
        <v>587</v>
      </c>
      <c r="Q1173">
        <v>10.1</v>
      </c>
      <c r="R1173" t="s">
        <v>5613</v>
      </c>
      <c r="S1173">
        <v>34.799999999999997</v>
      </c>
      <c r="T1173">
        <v>456</v>
      </c>
      <c r="U1173">
        <v>3.3</v>
      </c>
      <c r="V1173" t="s">
        <v>5613</v>
      </c>
      <c r="W1173">
        <v>15.8</v>
      </c>
      <c r="X1173">
        <v>586</v>
      </c>
      <c r="Y1173">
        <v>12.5</v>
      </c>
      <c r="Z1173">
        <v>693</v>
      </c>
      <c r="AC1173" t="s">
        <v>6207</v>
      </c>
    </row>
    <row r="1174" spans="1:29">
      <c r="A1174" t="s">
        <v>6240</v>
      </c>
      <c r="B1174" t="s">
        <v>6143</v>
      </c>
      <c r="C1174" t="s">
        <v>6600</v>
      </c>
      <c r="D1174" t="s">
        <v>5587</v>
      </c>
      <c r="E1174" t="s">
        <v>29</v>
      </c>
      <c r="F1174" t="s">
        <v>5593</v>
      </c>
      <c r="G1174" t="s">
        <v>5589</v>
      </c>
      <c r="H1174" t="s">
        <v>5590</v>
      </c>
      <c r="I1174">
        <v>5</v>
      </c>
      <c r="J1174" t="s">
        <v>5595</v>
      </c>
      <c r="K1174">
        <v>4.3</v>
      </c>
      <c r="L1174" t="s">
        <v>5737</v>
      </c>
      <c r="M1174">
        <v>3.2</v>
      </c>
      <c r="N1174" t="s">
        <v>5737</v>
      </c>
      <c r="O1174">
        <v>36.6</v>
      </c>
      <c r="P1174">
        <v>432</v>
      </c>
      <c r="Q1174">
        <v>8.9</v>
      </c>
      <c r="R1174" t="s">
        <v>5613</v>
      </c>
      <c r="S1174">
        <v>14.5</v>
      </c>
      <c r="T1174">
        <v>675</v>
      </c>
      <c r="U1174">
        <v>2.9</v>
      </c>
      <c r="V1174" t="s">
        <v>5613</v>
      </c>
      <c r="W1174">
        <v>12.5</v>
      </c>
      <c r="X1174">
        <v>629</v>
      </c>
      <c r="Y1174">
        <v>8.4</v>
      </c>
      <c r="Z1174" t="s">
        <v>5613</v>
      </c>
      <c r="AA1174">
        <v>4.0999999999999996</v>
      </c>
      <c r="AB1174" t="s">
        <v>5613</v>
      </c>
      <c r="AC1174" t="s">
        <v>6207</v>
      </c>
    </row>
    <row r="1175" spans="1:29">
      <c r="A1175" t="s">
        <v>6240</v>
      </c>
      <c r="B1175" t="s">
        <v>6240</v>
      </c>
      <c r="C1175" t="s">
        <v>6601</v>
      </c>
      <c r="D1175" t="s">
        <v>5587</v>
      </c>
      <c r="E1175" t="s">
        <v>29</v>
      </c>
      <c r="F1175" t="s">
        <v>5588</v>
      </c>
      <c r="G1175" t="s">
        <v>5589</v>
      </c>
      <c r="H1175" t="s">
        <v>5590</v>
      </c>
      <c r="I1175">
        <v>4</v>
      </c>
      <c r="J1175" t="s">
        <v>5595</v>
      </c>
      <c r="K1175">
        <v>4.7</v>
      </c>
      <c r="L1175" t="s">
        <v>5737</v>
      </c>
      <c r="M1175">
        <v>5.0999999999999996</v>
      </c>
      <c r="N1175" t="s">
        <v>5737</v>
      </c>
      <c r="O1175">
        <v>17.8</v>
      </c>
      <c r="P1175" t="s">
        <v>5613</v>
      </c>
      <c r="Q1175">
        <v>17.5</v>
      </c>
      <c r="R1175">
        <v>589</v>
      </c>
      <c r="S1175">
        <v>5.0999999999999996</v>
      </c>
      <c r="T1175" t="s">
        <v>5613</v>
      </c>
      <c r="U1175">
        <v>13.5</v>
      </c>
      <c r="V1175">
        <v>653</v>
      </c>
      <c r="W1175">
        <v>2.5</v>
      </c>
      <c r="X1175" t="s">
        <v>5613</v>
      </c>
      <c r="Y1175">
        <v>9.6999999999999993</v>
      </c>
      <c r="Z1175" t="s">
        <v>5613</v>
      </c>
      <c r="AA1175">
        <v>1.3</v>
      </c>
      <c r="AB1175" t="s">
        <v>5613</v>
      </c>
      <c r="AC1175" t="s">
        <v>6207</v>
      </c>
    </row>
    <row r="1176" spans="1:29">
      <c r="A1176" t="s">
        <v>6240</v>
      </c>
      <c r="B1176" t="s">
        <v>6240</v>
      </c>
      <c r="C1176" t="s">
        <v>2951</v>
      </c>
      <c r="D1176" t="s">
        <v>6602</v>
      </c>
      <c r="E1176" t="s">
        <v>2952</v>
      </c>
      <c r="F1176" t="s">
        <v>5605</v>
      </c>
      <c r="G1176" t="s">
        <v>5594</v>
      </c>
      <c r="H1176" t="s">
        <v>6146</v>
      </c>
      <c r="I1176">
        <v>4</v>
      </c>
      <c r="J1176" t="s">
        <v>5595</v>
      </c>
      <c r="K1176">
        <v>9.6</v>
      </c>
      <c r="L1176" t="s">
        <v>5737</v>
      </c>
      <c r="M1176">
        <v>14.6</v>
      </c>
      <c r="N1176">
        <v>557</v>
      </c>
      <c r="O1176">
        <v>18.100000000000001</v>
      </c>
      <c r="P1176" t="s">
        <v>5613</v>
      </c>
      <c r="Q1176">
        <v>1.7</v>
      </c>
      <c r="R1176" t="s">
        <v>5613</v>
      </c>
      <c r="W1176">
        <v>3.6</v>
      </c>
      <c r="X1176" t="s">
        <v>5613</v>
      </c>
      <c r="Y1176">
        <v>54.4</v>
      </c>
      <c r="Z1176">
        <v>116</v>
      </c>
      <c r="AA1176">
        <v>4.0999999999999996</v>
      </c>
      <c r="AB1176" t="s">
        <v>5613</v>
      </c>
      <c r="AC1176" t="s">
        <v>6207</v>
      </c>
    </row>
    <row r="1177" spans="1:29">
      <c r="A1177" t="s">
        <v>6240</v>
      </c>
      <c r="B1177" t="s">
        <v>6240</v>
      </c>
      <c r="C1177" t="s">
        <v>6603</v>
      </c>
      <c r="D1177" t="s">
        <v>5747</v>
      </c>
      <c r="E1177" t="s">
        <v>397</v>
      </c>
      <c r="F1177" t="s">
        <v>5588</v>
      </c>
      <c r="G1177" t="s">
        <v>5602</v>
      </c>
      <c r="H1177" t="s">
        <v>5590</v>
      </c>
      <c r="I1177">
        <v>4</v>
      </c>
      <c r="J1177" t="s">
        <v>5595</v>
      </c>
      <c r="K1177">
        <v>3.5</v>
      </c>
      <c r="L1177" t="s">
        <v>5737</v>
      </c>
      <c r="M1177">
        <v>2</v>
      </c>
      <c r="N1177" t="s">
        <v>5737</v>
      </c>
      <c r="O1177">
        <v>3.7</v>
      </c>
      <c r="P1177" t="s">
        <v>5613</v>
      </c>
      <c r="Q1177">
        <v>38.9</v>
      </c>
      <c r="R1177">
        <v>353</v>
      </c>
      <c r="S1177">
        <v>1.8</v>
      </c>
      <c r="T1177" t="s">
        <v>5613</v>
      </c>
      <c r="U1177">
        <v>1.9</v>
      </c>
      <c r="V1177" t="s">
        <v>5613</v>
      </c>
      <c r="W1177">
        <v>1.7</v>
      </c>
      <c r="X1177" t="s">
        <v>5613</v>
      </c>
      <c r="Y1177">
        <v>4.8</v>
      </c>
      <c r="Z1177" t="s">
        <v>5613</v>
      </c>
      <c r="AA1177">
        <v>3.4</v>
      </c>
      <c r="AB1177" t="s">
        <v>5613</v>
      </c>
      <c r="AC1177" t="s">
        <v>6207</v>
      </c>
    </row>
    <row r="1178" spans="1:29">
      <c r="A1178" t="s">
        <v>6240</v>
      </c>
      <c r="B1178" t="s">
        <v>6143</v>
      </c>
      <c r="C1178" t="s">
        <v>6604</v>
      </c>
      <c r="D1178" t="s">
        <v>5587</v>
      </c>
      <c r="E1178" t="s">
        <v>29</v>
      </c>
      <c r="F1178" t="s">
        <v>5593</v>
      </c>
      <c r="G1178" t="s">
        <v>5589</v>
      </c>
      <c r="H1178" t="s">
        <v>5590</v>
      </c>
      <c r="I1178">
        <v>5</v>
      </c>
      <c r="J1178" t="s">
        <v>5595</v>
      </c>
      <c r="K1178">
        <v>5.5</v>
      </c>
      <c r="L1178" t="s">
        <v>5737</v>
      </c>
      <c r="M1178">
        <v>4.3</v>
      </c>
      <c r="N1178" t="s">
        <v>5737</v>
      </c>
      <c r="O1178">
        <v>11.4</v>
      </c>
      <c r="P1178" t="s">
        <v>5613</v>
      </c>
      <c r="Q1178">
        <v>18.7</v>
      </c>
      <c r="R1178">
        <v>571</v>
      </c>
      <c r="S1178">
        <v>10.8</v>
      </c>
      <c r="T1178" t="s">
        <v>5613</v>
      </c>
      <c r="U1178">
        <v>3</v>
      </c>
      <c r="V1178" t="s">
        <v>5613</v>
      </c>
      <c r="W1178">
        <v>5.7</v>
      </c>
      <c r="X1178" t="s">
        <v>5613</v>
      </c>
      <c r="Y1178">
        <v>10.3</v>
      </c>
      <c r="Z1178" t="s">
        <v>5613</v>
      </c>
      <c r="AA1178">
        <v>11.6</v>
      </c>
      <c r="AB1178" t="s">
        <v>6273</v>
      </c>
      <c r="AC1178" t="s">
        <v>6207</v>
      </c>
    </row>
    <row r="1179" spans="1:29">
      <c r="A1179" t="s">
        <v>6240</v>
      </c>
      <c r="B1179" t="s">
        <v>6343</v>
      </c>
      <c r="C1179" t="s">
        <v>1645</v>
      </c>
      <c r="D1179" t="s">
        <v>5587</v>
      </c>
      <c r="E1179" t="s">
        <v>29</v>
      </c>
      <c r="F1179" t="s">
        <v>5593</v>
      </c>
      <c r="G1179" t="s">
        <v>5589</v>
      </c>
      <c r="H1179" t="s">
        <v>5590</v>
      </c>
      <c r="I1179">
        <v>4</v>
      </c>
      <c r="J1179" t="s">
        <v>5595</v>
      </c>
      <c r="K1179">
        <v>5.7</v>
      </c>
      <c r="L1179" t="s">
        <v>5737</v>
      </c>
      <c r="M1179">
        <v>4.5</v>
      </c>
      <c r="N1179" t="s">
        <v>5737</v>
      </c>
      <c r="O1179">
        <v>5</v>
      </c>
      <c r="P1179" t="s">
        <v>5613</v>
      </c>
      <c r="Q1179">
        <v>14.1</v>
      </c>
      <c r="R1179">
        <v>656</v>
      </c>
      <c r="S1179">
        <v>8.6999999999999993</v>
      </c>
      <c r="T1179" t="s">
        <v>5613</v>
      </c>
      <c r="U1179">
        <v>5.5</v>
      </c>
      <c r="V1179" t="s">
        <v>5613</v>
      </c>
      <c r="W1179">
        <v>14.4</v>
      </c>
      <c r="X1179">
        <v>605</v>
      </c>
      <c r="Y1179">
        <v>10.6</v>
      </c>
      <c r="Z1179" t="s">
        <v>5613</v>
      </c>
      <c r="AA1179">
        <v>23</v>
      </c>
      <c r="AB1179" t="s">
        <v>5960</v>
      </c>
      <c r="AC1179" t="s">
        <v>6207</v>
      </c>
    </row>
    <row r="1180" spans="1:29">
      <c r="A1180" t="s">
        <v>6240</v>
      </c>
      <c r="B1180" t="s">
        <v>6240</v>
      </c>
      <c r="C1180" t="s">
        <v>6605</v>
      </c>
      <c r="D1180" t="s">
        <v>5587</v>
      </c>
      <c r="E1180" t="s">
        <v>29</v>
      </c>
      <c r="F1180" t="s">
        <v>5605</v>
      </c>
      <c r="G1180" t="s">
        <v>5594</v>
      </c>
      <c r="H1180" t="s">
        <v>5809</v>
      </c>
      <c r="I1180">
        <v>5</v>
      </c>
      <c r="J1180" t="s">
        <v>5595</v>
      </c>
      <c r="K1180">
        <v>7</v>
      </c>
      <c r="L1180" t="s">
        <v>5737</v>
      </c>
      <c r="M1180">
        <v>6.8</v>
      </c>
      <c r="N1180" t="s">
        <v>5737</v>
      </c>
      <c r="O1180">
        <v>3.4</v>
      </c>
      <c r="P1180" t="s">
        <v>5613</v>
      </c>
      <c r="Q1180">
        <v>19.3</v>
      </c>
      <c r="R1180">
        <v>563</v>
      </c>
      <c r="S1180">
        <v>4.9000000000000004</v>
      </c>
      <c r="T1180" t="s">
        <v>5613</v>
      </c>
      <c r="U1180">
        <v>14.7</v>
      </c>
      <c r="V1180">
        <v>625</v>
      </c>
      <c r="W1180">
        <v>9.6</v>
      </c>
      <c r="X1180">
        <v>678</v>
      </c>
      <c r="Y1180">
        <v>25.5</v>
      </c>
      <c r="Z1180">
        <v>326</v>
      </c>
      <c r="AA1180">
        <v>8.9</v>
      </c>
      <c r="AB1180" t="s">
        <v>6100</v>
      </c>
      <c r="AC1180" t="s">
        <v>6207</v>
      </c>
    </row>
    <row r="1181" spans="1:29">
      <c r="A1181" t="s">
        <v>6240</v>
      </c>
      <c r="B1181" t="s">
        <v>6343</v>
      </c>
      <c r="C1181" t="s">
        <v>3784</v>
      </c>
      <c r="D1181" t="s">
        <v>6295</v>
      </c>
      <c r="E1181" t="s">
        <v>1839</v>
      </c>
      <c r="F1181" t="s">
        <v>5605</v>
      </c>
      <c r="G1181" t="s">
        <v>5594</v>
      </c>
      <c r="H1181" t="s">
        <v>5809</v>
      </c>
      <c r="I1181">
        <v>4</v>
      </c>
      <c r="J1181" t="s">
        <v>5595</v>
      </c>
      <c r="K1181">
        <v>8.8000000000000007</v>
      </c>
      <c r="L1181" t="s">
        <v>5737</v>
      </c>
      <c r="M1181">
        <v>3.6</v>
      </c>
      <c r="N1181" t="s">
        <v>5737</v>
      </c>
      <c r="O1181">
        <v>9.3000000000000007</v>
      </c>
      <c r="P1181" t="s">
        <v>5613</v>
      </c>
      <c r="Q1181">
        <v>3.4</v>
      </c>
      <c r="R1181" t="s">
        <v>5613</v>
      </c>
      <c r="W1181">
        <v>47.5</v>
      </c>
      <c r="X1181">
        <v>330</v>
      </c>
      <c r="Y1181">
        <v>9</v>
      </c>
      <c r="Z1181" t="s">
        <v>5613</v>
      </c>
      <c r="AA1181">
        <v>2.2000000000000002</v>
      </c>
      <c r="AB1181" t="s">
        <v>5613</v>
      </c>
      <c r="AC1181" t="s">
        <v>6207</v>
      </c>
    </row>
    <row r="1182" spans="1:29">
      <c r="A1182" t="s">
        <v>6240</v>
      </c>
      <c r="B1182" t="s">
        <v>6240</v>
      </c>
      <c r="C1182" t="s">
        <v>3821</v>
      </c>
      <c r="D1182" t="s">
        <v>5882</v>
      </c>
      <c r="E1182" t="s">
        <v>984</v>
      </c>
      <c r="F1182" t="s">
        <v>5588</v>
      </c>
      <c r="G1182" t="s">
        <v>5602</v>
      </c>
      <c r="H1182" t="s">
        <v>5590</v>
      </c>
      <c r="I1182">
        <v>4</v>
      </c>
      <c r="J1182" t="s">
        <v>5595</v>
      </c>
      <c r="K1182">
        <v>4.8</v>
      </c>
      <c r="L1182" t="s">
        <v>5737</v>
      </c>
      <c r="M1182">
        <v>2.6</v>
      </c>
      <c r="N1182" t="s">
        <v>5737</v>
      </c>
      <c r="O1182">
        <v>39.799999999999997</v>
      </c>
      <c r="P1182">
        <v>398</v>
      </c>
      <c r="Q1182">
        <v>3.3</v>
      </c>
      <c r="R1182" t="s">
        <v>5613</v>
      </c>
      <c r="S1182">
        <v>11.5</v>
      </c>
      <c r="T1182" t="s">
        <v>5613</v>
      </c>
      <c r="U1182">
        <v>11.1</v>
      </c>
      <c r="V1182">
        <v>689</v>
      </c>
      <c r="W1182">
        <v>1.1000000000000001</v>
      </c>
      <c r="X1182" t="s">
        <v>5613</v>
      </c>
      <c r="Y1182">
        <v>7.8</v>
      </c>
      <c r="Z1182" t="s">
        <v>5613</v>
      </c>
      <c r="AA1182">
        <v>1</v>
      </c>
      <c r="AB1182" t="s">
        <v>5613</v>
      </c>
      <c r="AC1182" t="s">
        <v>6207</v>
      </c>
    </row>
    <row r="1183" spans="1:29">
      <c r="A1183" t="s">
        <v>6240</v>
      </c>
      <c r="B1183" t="s">
        <v>6240</v>
      </c>
      <c r="C1183" t="s">
        <v>3861</v>
      </c>
      <c r="D1183" t="s">
        <v>6222</v>
      </c>
      <c r="E1183" t="s">
        <v>2029</v>
      </c>
      <c r="F1183" t="s">
        <v>5588</v>
      </c>
      <c r="G1183" t="s">
        <v>5589</v>
      </c>
      <c r="H1183" t="s">
        <v>5809</v>
      </c>
      <c r="I1183">
        <v>3</v>
      </c>
      <c r="J1183" t="s">
        <v>5595</v>
      </c>
      <c r="K1183">
        <v>3.1</v>
      </c>
      <c r="L1183" t="s">
        <v>5737</v>
      </c>
      <c r="M1183">
        <v>2.2999999999999998</v>
      </c>
      <c r="N1183" t="s">
        <v>5737</v>
      </c>
      <c r="O1183">
        <v>9.4</v>
      </c>
      <c r="P1183" t="s">
        <v>5613</v>
      </c>
      <c r="Q1183">
        <v>5.0999999999999996</v>
      </c>
      <c r="R1183" t="s">
        <v>5613</v>
      </c>
      <c r="S1183">
        <v>26.3</v>
      </c>
      <c r="T1183">
        <v>520</v>
      </c>
      <c r="U1183">
        <v>28.6</v>
      </c>
      <c r="V1183">
        <v>435</v>
      </c>
      <c r="W1183">
        <v>5.7</v>
      </c>
      <c r="X1183" t="s">
        <v>5613</v>
      </c>
      <c r="Y1183">
        <v>67.8</v>
      </c>
      <c r="Z1183">
        <v>80</v>
      </c>
      <c r="AA1183">
        <v>1.4</v>
      </c>
      <c r="AB1183" t="s">
        <v>5613</v>
      </c>
      <c r="AC1183" t="s">
        <v>6207</v>
      </c>
    </row>
    <row r="1184" spans="1:29">
      <c r="A1184" t="s">
        <v>6240</v>
      </c>
      <c r="B1184" t="s">
        <v>6240</v>
      </c>
      <c r="C1184" t="s">
        <v>2111</v>
      </c>
      <c r="D1184" t="s">
        <v>5620</v>
      </c>
      <c r="E1184" t="s">
        <v>76</v>
      </c>
      <c r="F1184" t="s">
        <v>5593</v>
      </c>
      <c r="G1184" t="s">
        <v>5589</v>
      </c>
      <c r="H1184" t="s">
        <v>5809</v>
      </c>
      <c r="I1184">
        <v>3</v>
      </c>
      <c r="J1184" t="s">
        <v>5595</v>
      </c>
      <c r="K1184">
        <v>3.5</v>
      </c>
      <c r="L1184" t="s">
        <v>5737</v>
      </c>
      <c r="M1184">
        <v>2.9</v>
      </c>
      <c r="N1184" t="s">
        <v>5737</v>
      </c>
      <c r="O1184">
        <v>4</v>
      </c>
      <c r="P1184" t="s">
        <v>5613</v>
      </c>
      <c r="Q1184">
        <v>21.2</v>
      </c>
      <c r="R1184">
        <v>542</v>
      </c>
      <c r="S1184">
        <v>8.8000000000000007</v>
      </c>
      <c r="T1184" t="s">
        <v>5613</v>
      </c>
      <c r="U1184">
        <v>41.1</v>
      </c>
      <c r="V1184">
        <v>338</v>
      </c>
      <c r="W1184">
        <v>5.7</v>
      </c>
      <c r="X1184" t="s">
        <v>5613</v>
      </c>
      <c r="Y1184">
        <v>8.3000000000000007</v>
      </c>
      <c r="Z1184" t="s">
        <v>5613</v>
      </c>
      <c r="AC1184" t="s">
        <v>6207</v>
      </c>
    </row>
    <row r="1185" spans="1:29">
      <c r="A1185" t="s">
        <v>6240</v>
      </c>
      <c r="B1185" t="s">
        <v>6240</v>
      </c>
      <c r="C1185" t="s">
        <v>6606</v>
      </c>
      <c r="D1185" t="s">
        <v>5587</v>
      </c>
      <c r="E1185" t="s">
        <v>29</v>
      </c>
      <c r="F1185" t="s">
        <v>5593</v>
      </c>
      <c r="G1185" t="s">
        <v>5589</v>
      </c>
      <c r="H1185" t="s">
        <v>5590</v>
      </c>
      <c r="I1185">
        <v>5</v>
      </c>
      <c r="J1185" t="s">
        <v>5595</v>
      </c>
      <c r="K1185">
        <v>5.6</v>
      </c>
      <c r="L1185" t="s">
        <v>5737</v>
      </c>
      <c r="M1185">
        <v>2.8</v>
      </c>
      <c r="N1185" t="s">
        <v>5737</v>
      </c>
      <c r="O1185">
        <v>6.9</v>
      </c>
      <c r="P1185" t="s">
        <v>5613</v>
      </c>
      <c r="Q1185">
        <v>16.7</v>
      </c>
      <c r="R1185">
        <v>605</v>
      </c>
      <c r="S1185">
        <v>5.0999999999999996</v>
      </c>
      <c r="T1185" t="s">
        <v>5613</v>
      </c>
      <c r="U1185">
        <v>2.7</v>
      </c>
      <c r="V1185" t="s">
        <v>5613</v>
      </c>
      <c r="W1185">
        <v>3.3</v>
      </c>
      <c r="X1185" t="s">
        <v>5613</v>
      </c>
      <c r="Y1185">
        <v>12.7</v>
      </c>
      <c r="Z1185">
        <v>684</v>
      </c>
      <c r="AA1185">
        <v>58.6</v>
      </c>
      <c r="AB1185" t="s">
        <v>5689</v>
      </c>
      <c r="AC1185" t="s">
        <v>6207</v>
      </c>
    </row>
    <row r="1186" spans="1:29">
      <c r="A1186" t="s">
        <v>6240</v>
      </c>
      <c r="B1186" t="s">
        <v>6240</v>
      </c>
      <c r="C1186" t="s">
        <v>6607</v>
      </c>
      <c r="D1186" t="s">
        <v>5587</v>
      </c>
      <c r="E1186" t="s">
        <v>29</v>
      </c>
      <c r="F1186" t="s">
        <v>5588</v>
      </c>
      <c r="G1186" t="s">
        <v>5589</v>
      </c>
      <c r="H1186" t="s">
        <v>5809</v>
      </c>
      <c r="I1186">
        <v>5</v>
      </c>
      <c r="J1186" t="s">
        <v>5591</v>
      </c>
      <c r="K1186">
        <v>6.6</v>
      </c>
      <c r="L1186" t="s">
        <v>5737</v>
      </c>
      <c r="M1186">
        <v>4</v>
      </c>
      <c r="N1186" t="s">
        <v>5737</v>
      </c>
      <c r="O1186">
        <v>17</v>
      </c>
      <c r="P1186" t="s">
        <v>5613</v>
      </c>
      <c r="Q1186">
        <v>4.5</v>
      </c>
      <c r="R1186" t="s">
        <v>5613</v>
      </c>
      <c r="S1186">
        <v>1.8</v>
      </c>
      <c r="T1186" t="s">
        <v>5613</v>
      </c>
      <c r="U1186">
        <v>20.3</v>
      </c>
      <c r="V1186">
        <v>543</v>
      </c>
      <c r="W1186">
        <v>1</v>
      </c>
      <c r="X1186" t="s">
        <v>5613</v>
      </c>
      <c r="Y1186">
        <v>22.8</v>
      </c>
      <c r="Z1186">
        <v>366</v>
      </c>
      <c r="AA1186">
        <v>1.1000000000000001</v>
      </c>
      <c r="AB1186" t="s">
        <v>5613</v>
      </c>
      <c r="AC1186" t="s">
        <v>6207</v>
      </c>
    </row>
    <row r="1187" spans="1:29">
      <c r="A1187" t="s">
        <v>6240</v>
      </c>
      <c r="B1187" t="s">
        <v>6136</v>
      </c>
      <c r="C1187" t="s">
        <v>6608</v>
      </c>
      <c r="D1187" t="s">
        <v>5882</v>
      </c>
      <c r="E1187" t="s">
        <v>984</v>
      </c>
      <c r="F1187" t="s">
        <v>5588</v>
      </c>
      <c r="G1187" t="s">
        <v>5602</v>
      </c>
      <c r="H1187" t="s">
        <v>5590</v>
      </c>
      <c r="I1187">
        <v>3</v>
      </c>
      <c r="J1187" t="s">
        <v>5595</v>
      </c>
      <c r="K1187">
        <v>5.5</v>
      </c>
      <c r="L1187" t="s">
        <v>5737</v>
      </c>
      <c r="M1187">
        <v>2.6</v>
      </c>
      <c r="N1187" t="s">
        <v>5737</v>
      </c>
      <c r="O1187">
        <v>68.7</v>
      </c>
      <c r="P1187">
        <v>190</v>
      </c>
      <c r="Q1187">
        <v>4.8</v>
      </c>
      <c r="R1187" t="s">
        <v>5613</v>
      </c>
      <c r="W1187">
        <v>5.9</v>
      </c>
      <c r="X1187" t="s">
        <v>5613</v>
      </c>
      <c r="Y1187">
        <v>7.7</v>
      </c>
      <c r="Z1187" t="s">
        <v>5613</v>
      </c>
      <c r="AA1187">
        <v>1.2</v>
      </c>
      <c r="AB1187" t="s">
        <v>5613</v>
      </c>
      <c r="AC1187" t="s">
        <v>6207</v>
      </c>
    </row>
    <row r="1188" spans="1:29">
      <c r="A1188" t="s">
        <v>6240</v>
      </c>
      <c r="B1188" t="s">
        <v>6240</v>
      </c>
      <c r="C1188" t="s">
        <v>6609</v>
      </c>
      <c r="D1188" t="s">
        <v>5587</v>
      </c>
      <c r="E1188" t="s">
        <v>29</v>
      </c>
      <c r="F1188" t="s">
        <v>5593</v>
      </c>
      <c r="G1188" t="s">
        <v>5602</v>
      </c>
      <c r="H1188" t="s">
        <v>5590</v>
      </c>
      <c r="I1188">
        <v>4</v>
      </c>
      <c r="J1188" t="s">
        <v>5595</v>
      </c>
      <c r="K1188">
        <v>6.2</v>
      </c>
      <c r="L1188" t="s">
        <v>5737</v>
      </c>
      <c r="M1188">
        <v>3</v>
      </c>
      <c r="N1188" t="s">
        <v>5737</v>
      </c>
      <c r="O1188">
        <v>3.7</v>
      </c>
      <c r="P1188" t="s">
        <v>5613</v>
      </c>
      <c r="Q1188">
        <v>25.2</v>
      </c>
      <c r="R1188">
        <v>482</v>
      </c>
      <c r="S1188">
        <v>13.5</v>
      </c>
      <c r="T1188">
        <v>695</v>
      </c>
      <c r="U1188">
        <v>2.8</v>
      </c>
      <c r="V1188" t="s">
        <v>5613</v>
      </c>
      <c r="W1188">
        <v>17.600000000000001</v>
      </c>
      <c r="X1188">
        <v>567</v>
      </c>
      <c r="Y1188">
        <v>8.8000000000000007</v>
      </c>
      <c r="Z1188" t="s">
        <v>5613</v>
      </c>
      <c r="AA1188">
        <v>5.9</v>
      </c>
      <c r="AB1188" t="s">
        <v>5613</v>
      </c>
      <c r="AC1188" t="s">
        <v>6207</v>
      </c>
    </row>
    <row r="1189" spans="1:29">
      <c r="A1189" t="s">
        <v>6240</v>
      </c>
      <c r="B1189" t="s">
        <v>6343</v>
      </c>
      <c r="C1189" t="s">
        <v>6610</v>
      </c>
      <c r="D1189" t="s">
        <v>5587</v>
      </c>
      <c r="E1189" t="s">
        <v>29</v>
      </c>
      <c r="F1189" t="s">
        <v>5593</v>
      </c>
      <c r="G1189" t="s">
        <v>5602</v>
      </c>
      <c r="H1189" t="s">
        <v>5590</v>
      </c>
      <c r="I1189">
        <v>5</v>
      </c>
      <c r="J1189" t="s">
        <v>5595</v>
      </c>
      <c r="K1189">
        <v>4.8</v>
      </c>
      <c r="L1189" t="s">
        <v>5737</v>
      </c>
      <c r="M1189">
        <v>2.1</v>
      </c>
      <c r="N1189" t="s">
        <v>5737</v>
      </c>
      <c r="O1189">
        <v>5.6</v>
      </c>
      <c r="P1189" t="s">
        <v>5613</v>
      </c>
      <c r="Q1189">
        <v>15.6</v>
      </c>
      <c r="R1189">
        <v>623</v>
      </c>
      <c r="S1189">
        <v>10.5</v>
      </c>
      <c r="T1189" t="s">
        <v>5613</v>
      </c>
      <c r="U1189">
        <v>5.9</v>
      </c>
      <c r="V1189" t="s">
        <v>5613</v>
      </c>
      <c r="W1189">
        <v>15.5</v>
      </c>
      <c r="X1189">
        <v>588</v>
      </c>
      <c r="Y1189">
        <v>7.5</v>
      </c>
      <c r="Z1189" t="s">
        <v>5613</v>
      </c>
      <c r="AA1189">
        <v>3.4</v>
      </c>
      <c r="AB1189" t="s">
        <v>5613</v>
      </c>
      <c r="AC1189" t="s">
        <v>6207</v>
      </c>
    </row>
    <row r="1190" spans="1:29">
      <c r="A1190" t="s">
        <v>6240</v>
      </c>
      <c r="C1190" t="s">
        <v>1926</v>
      </c>
      <c r="D1190" t="s">
        <v>5795</v>
      </c>
      <c r="E1190" t="s">
        <v>421</v>
      </c>
      <c r="F1190" t="s">
        <v>5593</v>
      </c>
      <c r="G1190" t="s">
        <v>5602</v>
      </c>
      <c r="H1190" t="s">
        <v>5590</v>
      </c>
      <c r="I1190">
        <v>5</v>
      </c>
      <c r="J1190" t="s">
        <v>5595</v>
      </c>
      <c r="K1190">
        <v>5.6</v>
      </c>
      <c r="L1190" t="s">
        <v>5737</v>
      </c>
      <c r="M1190">
        <v>6.6</v>
      </c>
      <c r="N1190" t="s">
        <v>5737</v>
      </c>
      <c r="O1190">
        <v>3.5</v>
      </c>
      <c r="P1190" t="s">
        <v>5613</v>
      </c>
      <c r="Q1190">
        <v>7.9</v>
      </c>
      <c r="R1190" t="s">
        <v>5613</v>
      </c>
      <c r="U1190">
        <v>4.9000000000000004</v>
      </c>
      <c r="V1190" t="s">
        <v>5613</v>
      </c>
      <c r="W1190">
        <v>66.400000000000006</v>
      </c>
      <c r="X1190">
        <v>211</v>
      </c>
      <c r="Y1190">
        <v>9.6</v>
      </c>
      <c r="Z1190" t="s">
        <v>5613</v>
      </c>
      <c r="AC1190" t="s">
        <v>6207</v>
      </c>
    </row>
    <row r="1191" spans="1:29">
      <c r="A1191" t="s">
        <v>6240</v>
      </c>
      <c r="B1191" t="s">
        <v>6240</v>
      </c>
      <c r="C1191" t="s">
        <v>6611</v>
      </c>
      <c r="D1191" t="s">
        <v>5612</v>
      </c>
      <c r="E1191" t="s">
        <v>116</v>
      </c>
      <c r="F1191" t="s">
        <v>5593</v>
      </c>
      <c r="G1191" t="s">
        <v>5589</v>
      </c>
      <c r="H1191" t="s">
        <v>5809</v>
      </c>
      <c r="I1191">
        <v>3</v>
      </c>
      <c r="J1191" t="s">
        <v>5595</v>
      </c>
      <c r="K1191">
        <v>3</v>
      </c>
      <c r="L1191" t="s">
        <v>5737</v>
      </c>
      <c r="M1191">
        <v>2.2000000000000002</v>
      </c>
      <c r="N1191" t="s">
        <v>5737</v>
      </c>
      <c r="O1191">
        <v>2.2999999999999998</v>
      </c>
      <c r="P1191" t="s">
        <v>5613</v>
      </c>
      <c r="Q1191">
        <v>22.8</v>
      </c>
      <c r="R1191">
        <v>517</v>
      </c>
      <c r="S1191">
        <v>2.9</v>
      </c>
      <c r="T1191" t="s">
        <v>5613</v>
      </c>
      <c r="U1191">
        <v>18.5</v>
      </c>
      <c r="V1191">
        <v>565</v>
      </c>
      <c r="W1191">
        <v>6.4</v>
      </c>
      <c r="X1191" t="s">
        <v>5613</v>
      </c>
      <c r="Y1191">
        <v>6.1</v>
      </c>
      <c r="Z1191" t="s">
        <v>5613</v>
      </c>
      <c r="AA1191">
        <v>7.1</v>
      </c>
      <c r="AB1191" t="s">
        <v>5613</v>
      </c>
      <c r="AC1191" t="s">
        <v>6207</v>
      </c>
    </row>
    <row r="1192" spans="1:29">
      <c r="A1192" t="s">
        <v>6240</v>
      </c>
      <c r="B1192" t="s">
        <v>6240</v>
      </c>
      <c r="C1192" t="s">
        <v>1751</v>
      </c>
      <c r="D1192" t="s">
        <v>5587</v>
      </c>
      <c r="E1192" t="s">
        <v>29</v>
      </c>
      <c r="F1192" t="s">
        <v>5593</v>
      </c>
      <c r="G1192" t="s">
        <v>5594</v>
      </c>
      <c r="H1192" t="s">
        <v>5809</v>
      </c>
      <c r="J1192" t="s">
        <v>5595</v>
      </c>
      <c r="K1192">
        <v>3.8</v>
      </c>
      <c r="L1192" t="s">
        <v>5737</v>
      </c>
      <c r="M1192">
        <v>4.4000000000000004</v>
      </c>
      <c r="N1192" t="s">
        <v>5737</v>
      </c>
      <c r="O1192">
        <v>8.6999999999999993</v>
      </c>
      <c r="P1192" t="s">
        <v>5613</v>
      </c>
      <c r="Q1192">
        <v>21.4</v>
      </c>
      <c r="R1192">
        <v>538</v>
      </c>
      <c r="S1192">
        <v>9.6</v>
      </c>
      <c r="T1192" t="s">
        <v>5613</v>
      </c>
      <c r="U1192">
        <v>8.8000000000000007</v>
      </c>
      <c r="V1192" t="s">
        <v>5613</v>
      </c>
      <c r="W1192">
        <v>5.0999999999999996</v>
      </c>
      <c r="X1192" t="s">
        <v>5613</v>
      </c>
      <c r="Y1192">
        <v>10.3</v>
      </c>
      <c r="Z1192" t="s">
        <v>5613</v>
      </c>
      <c r="AC1192" t="s">
        <v>6207</v>
      </c>
    </row>
    <row r="1193" spans="1:29">
      <c r="A1193" t="s">
        <v>6240</v>
      </c>
      <c r="B1193" t="s">
        <v>6143</v>
      </c>
      <c r="C1193" t="s">
        <v>6612</v>
      </c>
      <c r="D1193" t="s">
        <v>5587</v>
      </c>
      <c r="E1193" t="s">
        <v>29</v>
      </c>
      <c r="F1193" t="s">
        <v>5615</v>
      </c>
      <c r="G1193" t="s">
        <v>5589</v>
      </c>
      <c r="H1193" t="s">
        <v>5590</v>
      </c>
      <c r="I1193">
        <v>5</v>
      </c>
      <c r="J1193" t="s">
        <v>5591</v>
      </c>
      <c r="K1193">
        <v>2.4</v>
      </c>
      <c r="L1193" t="s">
        <v>5737</v>
      </c>
      <c r="M1193">
        <v>3</v>
      </c>
      <c r="N1193" t="s">
        <v>5737</v>
      </c>
      <c r="O1193">
        <v>37.799999999999997</v>
      </c>
      <c r="P1193">
        <v>417</v>
      </c>
      <c r="Q1193">
        <v>12.3</v>
      </c>
      <c r="R1193">
        <v>692</v>
      </c>
      <c r="S1193">
        <v>5.0999999999999996</v>
      </c>
      <c r="T1193" t="s">
        <v>5613</v>
      </c>
      <c r="U1193">
        <v>12.2</v>
      </c>
      <c r="V1193">
        <v>675</v>
      </c>
      <c r="W1193">
        <v>1</v>
      </c>
      <c r="X1193" t="s">
        <v>5613</v>
      </c>
      <c r="Y1193">
        <v>15.4</v>
      </c>
      <c r="Z1193">
        <v>543</v>
      </c>
      <c r="AA1193">
        <v>1.1000000000000001</v>
      </c>
      <c r="AB1193" t="s">
        <v>5613</v>
      </c>
      <c r="AC1193" t="s">
        <v>6207</v>
      </c>
    </row>
    <row r="1194" spans="1:29">
      <c r="A1194" t="s">
        <v>6240</v>
      </c>
      <c r="B1194" t="s">
        <v>6143</v>
      </c>
      <c r="C1194" t="s">
        <v>6613</v>
      </c>
      <c r="D1194" t="s">
        <v>5696</v>
      </c>
      <c r="E1194" t="s">
        <v>5697</v>
      </c>
      <c r="F1194" t="s">
        <v>5588</v>
      </c>
      <c r="G1194" t="s">
        <v>5602</v>
      </c>
      <c r="H1194" t="s">
        <v>5590</v>
      </c>
      <c r="I1194">
        <v>4</v>
      </c>
      <c r="J1194" t="s">
        <v>5595</v>
      </c>
      <c r="K1194">
        <v>4.0999999999999996</v>
      </c>
      <c r="L1194" t="s">
        <v>5737</v>
      </c>
      <c r="M1194">
        <v>2.2999999999999998</v>
      </c>
      <c r="N1194" t="s">
        <v>5737</v>
      </c>
      <c r="O1194">
        <v>39</v>
      </c>
      <c r="P1194">
        <v>407</v>
      </c>
      <c r="Q1194">
        <v>1.6</v>
      </c>
      <c r="R1194" t="s">
        <v>5613</v>
      </c>
      <c r="S1194">
        <v>4.8</v>
      </c>
      <c r="T1194" t="s">
        <v>5613</v>
      </c>
      <c r="U1194">
        <v>15.2</v>
      </c>
      <c r="V1194">
        <v>616</v>
      </c>
      <c r="W1194">
        <v>1.7</v>
      </c>
      <c r="X1194" t="s">
        <v>5613</v>
      </c>
      <c r="Y1194">
        <v>8.6999999999999993</v>
      </c>
      <c r="Z1194" t="s">
        <v>5613</v>
      </c>
      <c r="AA1194">
        <v>3</v>
      </c>
      <c r="AB1194" t="s">
        <v>5613</v>
      </c>
      <c r="AC1194" t="s">
        <v>6207</v>
      </c>
    </row>
    <row r="1195" spans="1:29">
      <c r="A1195" t="s">
        <v>6240</v>
      </c>
      <c r="B1195" t="s">
        <v>6240</v>
      </c>
      <c r="C1195" t="s">
        <v>6614</v>
      </c>
      <c r="D1195" t="s">
        <v>5587</v>
      </c>
      <c r="E1195" t="s">
        <v>29</v>
      </c>
      <c r="F1195" t="s">
        <v>5593</v>
      </c>
      <c r="G1195" t="s">
        <v>5602</v>
      </c>
      <c r="H1195" t="s">
        <v>5590</v>
      </c>
      <c r="I1195">
        <v>5</v>
      </c>
      <c r="J1195" t="s">
        <v>5595</v>
      </c>
      <c r="K1195">
        <v>8.3000000000000007</v>
      </c>
      <c r="L1195" t="s">
        <v>5737</v>
      </c>
      <c r="M1195">
        <v>2.7</v>
      </c>
      <c r="N1195" t="s">
        <v>5737</v>
      </c>
      <c r="O1195">
        <v>8.8000000000000007</v>
      </c>
      <c r="P1195" t="s">
        <v>5613</v>
      </c>
      <c r="Q1195">
        <v>13.4</v>
      </c>
      <c r="R1195">
        <v>671</v>
      </c>
      <c r="S1195">
        <v>6.6</v>
      </c>
      <c r="T1195" t="s">
        <v>5613</v>
      </c>
      <c r="U1195">
        <v>3.9</v>
      </c>
      <c r="V1195" t="s">
        <v>5613</v>
      </c>
      <c r="W1195">
        <v>4.0999999999999996</v>
      </c>
      <c r="X1195" t="s">
        <v>5613</v>
      </c>
      <c r="Y1195">
        <v>10.199999999999999</v>
      </c>
      <c r="Z1195" t="s">
        <v>5613</v>
      </c>
      <c r="AA1195">
        <v>11.8</v>
      </c>
      <c r="AB1195" t="s">
        <v>6206</v>
      </c>
      <c r="AC1195" t="s">
        <v>6207</v>
      </c>
    </row>
    <row r="1196" spans="1:29">
      <c r="A1196" t="s">
        <v>6240</v>
      </c>
      <c r="B1196" t="s">
        <v>6240</v>
      </c>
      <c r="C1196" t="s">
        <v>1780</v>
      </c>
      <c r="D1196" t="s">
        <v>5592</v>
      </c>
      <c r="E1196" t="s">
        <v>26</v>
      </c>
      <c r="F1196" t="s">
        <v>5593</v>
      </c>
      <c r="G1196" t="s">
        <v>5589</v>
      </c>
      <c r="H1196" t="s">
        <v>5809</v>
      </c>
      <c r="I1196">
        <v>5</v>
      </c>
      <c r="J1196" t="s">
        <v>5595</v>
      </c>
      <c r="K1196">
        <v>3.4</v>
      </c>
      <c r="L1196" t="s">
        <v>5737</v>
      </c>
      <c r="M1196">
        <v>3.2</v>
      </c>
      <c r="N1196" t="s">
        <v>5737</v>
      </c>
      <c r="O1196">
        <v>10.4</v>
      </c>
      <c r="P1196" t="s">
        <v>5613</v>
      </c>
      <c r="Q1196">
        <v>9.4</v>
      </c>
      <c r="R1196" t="s">
        <v>5613</v>
      </c>
      <c r="S1196">
        <v>34.700000000000003</v>
      </c>
      <c r="T1196">
        <v>457</v>
      </c>
      <c r="U1196">
        <v>72.099999999999994</v>
      </c>
      <c r="V1196">
        <v>200</v>
      </c>
      <c r="W1196">
        <v>3.7</v>
      </c>
      <c r="X1196" t="s">
        <v>5613</v>
      </c>
      <c r="Y1196">
        <v>8.8000000000000007</v>
      </c>
      <c r="Z1196" t="s">
        <v>5613</v>
      </c>
      <c r="AA1196">
        <v>1.4</v>
      </c>
      <c r="AB1196" t="s">
        <v>5613</v>
      </c>
      <c r="AC1196" t="s">
        <v>6207</v>
      </c>
    </row>
    <row r="1197" spans="1:29">
      <c r="A1197" t="s">
        <v>6240</v>
      </c>
      <c r="B1197" t="s">
        <v>6143</v>
      </c>
      <c r="C1197" t="s">
        <v>1786</v>
      </c>
      <c r="D1197" t="s">
        <v>5587</v>
      </c>
      <c r="E1197" t="s">
        <v>29</v>
      </c>
      <c r="F1197" t="s">
        <v>5588</v>
      </c>
      <c r="G1197" t="s">
        <v>5589</v>
      </c>
      <c r="H1197" t="s">
        <v>5590</v>
      </c>
      <c r="I1197">
        <v>5</v>
      </c>
      <c r="J1197" t="s">
        <v>5595</v>
      </c>
      <c r="K1197">
        <v>3</v>
      </c>
      <c r="L1197" t="s">
        <v>5737</v>
      </c>
      <c r="M1197">
        <v>1.4</v>
      </c>
      <c r="N1197" t="s">
        <v>5737</v>
      </c>
      <c r="O1197">
        <v>25.9</v>
      </c>
      <c r="P1197">
        <v>570</v>
      </c>
      <c r="Q1197">
        <v>23.4</v>
      </c>
      <c r="R1197">
        <v>508</v>
      </c>
      <c r="S1197">
        <v>7.7</v>
      </c>
      <c r="T1197" t="s">
        <v>5613</v>
      </c>
      <c r="U1197">
        <v>4</v>
      </c>
      <c r="V1197" t="s">
        <v>5613</v>
      </c>
      <c r="W1197">
        <v>10.7</v>
      </c>
      <c r="X1197">
        <v>660</v>
      </c>
      <c r="Y1197">
        <v>9.8000000000000007</v>
      </c>
      <c r="Z1197" t="s">
        <v>5613</v>
      </c>
      <c r="AA1197">
        <v>6.3</v>
      </c>
      <c r="AB1197" t="s">
        <v>5613</v>
      </c>
      <c r="AC1197" t="s">
        <v>6207</v>
      </c>
    </row>
    <row r="1198" spans="1:29">
      <c r="A1198" t="s">
        <v>6240</v>
      </c>
      <c r="B1198" t="s">
        <v>6143</v>
      </c>
      <c r="C1198" t="s">
        <v>6615</v>
      </c>
      <c r="D1198" t="s">
        <v>6333</v>
      </c>
      <c r="E1198" t="s">
        <v>2278</v>
      </c>
      <c r="F1198" t="s">
        <v>5588</v>
      </c>
      <c r="G1198" t="s">
        <v>5602</v>
      </c>
      <c r="H1198" t="s">
        <v>5590</v>
      </c>
      <c r="I1198">
        <v>4</v>
      </c>
      <c r="J1198" t="s">
        <v>5595</v>
      </c>
      <c r="K1198">
        <v>5.7</v>
      </c>
      <c r="L1198" t="s">
        <v>5737</v>
      </c>
      <c r="M1198">
        <v>1</v>
      </c>
      <c r="N1198" t="s">
        <v>5737</v>
      </c>
      <c r="O1198">
        <v>56.1</v>
      </c>
      <c r="P1198">
        <v>264</v>
      </c>
      <c r="Q1198">
        <v>6.2</v>
      </c>
      <c r="R1198" t="s">
        <v>5613</v>
      </c>
      <c r="S1198">
        <v>2.5</v>
      </c>
      <c r="T1198" t="s">
        <v>5613</v>
      </c>
      <c r="U1198">
        <v>2.9</v>
      </c>
      <c r="V1198" t="s">
        <v>5613</v>
      </c>
      <c r="W1198">
        <v>1.2</v>
      </c>
      <c r="X1198" t="s">
        <v>5613</v>
      </c>
      <c r="Y1198">
        <v>13.4</v>
      </c>
      <c r="Z1198">
        <v>641</v>
      </c>
      <c r="AA1198">
        <v>1.1000000000000001</v>
      </c>
      <c r="AB1198" t="s">
        <v>5613</v>
      </c>
      <c r="AC1198" t="s">
        <v>6207</v>
      </c>
    </row>
    <row r="1199" spans="1:29">
      <c r="A1199" t="s">
        <v>6240</v>
      </c>
      <c r="B1199" t="s">
        <v>6240</v>
      </c>
      <c r="C1199" t="s">
        <v>6616</v>
      </c>
      <c r="D1199" t="s">
        <v>5587</v>
      </c>
      <c r="E1199" t="s">
        <v>29</v>
      </c>
      <c r="F1199" t="s">
        <v>5593</v>
      </c>
      <c r="G1199" t="s">
        <v>5589</v>
      </c>
      <c r="H1199" t="s">
        <v>5590</v>
      </c>
      <c r="I1199">
        <v>5</v>
      </c>
      <c r="J1199" t="s">
        <v>5595</v>
      </c>
      <c r="K1199">
        <v>6.6</v>
      </c>
      <c r="L1199" t="s">
        <v>5737</v>
      </c>
      <c r="M1199">
        <v>3.2</v>
      </c>
      <c r="N1199" t="s">
        <v>5737</v>
      </c>
      <c r="O1199">
        <v>6.3</v>
      </c>
      <c r="P1199" t="s">
        <v>5613</v>
      </c>
      <c r="Q1199">
        <v>24.4</v>
      </c>
      <c r="R1199">
        <v>495</v>
      </c>
      <c r="S1199">
        <v>1.1000000000000001</v>
      </c>
      <c r="T1199" t="s">
        <v>5613</v>
      </c>
      <c r="U1199">
        <v>1.7</v>
      </c>
      <c r="V1199" t="s">
        <v>5613</v>
      </c>
      <c r="W1199">
        <v>23.8</v>
      </c>
      <c r="X1199">
        <v>510</v>
      </c>
      <c r="Y1199">
        <v>9.5</v>
      </c>
      <c r="Z1199" t="s">
        <v>5613</v>
      </c>
      <c r="AA1199">
        <v>15.8</v>
      </c>
      <c r="AB1199" t="s">
        <v>6147</v>
      </c>
      <c r="AC1199" t="s">
        <v>6207</v>
      </c>
    </row>
    <row r="1200" spans="1:29">
      <c r="A1200" t="s">
        <v>6240</v>
      </c>
      <c r="B1200" t="s">
        <v>6343</v>
      </c>
      <c r="C1200" t="s">
        <v>3196</v>
      </c>
      <c r="D1200" t="s">
        <v>5882</v>
      </c>
      <c r="E1200" t="s">
        <v>984</v>
      </c>
      <c r="F1200" t="s">
        <v>5588</v>
      </c>
      <c r="G1200" t="s">
        <v>5602</v>
      </c>
      <c r="H1200" t="s">
        <v>5590</v>
      </c>
      <c r="I1200">
        <v>5</v>
      </c>
      <c r="J1200" t="s">
        <v>5595</v>
      </c>
      <c r="K1200">
        <v>5.4</v>
      </c>
      <c r="L1200" t="s">
        <v>5737</v>
      </c>
      <c r="M1200">
        <v>10.3</v>
      </c>
      <c r="N1200" t="s">
        <v>5737</v>
      </c>
      <c r="O1200">
        <v>15.5</v>
      </c>
      <c r="P1200" t="s">
        <v>5613</v>
      </c>
      <c r="Q1200">
        <v>4.3</v>
      </c>
      <c r="R1200" t="s">
        <v>5613</v>
      </c>
      <c r="S1200">
        <v>8.4</v>
      </c>
      <c r="T1200" t="s">
        <v>5613</v>
      </c>
      <c r="U1200">
        <v>22</v>
      </c>
      <c r="V1200">
        <v>514</v>
      </c>
      <c r="W1200">
        <v>1.8</v>
      </c>
      <c r="X1200" t="s">
        <v>5613</v>
      </c>
      <c r="Y1200">
        <v>9.4</v>
      </c>
      <c r="Z1200" t="s">
        <v>5613</v>
      </c>
      <c r="AA1200">
        <v>8.4</v>
      </c>
      <c r="AB1200" t="s">
        <v>6162</v>
      </c>
      <c r="AC1200" t="s">
        <v>6207</v>
      </c>
    </row>
    <row r="1201" spans="1:29">
      <c r="A1201" t="s">
        <v>6240</v>
      </c>
      <c r="B1201" t="s">
        <v>6240</v>
      </c>
      <c r="C1201" t="s">
        <v>6617</v>
      </c>
      <c r="D1201" t="s">
        <v>5901</v>
      </c>
      <c r="E1201" t="s">
        <v>1543</v>
      </c>
      <c r="F1201" t="s">
        <v>5593</v>
      </c>
      <c r="G1201" t="s">
        <v>5602</v>
      </c>
      <c r="H1201" t="s">
        <v>5590</v>
      </c>
      <c r="I1201">
        <v>5</v>
      </c>
      <c r="J1201" t="s">
        <v>5595</v>
      </c>
      <c r="K1201">
        <v>6.9</v>
      </c>
      <c r="L1201" t="s">
        <v>5737</v>
      </c>
      <c r="M1201">
        <v>5</v>
      </c>
      <c r="N1201" t="s">
        <v>5737</v>
      </c>
      <c r="O1201">
        <v>20.2</v>
      </c>
      <c r="P1201">
        <v>661</v>
      </c>
      <c r="Q1201">
        <v>6</v>
      </c>
      <c r="R1201" t="s">
        <v>5613</v>
      </c>
      <c r="S1201">
        <v>2.4</v>
      </c>
      <c r="T1201" t="s">
        <v>5613</v>
      </c>
      <c r="U1201">
        <v>7.7</v>
      </c>
      <c r="V1201" t="s">
        <v>5613</v>
      </c>
      <c r="W1201">
        <v>32.299999999999997</v>
      </c>
      <c r="X1201">
        <v>442</v>
      </c>
      <c r="Y1201">
        <v>6.3</v>
      </c>
      <c r="Z1201" t="s">
        <v>5613</v>
      </c>
      <c r="AA1201">
        <v>1.9</v>
      </c>
      <c r="AB1201" t="s">
        <v>5613</v>
      </c>
      <c r="AC1201" t="s">
        <v>6207</v>
      </c>
    </row>
    <row r="1202" spans="1:29">
      <c r="A1202" t="s">
        <v>6240</v>
      </c>
      <c r="B1202" t="s">
        <v>6240</v>
      </c>
      <c r="C1202" t="s">
        <v>2599</v>
      </c>
      <c r="D1202" t="s">
        <v>5587</v>
      </c>
      <c r="E1202" t="s">
        <v>29</v>
      </c>
      <c r="F1202" t="s">
        <v>5593</v>
      </c>
      <c r="G1202" t="s">
        <v>5594</v>
      </c>
      <c r="H1202" t="s">
        <v>5809</v>
      </c>
      <c r="I1202">
        <v>5</v>
      </c>
      <c r="J1202" t="s">
        <v>5595</v>
      </c>
      <c r="K1202">
        <v>5.3</v>
      </c>
      <c r="L1202" t="s">
        <v>5737</v>
      </c>
      <c r="M1202">
        <v>3.6</v>
      </c>
      <c r="N1202" t="s">
        <v>5737</v>
      </c>
      <c r="O1202">
        <v>10.8</v>
      </c>
      <c r="P1202" t="s">
        <v>5613</v>
      </c>
      <c r="Q1202">
        <v>5.8</v>
      </c>
      <c r="R1202" t="s">
        <v>5613</v>
      </c>
      <c r="S1202">
        <v>32.299999999999997</v>
      </c>
      <c r="T1202">
        <v>472</v>
      </c>
      <c r="U1202">
        <v>10.4</v>
      </c>
      <c r="V1202" t="s">
        <v>5613</v>
      </c>
      <c r="W1202">
        <v>2.2000000000000002</v>
      </c>
      <c r="X1202" t="s">
        <v>5613</v>
      </c>
      <c r="Y1202">
        <v>17</v>
      </c>
      <c r="Z1202">
        <v>498</v>
      </c>
      <c r="AA1202">
        <v>1.9</v>
      </c>
      <c r="AB1202" t="s">
        <v>5613</v>
      </c>
      <c r="AC1202" t="s">
        <v>6207</v>
      </c>
    </row>
    <row r="1203" spans="1:29">
      <c r="A1203" t="s">
        <v>6240</v>
      </c>
      <c r="B1203" t="s">
        <v>6240</v>
      </c>
      <c r="C1203" t="s">
        <v>6618</v>
      </c>
      <c r="D1203" t="s">
        <v>5616</v>
      </c>
      <c r="E1203" t="s">
        <v>54</v>
      </c>
      <c r="F1203" t="s">
        <v>5593</v>
      </c>
      <c r="G1203" t="s">
        <v>5589</v>
      </c>
      <c r="H1203" t="s">
        <v>5809</v>
      </c>
      <c r="I1203">
        <v>2</v>
      </c>
      <c r="J1203" t="s">
        <v>5591</v>
      </c>
      <c r="K1203">
        <v>4.3</v>
      </c>
      <c r="L1203" t="s">
        <v>5737</v>
      </c>
      <c r="M1203">
        <v>2.1</v>
      </c>
      <c r="N1203" t="s">
        <v>5737</v>
      </c>
      <c r="O1203">
        <v>5.7</v>
      </c>
      <c r="P1203" t="s">
        <v>5613</v>
      </c>
      <c r="Q1203">
        <v>5.8</v>
      </c>
      <c r="R1203" t="s">
        <v>5613</v>
      </c>
      <c r="S1203">
        <v>97.5</v>
      </c>
      <c r="T1203">
        <v>122</v>
      </c>
      <c r="U1203">
        <v>3.1</v>
      </c>
      <c r="V1203" t="s">
        <v>5613</v>
      </c>
      <c r="W1203">
        <v>1.6</v>
      </c>
      <c r="X1203" t="s">
        <v>5613</v>
      </c>
      <c r="Y1203">
        <v>6.9</v>
      </c>
      <c r="Z1203" t="s">
        <v>5613</v>
      </c>
      <c r="AA1203">
        <v>1.8</v>
      </c>
      <c r="AB1203" t="s">
        <v>5613</v>
      </c>
      <c r="AC1203" t="s">
        <v>6207</v>
      </c>
    </row>
    <row r="1204" spans="1:29">
      <c r="A1204" t="s">
        <v>6240</v>
      </c>
      <c r="B1204" t="s">
        <v>6143</v>
      </c>
      <c r="C1204" t="s">
        <v>6619</v>
      </c>
      <c r="D1204" t="s">
        <v>5631</v>
      </c>
      <c r="E1204" t="s">
        <v>94</v>
      </c>
      <c r="F1204" t="s">
        <v>5588</v>
      </c>
      <c r="G1204" t="s">
        <v>5594</v>
      </c>
      <c r="H1204" t="s">
        <v>5809</v>
      </c>
      <c r="I1204">
        <v>4</v>
      </c>
      <c r="J1204" t="s">
        <v>5595</v>
      </c>
      <c r="K1204">
        <v>4</v>
      </c>
      <c r="L1204" t="s">
        <v>5737</v>
      </c>
      <c r="M1204">
        <v>1.7</v>
      </c>
      <c r="N1204" t="s">
        <v>5737</v>
      </c>
      <c r="O1204">
        <v>43.2</v>
      </c>
      <c r="P1204">
        <v>363</v>
      </c>
      <c r="Q1204">
        <v>4.5</v>
      </c>
      <c r="R1204" t="s">
        <v>5613</v>
      </c>
      <c r="S1204">
        <v>7</v>
      </c>
      <c r="T1204" t="s">
        <v>5613</v>
      </c>
      <c r="U1204">
        <v>2.7</v>
      </c>
      <c r="V1204" t="s">
        <v>5613</v>
      </c>
      <c r="W1204">
        <v>1.2</v>
      </c>
      <c r="X1204" t="s">
        <v>5613</v>
      </c>
      <c r="Y1204">
        <v>8</v>
      </c>
      <c r="Z1204" t="s">
        <v>5613</v>
      </c>
      <c r="AA1204">
        <v>1.1000000000000001</v>
      </c>
      <c r="AB1204" t="s">
        <v>5613</v>
      </c>
      <c r="AC1204" t="s">
        <v>6207</v>
      </c>
    </row>
    <row r="1205" spans="1:29">
      <c r="A1205" t="s">
        <v>6240</v>
      </c>
      <c r="B1205" t="s">
        <v>6343</v>
      </c>
      <c r="C1205" t="s">
        <v>3229</v>
      </c>
      <c r="D1205" t="s">
        <v>6134</v>
      </c>
      <c r="E1205" t="s">
        <v>1554</v>
      </c>
      <c r="F1205" t="s">
        <v>5593</v>
      </c>
      <c r="G1205" t="s">
        <v>5594</v>
      </c>
      <c r="H1205" t="s">
        <v>6146</v>
      </c>
      <c r="I1205">
        <v>3</v>
      </c>
      <c r="J1205" t="s">
        <v>5595</v>
      </c>
      <c r="K1205">
        <v>11.9</v>
      </c>
      <c r="L1205" t="s">
        <v>5737</v>
      </c>
      <c r="M1205">
        <v>14.5</v>
      </c>
      <c r="N1205">
        <v>564</v>
      </c>
      <c r="O1205">
        <v>2.8</v>
      </c>
      <c r="P1205" t="s">
        <v>5613</v>
      </c>
      <c r="Q1205">
        <v>2.5</v>
      </c>
      <c r="R1205" t="s">
        <v>5613</v>
      </c>
      <c r="S1205">
        <v>7.8</v>
      </c>
      <c r="T1205" t="s">
        <v>5613</v>
      </c>
      <c r="U1205">
        <v>13.9</v>
      </c>
      <c r="V1205">
        <v>643</v>
      </c>
      <c r="W1205">
        <v>3.9</v>
      </c>
      <c r="X1205" t="s">
        <v>5613</v>
      </c>
      <c r="Y1205">
        <v>28.4</v>
      </c>
      <c r="Z1205">
        <v>283</v>
      </c>
      <c r="AA1205">
        <v>1.1000000000000001</v>
      </c>
      <c r="AB1205" t="s">
        <v>5613</v>
      </c>
      <c r="AC1205" t="s">
        <v>6207</v>
      </c>
    </row>
    <row r="1206" spans="1:29">
      <c r="A1206" t="s">
        <v>6240</v>
      </c>
      <c r="B1206" t="s">
        <v>6143</v>
      </c>
      <c r="C1206" t="s">
        <v>4054</v>
      </c>
      <c r="D1206" t="s">
        <v>6620</v>
      </c>
      <c r="E1206" t="s">
        <v>4055</v>
      </c>
      <c r="F1206" t="s">
        <v>5588</v>
      </c>
      <c r="G1206" t="s">
        <v>5589</v>
      </c>
      <c r="H1206" t="s">
        <v>5809</v>
      </c>
      <c r="I1206">
        <v>5</v>
      </c>
      <c r="J1206" t="s">
        <v>5595</v>
      </c>
      <c r="K1206">
        <v>7</v>
      </c>
      <c r="L1206" t="s">
        <v>5737</v>
      </c>
      <c r="M1206">
        <v>3</v>
      </c>
      <c r="N1206" t="s">
        <v>5737</v>
      </c>
      <c r="O1206">
        <v>45.4</v>
      </c>
      <c r="P1206">
        <v>347</v>
      </c>
      <c r="Q1206">
        <v>1.4</v>
      </c>
      <c r="R1206" t="s">
        <v>5613</v>
      </c>
      <c r="S1206">
        <v>5.2</v>
      </c>
      <c r="T1206" t="s">
        <v>5613</v>
      </c>
      <c r="U1206">
        <v>1.6</v>
      </c>
      <c r="V1206" t="s">
        <v>5613</v>
      </c>
      <c r="W1206">
        <v>1</v>
      </c>
      <c r="X1206" t="s">
        <v>5613</v>
      </c>
      <c r="Y1206">
        <v>35.200000000000003</v>
      </c>
      <c r="Z1206">
        <v>215</v>
      </c>
      <c r="AA1206">
        <v>1</v>
      </c>
      <c r="AB1206" t="s">
        <v>5613</v>
      </c>
      <c r="AC1206" t="s">
        <v>6207</v>
      </c>
    </row>
    <row r="1207" spans="1:29">
      <c r="A1207" t="s">
        <v>6343</v>
      </c>
      <c r="B1207" t="s">
        <v>6343</v>
      </c>
      <c r="C1207" t="s">
        <v>3660</v>
      </c>
      <c r="D1207" t="s">
        <v>6359</v>
      </c>
      <c r="E1207" t="s">
        <v>1853</v>
      </c>
      <c r="F1207" t="s">
        <v>5593</v>
      </c>
      <c r="G1207" t="s">
        <v>5594</v>
      </c>
      <c r="H1207" t="s">
        <v>6146</v>
      </c>
      <c r="I1207">
        <v>3</v>
      </c>
      <c r="J1207" t="s">
        <v>5595</v>
      </c>
      <c r="K1207">
        <v>3.7</v>
      </c>
      <c r="L1207" t="s">
        <v>5737</v>
      </c>
      <c r="M1207">
        <v>2.5</v>
      </c>
      <c r="N1207" t="s">
        <v>5737</v>
      </c>
      <c r="O1207">
        <v>8.1</v>
      </c>
      <c r="P1207" t="s">
        <v>5613</v>
      </c>
      <c r="Q1207">
        <v>1.8</v>
      </c>
      <c r="R1207" t="s">
        <v>5613</v>
      </c>
      <c r="S1207">
        <v>12.5</v>
      </c>
      <c r="T1207" t="s">
        <v>5613</v>
      </c>
      <c r="U1207">
        <v>3.1</v>
      </c>
      <c r="V1207" t="s">
        <v>5613</v>
      </c>
      <c r="W1207">
        <v>49.8</v>
      </c>
      <c r="X1207">
        <v>313</v>
      </c>
      <c r="Y1207">
        <v>9</v>
      </c>
      <c r="Z1207" t="s">
        <v>5613</v>
      </c>
      <c r="AA1207">
        <v>1.8</v>
      </c>
      <c r="AB1207" t="s">
        <v>5613</v>
      </c>
      <c r="AC1207" t="s">
        <v>6207</v>
      </c>
    </row>
    <row r="1208" spans="1:29">
      <c r="A1208" t="s">
        <v>6343</v>
      </c>
      <c r="B1208" t="s">
        <v>6343</v>
      </c>
      <c r="C1208" t="s">
        <v>6621</v>
      </c>
      <c r="D1208" t="s">
        <v>5696</v>
      </c>
      <c r="E1208" t="s">
        <v>5697</v>
      </c>
      <c r="F1208" t="s">
        <v>5593</v>
      </c>
      <c r="G1208" t="s">
        <v>5589</v>
      </c>
      <c r="H1208" t="s">
        <v>5809</v>
      </c>
      <c r="I1208">
        <v>4</v>
      </c>
      <c r="J1208" t="s">
        <v>5595</v>
      </c>
      <c r="K1208">
        <v>4.2</v>
      </c>
      <c r="L1208" t="s">
        <v>5737</v>
      </c>
      <c r="M1208">
        <v>3.1</v>
      </c>
      <c r="N1208" t="s">
        <v>5737</v>
      </c>
      <c r="O1208">
        <v>13.3</v>
      </c>
      <c r="P1208" t="s">
        <v>5613</v>
      </c>
      <c r="Q1208">
        <v>1.4</v>
      </c>
      <c r="R1208" t="s">
        <v>5613</v>
      </c>
      <c r="S1208">
        <v>1.6</v>
      </c>
      <c r="T1208" t="s">
        <v>5613</v>
      </c>
      <c r="U1208">
        <v>14.8</v>
      </c>
      <c r="V1208">
        <v>624</v>
      </c>
      <c r="W1208">
        <v>1</v>
      </c>
      <c r="X1208" t="s">
        <v>5613</v>
      </c>
      <c r="Y1208">
        <v>7.2</v>
      </c>
      <c r="Z1208" t="s">
        <v>5613</v>
      </c>
      <c r="AA1208">
        <v>1.3</v>
      </c>
      <c r="AB1208" t="s">
        <v>5613</v>
      </c>
      <c r="AC1208" t="s">
        <v>6207</v>
      </c>
    </row>
    <row r="1209" spans="1:29">
      <c r="A1209" t="s">
        <v>6343</v>
      </c>
      <c r="B1209" t="s">
        <v>6343</v>
      </c>
      <c r="C1209" t="s">
        <v>1804</v>
      </c>
      <c r="D1209" t="s">
        <v>6015</v>
      </c>
      <c r="E1209" t="s">
        <v>1483</v>
      </c>
      <c r="F1209" t="s">
        <v>5605</v>
      </c>
      <c r="G1209" t="s">
        <v>5589</v>
      </c>
      <c r="H1209" t="s">
        <v>5590</v>
      </c>
      <c r="I1209">
        <v>4</v>
      </c>
      <c r="J1209" t="s">
        <v>5595</v>
      </c>
      <c r="K1209">
        <v>11.2</v>
      </c>
      <c r="L1209" t="s">
        <v>5737</v>
      </c>
      <c r="M1209">
        <v>6.8</v>
      </c>
      <c r="N1209" t="s">
        <v>5737</v>
      </c>
      <c r="O1209">
        <v>11.1</v>
      </c>
      <c r="P1209" t="s">
        <v>5613</v>
      </c>
      <c r="Q1209">
        <v>1.3</v>
      </c>
      <c r="R1209" t="s">
        <v>5613</v>
      </c>
      <c r="S1209">
        <v>1.5</v>
      </c>
      <c r="T1209" t="s">
        <v>5613</v>
      </c>
      <c r="U1209">
        <v>10.4</v>
      </c>
      <c r="V1209" t="s">
        <v>5613</v>
      </c>
      <c r="W1209">
        <v>5.2</v>
      </c>
      <c r="X1209" t="s">
        <v>5613</v>
      </c>
      <c r="Y1209">
        <v>13.6</v>
      </c>
      <c r="Z1209">
        <v>628</v>
      </c>
      <c r="AA1209">
        <v>1.2</v>
      </c>
      <c r="AB1209" t="s">
        <v>5613</v>
      </c>
      <c r="AC1209" t="s">
        <v>6207</v>
      </c>
    </row>
    <row r="1210" spans="1:29">
      <c r="A1210" t="s">
        <v>6343</v>
      </c>
      <c r="B1210" t="s">
        <v>6343</v>
      </c>
      <c r="C1210" t="s">
        <v>3271</v>
      </c>
      <c r="D1210" t="s">
        <v>6359</v>
      </c>
      <c r="E1210" t="s">
        <v>1853</v>
      </c>
      <c r="F1210" t="s">
        <v>5593</v>
      </c>
      <c r="G1210" t="s">
        <v>5602</v>
      </c>
      <c r="H1210" t="s">
        <v>5590</v>
      </c>
      <c r="I1210">
        <v>5</v>
      </c>
      <c r="J1210" t="s">
        <v>5595</v>
      </c>
      <c r="K1210">
        <v>8</v>
      </c>
      <c r="L1210" t="s">
        <v>5737</v>
      </c>
      <c r="M1210">
        <v>8</v>
      </c>
      <c r="N1210" t="s">
        <v>5737</v>
      </c>
      <c r="O1210">
        <v>5.3</v>
      </c>
      <c r="P1210" t="s">
        <v>5613</v>
      </c>
      <c r="Q1210">
        <v>2.9</v>
      </c>
      <c r="R1210" t="s">
        <v>5613</v>
      </c>
      <c r="S1210">
        <v>3.6</v>
      </c>
      <c r="T1210" t="s">
        <v>5613</v>
      </c>
      <c r="U1210">
        <v>10.9</v>
      </c>
      <c r="V1210">
        <v>693</v>
      </c>
      <c r="W1210">
        <v>1.8</v>
      </c>
      <c r="X1210" t="s">
        <v>5613</v>
      </c>
      <c r="Y1210">
        <v>8</v>
      </c>
      <c r="Z1210" t="s">
        <v>5613</v>
      </c>
      <c r="AA1210">
        <v>1.2</v>
      </c>
      <c r="AB1210" t="s">
        <v>5613</v>
      </c>
      <c r="AC1210" t="s">
        <v>6207</v>
      </c>
    </row>
    <row r="1211" spans="1:29">
      <c r="A1211" t="s">
        <v>6343</v>
      </c>
      <c r="B1211" t="s">
        <v>6343</v>
      </c>
      <c r="C1211" t="s">
        <v>2639</v>
      </c>
      <c r="D1211" t="s">
        <v>5981</v>
      </c>
      <c r="E1211" t="s">
        <v>895</v>
      </c>
      <c r="F1211" t="s">
        <v>5593</v>
      </c>
      <c r="G1211" t="s">
        <v>5602</v>
      </c>
      <c r="H1211" t="s">
        <v>5590</v>
      </c>
      <c r="I1211">
        <v>4</v>
      </c>
      <c r="J1211" t="s">
        <v>5595</v>
      </c>
      <c r="K1211">
        <v>4</v>
      </c>
      <c r="L1211" t="s">
        <v>5737</v>
      </c>
      <c r="M1211">
        <v>4</v>
      </c>
      <c r="N1211" t="s">
        <v>5737</v>
      </c>
      <c r="O1211">
        <v>13.8</v>
      </c>
      <c r="P1211" t="s">
        <v>5613</v>
      </c>
      <c r="Q1211">
        <v>2.9</v>
      </c>
      <c r="R1211" t="s">
        <v>5613</v>
      </c>
      <c r="S1211">
        <v>1.9</v>
      </c>
      <c r="T1211" t="s">
        <v>5613</v>
      </c>
      <c r="U1211">
        <v>3.1</v>
      </c>
      <c r="V1211" t="s">
        <v>5613</v>
      </c>
      <c r="W1211">
        <v>1.4</v>
      </c>
      <c r="X1211" t="s">
        <v>5613</v>
      </c>
      <c r="Y1211">
        <v>10.6</v>
      </c>
      <c r="Z1211" t="s">
        <v>5613</v>
      </c>
      <c r="AA1211">
        <v>1.1000000000000001</v>
      </c>
      <c r="AB1211" t="s">
        <v>5613</v>
      </c>
      <c r="AC1211" t="s">
        <v>6207</v>
      </c>
    </row>
    <row r="1212" spans="1:29">
      <c r="A1212" t="s">
        <v>6343</v>
      </c>
      <c r="B1212" t="s">
        <v>6343</v>
      </c>
      <c r="C1212" t="s">
        <v>3298</v>
      </c>
      <c r="D1212" t="s">
        <v>5631</v>
      </c>
      <c r="E1212" t="s">
        <v>94</v>
      </c>
      <c r="F1212" t="s">
        <v>5593</v>
      </c>
      <c r="G1212" t="s">
        <v>5589</v>
      </c>
      <c r="H1212" t="s">
        <v>6146</v>
      </c>
      <c r="I1212">
        <v>4</v>
      </c>
      <c r="J1212" t="s">
        <v>5591</v>
      </c>
      <c r="K1212">
        <v>6.9</v>
      </c>
      <c r="L1212" t="s">
        <v>5737</v>
      </c>
      <c r="M1212">
        <v>12.3</v>
      </c>
      <c r="N1212" t="s">
        <v>5737</v>
      </c>
      <c r="O1212">
        <v>5.4</v>
      </c>
      <c r="P1212" t="s">
        <v>5613</v>
      </c>
      <c r="Q1212">
        <v>2</v>
      </c>
      <c r="R1212" t="s">
        <v>5613</v>
      </c>
      <c r="S1212">
        <v>16.3</v>
      </c>
      <c r="T1212">
        <v>648</v>
      </c>
      <c r="U1212">
        <v>2.7</v>
      </c>
      <c r="V1212" t="s">
        <v>5613</v>
      </c>
      <c r="W1212">
        <v>1</v>
      </c>
      <c r="X1212" t="s">
        <v>5613</v>
      </c>
      <c r="Y1212">
        <v>11.4</v>
      </c>
      <c r="Z1212" t="s">
        <v>5613</v>
      </c>
      <c r="AA1212">
        <v>1</v>
      </c>
      <c r="AB1212" t="s">
        <v>5613</v>
      </c>
      <c r="AC1212" t="s">
        <v>6207</v>
      </c>
    </row>
    <row r="1213" spans="1:29">
      <c r="A1213" t="s">
        <v>6343</v>
      </c>
      <c r="C1213" t="s">
        <v>6622</v>
      </c>
      <c r="D1213" t="s">
        <v>5872</v>
      </c>
      <c r="E1213" t="s">
        <v>1955</v>
      </c>
      <c r="F1213" t="s">
        <v>5588</v>
      </c>
      <c r="G1213" t="s">
        <v>5602</v>
      </c>
      <c r="H1213" t="s">
        <v>5809</v>
      </c>
      <c r="I1213">
        <v>4</v>
      </c>
      <c r="J1213" t="s">
        <v>5926</v>
      </c>
      <c r="K1213">
        <v>5.8</v>
      </c>
      <c r="L1213" t="s">
        <v>5737</v>
      </c>
      <c r="M1213">
        <v>6.3</v>
      </c>
      <c r="N1213" t="s">
        <v>5737</v>
      </c>
      <c r="O1213">
        <v>8.8000000000000007</v>
      </c>
      <c r="P1213" t="s">
        <v>5613</v>
      </c>
      <c r="Q1213">
        <v>1.3</v>
      </c>
      <c r="R1213" t="s">
        <v>5613</v>
      </c>
      <c r="S1213">
        <v>2.1</v>
      </c>
      <c r="T1213" t="s">
        <v>5613</v>
      </c>
      <c r="U1213">
        <v>1.1000000000000001</v>
      </c>
      <c r="V1213" t="s">
        <v>5613</v>
      </c>
      <c r="W1213">
        <v>1</v>
      </c>
      <c r="X1213" t="s">
        <v>5613</v>
      </c>
      <c r="Y1213">
        <v>15.9</v>
      </c>
      <c r="Z1213">
        <v>526</v>
      </c>
      <c r="AA1213">
        <v>1.4</v>
      </c>
      <c r="AB1213" t="s">
        <v>5613</v>
      </c>
      <c r="AC1213" t="s">
        <v>6207</v>
      </c>
    </row>
    <row r="1214" spans="1:29">
      <c r="A1214" t="s">
        <v>6343</v>
      </c>
      <c r="C1214" t="s">
        <v>6623</v>
      </c>
      <c r="D1214" t="s">
        <v>6495</v>
      </c>
      <c r="E1214" t="s">
        <v>3326</v>
      </c>
      <c r="F1214" t="s">
        <v>5593</v>
      </c>
      <c r="G1214" t="s">
        <v>5651</v>
      </c>
      <c r="I1214">
        <v>5</v>
      </c>
      <c r="J1214" t="s">
        <v>5595</v>
      </c>
      <c r="K1214">
        <v>4.9000000000000004</v>
      </c>
      <c r="L1214" t="s">
        <v>5737</v>
      </c>
      <c r="M1214">
        <v>3</v>
      </c>
      <c r="N1214" t="s">
        <v>5737</v>
      </c>
      <c r="O1214">
        <v>27.3</v>
      </c>
      <c r="P1214">
        <v>556</v>
      </c>
      <c r="Q1214">
        <v>1.1000000000000001</v>
      </c>
      <c r="R1214" t="s">
        <v>5613</v>
      </c>
      <c r="S1214">
        <v>10.1</v>
      </c>
      <c r="T1214" t="s">
        <v>5613</v>
      </c>
      <c r="U1214">
        <v>2.7</v>
      </c>
      <c r="V1214" t="s">
        <v>5613</v>
      </c>
      <c r="W1214">
        <v>1</v>
      </c>
      <c r="X1214" t="s">
        <v>5613</v>
      </c>
      <c r="Y1214">
        <v>29.5</v>
      </c>
      <c r="Z1214">
        <v>271</v>
      </c>
      <c r="AA1214">
        <v>1.3</v>
      </c>
      <c r="AB1214" t="s">
        <v>5613</v>
      </c>
      <c r="AC1214" t="s">
        <v>6207</v>
      </c>
    </row>
    <row r="1215" spans="1:29">
      <c r="A1215" t="s">
        <v>6343</v>
      </c>
      <c r="B1215" t="s">
        <v>6343</v>
      </c>
      <c r="C1215" t="s">
        <v>6624</v>
      </c>
      <c r="D1215" t="s">
        <v>5959</v>
      </c>
      <c r="E1215" t="s">
        <v>1102</v>
      </c>
      <c r="F1215" t="s">
        <v>5605</v>
      </c>
      <c r="G1215" t="s">
        <v>5589</v>
      </c>
      <c r="H1215" t="s">
        <v>5809</v>
      </c>
      <c r="I1215">
        <v>3</v>
      </c>
      <c r="J1215" t="s">
        <v>5595</v>
      </c>
      <c r="K1215">
        <v>5.4</v>
      </c>
      <c r="L1215" t="s">
        <v>5737</v>
      </c>
      <c r="M1215">
        <v>5.5</v>
      </c>
      <c r="N1215" t="s">
        <v>5737</v>
      </c>
      <c r="O1215">
        <v>1.7</v>
      </c>
      <c r="P1215" t="s">
        <v>5613</v>
      </c>
      <c r="Q1215">
        <v>12.1</v>
      </c>
      <c r="R1215">
        <v>698</v>
      </c>
      <c r="U1215">
        <v>1</v>
      </c>
      <c r="V1215" t="s">
        <v>5613</v>
      </c>
      <c r="W1215">
        <v>2.7</v>
      </c>
      <c r="X1215" t="s">
        <v>5613</v>
      </c>
      <c r="Y1215">
        <v>5.7</v>
      </c>
      <c r="Z1215" t="s">
        <v>5613</v>
      </c>
      <c r="AA1215">
        <v>1.1000000000000001</v>
      </c>
      <c r="AB1215" t="s">
        <v>5613</v>
      </c>
      <c r="AC1215" t="s">
        <v>6207</v>
      </c>
    </row>
    <row r="1216" spans="1:29">
      <c r="A1216" t="s">
        <v>6343</v>
      </c>
      <c r="B1216" t="s">
        <v>6240</v>
      </c>
      <c r="C1216" t="s">
        <v>4294</v>
      </c>
      <c r="D1216" t="s">
        <v>6031</v>
      </c>
      <c r="E1216" t="s">
        <v>2672</v>
      </c>
      <c r="F1216" t="s">
        <v>5588</v>
      </c>
      <c r="G1216" t="s">
        <v>5651</v>
      </c>
      <c r="I1216">
        <v>4</v>
      </c>
      <c r="J1216" t="s">
        <v>5595</v>
      </c>
      <c r="K1216">
        <v>7.4</v>
      </c>
      <c r="L1216" t="s">
        <v>5737</v>
      </c>
      <c r="M1216">
        <v>18.3</v>
      </c>
      <c r="N1216">
        <v>478</v>
      </c>
      <c r="O1216">
        <v>12</v>
      </c>
      <c r="P1216" t="s">
        <v>5613</v>
      </c>
      <c r="Q1216">
        <v>1.3</v>
      </c>
      <c r="R1216" t="s">
        <v>5613</v>
      </c>
      <c r="S1216">
        <v>1.2</v>
      </c>
      <c r="T1216" t="s">
        <v>5613</v>
      </c>
      <c r="U1216">
        <v>5.6</v>
      </c>
      <c r="V1216" t="s">
        <v>5613</v>
      </c>
      <c r="W1216">
        <v>1</v>
      </c>
      <c r="X1216" t="s">
        <v>5613</v>
      </c>
      <c r="Y1216">
        <v>10.9</v>
      </c>
      <c r="Z1216" t="s">
        <v>5613</v>
      </c>
      <c r="AC1216" t="s">
        <v>6207</v>
      </c>
    </row>
    <row r="1217" spans="1:29">
      <c r="A1217" t="s">
        <v>6343</v>
      </c>
      <c r="B1217" t="s">
        <v>6240</v>
      </c>
      <c r="C1217" t="s">
        <v>6625</v>
      </c>
      <c r="D1217" t="s">
        <v>5707</v>
      </c>
      <c r="E1217" t="s">
        <v>1613</v>
      </c>
      <c r="F1217" t="s">
        <v>5605</v>
      </c>
      <c r="G1217" t="s">
        <v>5594</v>
      </c>
      <c r="H1217" t="s">
        <v>5809</v>
      </c>
      <c r="I1217">
        <v>5</v>
      </c>
      <c r="J1217" t="s">
        <v>5595</v>
      </c>
      <c r="K1217">
        <v>15.3</v>
      </c>
      <c r="L1217">
        <v>569</v>
      </c>
      <c r="M1217">
        <v>6.5</v>
      </c>
      <c r="N1217" t="s">
        <v>5737</v>
      </c>
      <c r="O1217">
        <v>3.2</v>
      </c>
      <c r="P1217" t="s">
        <v>5613</v>
      </c>
      <c r="Q1217">
        <v>2</v>
      </c>
      <c r="R1217" t="s">
        <v>5613</v>
      </c>
      <c r="S1217">
        <v>2.9</v>
      </c>
      <c r="T1217" t="s">
        <v>5613</v>
      </c>
      <c r="U1217">
        <v>1.3</v>
      </c>
      <c r="V1217" t="s">
        <v>5613</v>
      </c>
      <c r="W1217">
        <v>1.3</v>
      </c>
      <c r="X1217" t="s">
        <v>5613</v>
      </c>
      <c r="Y1217">
        <v>6.5</v>
      </c>
      <c r="Z1217" t="s">
        <v>5613</v>
      </c>
      <c r="AA1217">
        <v>3</v>
      </c>
      <c r="AB1217" t="s">
        <v>5613</v>
      </c>
      <c r="AC1217" t="s">
        <v>6207</v>
      </c>
    </row>
    <row r="1218" spans="1:29">
      <c r="A1218" t="s">
        <v>6343</v>
      </c>
      <c r="B1218" t="s">
        <v>6343</v>
      </c>
      <c r="C1218" t="s">
        <v>6626</v>
      </c>
      <c r="D1218" t="s">
        <v>6492</v>
      </c>
      <c r="E1218" t="s">
        <v>6493</v>
      </c>
      <c r="F1218" t="s">
        <v>5588</v>
      </c>
      <c r="G1218" t="s">
        <v>5589</v>
      </c>
      <c r="H1218" t="s">
        <v>6146</v>
      </c>
      <c r="I1218">
        <v>4</v>
      </c>
      <c r="J1218" t="s">
        <v>5591</v>
      </c>
      <c r="K1218">
        <v>6.3</v>
      </c>
      <c r="L1218" t="s">
        <v>5737</v>
      </c>
      <c r="M1218">
        <v>9.4</v>
      </c>
      <c r="N1218" t="s">
        <v>5737</v>
      </c>
      <c r="O1218">
        <v>4.9000000000000004</v>
      </c>
      <c r="P1218" t="s">
        <v>5613</v>
      </c>
      <c r="Q1218">
        <v>2.7</v>
      </c>
      <c r="R1218" t="s">
        <v>5613</v>
      </c>
      <c r="S1218">
        <v>14.3</v>
      </c>
      <c r="T1218">
        <v>678</v>
      </c>
      <c r="U1218">
        <v>4.3</v>
      </c>
      <c r="V1218" t="s">
        <v>5613</v>
      </c>
      <c r="W1218">
        <v>1.2</v>
      </c>
      <c r="X1218" t="s">
        <v>5613</v>
      </c>
      <c r="Y1218">
        <v>16.8</v>
      </c>
      <c r="Z1218">
        <v>505</v>
      </c>
      <c r="AA1218">
        <v>1</v>
      </c>
      <c r="AB1218" t="s">
        <v>5613</v>
      </c>
      <c r="AC1218" t="s">
        <v>6207</v>
      </c>
    </row>
    <row r="1219" spans="1:29">
      <c r="A1219" t="s">
        <v>6343</v>
      </c>
      <c r="B1219" t="s">
        <v>6343</v>
      </c>
      <c r="C1219" t="s">
        <v>6627</v>
      </c>
      <c r="D1219" t="s">
        <v>6015</v>
      </c>
      <c r="E1219" t="s">
        <v>1483</v>
      </c>
      <c r="F1219" t="s">
        <v>5588</v>
      </c>
      <c r="G1219" t="s">
        <v>5589</v>
      </c>
      <c r="H1219" t="s">
        <v>5809</v>
      </c>
      <c r="I1219">
        <v>2</v>
      </c>
      <c r="J1219" t="s">
        <v>5926</v>
      </c>
      <c r="K1219">
        <v>5.7</v>
      </c>
      <c r="L1219" t="s">
        <v>5737</v>
      </c>
      <c r="M1219">
        <v>4.5</v>
      </c>
      <c r="N1219" t="s">
        <v>5737</v>
      </c>
      <c r="O1219">
        <v>23.1</v>
      </c>
      <c r="P1219">
        <v>614</v>
      </c>
      <c r="Q1219">
        <v>2.2000000000000002</v>
      </c>
      <c r="R1219" t="s">
        <v>5613</v>
      </c>
      <c r="S1219">
        <v>2.8</v>
      </c>
      <c r="T1219" t="s">
        <v>5613</v>
      </c>
      <c r="U1219">
        <v>2.6</v>
      </c>
      <c r="V1219" t="s">
        <v>5613</v>
      </c>
      <c r="W1219">
        <v>1</v>
      </c>
      <c r="X1219" t="s">
        <v>5613</v>
      </c>
      <c r="Y1219">
        <v>6.8</v>
      </c>
      <c r="Z1219" t="s">
        <v>5613</v>
      </c>
      <c r="AA1219">
        <v>1.4</v>
      </c>
      <c r="AB1219" t="s">
        <v>5613</v>
      </c>
      <c r="AC1219" t="s">
        <v>6207</v>
      </c>
    </row>
    <row r="1220" spans="1:29">
      <c r="A1220" t="s">
        <v>6343</v>
      </c>
      <c r="B1220" t="s">
        <v>6240</v>
      </c>
      <c r="C1220" t="s">
        <v>6628</v>
      </c>
      <c r="D1220" t="s">
        <v>5620</v>
      </c>
      <c r="E1220" t="s">
        <v>76</v>
      </c>
      <c r="F1220" t="s">
        <v>5593</v>
      </c>
      <c r="G1220" t="s">
        <v>5589</v>
      </c>
      <c r="H1220" t="s">
        <v>5809</v>
      </c>
      <c r="I1220">
        <v>4</v>
      </c>
      <c r="J1220" t="s">
        <v>5595</v>
      </c>
      <c r="K1220">
        <v>4.0999999999999996</v>
      </c>
      <c r="L1220" t="s">
        <v>5737</v>
      </c>
      <c r="M1220">
        <v>6.8</v>
      </c>
      <c r="N1220" t="s">
        <v>5737</v>
      </c>
      <c r="O1220">
        <v>2.4</v>
      </c>
      <c r="P1220" t="s">
        <v>5613</v>
      </c>
      <c r="Q1220">
        <v>15.1</v>
      </c>
      <c r="R1220">
        <v>632</v>
      </c>
      <c r="S1220">
        <v>2.2000000000000002</v>
      </c>
      <c r="T1220" t="s">
        <v>5613</v>
      </c>
      <c r="U1220">
        <v>18.8</v>
      </c>
      <c r="V1220">
        <v>563</v>
      </c>
      <c r="W1220">
        <v>2.5</v>
      </c>
      <c r="X1220" t="s">
        <v>5613</v>
      </c>
      <c r="Y1220">
        <v>8.6999999999999993</v>
      </c>
      <c r="Z1220" t="s">
        <v>5613</v>
      </c>
      <c r="AA1220">
        <v>2</v>
      </c>
      <c r="AB1220" t="s">
        <v>5613</v>
      </c>
      <c r="AC1220" t="s">
        <v>6207</v>
      </c>
    </row>
    <row r="1221" spans="1:29">
      <c r="A1221" t="s">
        <v>6343</v>
      </c>
      <c r="B1221" t="s">
        <v>6343</v>
      </c>
      <c r="C1221" t="s">
        <v>6629</v>
      </c>
      <c r="D1221" t="s">
        <v>5587</v>
      </c>
      <c r="E1221" t="s">
        <v>29</v>
      </c>
      <c r="F1221" t="s">
        <v>5593</v>
      </c>
      <c r="G1221" t="s">
        <v>5589</v>
      </c>
      <c r="H1221" t="s">
        <v>5809</v>
      </c>
      <c r="J1221" t="s">
        <v>5595</v>
      </c>
      <c r="K1221">
        <v>3.7</v>
      </c>
      <c r="L1221" t="s">
        <v>5737</v>
      </c>
      <c r="M1221">
        <v>9.3000000000000007</v>
      </c>
      <c r="N1221" t="s">
        <v>5737</v>
      </c>
      <c r="O1221">
        <v>7</v>
      </c>
      <c r="P1221" t="s">
        <v>5613</v>
      </c>
      <c r="Q1221">
        <v>3.4</v>
      </c>
      <c r="R1221" t="s">
        <v>5613</v>
      </c>
      <c r="W1221">
        <v>1.5</v>
      </c>
      <c r="X1221" t="s">
        <v>5613</v>
      </c>
      <c r="Y1221">
        <v>13.2</v>
      </c>
      <c r="Z1221">
        <v>647</v>
      </c>
      <c r="AC1221" t="s">
        <v>6207</v>
      </c>
    </row>
    <row r="1222" spans="1:29">
      <c r="A1222" t="s">
        <v>6343</v>
      </c>
      <c r="B1222" t="s">
        <v>6343</v>
      </c>
      <c r="C1222" t="s">
        <v>6630</v>
      </c>
      <c r="D1222" t="s">
        <v>5710</v>
      </c>
      <c r="E1222" t="s">
        <v>3726</v>
      </c>
      <c r="F1222" t="s">
        <v>5588</v>
      </c>
      <c r="G1222" t="s">
        <v>5594</v>
      </c>
      <c r="H1222" t="s">
        <v>6146</v>
      </c>
      <c r="I1222">
        <v>4</v>
      </c>
      <c r="J1222" t="s">
        <v>5591</v>
      </c>
      <c r="K1222">
        <v>4.7</v>
      </c>
      <c r="L1222" t="s">
        <v>5737</v>
      </c>
      <c r="M1222">
        <v>2.7</v>
      </c>
      <c r="N1222" t="s">
        <v>5737</v>
      </c>
      <c r="O1222">
        <v>18.100000000000001</v>
      </c>
      <c r="P1222" t="s">
        <v>5613</v>
      </c>
      <c r="Q1222">
        <v>1.2</v>
      </c>
      <c r="R1222" t="s">
        <v>5613</v>
      </c>
      <c r="S1222">
        <v>4.2</v>
      </c>
      <c r="T1222" t="s">
        <v>5613</v>
      </c>
      <c r="U1222">
        <v>4.8</v>
      </c>
      <c r="V1222" t="s">
        <v>5613</v>
      </c>
      <c r="W1222">
        <v>1</v>
      </c>
      <c r="X1222" t="s">
        <v>5613</v>
      </c>
      <c r="Y1222">
        <v>9.1</v>
      </c>
      <c r="Z1222" t="s">
        <v>5613</v>
      </c>
      <c r="AA1222">
        <v>1</v>
      </c>
      <c r="AB1222" t="s">
        <v>5613</v>
      </c>
      <c r="AC1222" t="s">
        <v>6207</v>
      </c>
    </row>
    <row r="1223" spans="1:29">
      <c r="A1223" t="s">
        <v>6343</v>
      </c>
      <c r="B1223" t="s">
        <v>6343</v>
      </c>
      <c r="C1223" t="s">
        <v>2266</v>
      </c>
      <c r="D1223" t="s">
        <v>5587</v>
      </c>
      <c r="E1223" t="s">
        <v>29</v>
      </c>
      <c r="F1223" t="s">
        <v>5593</v>
      </c>
      <c r="G1223" t="s">
        <v>5594</v>
      </c>
      <c r="H1223" t="s">
        <v>5809</v>
      </c>
      <c r="I1223">
        <v>4</v>
      </c>
      <c r="J1223" t="s">
        <v>5595</v>
      </c>
      <c r="K1223">
        <v>3.6</v>
      </c>
      <c r="L1223" t="s">
        <v>5737</v>
      </c>
      <c r="M1223">
        <v>4.2</v>
      </c>
      <c r="N1223" t="s">
        <v>5737</v>
      </c>
      <c r="O1223">
        <v>7.8</v>
      </c>
      <c r="P1223" t="s">
        <v>5613</v>
      </c>
      <c r="Q1223">
        <v>8.1</v>
      </c>
      <c r="R1223" t="s">
        <v>5613</v>
      </c>
      <c r="S1223">
        <v>3.5</v>
      </c>
      <c r="T1223" t="s">
        <v>5613</v>
      </c>
      <c r="U1223">
        <v>3.1</v>
      </c>
      <c r="V1223" t="s">
        <v>5613</v>
      </c>
      <c r="W1223">
        <v>2.1</v>
      </c>
      <c r="X1223" t="s">
        <v>5613</v>
      </c>
      <c r="Y1223">
        <v>10.8</v>
      </c>
      <c r="Z1223" t="s">
        <v>5613</v>
      </c>
      <c r="AC1223" t="s">
        <v>6207</v>
      </c>
    </row>
    <row r="1224" spans="1:29">
      <c r="A1224" t="s">
        <v>6343</v>
      </c>
      <c r="C1224" t="s">
        <v>3394</v>
      </c>
      <c r="D1224" t="s">
        <v>5678</v>
      </c>
      <c r="E1224" t="s">
        <v>389</v>
      </c>
      <c r="F1224" t="s">
        <v>5593</v>
      </c>
      <c r="G1224" t="s">
        <v>5602</v>
      </c>
      <c r="H1224" t="s">
        <v>5590</v>
      </c>
      <c r="I1224">
        <v>3</v>
      </c>
      <c r="J1224" t="s">
        <v>5926</v>
      </c>
      <c r="K1224">
        <v>5.6</v>
      </c>
      <c r="L1224" t="s">
        <v>5737</v>
      </c>
      <c r="M1224">
        <v>6.7</v>
      </c>
      <c r="N1224" t="s">
        <v>5737</v>
      </c>
      <c r="O1224">
        <v>4.2</v>
      </c>
      <c r="P1224" t="s">
        <v>5613</v>
      </c>
      <c r="Q1224">
        <v>3.5</v>
      </c>
      <c r="R1224" t="s">
        <v>5613</v>
      </c>
      <c r="S1224">
        <v>6.7</v>
      </c>
      <c r="T1224" t="s">
        <v>5613</v>
      </c>
      <c r="U1224">
        <v>5.7</v>
      </c>
      <c r="V1224" t="s">
        <v>5613</v>
      </c>
      <c r="W1224">
        <v>1</v>
      </c>
      <c r="X1224" t="s">
        <v>5613</v>
      </c>
      <c r="Y1224">
        <v>7.9</v>
      </c>
      <c r="Z1224" t="s">
        <v>5613</v>
      </c>
      <c r="AA1224">
        <v>3.3</v>
      </c>
      <c r="AB1224" t="s">
        <v>5613</v>
      </c>
      <c r="AC1224" t="s">
        <v>6207</v>
      </c>
    </row>
    <row r="1225" spans="1:29">
      <c r="A1225" t="s">
        <v>6343</v>
      </c>
      <c r="B1225" t="s">
        <v>6343</v>
      </c>
      <c r="C1225" t="s">
        <v>6631</v>
      </c>
      <c r="D1225" t="s">
        <v>5616</v>
      </c>
      <c r="E1225" t="s">
        <v>54</v>
      </c>
      <c r="F1225" t="s">
        <v>5593</v>
      </c>
      <c r="G1225" t="s">
        <v>5602</v>
      </c>
      <c r="H1225" t="s">
        <v>6146</v>
      </c>
      <c r="I1225">
        <v>3</v>
      </c>
      <c r="J1225" t="s">
        <v>5595</v>
      </c>
      <c r="K1225">
        <v>3.7</v>
      </c>
      <c r="L1225" t="s">
        <v>5737</v>
      </c>
      <c r="M1225">
        <v>27.6</v>
      </c>
      <c r="N1225">
        <v>351</v>
      </c>
      <c r="O1225">
        <v>9.1</v>
      </c>
      <c r="P1225" t="s">
        <v>5613</v>
      </c>
      <c r="Q1225">
        <v>1.2</v>
      </c>
      <c r="R1225" t="s">
        <v>5613</v>
      </c>
      <c r="S1225">
        <v>4</v>
      </c>
      <c r="T1225" t="s">
        <v>5613</v>
      </c>
      <c r="U1225">
        <v>1.5</v>
      </c>
      <c r="V1225" t="s">
        <v>5613</v>
      </c>
      <c r="W1225">
        <v>1</v>
      </c>
      <c r="X1225" t="s">
        <v>5613</v>
      </c>
      <c r="Y1225">
        <v>9.1999999999999993</v>
      </c>
      <c r="Z1225" t="s">
        <v>5613</v>
      </c>
      <c r="AA1225">
        <v>1</v>
      </c>
      <c r="AB1225" t="s">
        <v>5613</v>
      </c>
      <c r="AC1225" t="s">
        <v>6207</v>
      </c>
    </row>
    <row r="1226" spans="1:29">
      <c r="A1226" t="s">
        <v>6343</v>
      </c>
      <c r="C1226" t="s">
        <v>4400</v>
      </c>
      <c r="D1226" t="s">
        <v>5770</v>
      </c>
      <c r="E1226" t="s">
        <v>528</v>
      </c>
      <c r="F1226" t="s">
        <v>5593</v>
      </c>
      <c r="G1226" t="s">
        <v>5589</v>
      </c>
      <c r="H1226" t="s">
        <v>5809</v>
      </c>
      <c r="I1226">
        <v>2</v>
      </c>
      <c r="J1226" t="s">
        <v>5591</v>
      </c>
      <c r="K1226">
        <v>4.8</v>
      </c>
      <c r="L1226" t="s">
        <v>5737</v>
      </c>
      <c r="M1226">
        <v>4.5999999999999996</v>
      </c>
      <c r="N1226" t="s">
        <v>5737</v>
      </c>
      <c r="O1226">
        <v>20.3</v>
      </c>
      <c r="P1226">
        <v>658</v>
      </c>
      <c r="Q1226">
        <v>1.9</v>
      </c>
      <c r="R1226" t="s">
        <v>5613</v>
      </c>
      <c r="S1226">
        <v>4.3</v>
      </c>
      <c r="T1226" t="s">
        <v>5613</v>
      </c>
      <c r="U1226">
        <v>3.2</v>
      </c>
      <c r="V1226" t="s">
        <v>5613</v>
      </c>
      <c r="W1226">
        <v>1.3</v>
      </c>
      <c r="X1226" t="s">
        <v>5613</v>
      </c>
      <c r="Y1226">
        <v>8.1</v>
      </c>
      <c r="Z1226" t="s">
        <v>5613</v>
      </c>
      <c r="AA1226">
        <v>1.7</v>
      </c>
      <c r="AB1226" t="s">
        <v>5613</v>
      </c>
      <c r="AC1226" t="s">
        <v>6207</v>
      </c>
    </row>
    <row r="1227" spans="1:29">
      <c r="A1227" t="s">
        <v>6343</v>
      </c>
      <c r="C1227" t="s">
        <v>6632</v>
      </c>
      <c r="D1227" t="s">
        <v>6272</v>
      </c>
      <c r="E1227" t="s">
        <v>1846</v>
      </c>
      <c r="F1227" t="s">
        <v>5588</v>
      </c>
      <c r="G1227" t="s">
        <v>5602</v>
      </c>
      <c r="H1227" t="s">
        <v>5809</v>
      </c>
      <c r="I1227">
        <v>3</v>
      </c>
      <c r="J1227" t="s">
        <v>5595</v>
      </c>
      <c r="K1227">
        <v>8</v>
      </c>
      <c r="L1227" t="s">
        <v>5737</v>
      </c>
      <c r="M1227">
        <v>12.6</v>
      </c>
      <c r="N1227" t="s">
        <v>5737</v>
      </c>
      <c r="O1227">
        <v>7.2</v>
      </c>
      <c r="P1227" t="s">
        <v>5613</v>
      </c>
      <c r="Q1227">
        <v>4.5</v>
      </c>
      <c r="R1227" t="s">
        <v>5613</v>
      </c>
      <c r="W1227">
        <v>1</v>
      </c>
      <c r="X1227" t="s">
        <v>5613</v>
      </c>
      <c r="Y1227">
        <v>11.3</v>
      </c>
      <c r="Z1227" t="s">
        <v>5613</v>
      </c>
      <c r="AC1227" t="s">
        <v>6207</v>
      </c>
    </row>
    <row r="1228" spans="1:29">
      <c r="A1228" t="s">
        <v>6343</v>
      </c>
      <c r="B1228" t="s">
        <v>6343</v>
      </c>
      <c r="C1228" t="s">
        <v>6633</v>
      </c>
      <c r="D1228" t="s">
        <v>5587</v>
      </c>
      <c r="E1228" t="s">
        <v>29</v>
      </c>
      <c r="F1228" t="s">
        <v>5593</v>
      </c>
      <c r="G1228" t="s">
        <v>5589</v>
      </c>
      <c r="H1228" t="s">
        <v>5809</v>
      </c>
      <c r="I1228">
        <v>4</v>
      </c>
      <c r="J1228" t="s">
        <v>5595</v>
      </c>
      <c r="K1228">
        <v>4.3</v>
      </c>
      <c r="L1228" t="s">
        <v>5737</v>
      </c>
      <c r="M1228">
        <v>4.2</v>
      </c>
      <c r="N1228" t="s">
        <v>5737</v>
      </c>
      <c r="O1228">
        <v>8.9</v>
      </c>
      <c r="P1228" t="s">
        <v>5613</v>
      </c>
      <c r="Q1228">
        <v>4.8</v>
      </c>
      <c r="R1228" t="s">
        <v>5613</v>
      </c>
      <c r="S1228">
        <v>4.3</v>
      </c>
      <c r="T1228" t="s">
        <v>5613</v>
      </c>
      <c r="U1228">
        <v>17.2</v>
      </c>
      <c r="V1228">
        <v>585</v>
      </c>
      <c r="W1228">
        <v>1</v>
      </c>
      <c r="X1228" t="s">
        <v>5613</v>
      </c>
      <c r="Y1228">
        <v>11.1</v>
      </c>
      <c r="Z1228" t="s">
        <v>5613</v>
      </c>
      <c r="AC1228" t="s">
        <v>6207</v>
      </c>
    </row>
    <row r="1229" spans="1:29">
      <c r="A1229" t="s">
        <v>6343</v>
      </c>
      <c r="B1229" t="s">
        <v>6240</v>
      </c>
      <c r="C1229" t="s">
        <v>6634</v>
      </c>
      <c r="D1229" t="s">
        <v>5587</v>
      </c>
      <c r="E1229" t="s">
        <v>29</v>
      </c>
      <c r="F1229" t="s">
        <v>5588</v>
      </c>
      <c r="G1229" t="s">
        <v>5594</v>
      </c>
      <c r="H1229" t="s">
        <v>5809</v>
      </c>
      <c r="I1229">
        <v>3</v>
      </c>
      <c r="J1229" t="s">
        <v>5595</v>
      </c>
      <c r="K1229">
        <v>6.2</v>
      </c>
      <c r="L1229" t="s">
        <v>5737</v>
      </c>
      <c r="M1229">
        <v>1.8</v>
      </c>
      <c r="N1229" t="s">
        <v>5737</v>
      </c>
      <c r="O1229">
        <v>11.4</v>
      </c>
      <c r="P1229" t="s">
        <v>5613</v>
      </c>
      <c r="Q1229">
        <v>15</v>
      </c>
      <c r="R1229">
        <v>636</v>
      </c>
      <c r="S1229">
        <v>4.3</v>
      </c>
      <c r="T1229" t="s">
        <v>5613</v>
      </c>
      <c r="U1229">
        <v>5.5</v>
      </c>
      <c r="V1229" t="s">
        <v>5613</v>
      </c>
      <c r="W1229">
        <v>1.5</v>
      </c>
      <c r="X1229" t="s">
        <v>5613</v>
      </c>
      <c r="Y1229">
        <v>6.9</v>
      </c>
      <c r="Z1229" t="s">
        <v>5613</v>
      </c>
      <c r="AC1229" t="s">
        <v>6207</v>
      </c>
    </row>
    <row r="1230" spans="1:29">
      <c r="A1230" t="s">
        <v>6343</v>
      </c>
      <c r="C1230" t="s">
        <v>6635</v>
      </c>
      <c r="D1230" t="s">
        <v>6272</v>
      </c>
      <c r="E1230" t="s">
        <v>1846</v>
      </c>
      <c r="F1230" t="s">
        <v>5593</v>
      </c>
      <c r="G1230" t="s">
        <v>5602</v>
      </c>
      <c r="H1230" t="s">
        <v>5809</v>
      </c>
      <c r="I1230">
        <v>2</v>
      </c>
      <c r="J1230" t="s">
        <v>5591</v>
      </c>
      <c r="K1230">
        <v>8</v>
      </c>
      <c r="L1230" t="s">
        <v>5737</v>
      </c>
      <c r="M1230">
        <v>16.5</v>
      </c>
      <c r="N1230">
        <v>520</v>
      </c>
      <c r="O1230">
        <v>3.9</v>
      </c>
      <c r="P1230" t="s">
        <v>5613</v>
      </c>
      <c r="Q1230">
        <v>2.4</v>
      </c>
      <c r="R1230" t="s">
        <v>5613</v>
      </c>
      <c r="S1230">
        <v>4.8</v>
      </c>
      <c r="T1230" t="s">
        <v>5613</v>
      </c>
      <c r="U1230">
        <v>2</v>
      </c>
      <c r="V1230" t="s">
        <v>5613</v>
      </c>
      <c r="W1230">
        <v>1</v>
      </c>
      <c r="X1230" t="s">
        <v>5613</v>
      </c>
      <c r="Y1230">
        <v>10.1</v>
      </c>
      <c r="Z1230" t="s">
        <v>5613</v>
      </c>
      <c r="AA1230">
        <v>2</v>
      </c>
      <c r="AB1230" t="s">
        <v>5613</v>
      </c>
      <c r="AC1230" t="s">
        <v>6207</v>
      </c>
    </row>
    <row r="1231" spans="1:29">
      <c r="A1231" t="s">
        <v>6343</v>
      </c>
      <c r="B1231" t="s">
        <v>6546</v>
      </c>
      <c r="C1231" t="s">
        <v>6636</v>
      </c>
      <c r="D1231" t="s">
        <v>6637</v>
      </c>
      <c r="E1231" t="s">
        <v>6638</v>
      </c>
      <c r="F1231" t="s">
        <v>5605</v>
      </c>
      <c r="G1231" t="s">
        <v>5594</v>
      </c>
      <c r="H1231" t="s">
        <v>6146</v>
      </c>
      <c r="I1231">
        <v>5</v>
      </c>
      <c r="J1231" t="s">
        <v>5595</v>
      </c>
      <c r="K1231">
        <v>5.0999999999999996</v>
      </c>
      <c r="L1231" t="s">
        <v>5737</v>
      </c>
      <c r="M1231">
        <v>4.2</v>
      </c>
      <c r="N1231" t="s">
        <v>5737</v>
      </c>
      <c r="O1231">
        <v>1.1000000000000001</v>
      </c>
      <c r="P1231" t="s">
        <v>5613</v>
      </c>
      <c r="Q1231">
        <v>1.2</v>
      </c>
      <c r="R1231" t="s">
        <v>5613</v>
      </c>
      <c r="S1231">
        <v>1.6</v>
      </c>
      <c r="T1231" t="s">
        <v>5613</v>
      </c>
      <c r="U1231">
        <v>3.9</v>
      </c>
      <c r="V1231" t="s">
        <v>5613</v>
      </c>
      <c r="W1231">
        <v>1</v>
      </c>
      <c r="X1231" t="s">
        <v>5613</v>
      </c>
      <c r="Y1231">
        <v>64</v>
      </c>
      <c r="Z1231">
        <v>90</v>
      </c>
      <c r="AA1231">
        <v>1.1000000000000001</v>
      </c>
      <c r="AB1231" t="s">
        <v>5613</v>
      </c>
      <c r="AC1231" t="s">
        <v>6207</v>
      </c>
    </row>
    <row r="1232" spans="1:29">
      <c r="A1232" t="s">
        <v>6343</v>
      </c>
      <c r="B1232" t="s">
        <v>6343</v>
      </c>
      <c r="C1232" t="s">
        <v>6639</v>
      </c>
      <c r="D1232" t="s">
        <v>5981</v>
      </c>
      <c r="E1232" t="s">
        <v>895</v>
      </c>
      <c r="F1232" t="s">
        <v>5605</v>
      </c>
      <c r="G1232" t="s">
        <v>5594</v>
      </c>
      <c r="H1232" t="s">
        <v>5809</v>
      </c>
      <c r="I1232">
        <v>3</v>
      </c>
      <c r="J1232" t="s">
        <v>5595</v>
      </c>
      <c r="K1232">
        <v>5.7</v>
      </c>
      <c r="L1232" t="s">
        <v>5737</v>
      </c>
      <c r="M1232">
        <v>5.9</v>
      </c>
      <c r="N1232" t="s">
        <v>5737</v>
      </c>
      <c r="O1232">
        <v>2.9</v>
      </c>
      <c r="P1232" t="s">
        <v>5613</v>
      </c>
      <c r="Q1232">
        <v>2.4</v>
      </c>
      <c r="R1232" t="s">
        <v>5613</v>
      </c>
      <c r="S1232">
        <v>3.2</v>
      </c>
      <c r="T1232" t="s">
        <v>5613</v>
      </c>
      <c r="U1232">
        <v>6.2</v>
      </c>
      <c r="V1232" t="s">
        <v>5613</v>
      </c>
      <c r="W1232">
        <v>2.1</v>
      </c>
      <c r="X1232" t="s">
        <v>5613</v>
      </c>
      <c r="Y1232">
        <v>7.5</v>
      </c>
      <c r="Z1232" t="s">
        <v>5613</v>
      </c>
      <c r="AA1232">
        <v>16.7</v>
      </c>
      <c r="AB1232" t="s">
        <v>6308</v>
      </c>
      <c r="AC1232" t="s">
        <v>6207</v>
      </c>
    </row>
    <row r="1233" spans="1:29">
      <c r="A1233" t="s">
        <v>6343</v>
      </c>
      <c r="C1233" t="s">
        <v>6640</v>
      </c>
      <c r="D1233" t="s">
        <v>6272</v>
      </c>
      <c r="E1233" t="s">
        <v>1846</v>
      </c>
      <c r="F1233" t="s">
        <v>5588</v>
      </c>
      <c r="G1233" t="s">
        <v>5651</v>
      </c>
      <c r="I1233">
        <v>3</v>
      </c>
      <c r="J1233" t="s">
        <v>5926</v>
      </c>
      <c r="K1233">
        <v>5.8</v>
      </c>
      <c r="L1233" t="s">
        <v>5737</v>
      </c>
      <c r="M1233">
        <v>14.6</v>
      </c>
      <c r="N1233">
        <v>559</v>
      </c>
      <c r="O1233">
        <v>3.1</v>
      </c>
      <c r="P1233" t="s">
        <v>5613</v>
      </c>
      <c r="Q1233">
        <v>2.5</v>
      </c>
      <c r="R1233" t="s">
        <v>5613</v>
      </c>
      <c r="S1233">
        <v>1.3</v>
      </c>
      <c r="T1233" t="s">
        <v>5613</v>
      </c>
      <c r="U1233">
        <v>1</v>
      </c>
      <c r="V1233" t="s">
        <v>5613</v>
      </c>
      <c r="W1233">
        <v>1</v>
      </c>
      <c r="X1233" t="s">
        <v>5613</v>
      </c>
      <c r="Y1233">
        <v>10.5</v>
      </c>
      <c r="Z1233" t="s">
        <v>5613</v>
      </c>
      <c r="AA1233">
        <v>1</v>
      </c>
      <c r="AB1233" t="s">
        <v>5613</v>
      </c>
      <c r="AC1233" t="s">
        <v>6207</v>
      </c>
    </row>
    <row r="1234" spans="1:29">
      <c r="A1234" t="s">
        <v>6343</v>
      </c>
      <c r="B1234" t="s">
        <v>6546</v>
      </c>
      <c r="C1234" t="s">
        <v>6641</v>
      </c>
      <c r="D1234" t="s">
        <v>5981</v>
      </c>
      <c r="E1234" t="s">
        <v>895</v>
      </c>
      <c r="F1234" t="s">
        <v>5605</v>
      </c>
      <c r="G1234" t="s">
        <v>5594</v>
      </c>
      <c r="H1234" t="s">
        <v>5809</v>
      </c>
      <c r="I1234">
        <v>3</v>
      </c>
      <c r="J1234" t="s">
        <v>5595</v>
      </c>
      <c r="K1234">
        <v>3.9</v>
      </c>
      <c r="L1234" t="s">
        <v>5737</v>
      </c>
      <c r="M1234">
        <v>3.1</v>
      </c>
      <c r="N1234" t="s">
        <v>5737</v>
      </c>
      <c r="O1234">
        <v>1.9</v>
      </c>
      <c r="P1234" t="s">
        <v>5613</v>
      </c>
      <c r="Q1234">
        <v>4.9000000000000004</v>
      </c>
      <c r="R1234" t="s">
        <v>5613</v>
      </c>
      <c r="S1234">
        <v>3.5</v>
      </c>
      <c r="T1234" t="s">
        <v>5613</v>
      </c>
      <c r="U1234">
        <v>6.5</v>
      </c>
      <c r="V1234" t="s">
        <v>5613</v>
      </c>
      <c r="W1234">
        <v>3</v>
      </c>
      <c r="X1234" t="s">
        <v>5613</v>
      </c>
      <c r="Y1234">
        <v>7.5</v>
      </c>
      <c r="Z1234" t="s">
        <v>5613</v>
      </c>
      <c r="AA1234">
        <v>10.3</v>
      </c>
      <c r="AB1234" t="s">
        <v>6184</v>
      </c>
      <c r="AC1234" t="s">
        <v>6207</v>
      </c>
    </row>
    <row r="1235" spans="1:29">
      <c r="A1235" t="s">
        <v>6343</v>
      </c>
      <c r="B1235" t="s">
        <v>6343</v>
      </c>
      <c r="C1235" t="s">
        <v>2782</v>
      </c>
      <c r="D1235" t="s">
        <v>5678</v>
      </c>
      <c r="E1235" t="s">
        <v>389</v>
      </c>
      <c r="F1235" t="s">
        <v>5593</v>
      </c>
      <c r="G1235" t="s">
        <v>5602</v>
      </c>
      <c r="H1235" t="s">
        <v>5590</v>
      </c>
      <c r="I1235">
        <v>3</v>
      </c>
      <c r="J1235" t="s">
        <v>5926</v>
      </c>
      <c r="K1235">
        <v>10</v>
      </c>
      <c r="L1235" t="s">
        <v>5737</v>
      </c>
      <c r="M1235">
        <v>7.5</v>
      </c>
      <c r="N1235" t="s">
        <v>5737</v>
      </c>
      <c r="O1235">
        <v>4.5</v>
      </c>
      <c r="P1235" t="s">
        <v>5613</v>
      </c>
      <c r="Q1235">
        <v>6</v>
      </c>
      <c r="R1235" t="s">
        <v>5613</v>
      </c>
      <c r="S1235">
        <v>3.9</v>
      </c>
      <c r="T1235" t="s">
        <v>5613</v>
      </c>
      <c r="U1235">
        <v>5.8</v>
      </c>
      <c r="V1235" t="s">
        <v>5613</v>
      </c>
      <c r="W1235">
        <v>1</v>
      </c>
      <c r="X1235" t="s">
        <v>5613</v>
      </c>
      <c r="Y1235">
        <v>14.4</v>
      </c>
      <c r="Z1235">
        <v>584</v>
      </c>
      <c r="AA1235">
        <v>1.1000000000000001</v>
      </c>
      <c r="AB1235" t="s">
        <v>5613</v>
      </c>
      <c r="AC1235" t="s">
        <v>6207</v>
      </c>
    </row>
    <row r="1236" spans="1:29">
      <c r="A1236" t="s">
        <v>6343</v>
      </c>
      <c r="B1236" t="s">
        <v>6343</v>
      </c>
      <c r="C1236" t="s">
        <v>6642</v>
      </c>
      <c r="D1236" t="s">
        <v>5587</v>
      </c>
      <c r="E1236" t="s">
        <v>29</v>
      </c>
      <c r="F1236" t="s">
        <v>5593</v>
      </c>
      <c r="G1236" t="s">
        <v>5594</v>
      </c>
      <c r="H1236" t="s">
        <v>5809</v>
      </c>
      <c r="I1236">
        <v>4</v>
      </c>
      <c r="J1236" t="s">
        <v>5595</v>
      </c>
      <c r="K1236">
        <v>4.9000000000000004</v>
      </c>
      <c r="L1236" t="s">
        <v>5737</v>
      </c>
      <c r="M1236">
        <v>3.8</v>
      </c>
      <c r="N1236" t="s">
        <v>5737</v>
      </c>
      <c r="O1236">
        <v>5.6</v>
      </c>
      <c r="P1236" t="s">
        <v>5613</v>
      </c>
      <c r="Q1236">
        <v>10.1</v>
      </c>
      <c r="R1236" t="s">
        <v>5613</v>
      </c>
      <c r="S1236">
        <v>10.199999999999999</v>
      </c>
      <c r="T1236" t="s">
        <v>5613</v>
      </c>
      <c r="U1236">
        <v>3.6</v>
      </c>
      <c r="V1236" t="s">
        <v>5613</v>
      </c>
      <c r="W1236">
        <v>7.2</v>
      </c>
      <c r="X1236" t="s">
        <v>5613</v>
      </c>
      <c r="Y1236">
        <v>9.5</v>
      </c>
      <c r="Z1236" t="s">
        <v>5613</v>
      </c>
      <c r="AA1236">
        <v>3.4</v>
      </c>
      <c r="AB1236" t="s">
        <v>5613</v>
      </c>
      <c r="AC1236" t="s">
        <v>6207</v>
      </c>
    </row>
    <row r="1237" spans="1:29">
      <c r="A1237" t="s">
        <v>6343</v>
      </c>
      <c r="B1237" t="s">
        <v>6343</v>
      </c>
      <c r="C1237" t="s">
        <v>2324</v>
      </c>
      <c r="D1237" t="s">
        <v>5678</v>
      </c>
      <c r="E1237" t="s">
        <v>389</v>
      </c>
      <c r="F1237" t="s">
        <v>5593</v>
      </c>
      <c r="G1237" t="s">
        <v>5594</v>
      </c>
      <c r="H1237" t="s">
        <v>5809</v>
      </c>
      <c r="I1237">
        <v>4</v>
      </c>
      <c r="J1237" t="s">
        <v>5591</v>
      </c>
      <c r="K1237">
        <v>7.3</v>
      </c>
      <c r="L1237" t="s">
        <v>5737</v>
      </c>
      <c r="M1237">
        <v>7.5</v>
      </c>
      <c r="N1237" t="s">
        <v>5737</v>
      </c>
      <c r="O1237">
        <v>4.3</v>
      </c>
      <c r="P1237" t="s">
        <v>5613</v>
      </c>
      <c r="Q1237">
        <v>6.8</v>
      </c>
      <c r="R1237" t="s">
        <v>5613</v>
      </c>
      <c r="S1237">
        <v>7.9</v>
      </c>
      <c r="T1237" t="s">
        <v>5613</v>
      </c>
      <c r="U1237">
        <v>7.4</v>
      </c>
      <c r="V1237" t="s">
        <v>5613</v>
      </c>
      <c r="W1237">
        <v>1</v>
      </c>
      <c r="X1237" t="s">
        <v>5613</v>
      </c>
      <c r="Y1237">
        <v>21.8</v>
      </c>
      <c r="Z1237">
        <v>381</v>
      </c>
      <c r="AA1237">
        <v>1.5</v>
      </c>
      <c r="AB1237" t="s">
        <v>5613</v>
      </c>
      <c r="AC1237" t="s">
        <v>6207</v>
      </c>
    </row>
    <row r="1238" spans="1:29">
      <c r="A1238" t="s">
        <v>6343</v>
      </c>
      <c r="B1238" t="s">
        <v>6343</v>
      </c>
      <c r="C1238" t="s">
        <v>6643</v>
      </c>
      <c r="D1238" t="s">
        <v>5589</v>
      </c>
      <c r="E1238" t="s">
        <v>1820</v>
      </c>
      <c r="F1238" t="s">
        <v>5588</v>
      </c>
      <c r="G1238" t="s">
        <v>5602</v>
      </c>
      <c r="H1238" t="s">
        <v>5809</v>
      </c>
      <c r="I1238">
        <v>4</v>
      </c>
      <c r="J1238" t="s">
        <v>5926</v>
      </c>
      <c r="K1238">
        <v>6</v>
      </c>
      <c r="L1238" t="s">
        <v>5737</v>
      </c>
      <c r="M1238">
        <v>4.5</v>
      </c>
      <c r="N1238" t="s">
        <v>5737</v>
      </c>
      <c r="O1238">
        <v>9.1999999999999993</v>
      </c>
      <c r="P1238" t="s">
        <v>5613</v>
      </c>
      <c r="Q1238">
        <v>1.7</v>
      </c>
      <c r="R1238" t="s">
        <v>5613</v>
      </c>
      <c r="S1238">
        <v>2.2999999999999998</v>
      </c>
      <c r="T1238" t="s">
        <v>5613</v>
      </c>
      <c r="U1238">
        <v>1.1000000000000001</v>
      </c>
      <c r="V1238" t="s">
        <v>5613</v>
      </c>
      <c r="W1238">
        <v>1</v>
      </c>
      <c r="X1238" t="s">
        <v>5613</v>
      </c>
      <c r="Y1238">
        <v>7.8</v>
      </c>
      <c r="Z1238" t="s">
        <v>5613</v>
      </c>
      <c r="AA1238">
        <v>1</v>
      </c>
      <c r="AB1238" t="s">
        <v>5613</v>
      </c>
      <c r="AC1238" t="s">
        <v>6207</v>
      </c>
    </row>
    <row r="1239" spans="1:29">
      <c r="A1239" t="s">
        <v>6343</v>
      </c>
      <c r="B1239" t="s">
        <v>6343</v>
      </c>
      <c r="C1239" t="s">
        <v>6644</v>
      </c>
      <c r="D1239" t="s">
        <v>5981</v>
      </c>
      <c r="E1239" t="s">
        <v>895</v>
      </c>
      <c r="F1239" t="s">
        <v>5588</v>
      </c>
      <c r="G1239" t="s">
        <v>5589</v>
      </c>
      <c r="H1239" t="s">
        <v>5590</v>
      </c>
      <c r="I1239">
        <v>3</v>
      </c>
      <c r="J1239" t="s">
        <v>5595</v>
      </c>
      <c r="K1239">
        <v>3.9</v>
      </c>
      <c r="L1239" t="s">
        <v>5737</v>
      </c>
      <c r="M1239">
        <v>2.7</v>
      </c>
      <c r="N1239" t="s">
        <v>5737</v>
      </c>
      <c r="O1239">
        <v>10.1</v>
      </c>
      <c r="P1239" t="s">
        <v>5613</v>
      </c>
      <c r="Q1239">
        <v>13.2</v>
      </c>
      <c r="R1239">
        <v>675</v>
      </c>
      <c r="S1239">
        <v>3</v>
      </c>
      <c r="T1239" t="s">
        <v>5613</v>
      </c>
      <c r="U1239">
        <v>2.7</v>
      </c>
      <c r="V1239" t="s">
        <v>5613</v>
      </c>
      <c r="W1239">
        <v>1.6</v>
      </c>
      <c r="X1239" t="s">
        <v>5613</v>
      </c>
      <c r="Y1239">
        <v>9.1</v>
      </c>
      <c r="Z1239" t="s">
        <v>5613</v>
      </c>
      <c r="AA1239">
        <v>1.1000000000000001</v>
      </c>
      <c r="AB1239" t="s">
        <v>5613</v>
      </c>
      <c r="AC1239" t="s">
        <v>6207</v>
      </c>
    </row>
    <row r="1240" spans="1:29">
      <c r="A1240" t="s">
        <v>6343</v>
      </c>
      <c r="B1240" t="s">
        <v>6343</v>
      </c>
      <c r="C1240" t="s">
        <v>3499</v>
      </c>
      <c r="D1240" t="s">
        <v>6015</v>
      </c>
      <c r="E1240" t="s">
        <v>1483</v>
      </c>
      <c r="F1240" t="s">
        <v>5593</v>
      </c>
      <c r="G1240" t="s">
        <v>5589</v>
      </c>
      <c r="H1240" t="s">
        <v>6146</v>
      </c>
      <c r="I1240">
        <v>2</v>
      </c>
      <c r="J1240" t="s">
        <v>5591</v>
      </c>
      <c r="K1240">
        <v>7.9</v>
      </c>
      <c r="L1240" t="s">
        <v>5737</v>
      </c>
      <c r="M1240">
        <v>11.4</v>
      </c>
      <c r="N1240" t="s">
        <v>5737</v>
      </c>
      <c r="O1240">
        <v>7.3</v>
      </c>
      <c r="P1240" t="s">
        <v>5613</v>
      </c>
      <c r="Q1240">
        <v>2.1</v>
      </c>
      <c r="R1240" t="s">
        <v>5613</v>
      </c>
      <c r="S1240">
        <v>14.2</v>
      </c>
      <c r="T1240">
        <v>680</v>
      </c>
      <c r="U1240">
        <v>1.2</v>
      </c>
      <c r="V1240" t="s">
        <v>5613</v>
      </c>
      <c r="W1240">
        <v>1</v>
      </c>
      <c r="X1240" t="s">
        <v>5613</v>
      </c>
      <c r="Y1240">
        <v>6</v>
      </c>
      <c r="Z1240" t="s">
        <v>5613</v>
      </c>
      <c r="AA1240">
        <v>1</v>
      </c>
      <c r="AB1240" t="s">
        <v>5613</v>
      </c>
      <c r="AC1240" t="s">
        <v>6207</v>
      </c>
    </row>
    <row r="1241" spans="1:29">
      <c r="A1241" t="s">
        <v>6343</v>
      </c>
      <c r="B1241" t="s">
        <v>6343</v>
      </c>
      <c r="C1241" t="s">
        <v>3516</v>
      </c>
      <c r="D1241" t="s">
        <v>6144</v>
      </c>
      <c r="E1241" t="s">
        <v>1468</v>
      </c>
      <c r="F1241" t="s">
        <v>5605</v>
      </c>
      <c r="G1241" t="s">
        <v>5602</v>
      </c>
      <c r="H1241" t="s">
        <v>5590</v>
      </c>
      <c r="I1241">
        <v>4</v>
      </c>
      <c r="J1241" t="s">
        <v>5595</v>
      </c>
      <c r="K1241">
        <v>6.1</v>
      </c>
      <c r="L1241" t="s">
        <v>5737</v>
      </c>
      <c r="M1241">
        <v>8.6999999999999993</v>
      </c>
      <c r="N1241" t="s">
        <v>5737</v>
      </c>
      <c r="O1241">
        <v>2.4</v>
      </c>
      <c r="P1241" t="s">
        <v>5613</v>
      </c>
      <c r="Q1241">
        <v>4.3</v>
      </c>
      <c r="R1241" t="s">
        <v>5613</v>
      </c>
      <c r="S1241">
        <v>3.8</v>
      </c>
      <c r="T1241" t="s">
        <v>5613</v>
      </c>
      <c r="U1241">
        <v>1.2</v>
      </c>
      <c r="V1241" t="s">
        <v>5613</v>
      </c>
      <c r="W1241">
        <v>1.6</v>
      </c>
      <c r="X1241" t="s">
        <v>5613</v>
      </c>
      <c r="Y1241">
        <v>15.3</v>
      </c>
      <c r="Z1241">
        <v>549</v>
      </c>
      <c r="AA1241">
        <v>1.2</v>
      </c>
      <c r="AB1241" t="s">
        <v>5613</v>
      </c>
      <c r="AC1241" t="s">
        <v>6207</v>
      </c>
    </row>
    <row r="1242" spans="1:29">
      <c r="A1242" t="s">
        <v>6343</v>
      </c>
      <c r="B1242" t="s">
        <v>6343</v>
      </c>
      <c r="C1242" t="s">
        <v>6645</v>
      </c>
      <c r="D1242" t="s">
        <v>6015</v>
      </c>
      <c r="E1242" t="s">
        <v>1483</v>
      </c>
      <c r="F1242" t="s">
        <v>5605</v>
      </c>
      <c r="G1242" t="s">
        <v>5589</v>
      </c>
      <c r="H1242" t="s">
        <v>5809</v>
      </c>
      <c r="I1242">
        <v>3</v>
      </c>
      <c r="J1242" t="s">
        <v>5595</v>
      </c>
      <c r="K1242">
        <v>7</v>
      </c>
      <c r="L1242" t="s">
        <v>5737</v>
      </c>
      <c r="M1242">
        <v>10.1</v>
      </c>
      <c r="N1242" t="s">
        <v>5737</v>
      </c>
      <c r="O1242">
        <v>4.4000000000000004</v>
      </c>
      <c r="P1242" t="s">
        <v>5613</v>
      </c>
      <c r="Q1242">
        <v>1.6</v>
      </c>
      <c r="R1242" t="s">
        <v>5613</v>
      </c>
      <c r="S1242">
        <v>1.2</v>
      </c>
      <c r="T1242" t="s">
        <v>5613</v>
      </c>
      <c r="U1242">
        <v>2.2999999999999998</v>
      </c>
      <c r="V1242" t="s">
        <v>5613</v>
      </c>
      <c r="W1242">
        <v>5.2</v>
      </c>
      <c r="X1242" t="s">
        <v>5613</v>
      </c>
      <c r="Y1242">
        <v>9.1999999999999993</v>
      </c>
      <c r="Z1242" t="s">
        <v>5613</v>
      </c>
      <c r="AA1242">
        <v>1.2</v>
      </c>
      <c r="AB1242" t="s">
        <v>5613</v>
      </c>
      <c r="AC1242" t="s">
        <v>6207</v>
      </c>
    </row>
    <row r="1243" spans="1:29">
      <c r="A1243" t="s">
        <v>6343</v>
      </c>
      <c r="B1243" t="s">
        <v>6343</v>
      </c>
      <c r="C1243" t="s">
        <v>6646</v>
      </c>
      <c r="D1243" t="s">
        <v>5616</v>
      </c>
      <c r="E1243" t="s">
        <v>54</v>
      </c>
      <c r="F1243" t="s">
        <v>5605</v>
      </c>
      <c r="G1243" t="s">
        <v>5602</v>
      </c>
      <c r="H1243" t="s">
        <v>5590</v>
      </c>
      <c r="I1243">
        <v>3</v>
      </c>
      <c r="J1243" t="s">
        <v>5595</v>
      </c>
      <c r="K1243">
        <v>4.0999999999999996</v>
      </c>
      <c r="L1243" t="s">
        <v>5737</v>
      </c>
      <c r="M1243">
        <v>1.5</v>
      </c>
      <c r="N1243" t="s">
        <v>5737</v>
      </c>
      <c r="O1243">
        <v>8.3000000000000007</v>
      </c>
      <c r="P1243" t="s">
        <v>5613</v>
      </c>
      <c r="Q1243">
        <v>13.6</v>
      </c>
      <c r="R1243">
        <v>665</v>
      </c>
      <c r="W1243">
        <v>11.2</v>
      </c>
      <c r="X1243">
        <v>648</v>
      </c>
      <c r="Y1243">
        <v>5.9</v>
      </c>
      <c r="Z1243" t="s">
        <v>5613</v>
      </c>
      <c r="AA1243">
        <v>4.0999999999999996</v>
      </c>
      <c r="AB1243" t="s">
        <v>5613</v>
      </c>
      <c r="AC1243" t="s">
        <v>6207</v>
      </c>
    </row>
    <row r="1244" spans="1:29">
      <c r="A1244" t="s">
        <v>6343</v>
      </c>
      <c r="B1244" t="s">
        <v>6343</v>
      </c>
      <c r="C1244" t="s">
        <v>6647</v>
      </c>
      <c r="D1244" t="s">
        <v>5644</v>
      </c>
      <c r="E1244" t="s">
        <v>181</v>
      </c>
      <c r="F1244" t="s">
        <v>5593</v>
      </c>
      <c r="G1244" t="s">
        <v>5602</v>
      </c>
      <c r="H1244" t="s">
        <v>5590</v>
      </c>
      <c r="I1244">
        <v>4</v>
      </c>
      <c r="J1244" t="s">
        <v>5926</v>
      </c>
      <c r="K1244">
        <v>5.9</v>
      </c>
      <c r="L1244" t="s">
        <v>5737</v>
      </c>
      <c r="M1244">
        <v>5.9</v>
      </c>
      <c r="N1244" t="s">
        <v>5737</v>
      </c>
      <c r="O1244">
        <v>9.3000000000000007</v>
      </c>
      <c r="P1244" t="s">
        <v>5613</v>
      </c>
      <c r="Q1244">
        <v>3.1</v>
      </c>
      <c r="R1244" t="s">
        <v>5613</v>
      </c>
      <c r="S1244">
        <v>17.600000000000001</v>
      </c>
      <c r="T1244">
        <v>620</v>
      </c>
      <c r="U1244">
        <v>10</v>
      </c>
      <c r="V1244" t="s">
        <v>5613</v>
      </c>
      <c r="W1244">
        <v>1</v>
      </c>
      <c r="X1244" t="s">
        <v>5613</v>
      </c>
      <c r="Y1244">
        <v>6.8</v>
      </c>
      <c r="Z1244" t="s">
        <v>5613</v>
      </c>
      <c r="AA1244">
        <v>1</v>
      </c>
      <c r="AB1244" t="s">
        <v>5613</v>
      </c>
      <c r="AC1244" t="s">
        <v>6207</v>
      </c>
    </row>
    <row r="1245" spans="1:29">
      <c r="A1245" t="s">
        <v>6343</v>
      </c>
      <c r="B1245" t="s">
        <v>6343</v>
      </c>
      <c r="C1245" t="s">
        <v>6648</v>
      </c>
      <c r="D1245" t="s">
        <v>5587</v>
      </c>
      <c r="E1245" t="s">
        <v>29</v>
      </c>
      <c r="F1245" t="s">
        <v>5588</v>
      </c>
      <c r="G1245" t="s">
        <v>5589</v>
      </c>
      <c r="H1245" t="s">
        <v>5809</v>
      </c>
      <c r="I1245">
        <v>4</v>
      </c>
      <c r="J1245" t="s">
        <v>5595</v>
      </c>
      <c r="K1245">
        <v>6.3</v>
      </c>
      <c r="L1245" t="s">
        <v>5737</v>
      </c>
      <c r="M1245">
        <v>4.8</v>
      </c>
      <c r="N1245" t="s">
        <v>5737</v>
      </c>
      <c r="O1245">
        <v>7.8</v>
      </c>
      <c r="P1245" t="s">
        <v>5613</v>
      </c>
      <c r="Q1245">
        <v>2.8</v>
      </c>
      <c r="R1245" t="s">
        <v>5613</v>
      </c>
      <c r="S1245">
        <v>1.9</v>
      </c>
      <c r="T1245" t="s">
        <v>5613</v>
      </c>
      <c r="U1245">
        <v>2.4</v>
      </c>
      <c r="V1245" t="s">
        <v>5613</v>
      </c>
      <c r="W1245">
        <v>1</v>
      </c>
      <c r="X1245" t="s">
        <v>5613</v>
      </c>
      <c r="Y1245">
        <v>9.1</v>
      </c>
      <c r="Z1245" t="s">
        <v>5613</v>
      </c>
      <c r="AA1245">
        <v>1</v>
      </c>
      <c r="AB1245" t="s">
        <v>5613</v>
      </c>
      <c r="AC1245" t="s">
        <v>6207</v>
      </c>
    </row>
    <row r="1246" spans="1:29">
      <c r="A1246" t="s">
        <v>6343</v>
      </c>
      <c r="B1246" t="s">
        <v>6343</v>
      </c>
      <c r="C1246" t="s">
        <v>6649</v>
      </c>
      <c r="D1246" t="s">
        <v>5959</v>
      </c>
      <c r="E1246" t="s">
        <v>1102</v>
      </c>
      <c r="F1246" t="s">
        <v>5593</v>
      </c>
      <c r="G1246" t="s">
        <v>5602</v>
      </c>
      <c r="H1246" t="s">
        <v>5590</v>
      </c>
      <c r="I1246">
        <v>3</v>
      </c>
      <c r="J1246" t="s">
        <v>5595</v>
      </c>
      <c r="K1246">
        <v>6.3</v>
      </c>
      <c r="L1246" t="s">
        <v>5737</v>
      </c>
      <c r="M1246">
        <v>10.8</v>
      </c>
      <c r="N1246" t="s">
        <v>5737</v>
      </c>
      <c r="O1246">
        <v>3.6</v>
      </c>
      <c r="P1246" t="s">
        <v>5613</v>
      </c>
      <c r="Q1246">
        <v>7.2</v>
      </c>
      <c r="R1246" t="s">
        <v>5613</v>
      </c>
      <c r="S1246">
        <v>4.5</v>
      </c>
      <c r="T1246" t="s">
        <v>5613</v>
      </c>
      <c r="U1246">
        <v>6.7</v>
      </c>
      <c r="V1246" t="s">
        <v>5613</v>
      </c>
      <c r="W1246">
        <v>4.4000000000000004</v>
      </c>
      <c r="X1246" t="s">
        <v>5613</v>
      </c>
      <c r="Y1246">
        <v>6.9</v>
      </c>
      <c r="Z1246" t="s">
        <v>5613</v>
      </c>
      <c r="AA1246">
        <v>1.1000000000000001</v>
      </c>
      <c r="AB1246" t="s">
        <v>5613</v>
      </c>
      <c r="AC1246" t="s">
        <v>6207</v>
      </c>
    </row>
    <row r="1247" spans="1:29">
      <c r="A1247" t="s">
        <v>6343</v>
      </c>
      <c r="B1247" t="s">
        <v>6240</v>
      </c>
      <c r="C1247" t="s">
        <v>6650</v>
      </c>
      <c r="D1247" t="s">
        <v>5981</v>
      </c>
      <c r="E1247" t="s">
        <v>895</v>
      </c>
      <c r="F1247" t="s">
        <v>5593</v>
      </c>
      <c r="G1247" t="s">
        <v>5589</v>
      </c>
      <c r="H1247" t="s">
        <v>6146</v>
      </c>
      <c r="I1247">
        <v>2</v>
      </c>
      <c r="J1247" t="s">
        <v>5591</v>
      </c>
      <c r="K1247">
        <v>3.7</v>
      </c>
      <c r="L1247" t="s">
        <v>5737</v>
      </c>
      <c r="M1247">
        <v>2.8</v>
      </c>
      <c r="N1247" t="s">
        <v>5737</v>
      </c>
      <c r="O1247">
        <v>12.1</v>
      </c>
      <c r="P1247" t="s">
        <v>5613</v>
      </c>
      <c r="Q1247">
        <v>1.4</v>
      </c>
      <c r="R1247" t="s">
        <v>5613</v>
      </c>
      <c r="S1247">
        <v>9.5</v>
      </c>
      <c r="T1247" t="s">
        <v>5613</v>
      </c>
      <c r="U1247">
        <v>50.5</v>
      </c>
      <c r="V1247">
        <v>289</v>
      </c>
      <c r="W1247">
        <v>1</v>
      </c>
      <c r="X1247" t="s">
        <v>5613</v>
      </c>
      <c r="Y1247">
        <v>8.4</v>
      </c>
      <c r="Z1247" t="s">
        <v>5613</v>
      </c>
      <c r="AA1247">
        <v>2.4</v>
      </c>
      <c r="AB1247" t="s">
        <v>5613</v>
      </c>
      <c r="AC1247" t="s">
        <v>6207</v>
      </c>
    </row>
    <row r="1248" spans="1:29">
      <c r="A1248" t="s">
        <v>6343</v>
      </c>
      <c r="B1248" t="s">
        <v>6343</v>
      </c>
      <c r="C1248" t="s">
        <v>6651</v>
      </c>
      <c r="D1248" t="s">
        <v>5981</v>
      </c>
      <c r="E1248" t="s">
        <v>895</v>
      </c>
      <c r="F1248" t="s">
        <v>5588</v>
      </c>
      <c r="G1248" t="s">
        <v>5602</v>
      </c>
      <c r="H1248" t="s">
        <v>5809</v>
      </c>
      <c r="I1248">
        <v>3</v>
      </c>
      <c r="J1248" t="s">
        <v>5591</v>
      </c>
      <c r="K1248">
        <v>4.4000000000000004</v>
      </c>
      <c r="L1248" t="s">
        <v>5737</v>
      </c>
      <c r="M1248">
        <v>4.5</v>
      </c>
      <c r="N1248" t="s">
        <v>5737</v>
      </c>
      <c r="O1248">
        <v>12.6</v>
      </c>
      <c r="P1248" t="s">
        <v>5613</v>
      </c>
      <c r="Q1248">
        <v>2</v>
      </c>
      <c r="R1248" t="s">
        <v>5613</v>
      </c>
      <c r="S1248">
        <v>6.4</v>
      </c>
      <c r="T1248" t="s">
        <v>5613</v>
      </c>
      <c r="U1248">
        <v>25.5</v>
      </c>
      <c r="V1248">
        <v>470</v>
      </c>
      <c r="W1248">
        <v>1</v>
      </c>
      <c r="X1248" t="s">
        <v>5613</v>
      </c>
      <c r="Y1248">
        <v>10.199999999999999</v>
      </c>
      <c r="Z1248" t="s">
        <v>5613</v>
      </c>
      <c r="AA1248">
        <v>2.6</v>
      </c>
      <c r="AB1248" t="s">
        <v>5613</v>
      </c>
      <c r="AC1248" t="s">
        <v>6207</v>
      </c>
    </row>
    <row r="1249" spans="1:29">
      <c r="A1249" t="s">
        <v>6343</v>
      </c>
      <c r="B1249" t="s">
        <v>6240</v>
      </c>
      <c r="C1249" t="s">
        <v>2854</v>
      </c>
      <c r="D1249" t="s">
        <v>6264</v>
      </c>
      <c r="E1249" t="s">
        <v>1123</v>
      </c>
      <c r="F1249" t="s">
        <v>5593</v>
      </c>
      <c r="G1249" t="s">
        <v>5589</v>
      </c>
      <c r="H1249" t="s">
        <v>5809</v>
      </c>
      <c r="I1249">
        <v>5</v>
      </c>
      <c r="J1249" t="s">
        <v>5595</v>
      </c>
      <c r="K1249">
        <v>4.3</v>
      </c>
      <c r="L1249" t="s">
        <v>5737</v>
      </c>
      <c r="M1249">
        <v>10.1</v>
      </c>
      <c r="N1249" t="s">
        <v>5737</v>
      </c>
      <c r="O1249">
        <v>34.200000000000003</v>
      </c>
      <c r="P1249">
        <v>467</v>
      </c>
      <c r="Q1249">
        <v>1.3</v>
      </c>
      <c r="R1249" t="s">
        <v>5613</v>
      </c>
      <c r="S1249">
        <v>1.4</v>
      </c>
      <c r="T1249" t="s">
        <v>5613</v>
      </c>
      <c r="U1249">
        <v>2</v>
      </c>
      <c r="V1249" t="s">
        <v>5613</v>
      </c>
      <c r="W1249">
        <v>1</v>
      </c>
      <c r="X1249" t="s">
        <v>5613</v>
      </c>
      <c r="Y1249">
        <v>12</v>
      </c>
      <c r="Z1249" t="s">
        <v>5613</v>
      </c>
      <c r="AA1249">
        <v>1.1000000000000001</v>
      </c>
      <c r="AB1249" t="s">
        <v>5613</v>
      </c>
      <c r="AC1249" t="s">
        <v>6207</v>
      </c>
    </row>
    <row r="1250" spans="1:29">
      <c r="A1250" t="s">
        <v>6343</v>
      </c>
      <c r="B1250" t="s">
        <v>6343</v>
      </c>
      <c r="C1250" t="s">
        <v>2856</v>
      </c>
      <c r="D1250" t="s">
        <v>5981</v>
      </c>
      <c r="E1250" t="s">
        <v>895</v>
      </c>
      <c r="F1250" t="s">
        <v>5588</v>
      </c>
      <c r="G1250" t="s">
        <v>5589</v>
      </c>
      <c r="H1250" t="s">
        <v>5809</v>
      </c>
      <c r="I1250">
        <v>3</v>
      </c>
      <c r="J1250" t="s">
        <v>5595</v>
      </c>
      <c r="K1250">
        <v>6.6</v>
      </c>
      <c r="L1250" t="s">
        <v>5737</v>
      </c>
      <c r="M1250">
        <v>3.5</v>
      </c>
      <c r="N1250" t="s">
        <v>5737</v>
      </c>
      <c r="O1250">
        <v>5.9</v>
      </c>
      <c r="P1250" t="s">
        <v>5613</v>
      </c>
      <c r="Q1250">
        <v>7.5</v>
      </c>
      <c r="R1250" t="s">
        <v>5613</v>
      </c>
      <c r="S1250">
        <v>3.4</v>
      </c>
      <c r="T1250" t="s">
        <v>5613</v>
      </c>
      <c r="U1250">
        <v>2.2999999999999998</v>
      </c>
      <c r="V1250" t="s">
        <v>5613</v>
      </c>
      <c r="W1250">
        <v>1</v>
      </c>
      <c r="X1250" t="s">
        <v>5613</v>
      </c>
      <c r="Y1250">
        <v>6.9</v>
      </c>
      <c r="Z1250" t="s">
        <v>5613</v>
      </c>
      <c r="AA1250">
        <v>3.5</v>
      </c>
      <c r="AB1250" t="s">
        <v>5613</v>
      </c>
      <c r="AC1250" t="s">
        <v>6207</v>
      </c>
    </row>
    <row r="1251" spans="1:29">
      <c r="A1251" t="s">
        <v>6343</v>
      </c>
      <c r="C1251" t="s">
        <v>1971</v>
      </c>
      <c r="D1251" t="s">
        <v>6272</v>
      </c>
      <c r="E1251" t="s">
        <v>1846</v>
      </c>
      <c r="G1251" t="s">
        <v>5602</v>
      </c>
      <c r="I1251">
        <v>4</v>
      </c>
      <c r="K1251">
        <v>8.5</v>
      </c>
      <c r="L1251" t="s">
        <v>5737</v>
      </c>
      <c r="M1251">
        <v>13.7</v>
      </c>
      <c r="N1251">
        <v>590</v>
      </c>
      <c r="W1251">
        <v>1.2</v>
      </c>
      <c r="X1251" t="s">
        <v>5613</v>
      </c>
      <c r="AC1251" t="s">
        <v>6207</v>
      </c>
    </row>
    <row r="1252" spans="1:29">
      <c r="A1252" t="s">
        <v>6343</v>
      </c>
      <c r="B1252" t="s">
        <v>6343</v>
      </c>
      <c r="C1252" t="s">
        <v>6652</v>
      </c>
      <c r="D1252" t="s">
        <v>5770</v>
      </c>
      <c r="E1252" t="s">
        <v>528</v>
      </c>
      <c r="F1252" t="s">
        <v>5588</v>
      </c>
      <c r="G1252" t="s">
        <v>5589</v>
      </c>
      <c r="H1252" t="s">
        <v>5590</v>
      </c>
      <c r="I1252">
        <v>3</v>
      </c>
      <c r="J1252" t="s">
        <v>5595</v>
      </c>
      <c r="K1252">
        <v>4.2</v>
      </c>
      <c r="L1252" t="s">
        <v>5737</v>
      </c>
      <c r="M1252">
        <v>1.5</v>
      </c>
      <c r="N1252" t="s">
        <v>5737</v>
      </c>
      <c r="O1252">
        <v>7.6</v>
      </c>
      <c r="P1252" t="s">
        <v>5613</v>
      </c>
      <c r="Q1252">
        <v>12.6</v>
      </c>
      <c r="R1252">
        <v>686</v>
      </c>
      <c r="U1252">
        <v>3</v>
      </c>
      <c r="V1252" t="s">
        <v>5613</v>
      </c>
      <c r="W1252">
        <v>1</v>
      </c>
      <c r="X1252" t="s">
        <v>5613</v>
      </c>
      <c r="Y1252">
        <v>7.7</v>
      </c>
      <c r="Z1252" t="s">
        <v>5613</v>
      </c>
      <c r="AA1252">
        <v>1</v>
      </c>
      <c r="AB1252" t="s">
        <v>5613</v>
      </c>
      <c r="AC1252" t="s">
        <v>6207</v>
      </c>
    </row>
    <row r="1253" spans="1:29">
      <c r="A1253" t="s">
        <v>6343</v>
      </c>
      <c r="B1253" t="s">
        <v>6240</v>
      </c>
      <c r="C1253" t="s">
        <v>6653</v>
      </c>
      <c r="D1253" t="s">
        <v>5644</v>
      </c>
      <c r="E1253" t="s">
        <v>181</v>
      </c>
      <c r="F1253" t="s">
        <v>5588</v>
      </c>
      <c r="G1253" t="s">
        <v>5594</v>
      </c>
      <c r="H1253" t="s">
        <v>5809</v>
      </c>
      <c r="I1253">
        <v>4</v>
      </c>
      <c r="J1253" t="s">
        <v>5595</v>
      </c>
      <c r="K1253">
        <v>4.8</v>
      </c>
      <c r="L1253" t="s">
        <v>5737</v>
      </c>
      <c r="M1253">
        <v>2</v>
      </c>
      <c r="N1253" t="s">
        <v>5737</v>
      </c>
      <c r="O1253">
        <v>25.3</v>
      </c>
      <c r="P1253">
        <v>580</v>
      </c>
      <c r="Q1253">
        <v>6.6</v>
      </c>
      <c r="R1253" t="s">
        <v>5613</v>
      </c>
      <c r="S1253">
        <v>3.8</v>
      </c>
      <c r="T1253" t="s">
        <v>5613</v>
      </c>
      <c r="U1253">
        <v>4.2</v>
      </c>
      <c r="V1253" t="s">
        <v>5613</v>
      </c>
      <c r="W1253">
        <v>1.1000000000000001</v>
      </c>
      <c r="X1253" t="s">
        <v>5613</v>
      </c>
      <c r="Y1253">
        <v>5.2</v>
      </c>
      <c r="Z1253" t="s">
        <v>5613</v>
      </c>
      <c r="AA1253">
        <v>1.1000000000000001</v>
      </c>
      <c r="AB1253" t="s">
        <v>5613</v>
      </c>
      <c r="AC1253" t="s">
        <v>6207</v>
      </c>
    </row>
    <row r="1254" spans="1:29">
      <c r="A1254" t="s">
        <v>6343</v>
      </c>
      <c r="C1254" t="s">
        <v>6654</v>
      </c>
      <c r="D1254" t="s">
        <v>6602</v>
      </c>
      <c r="E1254" t="s">
        <v>2952</v>
      </c>
      <c r="F1254" t="s">
        <v>5605</v>
      </c>
      <c r="G1254" t="s">
        <v>5589</v>
      </c>
      <c r="H1254" t="s">
        <v>6146</v>
      </c>
      <c r="K1254">
        <v>7.1</v>
      </c>
      <c r="L1254" t="s">
        <v>5737</v>
      </c>
      <c r="M1254">
        <v>8</v>
      </c>
      <c r="N1254" t="s">
        <v>5737</v>
      </c>
      <c r="O1254">
        <v>1.4</v>
      </c>
      <c r="P1254" t="s">
        <v>5613</v>
      </c>
      <c r="Q1254">
        <v>1.3</v>
      </c>
      <c r="R1254" t="s">
        <v>5613</v>
      </c>
      <c r="W1254">
        <v>1</v>
      </c>
      <c r="X1254" t="s">
        <v>5613</v>
      </c>
      <c r="Y1254">
        <v>15.1</v>
      </c>
      <c r="Z1254">
        <v>555</v>
      </c>
      <c r="AC1254" t="s">
        <v>6207</v>
      </c>
    </row>
    <row r="1255" spans="1:29">
      <c r="A1255" t="s">
        <v>6343</v>
      </c>
      <c r="B1255" t="s">
        <v>6240</v>
      </c>
      <c r="C1255" t="s">
        <v>6655</v>
      </c>
      <c r="D1255" t="s">
        <v>6264</v>
      </c>
      <c r="E1255" t="s">
        <v>1123</v>
      </c>
      <c r="F1255" t="s">
        <v>5588</v>
      </c>
      <c r="G1255" t="s">
        <v>5602</v>
      </c>
      <c r="H1255" t="s">
        <v>5590</v>
      </c>
      <c r="I1255">
        <v>4</v>
      </c>
      <c r="J1255" t="s">
        <v>5595</v>
      </c>
      <c r="K1255">
        <v>3.7</v>
      </c>
      <c r="L1255" t="s">
        <v>5737</v>
      </c>
      <c r="M1255">
        <v>13.1</v>
      </c>
      <c r="N1255" t="s">
        <v>5737</v>
      </c>
      <c r="O1255">
        <v>26</v>
      </c>
      <c r="P1255">
        <v>569</v>
      </c>
      <c r="Q1255">
        <v>1.5</v>
      </c>
      <c r="R1255" t="s">
        <v>5613</v>
      </c>
      <c r="S1255">
        <v>1.4</v>
      </c>
      <c r="T1255" t="s">
        <v>5613</v>
      </c>
      <c r="U1255">
        <v>10.9</v>
      </c>
      <c r="V1255">
        <v>696</v>
      </c>
      <c r="W1255">
        <v>1</v>
      </c>
      <c r="X1255" t="s">
        <v>5613</v>
      </c>
      <c r="Y1255">
        <v>10.5</v>
      </c>
      <c r="Z1255" t="s">
        <v>5613</v>
      </c>
      <c r="AA1255">
        <v>2.1</v>
      </c>
      <c r="AB1255" t="s">
        <v>5613</v>
      </c>
      <c r="AC1255" t="s">
        <v>6207</v>
      </c>
    </row>
    <row r="1256" spans="1:29">
      <c r="A1256" t="s">
        <v>6343</v>
      </c>
      <c r="C1256" t="s">
        <v>6656</v>
      </c>
      <c r="D1256" t="s">
        <v>6272</v>
      </c>
      <c r="E1256" t="s">
        <v>1846</v>
      </c>
      <c r="F1256" t="s">
        <v>5588</v>
      </c>
      <c r="G1256" t="s">
        <v>5602</v>
      </c>
      <c r="H1256" t="s">
        <v>5590</v>
      </c>
      <c r="I1256">
        <v>3</v>
      </c>
      <c r="J1256" t="s">
        <v>5595</v>
      </c>
      <c r="K1256">
        <v>5.9</v>
      </c>
      <c r="L1256" t="s">
        <v>5737</v>
      </c>
      <c r="M1256">
        <v>11.4</v>
      </c>
      <c r="N1256" t="s">
        <v>5737</v>
      </c>
      <c r="O1256">
        <v>11.2</v>
      </c>
      <c r="P1256" t="s">
        <v>5613</v>
      </c>
      <c r="Q1256">
        <v>4.8</v>
      </c>
      <c r="R1256" t="s">
        <v>5613</v>
      </c>
      <c r="W1256">
        <v>1</v>
      </c>
      <c r="X1256" t="s">
        <v>5613</v>
      </c>
      <c r="Y1256">
        <v>8.3000000000000007</v>
      </c>
      <c r="Z1256" t="s">
        <v>5613</v>
      </c>
      <c r="AA1256">
        <v>1</v>
      </c>
      <c r="AB1256" t="s">
        <v>5613</v>
      </c>
      <c r="AC1256" t="s">
        <v>6207</v>
      </c>
    </row>
    <row r="1257" spans="1:29">
      <c r="A1257" t="s">
        <v>6343</v>
      </c>
      <c r="B1257" t="s">
        <v>6343</v>
      </c>
      <c r="C1257" t="s">
        <v>2390</v>
      </c>
      <c r="D1257" t="s">
        <v>5631</v>
      </c>
      <c r="E1257" t="s">
        <v>94</v>
      </c>
      <c r="F1257" t="s">
        <v>5605</v>
      </c>
      <c r="G1257" t="s">
        <v>5594</v>
      </c>
      <c r="H1257" t="s">
        <v>5809</v>
      </c>
      <c r="I1257">
        <v>4</v>
      </c>
      <c r="J1257" t="s">
        <v>5926</v>
      </c>
      <c r="K1257">
        <v>5.3</v>
      </c>
      <c r="L1257" t="s">
        <v>5737</v>
      </c>
      <c r="M1257">
        <v>4.5999999999999996</v>
      </c>
      <c r="N1257" t="s">
        <v>5737</v>
      </c>
      <c r="O1257">
        <v>10.6</v>
      </c>
      <c r="P1257" t="s">
        <v>5613</v>
      </c>
      <c r="Q1257">
        <v>4.5</v>
      </c>
      <c r="R1257" t="s">
        <v>5613</v>
      </c>
      <c r="S1257">
        <v>16.399999999999999</v>
      </c>
      <c r="T1257">
        <v>646</v>
      </c>
      <c r="U1257">
        <v>2.1</v>
      </c>
      <c r="V1257" t="s">
        <v>5613</v>
      </c>
      <c r="W1257">
        <v>1.2</v>
      </c>
      <c r="X1257" t="s">
        <v>5613</v>
      </c>
      <c r="Y1257">
        <v>7.8</v>
      </c>
      <c r="Z1257" t="s">
        <v>5613</v>
      </c>
      <c r="AA1257">
        <v>1.1000000000000001</v>
      </c>
      <c r="AB1257" t="s">
        <v>5613</v>
      </c>
      <c r="AC1257" t="s">
        <v>6207</v>
      </c>
    </row>
    <row r="1258" spans="1:29">
      <c r="A1258" t="s">
        <v>6343</v>
      </c>
      <c r="B1258" t="s">
        <v>6343</v>
      </c>
      <c r="C1258" t="s">
        <v>6657</v>
      </c>
      <c r="D1258" t="s">
        <v>5843</v>
      </c>
      <c r="E1258" t="s">
        <v>1448</v>
      </c>
      <c r="F1258" t="s">
        <v>5593</v>
      </c>
      <c r="G1258" t="s">
        <v>5602</v>
      </c>
      <c r="H1258" t="s">
        <v>5590</v>
      </c>
      <c r="I1258">
        <v>4</v>
      </c>
      <c r="J1258" t="s">
        <v>5595</v>
      </c>
      <c r="K1258">
        <v>8.1</v>
      </c>
      <c r="L1258" t="s">
        <v>5737</v>
      </c>
      <c r="M1258">
        <v>7.4</v>
      </c>
      <c r="N1258" t="s">
        <v>5737</v>
      </c>
      <c r="O1258">
        <v>4.8</v>
      </c>
      <c r="P1258" t="s">
        <v>5613</v>
      </c>
      <c r="Q1258">
        <v>3.1</v>
      </c>
      <c r="R1258" t="s">
        <v>5613</v>
      </c>
      <c r="S1258">
        <v>15.7</v>
      </c>
      <c r="T1258">
        <v>656</v>
      </c>
      <c r="U1258">
        <v>1.6</v>
      </c>
      <c r="V1258" t="s">
        <v>5613</v>
      </c>
      <c r="W1258">
        <v>1.1000000000000001</v>
      </c>
      <c r="X1258" t="s">
        <v>5613</v>
      </c>
      <c r="Y1258">
        <v>9.5</v>
      </c>
      <c r="Z1258" t="s">
        <v>5613</v>
      </c>
      <c r="AA1258">
        <v>1.3</v>
      </c>
      <c r="AB1258" t="s">
        <v>5613</v>
      </c>
      <c r="AC1258" t="s">
        <v>6207</v>
      </c>
    </row>
    <row r="1259" spans="1:29">
      <c r="A1259" t="s">
        <v>6343</v>
      </c>
      <c r="C1259" t="s">
        <v>2887</v>
      </c>
      <c r="D1259" t="s">
        <v>5843</v>
      </c>
      <c r="E1259" t="s">
        <v>1448</v>
      </c>
      <c r="F1259" t="s">
        <v>5593</v>
      </c>
      <c r="G1259" t="s">
        <v>5602</v>
      </c>
      <c r="H1259" t="s">
        <v>5590</v>
      </c>
      <c r="I1259">
        <v>3</v>
      </c>
      <c r="J1259" t="s">
        <v>5595</v>
      </c>
      <c r="K1259">
        <v>8.1</v>
      </c>
      <c r="L1259" t="s">
        <v>5737</v>
      </c>
      <c r="M1259">
        <v>5.8</v>
      </c>
      <c r="N1259" t="s">
        <v>5737</v>
      </c>
      <c r="O1259">
        <v>3.7</v>
      </c>
      <c r="P1259" t="s">
        <v>5613</v>
      </c>
      <c r="Q1259">
        <v>3</v>
      </c>
      <c r="R1259" t="s">
        <v>5613</v>
      </c>
      <c r="S1259">
        <v>3.4</v>
      </c>
      <c r="T1259" t="s">
        <v>5613</v>
      </c>
      <c r="U1259">
        <v>1.1000000000000001</v>
      </c>
      <c r="V1259" t="s">
        <v>5613</v>
      </c>
      <c r="W1259">
        <v>1.1000000000000001</v>
      </c>
      <c r="X1259" t="s">
        <v>5613</v>
      </c>
      <c r="Y1259">
        <v>8.3000000000000007</v>
      </c>
      <c r="Z1259" t="s">
        <v>5613</v>
      </c>
      <c r="AA1259">
        <v>1.1000000000000001</v>
      </c>
      <c r="AB1259" t="s">
        <v>5613</v>
      </c>
      <c r="AC1259" t="s">
        <v>6207</v>
      </c>
    </row>
    <row r="1260" spans="1:29">
      <c r="A1260" t="s">
        <v>6343</v>
      </c>
      <c r="C1260" t="s">
        <v>6658</v>
      </c>
      <c r="D1260" t="s">
        <v>5863</v>
      </c>
      <c r="E1260" t="s">
        <v>1306</v>
      </c>
      <c r="F1260" t="s">
        <v>5588</v>
      </c>
      <c r="G1260" t="s">
        <v>5602</v>
      </c>
      <c r="H1260" t="s">
        <v>6146</v>
      </c>
      <c r="I1260">
        <v>4</v>
      </c>
      <c r="J1260" t="s">
        <v>5595</v>
      </c>
      <c r="K1260">
        <v>5.9</v>
      </c>
      <c r="L1260" t="s">
        <v>5737</v>
      </c>
      <c r="M1260">
        <v>6.3</v>
      </c>
      <c r="N1260" t="s">
        <v>5737</v>
      </c>
      <c r="O1260">
        <v>5.0999999999999996</v>
      </c>
      <c r="P1260" t="s">
        <v>5613</v>
      </c>
      <c r="Q1260">
        <v>1</v>
      </c>
      <c r="R1260" t="s">
        <v>5613</v>
      </c>
      <c r="S1260">
        <v>2.6</v>
      </c>
      <c r="T1260" t="s">
        <v>5613</v>
      </c>
      <c r="U1260">
        <v>1.2</v>
      </c>
      <c r="V1260" t="s">
        <v>5613</v>
      </c>
      <c r="W1260">
        <v>1</v>
      </c>
      <c r="X1260" t="s">
        <v>5613</v>
      </c>
      <c r="Y1260">
        <v>12.4</v>
      </c>
      <c r="Z1260" t="s">
        <v>5613</v>
      </c>
      <c r="AA1260">
        <v>1.3</v>
      </c>
      <c r="AB1260" t="s">
        <v>5613</v>
      </c>
      <c r="AC1260" t="s">
        <v>6207</v>
      </c>
    </row>
    <row r="1261" spans="1:29">
      <c r="A1261" t="s">
        <v>6343</v>
      </c>
      <c r="B1261" t="s">
        <v>6343</v>
      </c>
      <c r="C1261" t="s">
        <v>3630</v>
      </c>
      <c r="D1261" t="s">
        <v>5631</v>
      </c>
      <c r="E1261" t="s">
        <v>94</v>
      </c>
      <c r="F1261" t="s">
        <v>5593</v>
      </c>
      <c r="G1261" t="s">
        <v>5589</v>
      </c>
      <c r="H1261" t="s">
        <v>5809</v>
      </c>
      <c r="I1261">
        <v>4</v>
      </c>
      <c r="J1261" t="s">
        <v>5591</v>
      </c>
      <c r="K1261">
        <v>4.2</v>
      </c>
      <c r="L1261" t="s">
        <v>5737</v>
      </c>
      <c r="M1261">
        <v>6.4</v>
      </c>
      <c r="N1261" t="s">
        <v>5737</v>
      </c>
      <c r="O1261">
        <v>4.5</v>
      </c>
      <c r="P1261" t="s">
        <v>5613</v>
      </c>
      <c r="Q1261">
        <v>2.5</v>
      </c>
      <c r="R1261" t="s">
        <v>5613</v>
      </c>
      <c r="S1261">
        <v>24.4</v>
      </c>
      <c r="T1261">
        <v>543</v>
      </c>
      <c r="U1261">
        <v>3.9</v>
      </c>
      <c r="V1261" t="s">
        <v>5613</v>
      </c>
      <c r="W1261">
        <v>1</v>
      </c>
      <c r="X1261" t="s">
        <v>5613</v>
      </c>
      <c r="Y1261">
        <v>10.6</v>
      </c>
      <c r="Z1261" t="s">
        <v>5613</v>
      </c>
      <c r="AA1261">
        <v>1</v>
      </c>
      <c r="AB1261" t="s">
        <v>5613</v>
      </c>
      <c r="AC1261" t="s">
        <v>6207</v>
      </c>
    </row>
    <row r="1262" spans="1:29">
      <c r="A1262" t="s">
        <v>6343</v>
      </c>
      <c r="C1262" t="s">
        <v>6659</v>
      </c>
      <c r="D1262" t="s">
        <v>5863</v>
      </c>
      <c r="E1262" t="s">
        <v>1306</v>
      </c>
      <c r="F1262" t="s">
        <v>5593</v>
      </c>
      <c r="G1262" t="s">
        <v>5589</v>
      </c>
      <c r="H1262" t="s">
        <v>6146</v>
      </c>
      <c r="I1262">
        <v>1</v>
      </c>
      <c r="J1262" t="s">
        <v>5595</v>
      </c>
      <c r="K1262">
        <v>6.6</v>
      </c>
      <c r="L1262" t="s">
        <v>5737</v>
      </c>
      <c r="M1262">
        <v>2.6</v>
      </c>
      <c r="N1262" t="s">
        <v>5737</v>
      </c>
      <c r="O1262">
        <v>10.8</v>
      </c>
      <c r="P1262" t="s">
        <v>5613</v>
      </c>
      <c r="Q1262">
        <v>1</v>
      </c>
      <c r="R1262" t="s">
        <v>5613</v>
      </c>
      <c r="U1262">
        <v>20.5</v>
      </c>
      <c r="V1262">
        <v>540</v>
      </c>
      <c r="W1262">
        <v>1</v>
      </c>
      <c r="X1262" t="s">
        <v>5613</v>
      </c>
      <c r="Y1262">
        <v>9.9</v>
      </c>
      <c r="Z1262" t="s">
        <v>5613</v>
      </c>
      <c r="AA1262">
        <v>1</v>
      </c>
      <c r="AB1262" t="s">
        <v>5613</v>
      </c>
      <c r="AC1262" t="s">
        <v>6207</v>
      </c>
    </row>
    <row r="1263" spans="1:29">
      <c r="A1263" t="s">
        <v>6343</v>
      </c>
      <c r="B1263" t="s">
        <v>6343</v>
      </c>
      <c r="C1263" t="s">
        <v>3675</v>
      </c>
      <c r="D1263" t="s">
        <v>5981</v>
      </c>
      <c r="E1263" t="s">
        <v>895</v>
      </c>
      <c r="F1263" t="s">
        <v>5605</v>
      </c>
      <c r="G1263" t="s">
        <v>5602</v>
      </c>
      <c r="H1263" t="s">
        <v>5590</v>
      </c>
      <c r="I1263">
        <v>5</v>
      </c>
      <c r="J1263" t="s">
        <v>5595</v>
      </c>
      <c r="K1263">
        <v>6.8</v>
      </c>
      <c r="L1263" t="s">
        <v>5737</v>
      </c>
      <c r="M1263">
        <v>8.3000000000000007</v>
      </c>
      <c r="N1263" t="s">
        <v>5737</v>
      </c>
      <c r="O1263">
        <v>5</v>
      </c>
      <c r="P1263" t="s">
        <v>5613</v>
      </c>
      <c r="Q1263">
        <v>2.2999999999999998</v>
      </c>
      <c r="R1263" t="s">
        <v>5613</v>
      </c>
      <c r="S1263">
        <v>3</v>
      </c>
      <c r="T1263" t="s">
        <v>5613</v>
      </c>
      <c r="U1263">
        <v>3.6</v>
      </c>
      <c r="V1263" t="s">
        <v>5613</v>
      </c>
      <c r="W1263">
        <v>2.1</v>
      </c>
      <c r="X1263" t="s">
        <v>5613</v>
      </c>
      <c r="Y1263">
        <v>15.4</v>
      </c>
      <c r="Z1263">
        <v>548</v>
      </c>
      <c r="AA1263">
        <v>6.1</v>
      </c>
      <c r="AB1263" t="s">
        <v>5613</v>
      </c>
      <c r="AC1263" t="s">
        <v>6207</v>
      </c>
    </row>
    <row r="1264" spans="1:29">
      <c r="A1264" t="s">
        <v>6343</v>
      </c>
      <c r="B1264" t="s">
        <v>6240</v>
      </c>
      <c r="C1264" t="s">
        <v>2047</v>
      </c>
      <c r="D1264" t="s">
        <v>5587</v>
      </c>
      <c r="E1264" t="s">
        <v>29</v>
      </c>
      <c r="F1264" t="s">
        <v>5588</v>
      </c>
      <c r="G1264" t="s">
        <v>5589</v>
      </c>
      <c r="H1264" t="s">
        <v>5590</v>
      </c>
      <c r="I1264">
        <v>5</v>
      </c>
      <c r="J1264" t="s">
        <v>5591</v>
      </c>
      <c r="K1264">
        <v>3.4</v>
      </c>
      <c r="L1264" t="s">
        <v>5737</v>
      </c>
      <c r="M1264">
        <v>3.8</v>
      </c>
      <c r="N1264" t="s">
        <v>5737</v>
      </c>
      <c r="O1264">
        <v>23.7</v>
      </c>
      <c r="P1264">
        <v>600</v>
      </c>
      <c r="Q1264">
        <v>9.3000000000000007</v>
      </c>
      <c r="R1264" t="s">
        <v>5613</v>
      </c>
      <c r="S1264">
        <v>6.8</v>
      </c>
      <c r="T1264" t="s">
        <v>5613</v>
      </c>
      <c r="U1264">
        <v>2.7</v>
      </c>
      <c r="V1264" t="s">
        <v>5613</v>
      </c>
      <c r="W1264">
        <v>1.5</v>
      </c>
      <c r="X1264" t="s">
        <v>5613</v>
      </c>
      <c r="Y1264">
        <v>13.2</v>
      </c>
      <c r="Z1264">
        <v>651</v>
      </c>
      <c r="AA1264">
        <v>1.1000000000000001</v>
      </c>
      <c r="AB1264" t="s">
        <v>5613</v>
      </c>
      <c r="AC1264" t="s">
        <v>6207</v>
      </c>
    </row>
    <row r="1265" spans="1:29">
      <c r="A1265" t="s">
        <v>6343</v>
      </c>
      <c r="B1265" t="s">
        <v>6240</v>
      </c>
      <c r="C1265" t="s">
        <v>3687</v>
      </c>
      <c r="D1265" t="s">
        <v>5696</v>
      </c>
      <c r="E1265" t="s">
        <v>5697</v>
      </c>
      <c r="F1265" t="s">
        <v>5588</v>
      </c>
      <c r="G1265" t="s">
        <v>5602</v>
      </c>
      <c r="H1265" t="s">
        <v>5590</v>
      </c>
      <c r="I1265">
        <v>5</v>
      </c>
      <c r="J1265" t="s">
        <v>5595</v>
      </c>
      <c r="K1265">
        <v>4.9000000000000004</v>
      </c>
      <c r="L1265" t="s">
        <v>5737</v>
      </c>
      <c r="M1265">
        <v>3.9</v>
      </c>
      <c r="N1265" t="s">
        <v>5737</v>
      </c>
      <c r="O1265">
        <v>30.5</v>
      </c>
      <c r="P1265">
        <v>515</v>
      </c>
      <c r="Q1265">
        <v>2.7</v>
      </c>
      <c r="R1265" t="s">
        <v>5613</v>
      </c>
      <c r="S1265">
        <v>1.1000000000000001</v>
      </c>
      <c r="T1265" t="s">
        <v>5613</v>
      </c>
      <c r="U1265">
        <v>5.7</v>
      </c>
      <c r="V1265" t="s">
        <v>5613</v>
      </c>
      <c r="W1265">
        <v>1</v>
      </c>
      <c r="X1265" t="s">
        <v>5613</v>
      </c>
      <c r="Y1265">
        <v>7.2</v>
      </c>
      <c r="Z1265" t="s">
        <v>5613</v>
      </c>
      <c r="AA1265">
        <v>1</v>
      </c>
      <c r="AB1265" t="s">
        <v>5613</v>
      </c>
      <c r="AC1265" t="s">
        <v>6207</v>
      </c>
    </row>
    <row r="1266" spans="1:29">
      <c r="A1266" t="s">
        <v>6343</v>
      </c>
      <c r="B1266" t="s">
        <v>6343</v>
      </c>
      <c r="C1266" t="s">
        <v>6660</v>
      </c>
      <c r="D1266" t="s">
        <v>5587</v>
      </c>
      <c r="E1266" t="s">
        <v>29</v>
      </c>
      <c r="F1266" t="s">
        <v>5593</v>
      </c>
      <c r="G1266" t="s">
        <v>5589</v>
      </c>
      <c r="H1266" t="s">
        <v>5809</v>
      </c>
      <c r="I1266">
        <v>5</v>
      </c>
      <c r="J1266" t="s">
        <v>5595</v>
      </c>
      <c r="K1266">
        <v>4.2</v>
      </c>
      <c r="L1266" t="s">
        <v>5737</v>
      </c>
      <c r="M1266">
        <v>4.7</v>
      </c>
      <c r="N1266" t="s">
        <v>5737</v>
      </c>
      <c r="O1266">
        <v>6.5</v>
      </c>
      <c r="P1266" t="s">
        <v>5613</v>
      </c>
      <c r="Q1266">
        <v>8.6999999999999993</v>
      </c>
      <c r="R1266" t="s">
        <v>5613</v>
      </c>
      <c r="S1266">
        <v>6.5</v>
      </c>
      <c r="T1266" t="s">
        <v>5613</v>
      </c>
      <c r="U1266">
        <v>6.6</v>
      </c>
      <c r="V1266" t="s">
        <v>5613</v>
      </c>
      <c r="W1266">
        <v>1.2</v>
      </c>
      <c r="X1266" t="s">
        <v>5613</v>
      </c>
      <c r="Y1266">
        <v>23</v>
      </c>
      <c r="Z1266">
        <v>364</v>
      </c>
      <c r="AA1266">
        <v>4.0999999999999996</v>
      </c>
      <c r="AB1266" t="s">
        <v>5613</v>
      </c>
      <c r="AC1266" t="s">
        <v>6207</v>
      </c>
    </row>
    <row r="1267" spans="1:29">
      <c r="A1267" t="s">
        <v>6343</v>
      </c>
      <c r="B1267" t="s">
        <v>6343</v>
      </c>
      <c r="C1267" t="s">
        <v>6661</v>
      </c>
      <c r="D1267" t="s">
        <v>5696</v>
      </c>
      <c r="E1267" t="s">
        <v>5697</v>
      </c>
      <c r="F1267" t="s">
        <v>5593</v>
      </c>
      <c r="G1267" t="s">
        <v>5602</v>
      </c>
      <c r="H1267" t="s">
        <v>5809</v>
      </c>
      <c r="I1267">
        <v>5</v>
      </c>
      <c r="J1267" t="s">
        <v>5595</v>
      </c>
      <c r="K1267">
        <v>8.3000000000000007</v>
      </c>
      <c r="L1267" t="s">
        <v>5737</v>
      </c>
      <c r="M1267">
        <v>2.7</v>
      </c>
      <c r="N1267" t="s">
        <v>5737</v>
      </c>
      <c r="O1267">
        <v>7.6</v>
      </c>
      <c r="P1267" t="s">
        <v>5613</v>
      </c>
      <c r="Q1267">
        <v>1.4</v>
      </c>
      <c r="R1267" t="s">
        <v>5613</v>
      </c>
      <c r="S1267">
        <v>1.2</v>
      </c>
      <c r="T1267" t="s">
        <v>5613</v>
      </c>
      <c r="U1267">
        <v>25.9</v>
      </c>
      <c r="V1267">
        <v>464</v>
      </c>
      <c r="W1267">
        <v>1</v>
      </c>
      <c r="X1267" t="s">
        <v>5613</v>
      </c>
      <c r="Y1267">
        <v>7.1</v>
      </c>
      <c r="Z1267" t="s">
        <v>5613</v>
      </c>
      <c r="AA1267">
        <v>1</v>
      </c>
      <c r="AB1267" t="s">
        <v>5613</v>
      </c>
      <c r="AC1267" t="s">
        <v>6207</v>
      </c>
    </row>
    <row r="1268" spans="1:29">
      <c r="A1268" t="s">
        <v>6343</v>
      </c>
      <c r="B1268" t="s">
        <v>6240</v>
      </c>
      <c r="C1268" t="s">
        <v>2949</v>
      </c>
      <c r="D1268" t="s">
        <v>5631</v>
      </c>
      <c r="E1268" t="s">
        <v>94</v>
      </c>
      <c r="F1268" t="s">
        <v>5588</v>
      </c>
      <c r="G1268" t="s">
        <v>5651</v>
      </c>
      <c r="I1268">
        <v>2</v>
      </c>
      <c r="J1268" t="s">
        <v>5595</v>
      </c>
      <c r="K1268">
        <v>5.9</v>
      </c>
      <c r="L1268" t="s">
        <v>5737</v>
      </c>
      <c r="M1268">
        <v>2.2999999999999998</v>
      </c>
      <c r="N1268" t="s">
        <v>5737</v>
      </c>
      <c r="O1268">
        <v>6.8</v>
      </c>
      <c r="P1268" t="s">
        <v>5613</v>
      </c>
      <c r="Q1268">
        <v>15.3</v>
      </c>
      <c r="R1268">
        <v>627</v>
      </c>
      <c r="S1268">
        <v>5.5</v>
      </c>
      <c r="T1268" t="s">
        <v>5613</v>
      </c>
      <c r="U1268">
        <v>4.5</v>
      </c>
      <c r="V1268" t="s">
        <v>5613</v>
      </c>
      <c r="W1268">
        <v>1.2</v>
      </c>
      <c r="X1268" t="s">
        <v>5613</v>
      </c>
      <c r="Y1268">
        <v>9.5</v>
      </c>
      <c r="Z1268" t="s">
        <v>5613</v>
      </c>
      <c r="AA1268">
        <v>1</v>
      </c>
      <c r="AB1268" t="s">
        <v>5613</v>
      </c>
      <c r="AC1268" t="s">
        <v>6207</v>
      </c>
    </row>
    <row r="1269" spans="1:29">
      <c r="A1269" t="s">
        <v>6343</v>
      </c>
      <c r="C1269" t="s">
        <v>3730</v>
      </c>
      <c r="D1269" t="s">
        <v>5843</v>
      </c>
      <c r="E1269" t="s">
        <v>1448</v>
      </c>
      <c r="F1269" t="s">
        <v>5593</v>
      </c>
      <c r="G1269" t="s">
        <v>5594</v>
      </c>
      <c r="H1269" t="s">
        <v>6146</v>
      </c>
      <c r="I1269">
        <v>3</v>
      </c>
      <c r="J1269" t="s">
        <v>5595</v>
      </c>
      <c r="K1269">
        <v>6.5</v>
      </c>
      <c r="L1269" t="s">
        <v>5737</v>
      </c>
      <c r="M1269">
        <v>3.3</v>
      </c>
      <c r="N1269" t="s">
        <v>5737</v>
      </c>
      <c r="O1269">
        <v>6.5</v>
      </c>
      <c r="P1269" t="s">
        <v>5613</v>
      </c>
      <c r="Q1269">
        <v>2</v>
      </c>
      <c r="R1269" t="s">
        <v>5613</v>
      </c>
      <c r="S1269">
        <v>5.9</v>
      </c>
      <c r="T1269" t="s">
        <v>5613</v>
      </c>
      <c r="U1269">
        <v>1.3</v>
      </c>
      <c r="V1269" t="s">
        <v>5613</v>
      </c>
      <c r="W1269">
        <v>1</v>
      </c>
      <c r="X1269" t="s">
        <v>5613</v>
      </c>
      <c r="Y1269">
        <v>7.9</v>
      </c>
      <c r="Z1269" t="s">
        <v>5613</v>
      </c>
      <c r="AA1269">
        <v>4.4000000000000004</v>
      </c>
      <c r="AB1269" t="s">
        <v>5613</v>
      </c>
      <c r="AC1269" t="s">
        <v>6207</v>
      </c>
    </row>
    <row r="1270" spans="1:29">
      <c r="A1270" t="s">
        <v>6343</v>
      </c>
      <c r="B1270" t="s">
        <v>6343</v>
      </c>
      <c r="C1270" t="s">
        <v>2967</v>
      </c>
      <c r="D1270" t="s">
        <v>5678</v>
      </c>
      <c r="E1270" t="s">
        <v>389</v>
      </c>
      <c r="F1270" t="s">
        <v>5588</v>
      </c>
      <c r="G1270" t="s">
        <v>5602</v>
      </c>
      <c r="H1270" t="s">
        <v>5590</v>
      </c>
      <c r="I1270">
        <v>2</v>
      </c>
      <c r="J1270" t="s">
        <v>5595</v>
      </c>
      <c r="K1270">
        <v>6.3</v>
      </c>
      <c r="L1270" t="s">
        <v>5737</v>
      </c>
      <c r="M1270">
        <v>2.2999999999999998</v>
      </c>
      <c r="N1270" t="s">
        <v>5737</v>
      </c>
      <c r="O1270">
        <v>6.5</v>
      </c>
      <c r="P1270" t="s">
        <v>5613</v>
      </c>
      <c r="Q1270">
        <v>6.4</v>
      </c>
      <c r="R1270" t="s">
        <v>5613</v>
      </c>
      <c r="S1270">
        <v>3.2</v>
      </c>
      <c r="T1270" t="s">
        <v>5613</v>
      </c>
      <c r="U1270">
        <v>10.199999999999999</v>
      </c>
      <c r="V1270" t="s">
        <v>5613</v>
      </c>
      <c r="W1270">
        <v>1</v>
      </c>
      <c r="X1270" t="s">
        <v>5613</v>
      </c>
      <c r="Y1270">
        <v>7.6</v>
      </c>
      <c r="Z1270" t="s">
        <v>5613</v>
      </c>
      <c r="AA1270">
        <v>2.2999999999999998</v>
      </c>
      <c r="AB1270" t="s">
        <v>5613</v>
      </c>
      <c r="AC1270" t="s">
        <v>6207</v>
      </c>
    </row>
    <row r="1271" spans="1:29">
      <c r="A1271" t="s">
        <v>6343</v>
      </c>
      <c r="B1271" t="s">
        <v>6343</v>
      </c>
      <c r="C1271" t="s">
        <v>6662</v>
      </c>
      <c r="D1271" t="s">
        <v>5696</v>
      </c>
      <c r="E1271" t="s">
        <v>5697</v>
      </c>
      <c r="F1271" t="s">
        <v>5588</v>
      </c>
      <c r="G1271" t="s">
        <v>5602</v>
      </c>
      <c r="H1271" t="s">
        <v>5590</v>
      </c>
      <c r="I1271">
        <v>5</v>
      </c>
      <c r="J1271" t="s">
        <v>5595</v>
      </c>
      <c r="K1271">
        <v>5.8</v>
      </c>
      <c r="L1271" t="s">
        <v>5737</v>
      </c>
      <c r="M1271">
        <v>3.5</v>
      </c>
      <c r="N1271" t="s">
        <v>5737</v>
      </c>
      <c r="O1271">
        <v>11.7</v>
      </c>
      <c r="P1271" t="s">
        <v>5613</v>
      </c>
      <c r="Q1271">
        <v>2</v>
      </c>
      <c r="R1271" t="s">
        <v>5613</v>
      </c>
      <c r="S1271">
        <v>7.9</v>
      </c>
      <c r="T1271" t="s">
        <v>5613</v>
      </c>
      <c r="U1271">
        <v>45</v>
      </c>
      <c r="V1271">
        <v>323</v>
      </c>
      <c r="W1271">
        <v>1.1000000000000001</v>
      </c>
      <c r="X1271" t="s">
        <v>5613</v>
      </c>
      <c r="Y1271">
        <v>7.8</v>
      </c>
      <c r="Z1271" t="s">
        <v>5613</v>
      </c>
      <c r="AA1271">
        <v>1.4</v>
      </c>
      <c r="AB1271" t="s">
        <v>5613</v>
      </c>
      <c r="AC1271" t="s">
        <v>6207</v>
      </c>
    </row>
    <row r="1272" spans="1:29">
      <c r="A1272" t="s">
        <v>6343</v>
      </c>
      <c r="B1272" t="s">
        <v>6343</v>
      </c>
      <c r="C1272" t="s">
        <v>3758</v>
      </c>
      <c r="D1272" t="s">
        <v>5678</v>
      </c>
      <c r="E1272" t="s">
        <v>389</v>
      </c>
      <c r="F1272" t="s">
        <v>5588</v>
      </c>
      <c r="G1272" t="s">
        <v>5602</v>
      </c>
      <c r="H1272" t="s">
        <v>5809</v>
      </c>
      <c r="I1272">
        <v>2</v>
      </c>
      <c r="J1272" t="s">
        <v>5595</v>
      </c>
      <c r="K1272">
        <v>7.5</v>
      </c>
      <c r="L1272" t="s">
        <v>5737</v>
      </c>
      <c r="M1272">
        <v>4.5</v>
      </c>
      <c r="N1272" t="s">
        <v>5737</v>
      </c>
      <c r="O1272">
        <v>8.1999999999999993</v>
      </c>
      <c r="P1272" t="s">
        <v>5613</v>
      </c>
      <c r="Q1272">
        <v>3.2</v>
      </c>
      <c r="R1272" t="s">
        <v>5613</v>
      </c>
      <c r="S1272">
        <v>2.7</v>
      </c>
      <c r="T1272" t="s">
        <v>5613</v>
      </c>
      <c r="U1272">
        <v>5.2</v>
      </c>
      <c r="V1272" t="s">
        <v>5613</v>
      </c>
      <c r="W1272">
        <v>1</v>
      </c>
      <c r="X1272" t="s">
        <v>5613</v>
      </c>
      <c r="Y1272">
        <v>16.100000000000001</v>
      </c>
      <c r="Z1272">
        <v>518</v>
      </c>
      <c r="AA1272">
        <v>3.1</v>
      </c>
      <c r="AB1272" t="s">
        <v>5613</v>
      </c>
      <c r="AC1272" t="s">
        <v>6207</v>
      </c>
    </row>
    <row r="1273" spans="1:29">
      <c r="A1273" t="s">
        <v>6343</v>
      </c>
      <c r="B1273" t="s">
        <v>6240</v>
      </c>
      <c r="C1273" t="s">
        <v>2976</v>
      </c>
      <c r="D1273" t="s">
        <v>5678</v>
      </c>
      <c r="E1273" t="s">
        <v>389</v>
      </c>
      <c r="F1273" t="s">
        <v>5588</v>
      </c>
      <c r="G1273" t="s">
        <v>5602</v>
      </c>
      <c r="H1273" t="s">
        <v>5590</v>
      </c>
      <c r="I1273">
        <v>3</v>
      </c>
      <c r="J1273" t="s">
        <v>5595</v>
      </c>
      <c r="K1273">
        <v>5.7</v>
      </c>
      <c r="L1273" t="s">
        <v>5737</v>
      </c>
      <c r="M1273">
        <v>3.2</v>
      </c>
      <c r="N1273" t="s">
        <v>5737</v>
      </c>
      <c r="O1273">
        <v>11.6</v>
      </c>
      <c r="P1273" t="s">
        <v>5613</v>
      </c>
      <c r="Q1273">
        <v>10.1</v>
      </c>
      <c r="R1273" t="s">
        <v>5613</v>
      </c>
      <c r="S1273">
        <v>5.6</v>
      </c>
      <c r="T1273" t="s">
        <v>5613</v>
      </c>
      <c r="U1273">
        <v>7.7</v>
      </c>
      <c r="V1273" t="s">
        <v>5613</v>
      </c>
      <c r="W1273">
        <v>1.1000000000000001</v>
      </c>
      <c r="X1273" t="s">
        <v>5613</v>
      </c>
      <c r="Y1273">
        <v>8.6</v>
      </c>
      <c r="Z1273" t="s">
        <v>5613</v>
      </c>
      <c r="AA1273">
        <v>5.6</v>
      </c>
      <c r="AB1273" t="s">
        <v>5613</v>
      </c>
      <c r="AC1273" t="s">
        <v>6207</v>
      </c>
    </row>
    <row r="1274" spans="1:29">
      <c r="A1274" t="s">
        <v>6343</v>
      </c>
      <c r="B1274" t="s">
        <v>6343</v>
      </c>
      <c r="C1274" t="s">
        <v>3748</v>
      </c>
      <c r="D1274" t="s">
        <v>6264</v>
      </c>
      <c r="E1274" t="s">
        <v>1123</v>
      </c>
      <c r="F1274" t="s">
        <v>5593</v>
      </c>
      <c r="G1274" t="s">
        <v>5602</v>
      </c>
      <c r="H1274" t="s">
        <v>5809</v>
      </c>
      <c r="I1274">
        <v>5</v>
      </c>
      <c r="J1274" t="s">
        <v>5595</v>
      </c>
      <c r="K1274">
        <v>5.7</v>
      </c>
      <c r="L1274" t="s">
        <v>5737</v>
      </c>
      <c r="M1274">
        <v>4.4000000000000004</v>
      </c>
      <c r="N1274" t="s">
        <v>5737</v>
      </c>
      <c r="O1274">
        <v>17.2</v>
      </c>
      <c r="P1274" t="s">
        <v>5613</v>
      </c>
      <c r="Q1274">
        <v>1.4</v>
      </c>
      <c r="R1274" t="s">
        <v>5613</v>
      </c>
      <c r="S1274">
        <v>1.2</v>
      </c>
      <c r="T1274" t="s">
        <v>5613</v>
      </c>
      <c r="U1274">
        <v>1.2</v>
      </c>
      <c r="V1274" t="s">
        <v>5613</v>
      </c>
      <c r="W1274">
        <v>1.1000000000000001</v>
      </c>
      <c r="X1274" t="s">
        <v>5613</v>
      </c>
      <c r="Y1274">
        <v>9.8000000000000007</v>
      </c>
      <c r="Z1274" t="s">
        <v>5613</v>
      </c>
      <c r="AA1274">
        <v>1.1000000000000001</v>
      </c>
      <c r="AB1274" t="s">
        <v>5613</v>
      </c>
      <c r="AC1274" t="s">
        <v>6207</v>
      </c>
    </row>
    <row r="1275" spans="1:29">
      <c r="A1275" t="s">
        <v>6343</v>
      </c>
      <c r="C1275" t="s">
        <v>6663</v>
      </c>
      <c r="D1275" t="s">
        <v>5959</v>
      </c>
      <c r="E1275" t="s">
        <v>1102</v>
      </c>
      <c r="F1275" t="s">
        <v>5593</v>
      </c>
      <c r="G1275" t="s">
        <v>5602</v>
      </c>
      <c r="H1275" t="s">
        <v>6146</v>
      </c>
      <c r="I1275">
        <v>4</v>
      </c>
      <c r="K1275">
        <v>6.6</v>
      </c>
      <c r="L1275" t="s">
        <v>5737</v>
      </c>
      <c r="M1275">
        <v>7.2</v>
      </c>
      <c r="N1275" t="s">
        <v>5737</v>
      </c>
      <c r="O1275">
        <v>5.3</v>
      </c>
      <c r="P1275" t="s">
        <v>5613</v>
      </c>
      <c r="Q1275">
        <v>1.4</v>
      </c>
      <c r="R1275" t="s">
        <v>5613</v>
      </c>
      <c r="S1275">
        <v>4.8</v>
      </c>
      <c r="T1275" t="s">
        <v>5613</v>
      </c>
      <c r="U1275">
        <v>1.3</v>
      </c>
      <c r="V1275" t="s">
        <v>5613</v>
      </c>
      <c r="W1275">
        <v>1</v>
      </c>
      <c r="X1275" t="s">
        <v>5613</v>
      </c>
      <c r="Y1275">
        <v>7.8</v>
      </c>
      <c r="Z1275" t="s">
        <v>5613</v>
      </c>
      <c r="AC1275" t="s">
        <v>6207</v>
      </c>
    </row>
    <row r="1276" spans="1:29">
      <c r="A1276" t="s">
        <v>6343</v>
      </c>
      <c r="C1276" t="s">
        <v>1653</v>
      </c>
      <c r="D1276" t="s">
        <v>5736</v>
      </c>
      <c r="E1276" t="s">
        <v>327</v>
      </c>
      <c r="G1276" t="s">
        <v>5651</v>
      </c>
      <c r="K1276">
        <v>5.9</v>
      </c>
      <c r="L1276" t="s">
        <v>5737</v>
      </c>
      <c r="M1276">
        <v>3.7</v>
      </c>
      <c r="N1276" t="s">
        <v>5737</v>
      </c>
      <c r="W1276">
        <v>41.5</v>
      </c>
      <c r="X1276">
        <v>366</v>
      </c>
      <c r="AC1276" t="s">
        <v>6207</v>
      </c>
    </row>
    <row r="1277" spans="1:29">
      <c r="A1277" t="s">
        <v>6343</v>
      </c>
      <c r="B1277" t="s">
        <v>6343</v>
      </c>
      <c r="C1277" t="s">
        <v>2082</v>
      </c>
      <c r="D1277" t="s">
        <v>5587</v>
      </c>
      <c r="E1277" t="s">
        <v>29</v>
      </c>
      <c r="F1277" t="s">
        <v>5593</v>
      </c>
      <c r="G1277" t="s">
        <v>5589</v>
      </c>
      <c r="H1277" t="s">
        <v>5809</v>
      </c>
      <c r="I1277">
        <v>4</v>
      </c>
      <c r="K1277">
        <v>2.9</v>
      </c>
      <c r="L1277" t="s">
        <v>5737</v>
      </c>
      <c r="M1277">
        <v>3.3</v>
      </c>
      <c r="N1277" t="s">
        <v>5737</v>
      </c>
      <c r="O1277">
        <v>14</v>
      </c>
      <c r="P1277" t="s">
        <v>5613</v>
      </c>
      <c r="Q1277">
        <v>3.1</v>
      </c>
      <c r="R1277" t="s">
        <v>5613</v>
      </c>
      <c r="S1277">
        <v>4.4000000000000004</v>
      </c>
      <c r="T1277" t="s">
        <v>5613</v>
      </c>
      <c r="U1277">
        <v>3.9</v>
      </c>
      <c r="V1277" t="s">
        <v>5613</v>
      </c>
      <c r="W1277">
        <v>1.1000000000000001</v>
      </c>
      <c r="X1277" t="s">
        <v>5613</v>
      </c>
      <c r="Y1277">
        <v>10.199999999999999</v>
      </c>
      <c r="Z1277" t="s">
        <v>5613</v>
      </c>
      <c r="AC1277" t="s">
        <v>6207</v>
      </c>
    </row>
    <row r="1278" spans="1:29">
      <c r="A1278" t="s">
        <v>6343</v>
      </c>
      <c r="B1278" t="s">
        <v>6343</v>
      </c>
      <c r="C1278" t="s">
        <v>6664</v>
      </c>
      <c r="D1278" t="s">
        <v>6213</v>
      </c>
      <c r="E1278" t="s">
        <v>691</v>
      </c>
      <c r="F1278" t="s">
        <v>5588</v>
      </c>
      <c r="G1278" t="s">
        <v>5602</v>
      </c>
      <c r="H1278" t="s">
        <v>5590</v>
      </c>
      <c r="I1278">
        <v>2</v>
      </c>
      <c r="J1278" t="s">
        <v>5595</v>
      </c>
      <c r="K1278">
        <v>4.5</v>
      </c>
      <c r="L1278" t="s">
        <v>5737</v>
      </c>
      <c r="M1278">
        <v>3.9</v>
      </c>
      <c r="N1278" t="s">
        <v>5737</v>
      </c>
      <c r="O1278">
        <v>2.1</v>
      </c>
      <c r="P1278" t="s">
        <v>5613</v>
      </c>
      <c r="Q1278">
        <v>6.6</v>
      </c>
      <c r="R1278" t="s">
        <v>5613</v>
      </c>
      <c r="S1278">
        <v>13.6</v>
      </c>
      <c r="T1278">
        <v>693</v>
      </c>
      <c r="U1278">
        <v>7.6</v>
      </c>
      <c r="V1278" t="s">
        <v>5613</v>
      </c>
      <c r="W1278">
        <v>1.3</v>
      </c>
      <c r="X1278" t="s">
        <v>5613</v>
      </c>
      <c r="Y1278">
        <v>5.6</v>
      </c>
      <c r="Z1278" t="s">
        <v>5613</v>
      </c>
      <c r="AA1278">
        <v>1</v>
      </c>
      <c r="AB1278" t="s">
        <v>5613</v>
      </c>
      <c r="AC1278" t="s">
        <v>6207</v>
      </c>
    </row>
    <row r="1279" spans="1:29">
      <c r="A1279" t="s">
        <v>6343</v>
      </c>
      <c r="B1279" t="s">
        <v>6343</v>
      </c>
      <c r="C1279" t="s">
        <v>6665</v>
      </c>
      <c r="D1279" t="s">
        <v>5770</v>
      </c>
      <c r="E1279" t="s">
        <v>528</v>
      </c>
      <c r="F1279" t="s">
        <v>5588</v>
      </c>
      <c r="G1279" t="s">
        <v>5589</v>
      </c>
      <c r="H1279" t="s">
        <v>5590</v>
      </c>
      <c r="I1279">
        <v>5</v>
      </c>
      <c r="J1279" t="s">
        <v>5595</v>
      </c>
      <c r="K1279">
        <v>4.7</v>
      </c>
      <c r="L1279" t="s">
        <v>5737</v>
      </c>
      <c r="M1279">
        <v>3.5</v>
      </c>
      <c r="N1279" t="s">
        <v>5737</v>
      </c>
      <c r="O1279">
        <v>3.5</v>
      </c>
      <c r="P1279" t="s">
        <v>5613</v>
      </c>
      <c r="Q1279">
        <v>17.5</v>
      </c>
      <c r="R1279">
        <v>590</v>
      </c>
      <c r="U1279">
        <v>5.9</v>
      </c>
      <c r="V1279" t="s">
        <v>5613</v>
      </c>
      <c r="W1279">
        <v>1</v>
      </c>
      <c r="X1279" t="s">
        <v>5613</v>
      </c>
      <c r="Y1279">
        <v>7.5</v>
      </c>
      <c r="Z1279" t="s">
        <v>5613</v>
      </c>
      <c r="AA1279">
        <v>1</v>
      </c>
      <c r="AB1279" t="s">
        <v>5613</v>
      </c>
      <c r="AC1279" t="s">
        <v>6207</v>
      </c>
    </row>
    <row r="1280" spans="1:29">
      <c r="A1280" t="s">
        <v>6343</v>
      </c>
      <c r="B1280" t="s">
        <v>6143</v>
      </c>
      <c r="C1280" t="s">
        <v>6666</v>
      </c>
      <c r="D1280" t="s">
        <v>5696</v>
      </c>
      <c r="E1280" t="s">
        <v>5697</v>
      </c>
      <c r="F1280" t="s">
        <v>5588</v>
      </c>
      <c r="G1280" t="s">
        <v>5602</v>
      </c>
      <c r="H1280" t="s">
        <v>5590</v>
      </c>
      <c r="I1280">
        <v>5</v>
      </c>
      <c r="J1280" t="s">
        <v>5595</v>
      </c>
      <c r="K1280">
        <v>5</v>
      </c>
      <c r="L1280" t="s">
        <v>5737</v>
      </c>
      <c r="M1280">
        <v>1.7</v>
      </c>
      <c r="N1280" t="s">
        <v>5737</v>
      </c>
      <c r="O1280">
        <v>41.1</v>
      </c>
      <c r="P1280">
        <v>383</v>
      </c>
      <c r="Q1280">
        <v>1.5</v>
      </c>
      <c r="R1280" t="s">
        <v>5613</v>
      </c>
      <c r="S1280">
        <v>1.4</v>
      </c>
      <c r="T1280" t="s">
        <v>5613</v>
      </c>
      <c r="U1280">
        <v>5.8</v>
      </c>
      <c r="V1280" t="s">
        <v>5613</v>
      </c>
      <c r="W1280">
        <v>1</v>
      </c>
      <c r="X1280" t="s">
        <v>5613</v>
      </c>
      <c r="Y1280">
        <v>7.7</v>
      </c>
      <c r="Z1280" t="s">
        <v>5613</v>
      </c>
      <c r="AA1280">
        <v>2.5</v>
      </c>
      <c r="AB1280" t="s">
        <v>5613</v>
      </c>
      <c r="AC1280" t="s">
        <v>6207</v>
      </c>
    </row>
    <row r="1281" spans="1:29">
      <c r="A1281" t="s">
        <v>6343</v>
      </c>
      <c r="B1281" t="s">
        <v>6143</v>
      </c>
      <c r="C1281" t="s">
        <v>2492</v>
      </c>
      <c r="D1281" t="s">
        <v>5770</v>
      </c>
      <c r="E1281" t="s">
        <v>528</v>
      </c>
      <c r="F1281" t="s">
        <v>5605</v>
      </c>
      <c r="G1281" t="s">
        <v>5589</v>
      </c>
      <c r="H1281" t="s">
        <v>5809</v>
      </c>
      <c r="I1281">
        <v>3</v>
      </c>
      <c r="J1281" t="s">
        <v>5595</v>
      </c>
      <c r="K1281">
        <v>4</v>
      </c>
      <c r="L1281" t="s">
        <v>5737</v>
      </c>
      <c r="M1281">
        <v>1.9</v>
      </c>
      <c r="N1281" t="s">
        <v>5737</v>
      </c>
      <c r="O1281">
        <v>6.5</v>
      </c>
      <c r="P1281" t="s">
        <v>5613</v>
      </c>
      <c r="Q1281">
        <v>12.2</v>
      </c>
      <c r="R1281">
        <v>694</v>
      </c>
      <c r="S1281">
        <v>1.1000000000000001</v>
      </c>
      <c r="T1281" t="s">
        <v>5613</v>
      </c>
      <c r="U1281">
        <v>1.1000000000000001</v>
      </c>
      <c r="V1281" t="s">
        <v>5613</v>
      </c>
      <c r="W1281">
        <v>1.2</v>
      </c>
      <c r="X1281" t="s">
        <v>5613</v>
      </c>
      <c r="Y1281">
        <v>4.7</v>
      </c>
      <c r="Z1281" t="s">
        <v>5613</v>
      </c>
      <c r="AA1281">
        <v>8.4</v>
      </c>
      <c r="AB1281" t="s">
        <v>6162</v>
      </c>
      <c r="AC1281" t="s">
        <v>6207</v>
      </c>
    </row>
    <row r="1282" spans="1:29">
      <c r="A1282" t="s">
        <v>6343</v>
      </c>
      <c r="B1282" t="s">
        <v>6343</v>
      </c>
      <c r="C1282" t="s">
        <v>6667</v>
      </c>
      <c r="D1282" t="s">
        <v>6513</v>
      </c>
      <c r="E1282" t="s">
        <v>5392</v>
      </c>
      <c r="F1282" t="s">
        <v>5588</v>
      </c>
      <c r="G1282" t="s">
        <v>5602</v>
      </c>
      <c r="H1282" t="s">
        <v>6146</v>
      </c>
      <c r="I1282">
        <v>4</v>
      </c>
      <c r="J1282" t="s">
        <v>5591</v>
      </c>
      <c r="K1282">
        <v>3.6</v>
      </c>
      <c r="L1282" t="s">
        <v>5737</v>
      </c>
      <c r="M1282">
        <v>8</v>
      </c>
      <c r="N1282" t="s">
        <v>5737</v>
      </c>
      <c r="O1282">
        <v>9.8000000000000007</v>
      </c>
      <c r="P1282" t="s">
        <v>5613</v>
      </c>
      <c r="Q1282">
        <v>1.2</v>
      </c>
      <c r="R1282" t="s">
        <v>5613</v>
      </c>
      <c r="S1282">
        <v>13.7</v>
      </c>
      <c r="T1282">
        <v>692</v>
      </c>
      <c r="U1282">
        <v>13.9</v>
      </c>
      <c r="V1282">
        <v>645</v>
      </c>
      <c r="W1282">
        <v>1</v>
      </c>
      <c r="X1282" t="s">
        <v>5613</v>
      </c>
      <c r="Y1282">
        <v>19.899999999999999</v>
      </c>
      <c r="Z1282">
        <v>418</v>
      </c>
      <c r="AC1282" t="s">
        <v>6207</v>
      </c>
    </row>
    <row r="1283" spans="1:29">
      <c r="A1283" t="s">
        <v>6343</v>
      </c>
      <c r="B1283" t="s">
        <v>6343</v>
      </c>
      <c r="C1283" t="s">
        <v>6668</v>
      </c>
      <c r="D1283" t="s">
        <v>5695</v>
      </c>
      <c r="E1283" t="s">
        <v>577</v>
      </c>
      <c r="F1283" t="s">
        <v>5588</v>
      </c>
      <c r="G1283" t="s">
        <v>5594</v>
      </c>
      <c r="H1283" t="s">
        <v>5809</v>
      </c>
      <c r="I1283">
        <v>4</v>
      </c>
      <c r="J1283" t="s">
        <v>5591</v>
      </c>
      <c r="K1283">
        <v>6.9</v>
      </c>
      <c r="L1283" t="s">
        <v>5737</v>
      </c>
      <c r="M1283">
        <v>3.8</v>
      </c>
      <c r="N1283" t="s">
        <v>5737</v>
      </c>
      <c r="O1283">
        <v>10.5</v>
      </c>
      <c r="P1283" t="s">
        <v>5613</v>
      </c>
      <c r="Q1283">
        <v>7.8</v>
      </c>
      <c r="R1283" t="s">
        <v>5613</v>
      </c>
      <c r="S1283">
        <v>2.4</v>
      </c>
      <c r="T1283" t="s">
        <v>5613</v>
      </c>
      <c r="U1283">
        <v>2.2000000000000002</v>
      </c>
      <c r="V1283" t="s">
        <v>5613</v>
      </c>
      <c r="W1283">
        <v>1.2</v>
      </c>
      <c r="X1283" t="s">
        <v>5613</v>
      </c>
      <c r="Y1283">
        <v>6.7</v>
      </c>
      <c r="Z1283" t="s">
        <v>5613</v>
      </c>
      <c r="AA1283">
        <v>4.0999999999999996</v>
      </c>
      <c r="AB1283" t="s">
        <v>5613</v>
      </c>
      <c r="AC1283" t="s">
        <v>6207</v>
      </c>
    </row>
    <row r="1284" spans="1:29">
      <c r="A1284" t="s">
        <v>6343</v>
      </c>
      <c r="B1284" t="s">
        <v>6343</v>
      </c>
      <c r="C1284" t="s">
        <v>2104</v>
      </c>
      <c r="D1284" t="s">
        <v>5587</v>
      </c>
      <c r="E1284" t="s">
        <v>29</v>
      </c>
      <c r="F1284" t="s">
        <v>5593</v>
      </c>
      <c r="G1284" t="s">
        <v>5589</v>
      </c>
      <c r="H1284" t="s">
        <v>5590</v>
      </c>
      <c r="I1284">
        <v>4</v>
      </c>
      <c r="J1284" t="s">
        <v>5595</v>
      </c>
      <c r="K1284">
        <v>4.3</v>
      </c>
      <c r="L1284" t="s">
        <v>5737</v>
      </c>
      <c r="M1284">
        <v>2.1</v>
      </c>
      <c r="N1284" t="s">
        <v>5737</v>
      </c>
      <c r="O1284">
        <v>9.5</v>
      </c>
      <c r="P1284" t="s">
        <v>5613</v>
      </c>
      <c r="Q1284">
        <v>10.5</v>
      </c>
      <c r="R1284" t="s">
        <v>5613</v>
      </c>
      <c r="S1284">
        <v>1.6</v>
      </c>
      <c r="T1284" t="s">
        <v>5613</v>
      </c>
      <c r="U1284">
        <v>5.3</v>
      </c>
      <c r="V1284" t="s">
        <v>5613</v>
      </c>
      <c r="W1284">
        <v>4.9000000000000004</v>
      </c>
      <c r="X1284" t="s">
        <v>5613</v>
      </c>
      <c r="Y1284">
        <v>10.3</v>
      </c>
      <c r="Z1284" t="s">
        <v>5613</v>
      </c>
      <c r="AA1284">
        <v>18.399999999999999</v>
      </c>
      <c r="AB1284" t="s">
        <v>6003</v>
      </c>
      <c r="AC1284" t="s">
        <v>6207</v>
      </c>
    </row>
    <row r="1285" spans="1:29">
      <c r="A1285" t="s">
        <v>6343</v>
      </c>
      <c r="B1285" t="s">
        <v>6343</v>
      </c>
      <c r="C1285" t="s">
        <v>6669</v>
      </c>
      <c r="D1285" t="s">
        <v>5644</v>
      </c>
      <c r="E1285" t="s">
        <v>181</v>
      </c>
      <c r="F1285" t="s">
        <v>5593</v>
      </c>
      <c r="G1285" t="s">
        <v>5589</v>
      </c>
      <c r="H1285" t="s">
        <v>5590</v>
      </c>
      <c r="I1285">
        <v>3</v>
      </c>
      <c r="J1285" t="s">
        <v>5595</v>
      </c>
      <c r="K1285">
        <v>6.6</v>
      </c>
      <c r="L1285" t="s">
        <v>5737</v>
      </c>
      <c r="M1285">
        <v>3.4</v>
      </c>
      <c r="N1285" t="s">
        <v>5737</v>
      </c>
      <c r="O1285">
        <v>10.3</v>
      </c>
      <c r="P1285" t="s">
        <v>5613</v>
      </c>
      <c r="Q1285">
        <v>7</v>
      </c>
      <c r="R1285" t="s">
        <v>5613</v>
      </c>
      <c r="S1285">
        <v>6.6</v>
      </c>
      <c r="T1285" t="s">
        <v>5613</v>
      </c>
      <c r="U1285">
        <v>8.1</v>
      </c>
      <c r="V1285" t="s">
        <v>5613</v>
      </c>
      <c r="W1285">
        <v>1.6</v>
      </c>
      <c r="X1285" t="s">
        <v>5613</v>
      </c>
      <c r="Y1285">
        <v>4.2</v>
      </c>
      <c r="Z1285" t="s">
        <v>5613</v>
      </c>
      <c r="AA1285">
        <v>1.3</v>
      </c>
      <c r="AB1285" t="s">
        <v>5613</v>
      </c>
      <c r="AC1285" t="s">
        <v>6207</v>
      </c>
    </row>
    <row r="1286" spans="1:29">
      <c r="A1286" t="s">
        <v>6343</v>
      </c>
      <c r="B1286" t="s">
        <v>6343</v>
      </c>
      <c r="C1286" t="s">
        <v>3036</v>
      </c>
      <c r="D1286" t="s">
        <v>5631</v>
      </c>
      <c r="E1286" t="s">
        <v>94</v>
      </c>
      <c r="F1286" t="s">
        <v>5593</v>
      </c>
      <c r="G1286" t="s">
        <v>5602</v>
      </c>
      <c r="H1286" t="s">
        <v>5809</v>
      </c>
      <c r="I1286">
        <v>5</v>
      </c>
      <c r="J1286" t="s">
        <v>5926</v>
      </c>
      <c r="K1286">
        <v>4.0999999999999996</v>
      </c>
      <c r="L1286" t="s">
        <v>5737</v>
      </c>
      <c r="M1286">
        <v>12</v>
      </c>
      <c r="N1286" t="s">
        <v>5737</v>
      </c>
      <c r="O1286">
        <v>10.1</v>
      </c>
      <c r="P1286" t="s">
        <v>5613</v>
      </c>
      <c r="Q1286">
        <v>2.6</v>
      </c>
      <c r="R1286" t="s">
        <v>5613</v>
      </c>
      <c r="S1286">
        <v>24.9</v>
      </c>
      <c r="T1286">
        <v>537</v>
      </c>
      <c r="U1286">
        <v>6.2</v>
      </c>
      <c r="V1286" t="s">
        <v>5613</v>
      </c>
      <c r="W1286">
        <v>1</v>
      </c>
      <c r="X1286" t="s">
        <v>5613</v>
      </c>
      <c r="Y1286">
        <v>8.6</v>
      </c>
      <c r="Z1286" t="s">
        <v>5613</v>
      </c>
      <c r="AA1286">
        <v>1</v>
      </c>
      <c r="AB1286" t="s">
        <v>5613</v>
      </c>
      <c r="AC1286" t="s">
        <v>6207</v>
      </c>
    </row>
    <row r="1287" spans="1:29">
      <c r="A1287" t="s">
        <v>6343</v>
      </c>
      <c r="B1287" t="s">
        <v>6343</v>
      </c>
      <c r="C1287" t="s">
        <v>6670</v>
      </c>
      <c r="D1287" t="s">
        <v>5696</v>
      </c>
      <c r="E1287" t="s">
        <v>5697</v>
      </c>
      <c r="F1287" t="s">
        <v>5593</v>
      </c>
      <c r="G1287" t="s">
        <v>5602</v>
      </c>
      <c r="H1287" t="s">
        <v>5809</v>
      </c>
      <c r="I1287">
        <v>5</v>
      </c>
      <c r="J1287" t="s">
        <v>5595</v>
      </c>
      <c r="K1287">
        <v>7.1</v>
      </c>
      <c r="L1287" t="s">
        <v>5737</v>
      </c>
      <c r="M1287">
        <v>3.5</v>
      </c>
      <c r="N1287" t="s">
        <v>5737</v>
      </c>
      <c r="O1287">
        <v>7.7</v>
      </c>
      <c r="P1287" t="s">
        <v>5613</v>
      </c>
      <c r="Q1287">
        <v>1.3</v>
      </c>
      <c r="R1287" t="s">
        <v>5613</v>
      </c>
      <c r="S1287">
        <v>2</v>
      </c>
      <c r="T1287" t="s">
        <v>5613</v>
      </c>
      <c r="U1287">
        <v>4.8</v>
      </c>
      <c r="V1287" t="s">
        <v>5613</v>
      </c>
      <c r="W1287">
        <v>1</v>
      </c>
      <c r="X1287" t="s">
        <v>5613</v>
      </c>
      <c r="Y1287">
        <v>9.9</v>
      </c>
      <c r="Z1287" t="s">
        <v>5613</v>
      </c>
      <c r="AA1287">
        <v>5.3</v>
      </c>
      <c r="AB1287" t="s">
        <v>5613</v>
      </c>
      <c r="AC1287" t="s">
        <v>6207</v>
      </c>
    </row>
    <row r="1288" spans="1:29">
      <c r="A1288" t="s">
        <v>6343</v>
      </c>
      <c r="B1288" t="s">
        <v>6343</v>
      </c>
      <c r="C1288" t="s">
        <v>6671</v>
      </c>
      <c r="D1288" t="s">
        <v>5696</v>
      </c>
      <c r="E1288" t="s">
        <v>5697</v>
      </c>
      <c r="F1288" t="s">
        <v>5588</v>
      </c>
      <c r="G1288" t="s">
        <v>5602</v>
      </c>
      <c r="H1288" t="s">
        <v>5590</v>
      </c>
      <c r="I1288">
        <v>3</v>
      </c>
      <c r="J1288" t="s">
        <v>5595</v>
      </c>
      <c r="K1288">
        <v>5.4</v>
      </c>
      <c r="L1288" t="s">
        <v>5737</v>
      </c>
      <c r="M1288">
        <v>2.6</v>
      </c>
      <c r="N1288" t="s">
        <v>5737</v>
      </c>
      <c r="O1288">
        <v>17.5</v>
      </c>
      <c r="P1288" t="s">
        <v>5613</v>
      </c>
      <c r="Q1288">
        <v>1.3</v>
      </c>
      <c r="R1288" t="s">
        <v>5613</v>
      </c>
      <c r="S1288">
        <v>1.7</v>
      </c>
      <c r="T1288" t="s">
        <v>5613</v>
      </c>
      <c r="U1288">
        <v>4.0999999999999996</v>
      </c>
      <c r="V1288" t="s">
        <v>5613</v>
      </c>
      <c r="W1288">
        <v>1</v>
      </c>
      <c r="X1288" t="s">
        <v>5613</v>
      </c>
      <c r="Y1288">
        <v>8.6</v>
      </c>
      <c r="Z1288" t="s">
        <v>5613</v>
      </c>
      <c r="AA1288">
        <v>1</v>
      </c>
      <c r="AB1288" t="s">
        <v>5613</v>
      </c>
      <c r="AC1288" t="s">
        <v>6207</v>
      </c>
    </row>
    <row r="1289" spans="1:29">
      <c r="A1289" t="s">
        <v>6343</v>
      </c>
      <c r="B1289" t="s">
        <v>6343</v>
      </c>
      <c r="C1289" t="s">
        <v>6672</v>
      </c>
      <c r="D1289" t="s">
        <v>5587</v>
      </c>
      <c r="E1289" t="s">
        <v>29</v>
      </c>
      <c r="F1289" t="s">
        <v>5588</v>
      </c>
      <c r="G1289" t="s">
        <v>5602</v>
      </c>
      <c r="H1289" t="s">
        <v>5809</v>
      </c>
      <c r="K1289">
        <v>3.9</v>
      </c>
      <c r="L1289" t="s">
        <v>5737</v>
      </c>
      <c r="M1289">
        <v>3</v>
      </c>
      <c r="N1289" t="s">
        <v>5737</v>
      </c>
      <c r="O1289">
        <v>17.600000000000001</v>
      </c>
      <c r="P1289" t="s">
        <v>5613</v>
      </c>
      <c r="Q1289">
        <v>4.3</v>
      </c>
      <c r="R1289" t="s">
        <v>5613</v>
      </c>
      <c r="S1289">
        <v>22.2</v>
      </c>
      <c r="T1289">
        <v>572</v>
      </c>
      <c r="U1289">
        <v>3</v>
      </c>
      <c r="V1289" t="s">
        <v>5613</v>
      </c>
      <c r="W1289">
        <v>1</v>
      </c>
      <c r="X1289" t="s">
        <v>5613</v>
      </c>
      <c r="Y1289">
        <v>6.9</v>
      </c>
      <c r="Z1289" t="s">
        <v>5613</v>
      </c>
      <c r="AC1289" t="s">
        <v>6207</v>
      </c>
    </row>
    <row r="1290" spans="1:29">
      <c r="A1290" t="s">
        <v>6343</v>
      </c>
      <c r="B1290" t="s">
        <v>6240</v>
      </c>
      <c r="C1290" t="s">
        <v>3895</v>
      </c>
      <c r="D1290" t="s">
        <v>5631</v>
      </c>
      <c r="E1290" t="s">
        <v>94</v>
      </c>
      <c r="F1290" t="s">
        <v>5588</v>
      </c>
      <c r="G1290" t="s">
        <v>5589</v>
      </c>
      <c r="H1290" t="s">
        <v>5590</v>
      </c>
      <c r="I1290">
        <v>4</v>
      </c>
      <c r="J1290" t="s">
        <v>5595</v>
      </c>
      <c r="K1290">
        <v>4.5</v>
      </c>
      <c r="L1290" t="s">
        <v>5737</v>
      </c>
      <c r="M1290">
        <v>1.8</v>
      </c>
      <c r="N1290" t="s">
        <v>5737</v>
      </c>
      <c r="O1290">
        <v>14.1</v>
      </c>
      <c r="P1290" t="s">
        <v>5613</v>
      </c>
      <c r="Q1290">
        <v>9.1999999999999993</v>
      </c>
      <c r="R1290" t="s">
        <v>5613</v>
      </c>
      <c r="S1290">
        <v>10.5</v>
      </c>
      <c r="T1290" t="s">
        <v>5613</v>
      </c>
      <c r="U1290">
        <v>6.2</v>
      </c>
      <c r="V1290" t="s">
        <v>5613</v>
      </c>
      <c r="W1290">
        <v>1.2</v>
      </c>
      <c r="X1290" t="s">
        <v>5613</v>
      </c>
      <c r="Y1290">
        <v>7.9</v>
      </c>
      <c r="Z1290" t="s">
        <v>5613</v>
      </c>
      <c r="AA1290">
        <v>2.2000000000000002</v>
      </c>
      <c r="AB1290" t="s">
        <v>5613</v>
      </c>
      <c r="AC1290" t="s">
        <v>6207</v>
      </c>
    </row>
    <row r="1291" spans="1:29">
      <c r="A1291" t="s">
        <v>6343</v>
      </c>
      <c r="B1291" t="s">
        <v>6343</v>
      </c>
      <c r="C1291" t="s">
        <v>6673</v>
      </c>
      <c r="D1291" t="s">
        <v>5863</v>
      </c>
      <c r="E1291" t="s">
        <v>1306</v>
      </c>
      <c r="F1291" t="s">
        <v>5588</v>
      </c>
      <c r="G1291" t="s">
        <v>5602</v>
      </c>
      <c r="H1291" t="s">
        <v>5809</v>
      </c>
      <c r="I1291">
        <v>4</v>
      </c>
      <c r="J1291" t="s">
        <v>5591</v>
      </c>
      <c r="K1291">
        <v>8.3000000000000007</v>
      </c>
      <c r="L1291" t="s">
        <v>5737</v>
      </c>
      <c r="M1291">
        <v>6.8</v>
      </c>
      <c r="N1291" t="s">
        <v>5737</v>
      </c>
      <c r="O1291">
        <v>22.2</v>
      </c>
      <c r="P1291">
        <v>627</v>
      </c>
      <c r="Q1291">
        <v>1.1000000000000001</v>
      </c>
      <c r="R1291" t="s">
        <v>5613</v>
      </c>
      <c r="S1291">
        <v>8.5</v>
      </c>
      <c r="T1291" t="s">
        <v>5613</v>
      </c>
      <c r="U1291">
        <v>4.0999999999999996</v>
      </c>
      <c r="V1291" t="s">
        <v>5613</v>
      </c>
      <c r="W1291">
        <v>1</v>
      </c>
      <c r="X1291" t="s">
        <v>5613</v>
      </c>
      <c r="Y1291">
        <v>12.4</v>
      </c>
      <c r="Z1291" t="s">
        <v>5613</v>
      </c>
      <c r="AA1291">
        <v>1</v>
      </c>
      <c r="AB1291" t="s">
        <v>5613</v>
      </c>
      <c r="AC1291" t="s">
        <v>6207</v>
      </c>
    </row>
    <row r="1292" spans="1:29">
      <c r="A1292" t="s">
        <v>6343</v>
      </c>
      <c r="B1292" t="s">
        <v>6343</v>
      </c>
      <c r="C1292" t="s">
        <v>6674</v>
      </c>
      <c r="D1292" t="s">
        <v>5587</v>
      </c>
      <c r="E1292" t="s">
        <v>29</v>
      </c>
      <c r="F1292" t="s">
        <v>5593</v>
      </c>
      <c r="G1292" t="s">
        <v>5589</v>
      </c>
      <c r="H1292" t="s">
        <v>5809</v>
      </c>
      <c r="I1292">
        <v>5</v>
      </c>
      <c r="K1292">
        <v>4.9000000000000004</v>
      </c>
      <c r="L1292" t="s">
        <v>5737</v>
      </c>
      <c r="M1292">
        <v>2.4</v>
      </c>
      <c r="N1292" t="s">
        <v>5737</v>
      </c>
      <c r="O1292">
        <v>5.2</v>
      </c>
      <c r="P1292" t="s">
        <v>5613</v>
      </c>
      <c r="Q1292">
        <v>4.8</v>
      </c>
      <c r="R1292" t="s">
        <v>5613</v>
      </c>
      <c r="S1292">
        <v>4.5</v>
      </c>
      <c r="T1292" t="s">
        <v>5613</v>
      </c>
      <c r="U1292">
        <v>6.8</v>
      </c>
      <c r="V1292" t="s">
        <v>5613</v>
      </c>
      <c r="W1292">
        <v>1.5</v>
      </c>
      <c r="X1292" t="s">
        <v>5613</v>
      </c>
      <c r="Y1292">
        <v>10.9</v>
      </c>
      <c r="Z1292" t="s">
        <v>5613</v>
      </c>
      <c r="AC1292" t="s">
        <v>6207</v>
      </c>
    </row>
    <row r="1293" spans="1:29">
      <c r="A1293" t="s">
        <v>6343</v>
      </c>
      <c r="B1293" t="s">
        <v>6240</v>
      </c>
      <c r="C1293" t="s">
        <v>6675</v>
      </c>
      <c r="D1293" t="s">
        <v>5587</v>
      </c>
      <c r="E1293" t="s">
        <v>29</v>
      </c>
      <c r="F1293" t="s">
        <v>5588</v>
      </c>
      <c r="G1293" t="s">
        <v>5589</v>
      </c>
      <c r="H1293" t="s">
        <v>5809</v>
      </c>
      <c r="I1293">
        <v>4</v>
      </c>
      <c r="J1293" t="s">
        <v>5591</v>
      </c>
      <c r="K1293">
        <v>5.4</v>
      </c>
      <c r="L1293" t="s">
        <v>5737</v>
      </c>
      <c r="M1293">
        <v>4.2</v>
      </c>
      <c r="N1293" t="s">
        <v>5737</v>
      </c>
      <c r="O1293">
        <v>29.3</v>
      </c>
      <c r="P1293">
        <v>529</v>
      </c>
      <c r="Q1293">
        <v>2.4</v>
      </c>
      <c r="R1293" t="s">
        <v>5613</v>
      </c>
      <c r="S1293">
        <v>1.5</v>
      </c>
      <c r="T1293" t="s">
        <v>5613</v>
      </c>
      <c r="U1293">
        <v>13.9</v>
      </c>
      <c r="V1293">
        <v>644</v>
      </c>
      <c r="W1293">
        <v>1</v>
      </c>
      <c r="X1293" t="s">
        <v>5613</v>
      </c>
      <c r="Y1293">
        <v>13.6</v>
      </c>
      <c r="Z1293">
        <v>633</v>
      </c>
      <c r="AA1293">
        <v>1</v>
      </c>
      <c r="AB1293" t="s">
        <v>5613</v>
      </c>
      <c r="AC1293" t="s">
        <v>6207</v>
      </c>
    </row>
    <row r="1294" spans="1:29">
      <c r="A1294" t="s">
        <v>6343</v>
      </c>
      <c r="B1294" t="s">
        <v>6343</v>
      </c>
      <c r="C1294" t="s">
        <v>6676</v>
      </c>
      <c r="D1294" t="s">
        <v>5616</v>
      </c>
      <c r="E1294" t="s">
        <v>54</v>
      </c>
      <c r="F1294" t="s">
        <v>5605</v>
      </c>
      <c r="G1294" t="s">
        <v>5589</v>
      </c>
      <c r="H1294" t="s">
        <v>5809</v>
      </c>
      <c r="I1294">
        <v>3</v>
      </c>
      <c r="J1294" t="s">
        <v>5595</v>
      </c>
      <c r="K1294">
        <v>4.3</v>
      </c>
      <c r="L1294" t="s">
        <v>5737</v>
      </c>
      <c r="M1294">
        <v>1.4</v>
      </c>
      <c r="N1294" t="s">
        <v>5737</v>
      </c>
      <c r="O1294">
        <v>13.4</v>
      </c>
      <c r="P1294" t="s">
        <v>5613</v>
      </c>
      <c r="Q1294">
        <v>3.8</v>
      </c>
      <c r="R1294" t="s">
        <v>5613</v>
      </c>
      <c r="S1294">
        <v>4.4000000000000004</v>
      </c>
      <c r="T1294" t="s">
        <v>5613</v>
      </c>
      <c r="U1294">
        <v>2.9</v>
      </c>
      <c r="V1294" t="s">
        <v>5613</v>
      </c>
      <c r="W1294">
        <v>1.1000000000000001</v>
      </c>
      <c r="X1294" t="s">
        <v>5613</v>
      </c>
      <c r="Y1294">
        <v>7.4</v>
      </c>
      <c r="Z1294" t="s">
        <v>5613</v>
      </c>
      <c r="AA1294">
        <v>1.1000000000000001</v>
      </c>
      <c r="AB1294" t="s">
        <v>5613</v>
      </c>
      <c r="AC1294" t="s">
        <v>6207</v>
      </c>
    </row>
    <row r="1295" spans="1:29">
      <c r="A1295" t="s">
        <v>6343</v>
      </c>
      <c r="B1295" t="s">
        <v>6343</v>
      </c>
      <c r="C1295" t="s">
        <v>6677</v>
      </c>
      <c r="D1295" t="s">
        <v>5616</v>
      </c>
      <c r="E1295" t="s">
        <v>54</v>
      </c>
      <c r="F1295" t="s">
        <v>5593</v>
      </c>
      <c r="G1295" t="s">
        <v>5602</v>
      </c>
      <c r="H1295" t="s">
        <v>5809</v>
      </c>
      <c r="I1295">
        <v>4</v>
      </c>
      <c r="J1295" t="s">
        <v>5595</v>
      </c>
      <c r="K1295">
        <v>5.2</v>
      </c>
      <c r="L1295" t="s">
        <v>5737</v>
      </c>
      <c r="M1295">
        <v>4.4000000000000004</v>
      </c>
      <c r="N1295" t="s">
        <v>5737</v>
      </c>
      <c r="O1295">
        <v>9.3000000000000007</v>
      </c>
      <c r="P1295" t="s">
        <v>5613</v>
      </c>
      <c r="Q1295">
        <v>3.3</v>
      </c>
      <c r="R1295" t="s">
        <v>5613</v>
      </c>
      <c r="S1295">
        <v>16.399999999999999</v>
      </c>
      <c r="T1295">
        <v>643</v>
      </c>
      <c r="U1295">
        <v>2.2999999999999998</v>
      </c>
      <c r="V1295" t="s">
        <v>5613</v>
      </c>
      <c r="W1295">
        <v>1</v>
      </c>
      <c r="X1295" t="s">
        <v>5613</v>
      </c>
      <c r="Y1295">
        <v>20.2</v>
      </c>
      <c r="Z1295">
        <v>415</v>
      </c>
      <c r="AA1295">
        <v>1.2</v>
      </c>
      <c r="AB1295" t="s">
        <v>5613</v>
      </c>
      <c r="AC1295" t="s">
        <v>6207</v>
      </c>
    </row>
    <row r="1296" spans="1:29">
      <c r="A1296" t="s">
        <v>6343</v>
      </c>
      <c r="B1296" t="s">
        <v>6343</v>
      </c>
      <c r="C1296" t="s">
        <v>3068</v>
      </c>
      <c r="D1296" t="s">
        <v>5631</v>
      </c>
      <c r="E1296" t="s">
        <v>94</v>
      </c>
      <c r="F1296" t="s">
        <v>5588</v>
      </c>
      <c r="G1296" t="s">
        <v>5602</v>
      </c>
      <c r="H1296" t="s">
        <v>5590</v>
      </c>
      <c r="I1296">
        <v>4</v>
      </c>
      <c r="J1296" t="s">
        <v>5591</v>
      </c>
      <c r="K1296">
        <v>3.7</v>
      </c>
      <c r="L1296" t="s">
        <v>5737</v>
      </c>
      <c r="M1296">
        <v>2.2999999999999998</v>
      </c>
      <c r="N1296" t="s">
        <v>5737</v>
      </c>
      <c r="O1296">
        <v>2.8</v>
      </c>
      <c r="P1296" t="s">
        <v>5613</v>
      </c>
      <c r="Q1296">
        <v>4.8</v>
      </c>
      <c r="R1296" t="s">
        <v>5613</v>
      </c>
      <c r="S1296">
        <v>13.8</v>
      </c>
      <c r="T1296">
        <v>689</v>
      </c>
      <c r="U1296">
        <v>9.8000000000000007</v>
      </c>
      <c r="V1296" t="s">
        <v>5613</v>
      </c>
      <c r="W1296">
        <v>1.1000000000000001</v>
      </c>
      <c r="X1296" t="s">
        <v>5613</v>
      </c>
      <c r="Y1296">
        <v>7.9</v>
      </c>
      <c r="Z1296" t="s">
        <v>5613</v>
      </c>
      <c r="AA1296">
        <v>1.1000000000000001</v>
      </c>
      <c r="AB1296" t="s">
        <v>5613</v>
      </c>
      <c r="AC1296" t="s">
        <v>6207</v>
      </c>
    </row>
    <row r="1297" spans="1:29">
      <c r="A1297" t="s">
        <v>6343</v>
      </c>
      <c r="B1297" t="s">
        <v>6240</v>
      </c>
      <c r="C1297" t="s">
        <v>6678</v>
      </c>
      <c r="D1297" t="s">
        <v>5770</v>
      </c>
      <c r="E1297" t="s">
        <v>528</v>
      </c>
      <c r="F1297" t="s">
        <v>5593</v>
      </c>
      <c r="G1297" t="s">
        <v>5602</v>
      </c>
      <c r="H1297" t="s">
        <v>5590</v>
      </c>
      <c r="I1297">
        <v>3</v>
      </c>
      <c r="J1297" t="s">
        <v>5591</v>
      </c>
      <c r="K1297">
        <v>4.5999999999999996</v>
      </c>
      <c r="L1297" t="s">
        <v>5737</v>
      </c>
      <c r="M1297">
        <v>2</v>
      </c>
      <c r="N1297" t="s">
        <v>5737</v>
      </c>
      <c r="O1297">
        <v>32.9</v>
      </c>
      <c r="P1297">
        <v>481</v>
      </c>
      <c r="Q1297">
        <v>4.7</v>
      </c>
      <c r="R1297" t="s">
        <v>5613</v>
      </c>
      <c r="S1297">
        <v>1.7</v>
      </c>
      <c r="T1297" t="s">
        <v>5613</v>
      </c>
      <c r="U1297">
        <v>2.1</v>
      </c>
      <c r="V1297" t="s">
        <v>5613</v>
      </c>
      <c r="W1297">
        <v>1.1000000000000001</v>
      </c>
      <c r="X1297" t="s">
        <v>5613</v>
      </c>
      <c r="Y1297">
        <v>8.1</v>
      </c>
      <c r="Z1297" t="s">
        <v>5613</v>
      </c>
      <c r="AA1297">
        <v>1</v>
      </c>
      <c r="AB1297" t="s">
        <v>5613</v>
      </c>
      <c r="AC1297" t="s">
        <v>6207</v>
      </c>
    </row>
    <row r="1298" spans="1:29">
      <c r="A1298" t="s">
        <v>6343</v>
      </c>
      <c r="C1298" t="s">
        <v>3934</v>
      </c>
      <c r="D1298" t="s">
        <v>5843</v>
      </c>
      <c r="E1298" t="s">
        <v>1448</v>
      </c>
      <c r="F1298" t="s">
        <v>5593</v>
      </c>
      <c r="G1298" t="s">
        <v>5589</v>
      </c>
      <c r="H1298" t="s">
        <v>5809</v>
      </c>
      <c r="I1298">
        <v>4</v>
      </c>
      <c r="J1298" t="s">
        <v>5595</v>
      </c>
      <c r="K1298">
        <v>6.2</v>
      </c>
      <c r="L1298" t="s">
        <v>5737</v>
      </c>
      <c r="M1298">
        <v>6.7</v>
      </c>
      <c r="N1298" t="s">
        <v>5737</v>
      </c>
      <c r="O1298">
        <v>4.5</v>
      </c>
      <c r="P1298" t="s">
        <v>5613</v>
      </c>
      <c r="Q1298">
        <v>2.7</v>
      </c>
      <c r="R1298" t="s">
        <v>5613</v>
      </c>
      <c r="S1298">
        <v>4.5999999999999996</v>
      </c>
      <c r="T1298" t="s">
        <v>5613</v>
      </c>
      <c r="U1298">
        <v>1.2</v>
      </c>
      <c r="V1298" t="s">
        <v>5613</v>
      </c>
      <c r="W1298">
        <v>1</v>
      </c>
      <c r="X1298" t="s">
        <v>5613</v>
      </c>
      <c r="Y1298">
        <v>7.4</v>
      </c>
      <c r="Z1298" t="s">
        <v>5613</v>
      </c>
      <c r="AA1298">
        <v>1</v>
      </c>
      <c r="AB1298" t="s">
        <v>5613</v>
      </c>
      <c r="AC1298" t="s">
        <v>6207</v>
      </c>
    </row>
    <row r="1299" spans="1:29">
      <c r="A1299" t="s">
        <v>6343</v>
      </c>
      <c r="B1299" t="s">
        <v>6240</v>
      </c>
      <c r="C1299" t="s">
        <v>6679</v>
      </c>
      <c r="D1299" t="s">
        <v>5644</v>
      </c>
      <c r="E1299" t="s">
        <v>181</v>
      </c>
      <c r="F1299" t="s">
        <v>5588</v>
      </c>
      <c r="G1299" t="s">
        <v>5589</v>
      </c>
      <c r="H1299" t="s">
        <v>5809</v>
      </c>
      <c r="I1299">
        <v>4</v>
      </c>
      <c r="J1299" t="s">
        <v>5926</v>
      </c>
      <c r="K1299">
        <v>5.4</v>
      </c>
      <c r="L1299" t="s">
        <v>5737</v>
      </c>
      <c r="M1299">
        <v>6.4</v>
      </c>
      <c r="N1299" t="s">
        <v>5737</v>
      </c>
      <c r="O1299">
        <v>21.4</v>
      </c>
      <c r="P1299">
        <v>637</v>
      </c>
      <c r="Q1299">
        <v>4.5</v>
      </c>
      <c r="R1299" t="s">
        <v>5613</v>
      </c>
      <c r="S1299">
        <v>4.7</v>
      </c>
      <c r="T1299" t="s">
        <v>5613</v>
      </c>
      <c r="U1299">
        <v>2</v>
      </c>
      <c r="V1299" t="s">
        <v>5613</v>
      </c>
      <c r="W1299">
        <v>1</v>
      </c>
      <c r="X1299" t="s">
        <v>5613</v>
      </c>
      <c r="Y1299">
        <v>7.3</v>
      </c>
      <c r="Z1299" t="s">
        <v>5613</v>
      </c>
      <c r="AA1299">
        <v>1</v>
      </c>
      <c r="AB1299" t="s">
        <v>5613</v>
      </c>
      <c r="AC1299" t="s">
        <v>6207</v>
      </c>
    </row>
    <row r="1300" spans="1:29">
      <c r="A1300" t="s">
        <v>6343</v>
      </c>
      <c r="B1300" t="s">
        <v>6343</v>
      </c>
      <c r="C1300" t="s">
        <v>3083</v>
      </c>
      <c r="D1300" t="s">
        <v>5644</v>
      </c>
      <c r="E1300" t="s">
        <v>181</v>
      </c>
      <c r="F1300" t="s">
        <v>5593</v>
      </c>
      <c r="G1300" t="s">
        <v>5589</v>
      </c>
      <c r="H1300" t="s">
        <v>5809</v>
      </c>
      <c r="I1300">
        <v>3</v>
      </c>
      <c r="J1300" t="s">
        <v>5926</v>
      </c>
      <c r="K1300">
        <v>5</v>
      </c>
      <c r="L1300" t="s">
        <v>5737</v>
      </c>
      <c r="M1300">
        <v>6.5</v>
      </c>
      <c r="N1300" t="s">
        <v>5737</v>
      </c>
      <c r="O1300">
        <v>10.1</v>
      </c>
      <c r="P1300" t="s">
        <v>5613</v>
      </c>
      <c r="Q1300">
        <v>4.3</v>
      </c>
      <c r="R1300" t="s">
        <v>5613</v>
      </c>
      <c r="S1300">
        <v>5.9</v>
      </c>
      <c r="T1300" t="s">
        <v>5613</v>
      </c>
      <c r="U1300">
        <v>13.9</v>
      </c>
      <c r="V1300">
        <v>641</v>
      </c>
      <c r="W1300">
        <v>1</v>
      </c>
      <c r="X1300" t="s">
        <v>5613</v>
      </c>
      <c r="Y1300">
        <v>4.2</v>
      </c>
      <c r="Z1300" t="s">
        <v>5613</v>
      </c>
      <c r="AA1300">
        <v>1</v>
      </c>
      <c r="AB1300" t="s">
        <v>5613</v>
      </c>
      <c r="AC1300" t="s">
        <v>6207</v>
      </c>
    </row>
    <row r="1301" spans="1:29">
      <c r="A1301" t="s">
        <v>6343</v>
      </c>
      <c r="B1301" t="s">
        <v>6343</v>
      </c>
      <c r="C1301" t="s">
        <v>6680</v>
      </c>
      <c r="D1301" t="s">
        <v>5770</v>
      </c>
      <c r="E1301" t="s">
        <v>528</v>
      </c>
      <c r="F1301" t="s">
        <v>5605</v>
      </c>
      <c r="G1301" t="s">
        <v>5589</v>
      </c>
      <c r="H1301" t="s">
        <v>5590</v>
      </c>
      <c r="I1301">
        <v>3</v>
      </c>
      <c r="J1301" t="s">
        <v>5591</v>
      </c>
      <c r="K1301">
        <v>7</v>
      </c>
      <c r="L1301" t="s">
        <v>5737</v>
      </c>
      <c r="M1301">
        <v>13.1</v>
      </c>
      <c r="N1301" t="s">
        <v>5737</v>
      </c>
      <c r="O1301">
        <v>12.2</v>
      </c>
      <c r="P1301" t="s">
        <v>5613</v>
      </c>
      <c r="Q1301">
        <v>3.7</v>
      </c>
      <c r="R1301" t="s">
        <v>5613</v>
      </c>
      <c r="S1301">
        <v>1.7</v>
      </c>
      <c r="T1301" t="s">
        <v>5613</v>
      </c>
      <c r="U1301">
        <v>2.1</v>
      </c>
      <c r="V1301" t="s">
        <v>5613</v>
      </c>
      <c r="W1301">
        <v>8.1</v>
      </c>
      <c r="X1301" t="s">
        <v>5613</v>
      </c>
      <c r="Y1301">
        <v>7.5</v>
      </c>
      <c r="Z1301" t="s">
        <v>5613</v>
      </c>
      <c r="AA1301">
        <v>3.8</v>
      </c>
      <c r="AB1301" t="s">
        <v>5613</v>
      </c>
      <c r="AC1301" t="s">
        <v>6207</v>
      </c>
    </row>
    <row r="1302" spans="1:29">
      <c r="A1302" t="s">
        <v>6343</v>
      </c>
      <c r="B1302" t="s">
        <v>6343</v>
      </c>
      <c r="C1302" t="s">
        <v>6681</v>
      </c>
      <c r="D1302" t="s">
        <v>6359</v>
      </c>
      <c r="E1302" t="s">
        <v>1853</v>
      </c>
      <c r="F1302" t="s">
        <v>5588</v>
      </c>
      <c r="G1302" t="s">
        <v>5589</v>
      </c>
      <c r="H1302" t="s">
        <v>5809</v>
      </c>
      <c r="I1302">
        <v>3</v>
      </c>
      <c r="J1302" t="s">
        <v>5595</v>
      </c>
      <c r="K1302">
        <v>3.8</v>
      </c>
      <c r="L1302" t="s">
        <v>5737</v>
      </c>
      <c r="M1302">
        <v>2.2999999999999998</v>
      </c>
      <c r="N1302" t="s">
        <v>5737</v>
      </c>
      <c r="O1302">
        <v>4.9000000000000004</v>
      </c>
      <c r="P1302" t="s">
        <v>5613</v>
      </c>
      <c r="Q1302">
        <v>3.8</v>
      </c>
      <c r="R1302" t="s">
        <v>5613</v>
      </c>
      <c r="S1302">
        <v>2.4</v>
      </c>
      <c r="T1302" t="s">
        <v>5613</v>
      </c>
      <c r="U1302">
        <v>27.7</v>
      </c>
      <c r="V1302">
        <v>443</v>
      </c>
      <c r="W1302">
        <v>1.1000000000000001</v>
      </c>
      <c r="X1302" t="s">
        <v>5613</v>
      </c>
      <c r="Y1302">
        <v>8.5</v>
      </c>
      <c r="Z1302" t="s">
        <v>5613</v>
      </c>
      <c r="AA1302">
        <v>1</v>
      </c>
      <c r="AB1302" t="s">
        <v>5613</v>
      </c>
      <c r="AC1302" t="s">
        <v>6207</v>
      </c>
    </row>
    <row r="1303" spans="1:29">
      <c r="A1303" t="s">
        <v>6343</v>
      </c>
      <c r="B1303" t="s">
        <v>6343</v>
      </c>
      <c r="C1303" t="s">
        <v>2555</v>
      </c>
      <c r="D1303" t="s">
        <v>6015</v>
      </c>
      <c r="E1303" t="s">
        <v>1483</v>
      </c>
      <c r="F1303" t="s">
        <v>5605</v>
      </c>
      <c r="G1303" t="s">
        <v>5594</v>
      </c>
      <c r="H1303" t="s">
        <v>5809</v>
      </c>
      <c r="I1303">
        <v>3</v>
      </c>
      <c r="J1303" t="s">
        <v>5595</v>
      </c>
      <c r="K1303">
        <v>3.9</v>
      </c>
      <c r="L1303" t="s">
        <v>5737</v>
      </c>
      <c r="M1303">
        <v>2.6</v>
      </c>
      <c r="N1303" t="s">
        <v>5737</v>
      </c>
      <c r="O1303">
        <v>16.2</v>
      </c>
      <c r="P1303" t="s">
        <v>5613</v>
      </c>
      <c r="Q1303">
        <v>2.2000000000000002</v>
      </c>
      <c r="R1303" t="s">
        <v>5613</v>
      </c>
      <c r="S1303">
        <v>2.2000000000000002</v>
      </c>
      <c r="T1303" t="s">
        <v>5613</v>
      </c>
      <c r="U1303">
        <v>1.8</v>
      </c>
      <c r="V1303" t="s">
        <v>5613</v>
      </c>
      <c r="W1303">
        <v>5.7</v>
      </c>
      <c r="X1303" t="s">
        <v>5613</v>
      </c>
      <c r="Y1303">
        <v>4.7</v>
      </c>
      <c r="Z1303" t="s">
        <v>5613</v>
      </c>
      <c r="AA1303">
        <v>1.2</v>
      </c>
      <c r="AB1303" t="s">
        <v>5613</v>
      </c>
      <c r="AC1303" t="s">
        <v>6207</v>
      </c>
    </row>
    <row r="1304" spans="1:29">
      <c r="A1304" t="s">
        <v>6343</v>
      </c>
      <c r="C1304" t="s">
        <v>6682</v>
      </c>
      <c r="D1304" t="s">
        <v>5981</v>
      </c>
      <c r="E1304" t="s">
        <v>895</v>
      </c>
      <c r="F1304" t="s">
        <v>5605</v>
      </c>
      <c r="G1304" t="s">
        <v>5594</v>
      </c>
      <c r="H1304" t="s">
        <v>6146</v>
      </c>
      <c r="I1304">
        <v>3</v>
      </c>
      <c r="J1304" t="s">
        <v>5595</v>
      </c>
      <c r="K1304">
        <v>6.8</v>
      </c>
      <c r="L1304" t="s">
        <v>5737</v>
      </c>
      <c r="M1304">
        <v>3.8</v>
      </c>
      <c r="N1304" t="s">
        <v>5737</v>
      </c>
      <c r="O1304">
        <v>4.0999999999999996</v>
      </c>
      <c r="P1304" t="s">
        <v>5613</v>
      </c>
      <c r="Q1304">
        <v>2.4</v>
      </c>
      <c r="R1304" t="s">
        <v>5613</v>
      </c>
      <c r="S1304">
        <v>1.8</v>
      </c>
      <c r="T1304" t="s">
        <v>5613</v>
      </c>
      <c r="U1304">
        <v>5.0999999999999996</v>
      </c>
      <c r="V1304" t="s">
        <v>5613</v>
      </c>
      <c r="W1304">
        <v>1.5</v>
      </c>
      <c r="X1304" t="s">
        <v>5613</v>
      </c>
      <c r="Y1304">
        <v>7.5</v>
      </c>
      <c r="Z1304" t="s">
        <v>5613</v>
      </c>
      <c r="AA1304">
        <v>1.1000000000000001</v>
      </c>
      <c r="AB1304" t="s">
        <v>5613</v>
      </c>
      <c r="AC1304" t="s">
        <v>6207</v>
      </c>
    </row>
    <row r="1305" spans="1:29">
      <c r="A1305" t="s">
        <v>6343</v>
      </c>
      <c r="C1305" t="s">
        <v>6683</v>
      </c>
      <c r="D1305" t="s">
        <v>5863</v>
      </c>
      <c r="E1305" t="s">
        <v>1306</v>
      </c>
      <c r="F1305" t="s">
        <v>5588</v>
      </c>
      <c r="G1305" t="s">
        <v>5602</v>
      </c>
      <c r="H1305" t="s">
        <v>6146</v>
      </c>
      <c r="I1305">
        <v>3</v>
      </c>
      <c r="J1305" t="s">
        <v>5591</v>
      </c>
      <c r="K1305">
        <v>9.8000000000000007</v>
      </c>
      <c r="L1305" t="s">
        <v>5737</v>
      </c>
      <c r="M1305">
        <v>8.5</v>
      </c>
      <c r="N1305" t="s">
        <v>5737</v>
      </c>
      <c r="O1305">
        <v>3.6</v>
      </c>
      <c r="P1305" t="s">
        <v>5613</v>
      </c>
      <c r="Q1305">
        <v>1.3</v>
      </c>
      <c r="R1305" t="s">
        <v>5613</v>
      </c>
      <c r="S1305">
        <v>3.9</v>
      </c>
      <c r="T1305" t="s">
        <v>5613</v>
      </c>
      <c r="U1305">
        <v>1.2</v>
      </c>
      <c r="V1305" t="s">
        <v>5613</v>
      </c>
      <c r="W1305">
        <v>1</v>
      </c>
      <c r="X1305" t="s">
        <v>5613</v>
      </c>
      <c r="Y1305">
        <v>12.7</v>
      </c>
      <c r="Z1305">
        <v>682</v>
      </c>
      <c r="AA1305">
        <v>1.1000000000000001</v>
      </c>
      <c r="AB1305" t="s">
        <v>5613</v>
      </c>
      <c r="AC1305" t="s">
        <v>6207</v>
      </c>
    </row>
    <row r="1306" spans="1:29">
      <c r="A1306" t="s">
        <v>6343</v>
      </c>
      <c r="B1306" t="s">
        <v>6343</v>
      </c>
      <c r="C1306" t="s">
        <v>6684</v>
      </c>
      <c r="D1306" t="s">
        <v>5843</v>
      </c>
      <c r="E1306" t="s">
        <v>1448</v>
      </c>
      <c r="F1306" t="s">
        <v>5593</v>
      </c>
      <c r="G1306" t="s">
        <v>5594</v>
      </c>
      <c r="H1306" t="s">
        <v>5809</v>
      </c>
      <c r="I1306">
        <v>3</v>
      </c>
      <c r="J1306" t="s">
        <v>5595</v>
      </c>
      <c r="K1306">
        <v>6.2</v>
      </c>
      <c r="L1306" t="s">
        <v>5737</v>
      </c>
      <c r="M1306">
        <v>3.1</v>
      </c>
      <c r="N1306" t="s">
        <v>5737</v>
      </c>
      <c r="O1306">
        <v>3.4</v>
      </c>
      <c r="P1306" t="s">
        <v>5613</v>
      </c>
      <c r="Q1306">
        <v>8.6</v>
      </c>
      <c r="R1306" t="s">
        <v>5613</v>
      </c>
      <c r="S1306">
        <v>6.1</v>
      </c>
      <c r="T1306" t="s">
        <v>5613</v>
      </c>
      <c r="U1306">
        <v>1.5</v>
      </c>
      <c r="V1306" t="s">
        <v>5613</v>
      </c>
      <c r="W1306">
        <v>1.6</v>
      </c>
      <c r="X1306" t="s">
        <v>5613</v>
      </c>
      <c r="Y1306">
        <v>8.5</v>
      </c>
      <c r="Z1306" t="s">
        <v>5613</v>
      </c>
      <c r="AA1306">
        <v>1.7</v>
      </c>
      <c r="AB1306" t="s">
        <v>5613</v>
      </c>
      <c r="AC1306" t="s">
        <v>6207</v>
      </c>
    </row>
    <row r="1307" spans="1:29">
      <c r="A1307" t="s">
        <v>6343</v>
      </c>
      <c r="B1307" t="s">
        <v>6343</v>
      </c>
      <c r="C1307" t="s">
        <v>3120</v>
      </c>
      <c r="D1307" t="s">
        <v>5678</v>
      </c>
      <c r="E1307" t="s">
        <v>389</v>
      </c>
      <c r="F1307" t="s">
        <v>5593</v>
      </c>
      <c r="G1307" t="s">
        <v>5602</v>
      </c>
      <c r="H1307" t="s">
        <v>5590</v>
      </c>
      <c r="I1307">
        <v>3</v>
      </c>
      <c r="J1307" t="s">
        <v>5926</v>
      </c>
      <c r="K1307">
        <v>5.7</v>
      </c>
      <c r="L1307" t="s">
        <v>5737</v>
      </c>
      <c r="M1307">
        <v>5.5</v>
      </c>
      <c r="N1307" t="s">
        <v>5737</v>
      </c>
      <c r="O1307">
        <v>3.6</v>
      </c>
      <c r="P1307" t="s">
        <v>5613</v>
      </c>
      <c r="Q1307">
        <v>5.6</v>
      </c>
      <c r="R1307" t="s">
        <v>5613</v>
      </c>
      <c r="S1307">
        <v>8.4</v>
      </c>
      <c r="T1307" t="s">
        <v>5613</v>
      </c>
      <c r="U1307">
        <v>7.4</v>
      </c>
      <c r="V1307" t="s">
        <v>5613</v>
      </c>
      <c r="W1307">
        <v>1.1000000000000001</v>
      </c>
      <c r="X1307" t="s">
        <v>5613</v>
      </c>
      <c r="Y1307">
        <v>20.9</v>
      </c>
      <c r="Z1307">
        <v>395</v>
      </c>
      <c r="AA1307">
        <v>4.9000000000000004</v>
      </c>
      <c r="AB1307" t="s">
        <v>5613</v>
      </c>
      <c r="AC1307" t="s">
        <v>6207</v>
      </c>
    </row>
    <row r="1308" spans="1:29">
      <c r="A1308" t="s">
        <v>6343</v>
      </c>
      <c r="B1308" t="s">
        <v>6343</v>
      </c>
      <c r="C1308" t="s">
        <v>6685</v>
      </c>
      <c r="D1308" t="s">
        <v>6015</v>
      </c>
      <c r="E1308" t="s">
        <v>1483</v>
      </c>
      <c r="F1308" t="s">
        <v>5605</v>
      </c>
      <c r="G1308" t="s">
        <v>5602</v>
      </c>
      <c r="H1308" t="s">
        <v>5590</v>
      </c>
      <c r="I1308">
        <v>4</v>
      </c>
      <c r="J1308" t="s">
        <v>5595</v>
      </c>
      <c r="K1308">
        <v>6.3</v>
      </c>
      <c r="L1308" t="s">
        <v>5737</v>
      </c>
      <c r="M1308">
        <v>4.3</v>
      </c>
      <c r="N1308" t="s">
        <v>5737</v>
      </c>
      <c r="O1308">
        <v>4.0999999999999996</v>
      </c>
      <c r="P1308" t="s">
        <v>5613</v>
      </c>
      <c r="Q1308">
        <v>2.1</v>
      </c>
      <c r="R1308" t="s">
        <v>5613</v>
      </c>
      <c r="S1308">
        <v>1.6</v>
      </c>
      <c r="T1308" t="s">
        <v>5613</v>
      </c>
      <c r="U1308">
        <v>2</v>
      </c>
      <c r="V1308" t="s">
        <v>5613</v>
      </c>
      <c r="W1308">
        <v>21.4</v>
      </c>
      <c r="X1308">
        <v>533</v>
      </c>
      <c r="Y1308">
        <v>6.5</v>
      </c>
      <c r="Z1308" t="s">
        <v>5613</v>
      </c>
      <c r="AA1308">
        <v>13.9</v>
      </c>
      <c r="AB1308" t="s">
        <v>6686</v>
      </c>
      <c r="AC1308" t="s">
        <v>6207</v>
      </c>
    </row>
    <row r="1309" spans="1:29">
      <c r="A1309" t="s">
        <v>6343</v>
      </c>
      <c r="B1309" t="s">
        <v>6343</v>
      </c>
      <c r="C1309" t="s">
        <v>3126</v>
      </c>
      <c r="D1309" t="s">
        <v>6359</v>
      </c>
      <c r="E1309" t="s">
        <v>1853</v>
      </c>
      <c r="F1309" t="s">
        <v>5593</v>
      </c>
      <c r="G1309" t="s">
        <v>5651</v>
      </c>
      <c r="I1309">
        <v>5</v>
      </c>
      <c r="J1309" t="s">
        <v>5595</v>
      </c>
      <c r="K1309">
        <v>5</v>
      </c>
      <c r="L1309" t="s">
        <v>5737</v>
      </c>
      <c r="M1309">
        <v>4.8</v>
      </c>
      <c r="N1309" t="s">
        <v>5737</v>
      </c>
      <c r="O1309">
        <v>7.3</v>
      </c>
      <c r="P1309" t="s">
        <v>5613</v>
      </c>
      <c r="Q1309">
        <v>3.7</v>
      </c>
      <c r="R1309" t="s">
        <v>5613</v>
      </c>
      <c r="S1309">
        <v>1.7</v>
      </c>
      <c r="T1309" t="s">
        <v>5613</v>
      </c>
      <c r="U1309">
        <v>2.7</v>
      </c>
      <c r="V1309" t="s">
        <v>5613</v>
      </c>
      <c r="W1309">
        <v>2.8</v>
      </c>
      <c r="X1309" t="s">
        <v>5613</v>
      </c>
      <c r="Y1309">
        <v>8</v>
      </c>
      <c r="Z1309" t="s">
        <v>5613</v>
      </c>
      <c r="AA1309">
        <v>1.1000000000000001</v>
      </c>
      <c r="AB1309" t="s">
        <v>5613</v>
      </c>
      <c r="AC1309" t="s">
        <v>6207</v>
      </c>
    </row>
    <row r="1310" spans="1:29">
      <c r="A1310" t="s">
        <v>6343</v>
      </c>
      <c r="B1310" t="s">
        <v>6240</v>
      </c>
      <c r="C1310" t="s">
        <v>6687</v>
      </c>
      <c r="D1310" t="s">
        <v>5901</v>
      </c>
      <c r="E1310" t="s">
        <v>1543</v>
      </c>
      <c r="F1310" t="s">
        <v>5588</v>
      </c>
      <c r="G1310" t="s">
        <v>5602</v>
      </c>
      <c r="H1310" t="s">
        <v>5590</v>
      </c>
      <c r="I1310">
        <v>2</v>
      </c>
      <c r="J1310" t="s">
        <v>5595</v>
      </c>
      <c r="K1310">
        <v>5.7</v>
      </c>
      <c r="L1310" t="s">
        <v>5737</v>
      </c>
      <c r="M1310">
        <v>1.9</v>
      </c>
      <c r="N1310" t="s">
        <v>5737</v>
      </c>
      <c r="O1310">
        <v>23.8</v>
      </c>
      <c r="P1310">
        <v>596</v>
      </c>
      <c r="Q1310">
        <v>2.7</v>
      </c>
      <c r="R1310" t="s">
        <v>5613</v>
      </c>
      <c r="U1310">
        <v>11.3</v>
      </c>
      <c r="V1310">
        <v>686</v>
      </c>
      <c r="W1310">
        <v>1</v>
      </c>
      <c r="X1310" t="s">
        <v>5613</v>
      </c>
      <c r="Y1310">
        <v>6.2</v>
      </c>
      <c r="Z1310" t="s">
        <v>5613</v>
      </c>
      <c r="AA1310">
        <v>1</v>
      </c>
      <c r="AB1310" t="s">
        <v>5613</v>
      </c>
      <c r="AC1310" t="s">
        <v>6207</v>
      </c>
    </row>
    <row r="1311" spans="1:29">
      <c r="A1311" t="s">
        <v>6343</v>
      </c>
      <c r="B1311" t="s">
        <v>6343</v>
      </c>
      <c r="C1311" t="s">
        <v>6688</v>
      </c>
      <c r="D1311" t="s">
        <v>6359</v>
      </c>
      <c r="E1311" t="s">
        <v>1853</v>
      </c>
      <c r="F1311" t="s">
        <v>5593</v>
      </c>
      <c r="G1311" t="s">
        <v>5651</v>
      </c>
      <c r="I1311">
        <v>4</v>
      </c>
      <c r="J1311" t="s">
        <v>5595</v>
      </c>
      <c r="K1311">
        <v>6</v>
      </c>
      <c r="L1311" t="s">
        <v>5737</v>
      </c>
      <c r="M1311">
        <v>6.8</v>
      </c>
      <c r="N1311" t="s">
        <v>5737</v>
      </c>
      <c r="O1311">
        <v>2.4</v>
      </c>
      <c r="P1311" t="s">
        <v>5613</v>
      </c>
      <c r="Q1311">
        <v>5.5</v>
      </c>
      <c r="R1311" t="s">
        <v>5613</v>
      </c>
      <c r="U1311">
        <v>5</v>
      </c>
      <c r="V1311" t="s">
        <v>5613</v>
      </c>
      <c r="W1311">
        <v>2.2000000000000002</v>
      </c>
      <c r="X1311" t="s">
        <v>5613</v>
      </c>
      <c r="Y1311">
        <v>6.5</v>
      </c>
      <c r="Z1311" t="s">
        <v>5613</v>
      </c>
      <c r="AA1311">
        <v>1.1000000000000001</v>
      </c>
      <c r="AB1311" t="s">
        <v>5613</v>
      </c>
      <c r="AC1311" t="s">
        <v>6207</v>
      </c>
    </row>
    <row r="1312" spans="1:29">
      <c r="A1312" t="s">
        <v>6343</v>
      </c>
      <c r="B1312" t="s">
        <v>6343</v>
      </c>
      <c r="C1312" t="s">
        <v>2816</v>
      </c>
      <c r="D1312" t="s">
        <v>6134</v>
      </c>
      <c r="E1312" t="s">
        <v>1554</v>
      </c>
      <c r="F1312" t="s">
        <v>5593</v>
      </c>
      <c r="G1312" t="s">
        <v>5594</v>
      </c>
      <c r="H1312" t="s">
        <v>6146</v>
      </c>
      <c r="I1312">
        <v>3</v>
      </c>
      <c r="J1312" t="s">
        <v>5595</v>
      </c>
      <c r="K1312">
        <v>8</v>
      </c>
      <c r="L1312" t="s">
        <v>5737</v>
      </c>
      <c r="M1312">
        <v>13</v>
      </c>
      <c r="N1312" t="s">
        <v>5737</v>
      </c>
      <c r="O1312">
        <v>3.8</v>
      </c>
      <c r="P1312" t="s">
        <v>5613</v>
      </c>
      <c r="Q1312">
        <v>3.4</v>
      </c>
      <c r="R1312" t="s">
        <v>5613</v>
      </c>
      <c r="S1312">
        <v>9</v>
      </c>
      <c r="T1312" t="s">
        <v>5613</v>
      </c>
      <c r="U1312">
        <v>8</v>
      </c>
      <c r="V1312" t="s">
        <v>5613</v>
      </c>
      <c r="W1312">
        <v>3</v>
      </c>
      <c r="X1312" t="s">
        <v>5613</v>
      </c>
      <c r="Y1312">
        <v>6.2</v>
      </c>
      <c r="Z1312" t="s">
        <v>5613</v>
      </c>
      <c r="AA1312">
        <v>1.1000000000000001</v>
      </c>
      <c r="AB1312" t="s">
        <v>5613</v>
      </c>
      <c r="AC1312" t="s">
        <v>6207</v>
      </c>
    </row>
    <row r="1313" spans="1:29">
      <c r="A1313" t="s">
        <v>6343</v>
      </c>
      <c r="B1313" t="s">
        <v>6240</v>
      </c>
      <c r="C1313" t="s">
        <v>6689</v>
      </c>
      <c r="D1313" t="s">
        <v>5696</v>
      </c>
      <c r="E1313" t="s">
        <v>5697</v>
      </c>
      <c r="F1313" t="s">
        <v>5593</v>
      </c>
      <c r="G1313" t="s">
        <v>5602</v>
      </c>
      <c r="H1313" t="s">
        <v>5809</v>
      </c>
      <c r="I1313">
        <v>5</v>
      </c>
      <c r="J1313" t="s">
        <v>5595</v>
      </c>
      <c r="K1313">
        <v>4</v>
      </c>
      <c r="L1313" t="s">
        <v>5737</v>
      </c>
      <c r="M1313">
        <v>1.9</v>
      </c>
      <c r="N1313" t="s">
        <v>5737</v>
      </c>
      <c r="O1313">
        <v>24.9</v>
      </c>
      <c r="P1313">
        <v>586</v>
      </c>
      <c r="Q1313">
        <v>1.2</v>
      </c>
      <c r="R1313" t="s">
        <v>5613</v>
      </c>
      <c r="S1313">
        <v>1.5</v>
      </c>
      <c r="T1313" t="s">
        <v>5613</v>
      </c>
      <c r="U1313">
        <v>38.9</v>
      </c>
      <c r="V1313">
        <v>353</v>
      </c>
      <c r="W1313">
        <v>1</v>
      </c>
      <c r="X1313" t="s">
        <v>5613</v>
      </c>
      <c r="Y1313">
        <v>8.8000000000000007</v>
      </c>
      <c r="Z1313" t="s">
        <v>5613</v>
      </c>
      <c r="AA1313">
        <v>1.5</v>
      </c>
      <c r="AB1313" t="s">
        <v>5613</v>
      </c>
      <c r="AC1313" t="s">
        <v>6207</v>
      </c>
    </row>
    <row r="1314" spans="1:29">
      <c r="A1314" t="s">
        <v>6343</v>
      </c>
      <c r="B1314" t="s">
        <v>6240</v>
      </c>
      <c r="C1314" t="s">
        <v>6690</v>
      </c>
      <c r="D1314" t="s">
        <v>6323</v>
      </c>
      <c r="E1314" t="s">
        <v>2613</v>
      </c>
      <c r="F1314" t="s">
        <v>5593</v>
      </c>
      <c r="G1314" t="s">
        <v>5589</v>
      </c>
      <c r="H1314" t="s">
        <v>5809</v>
      </c>
      <c r="I1314">
        <v>3</v>
      </c>
      <c r="J1314" t="s">
        <v>5595</v>
      </c>
      <c r="K1314">
        <v>4.3</v>
      </c>
      <c r="L1314" t="s">
        <v>5737</v>
      </c>
      <c r="O1314">
        <v>30.2</v>
      </c>
      <c r="P1314">
        <v>519</v>
      </c>
      <c r="Q1314">
        <v>2.9</v>
      </c>
      <c r="R1314" t="s">
        <v>5613</v>
      </c>
      <c r="W1314">
        <v>5.3</v>
      </c>
      <c r="X1314" t="s">
        <v>5613</v>
      </c>
      <c r="Y1314">
        <v>9.9</v>
      </c>
      <c r="Z1314" t="s">
        <v>5613</v>
      </c>
      <c r="AA1314">
        <v>1</v>
      </c>
      <c r="AB1314" t="s">
        <v>5613</v>
      </c>
      <c r="AC1314" t="s">
        <v>6207</v>
      </c>
    </row>
    <row r="1315" spans="1:29">
      <c r="A1315" t="s">
        <v>6343</v>
      </c>
      <c r="B1315" t="s">
        <v>6240</v>
      </c>
      <c r="C1315" t="s">
        <v>6691</v>
      </c>
      <c r="D1315" t="s">
        <v>5696</v>
      </c>
      <c r="E1315" t="s">
        <v>5697</v>
      </c>
      <c r="F1315" t="s">
        <v>5593</v>
      </c>
      <c r="G1315" t="s">
        <v>5594</v>
      </c>
      <c r="H1315" t="s">
        <v>6146</v>
      </c>
      <c r="I1315">
        <v>5</v>
      </c>
      <c r="J1315" t="s">
        <v>5595</v>
      </c>
      <c r="K1315">
        <v>4</v>
      </c>
      <c r="L1315" t="s">
        <v>5737</v>
      </c>
      <c r="M1315">
        <v>1.3</v>
      </c>
      <c r="N1315" t="s">
        <v>5737</v>
      </c>
      <c r="O1315">
        <v>18.399999999999999</v>
      </c>
      <c r="P1315" t="s">
        <v>5613</v>
      </c>
      <c r="Q1315">
        <v>2</v>
      </c>
      <c r="R1315" t="s">
        <v>5613</v>
      </c>
      <c r="S1315">
        <v>2.4</v>
      </c>
      <c r="T1315" t="s">
        <v>5613</v>
      </c>
      <c r="U1315">
        <v>52.9</v>
      </c>
      <c r="V1315">
        <v>275</v>
      </c>
      <c r="W1315">
        <v>1.2</v>
      </c>
      <c r="X1315" t="s">
        <v>5613</v>
      </c>
      <c r="Y1315">
        <v>7.9</v>
      </c>
      <c r="Z1315" t="s">
        <v>5613</v>
      </c>
      <c r="AA1315">
        <v>3.5</v>
      </c>
      <c r="AB1315" t="s">
        <v>5613</v>
      </c>
      <c r="AC1315" t="s">
        <v>6207</v>
      </c>
    </row>
    <row r="1316" spans="1:29">
      <c r="A1316" t="s">
        <v>6343</v>
      </c>
      <c r="B1316" t="s">
        <v>6343</v>
      </c>
      <c r="C1316" t="s">
        <v>5438</v>
      </c>
      <c r="D1316" t="s">
        <v>5863</v>
      </c>
      <c r="E1316" t="s">
        <v>1306</v>
      </c>
      <c r="F1316" t="s">
        <v>5588</v>
      </c>
      <c r="G1316" t="s">
        <v>5602</v>
      </c>
      <c r="H1316" t="s">
        <v>5809</v>
      </c>
      <c r="I1316">
        <v>4</v>
      </c>
      <c r="J1316" t="s">
        <v>5595</v>
      </c>
      <c r="K1316">
        <v>7</v>
      </c>
      <c r="L1316" t="s">
        <v>5737</v>
      </c>
      <c r="M1316">
        <v>4.2</v>
      </c>
      <c r="N1316" t="s">
        <v>5737</v>
      </c>
      <c r="O1316">
        <v>14.7</v>
      </c>
      <c r="P1316" t="s">
        <v>5613</v>
      </c>
      <c r="Q1316">
        <v>1.3</v>
      </c>
      <c r="R1316" t="s">
        <v>5613</v>
      </c>
      <c r="S1316">
        <v>3</v>
      </c>
      <c r="T1316" t="s">
        <v>5613</v>
      </c>
      <c r="U1316">
        <v>2.8</v>
      </c>
      <c r="V1316" t="s">
        <v>5613</v>
      </c>
      <c r="W1316">
        <v>1</v>
      </c>
      <c r="X1316" t="s">
        <v>5613</v>
      </c>
      <c r="Y1316">
        <v>12.5</v>
      </c>
      <c r="Z1316">
        <v>698</v>
      </c>
      <c r="AA1316">
        <v>1</v>
      </c>
      <c r="AB1316" t="s">
        <v>5613</v>
      </c>
      <c r="AC1316" t="s">
        <v>6207</v>
      </c>
    </row>
    <row r="1317" spans="1:29">
      <c r="A1317" t="s">
        <v>6343</v>
      </c>
      <c r="B1317" t="s">
        <v>6343</v>
      </c>
      <c r="C1317" t="s">
        <v>6692</v>
      </c>
      <c r="D1317" t="s">
        <v>6359</v>
      </c>
      <c r="E1317" t="s">
        <v>1853</v>
      </c>
      <c r="F1317" t="s">
        <v>5593</v>
      </c>
      <c r="G1317" t="s">
        <v>5594</v>
      </c>
      <c r="H1317" t="s">
        <v>5809</v>
      </c>
      <c r="I1317">
        <v>4</v>
      </c>
      <c r="J1317" t="s">
        <v>5595</v>
      </c>
      <c r="K1317">
        <v>6</v>
      </c>
      <c r="L1317" t="s">
        <v>5737</v>
      </c>
      <c r="M1317">
        <v>3.8</v>
      </c>
      <c r="N1317" t="s">
        <v>5737</v>
      </c>
      <c r="O1317">
        <v>6</v>
      </c>
      <c r="P1317" t="s">
        <v>5613</v>
      </c>
      <c r="Q1317">
        <v>3.3</v>
      </c>
      <c r="R1317" t="s">
        <v>5613</v>
      </c>
      <c r="S1317">
        <v>2.4</v>
      </c>
      <c r="T1317" t="s">
        <v>5613</v>
      </c>
      <c r="U1317">
        <v>2</v>
      </c>
      <c r="V1317" t="s">
        <v>5613</v>
      </c>
      <c r="W1317">
        <v>3.4</v>
      </c>
      <c r="X1317" t="s">
        <v>5613</v>
      </c>
      <c r="Y1317">
        <v>7.9</v>
      </c>
      <c r="Z1317" t="s">
        <v>5613</v>
      </c>
      <c r="AA1317">
        <v>1.6</v>
      </c>
      <c r="AB1317" t="s">
        <v>5613</v>
      </c>
      <c r="AC1317" t="s">
        <v>6207</v>
      </c>
    </row>
    <row r="1318" spans="1:29">
      <c r="A1318" t="s">
        <v>6343</v>
      </c>
      <c r="B1318" t="s">
        <v>6343</v>
      </c>
      <c r="C1318" t="s">
        <v>3166</v>
      </c>
      <c r="D1318" t="s">
        <v>5678</v>
      </c>
      <c r="E1318" t="s">
        <v>389</v>
      </c>
      <c r="F1318" t="s">
        <v>5593</v>
      </c>
      <c r="G1318" t="s">
        <v>5589</v>
      </c>
      <c r="H1318" t="s">
        <v>5809</v>
      </c>
      <c r="I1318">
        <v>4</v>
      </c>
      <c r="J1318" t="s">
        <v>5926</v>
      </c>
      <c r="K1318">
        <v>6.2</v>
      </c>
      <c r="L1318" t="s">
        <v>5737</v>
      </c>
      <c r="M1318">
        <v>6.1</v>
      </c>
      <c r="N1318" t="s">
        <v>5737</v>
      </c>
      <c r="O1318">
        <v>5.2</v>
      </c>
      <c r="P1318" t="s">
        <v>5613</v>
      </c>
      <c r="Q1318">
        <v>4.5</v>
      </c>
      <c r="R1318" t="s">
        <v>5613</v>
      </c>
      <c r="S1318">
        <v>10.199999999999999</v>
      </c>
      <c r="T1318" t="s">
        <v>5613</v>
      </c>
      <c r="U1318">
        <v>9.3000000000000007</v>
      </c>
      <c r="V1318" t="s">
        <v>5613</v>
      </c>
      <c r="W1318">
        <v>1.1000000000000001</v>
      </c>
      <c r="X1318" t="s">
        <v>5613</v>
      </c>
      <c r="Y1318">
        <v>12.6</v>
      </c>
      <c r="Z1318">
        <v>688</v>
      </c>
      <c r="AA1318">
        <v>3.9</v>
      </c>
      <c r="AB1318" t="s">
        <v>5613</v>
      </c>
      <c r="AC1318" t="s">
        <v>6207</v>
      </c>
    </row>
    <row r="1319" spans="1:29">
      <c r="A1319" t="s">
        <v>6343</v>
      </c>
      <c r="C1319" t="s">
        <v>5469</v>
      </c>
      <c r="D1319" t="s">
        <v>6272</v>
      </c>
      <c r="E1319" t="s">
        <v>1846</v>
      </c>
      <c r="F1319" t="s">
        <v>5588</v>
      </c>
      <c r="G1319" t="s">
        <v>5589</v>
      </c>
      <c r="H1319" t="s">
        <v>6146</v>
      </c>
      <c r="I1319">
        <v>2</v>
      </c>
      <c r="J1319" t="s">
        <v>5926</v>
      </c>
      <c r="K1319">
        <v>5.6</v>
      </c>
      <c r="L1319" t="s">
        <v>5737</v>
      </c>
      <c r="M1319">
        <v>8.9</v>
      </c>
      <c r="N1319" t="s">
        <v>5737</v>
      </c>
      <c r="O1319">
        <v>2.5</v>
      </c>
      <c r="P1319" t="s">
        <v>5613</v>
      </c>
      <c r="Q1319">
        <v>2.4</v>
      </c>
      <c r="R1319" t="s">
        <v>5613</v>
      </c>
      <c r="U1319">
        <v>1.2</v>
      </c>
      <c r="V1319" t="s">
        <v>5613</v>
      </c>
      <c r="W1319">
        <v>1</v>
      </c>
      <c r="X1319" t="s">
        <v>5613</v>
      </c>
      <c r="Y1319">
        <v>9.6999999999999993</v>
      </c>
      <c r="Z1319" t="s">
        <v>5613</v>
      </c>
      <c r="AA1319">
        <v>1</v>
      </c>
      <c r="AB1319" t="s">
        <v>5613</v>
      </c>
      <c r="AC1319" t="s">
        <v>6207</v>
      </c>
    </row>
    <row r="1320" spans="1:29">
      <c r="A1320" t="s">
        <v>6343</v>
      </c>
      <c r="C1320" t="s">
        <v>6693</v>
      </c>
      <c r="D1320" t="s">
        <v>5723</v>
      </c>
      <c r="E1320" t="s">
        <v>1093</v>
      </c>
      <c r="F1320" t="s">
        <v>5588</v>
      </c>
      <c r="G1320" t="s">
        <v>5589</v>
      </c>
      <c r="H1320" t="s">
        <v>5809</v>
      </c>
      <c r="I1320">
        <v>3</v>
      </c>
      <c r="J1320" t="s">
        <v>5591</v>
      </c>
      <c r="K1320">
        <v>8.9</v>
      </c>
      <c r="L1320" t="s">
        <v>5737</v>
      </c>
      <c r="M1320">
        <v>5.4</v>
      </c>
      <c r="N1320" t="s">
        <v>5737</v>
      </c>
      <c r="O1320">
        <v>3.1</v>
      </c>
      <c r="P1320" t="s">
        <v>5613</v>
      </c>
      <c r="Q1320">
        <v>2.9</v>
      </c>
      <c r="R1320" t="s">
        <v>5613</v>
      </c>
      <c r="S1320">
        <v>14.2</v>
      </c>
      <c r="T1320">
        <v>679</v>
      </c>
      <c r="U1320">
        <v>1.8</v>
      </c>
      <c r="V1320" t="s">
        <v>5613</v>
      </c>
      <c r="W1320">
        <v>1</v>
      </c>
      <c r="X1320" t="s">
        <v>5613</v>
      </c>
      <c r="Y1320">
        <v>7.8</v>
      </c>
      <c r="Z1320" t="s">
        <v>5613</v>
      </c>
      <c r="AA1320">
        <v>1</v>
      </c>
      <c r="AB1320" t="s">
        <v>5613</v>
      </c>
      <c r="AC1320" t="s">
        <v>6207</v>
      </c>
    </row>
    <row r="1321" spans="1:29">
      <c r="A1321" t="s">
        <v>6343</v>
      </c>
      <c r="B1321" t="s">
        <v>6240</v>
      </c>
      <c r="C1321" t="s">
        <v>6694</v>
      </c>
      <c r="D1321" t="s">
        <v>5707</v>
      </c>
      <c r="E1321" t="s">
        <v>1613</v>
      </c>
      <c r="F1321" t="s">
        <v>5593</v>
      </c>
      <c r="G1321" t="s">
        <v>5594</v>
      </c>
      <c r="H1321" t="s">
        <v>6146</v>
      </c>
      <c r="I1321">
        <v>4</v>
      </c>
      <c r="J1321" t="s">
        <v>5595</v>
      </c>
      <c r="K1321">
        <v>3.3</v>
      </c>
      <c r="L1321" t="s">
        <v>5737</v>
      </c>
      <c r="M1321">
        <v>1.9</v>
      </c>
      <c r="N1321" t="s">
        <v>5737</v>
      </c>
      <c r="O1321">
        <v>34.200000000000003</v>
      </c>
      <c r="P1321">
        <v>468</v>
      </c>
      <c r="Q1321">
        <v>1.2</v>
      </c>
      <c r="R1321" t="s">
        <v>5613</v>
      </c>
      <c r="W1321">
        <v>1</v>
      </c>
      <c r="X1321" t="s">
        <v>5613</v>
      </c>
      <c r="Y1321">
        <v>3.9</v>
      </c>
      <c r="Z1321" t="s">
        <v>5613</v>
      </c>
      <c r="AA1321">
        <v>1</v>
      </c>
      <c r="AB1321" t="s">
        <v>5613</v>
      </c>
      <c r="AC1321" t="s">
        <v>6207</v>
      </c>
    </row>
    <row r="1322" spans="1:29">
      <c r="A1322" t="s">
        <v>6343</v>
      </c>
      <c r="B1322" t="s">
        <v>6343</v>
      </c>
      <c r="C1322" t="s">
        <v>6695</v>
      </c>
      <c r="D1322" t="s">
        <v>5707</v>
      </c>
      <c r="E1322" t="s">
        <v>1613</v>
      </c>
      <c r="F1322" t="s">
        <v>5605</v>
      </c>
      <c r="G1322" t="s">
        <v>5589</v>
      </c>
      <c r="H1322" t="s">
        <v>5809</v>
      </c>
      <c r="I1322">
        <v>4</v>
      </c>
      <c r="J1322" t="s">
        <v>5595</v>
      </c>
      <c r="K1322">
        <v>7.7</v>
      </c>
      <c r="L1322" t="s">
        <v>5737</v>
      </c>
      <c r="M1322">
        <v>2.9</v>
      </c>
      <c r="N1322" t="s">
        <v>5737</v>
      </c>
      <c r="O1322">
        <v>4.4000000000000004</v>
      </c>
      <c r="P1322" t="s">
        <v>5613</v>
      </c>
      <c r="Q1322">
        <v>1.5</v>
      </c>
      <c r="R1322" t="s">
        <v>5613</v>
      </c>
      <c r="S1322">
        <v>2.7</v>
      </c>
      <c r="T1322" t="s">
        <v>5613</v>
      </c>
      <c r="U1322">
        <v>2.9</v>
      </c>
      <c r="V1322" t="s">
        <v>5613</v>
      </c>
      <c r="W1322">
        <v>1</v>
      </c>
      <c r="X1322" t="s">
        <v>5613</v>
      </c>
      <c r="Y1322">
        <v>7.7</v>
      </c>
      <c r="Z1322" t="s">
        <v>5613</v>
      </c>
      <c r="AA1322">
        <v>7.7</v>
      </c>
      <c r="AB1322" t="s">
        <v>5613</v>
      </c>
      <c r="AC1322" t="s">
        <v>6207</v>
      </c>
    </row>
    <row r="1323" spans="1:29">
      <c r="A1323" t="s">
        <v>6343</v>
      </c>
      <c r="B1323" t="s">
        <v>6343</v>
      </c>
      <c r="C1323" t="s">
        <v>6696</v>
      </c>
      <c r="D1323" t="s">
        <v>5723</v>
      </c>
      <c r="E1323" t="s">
        <v>1093</v>
      </c>
      <c r="F1323" t="s">
        <v>5588</v>
      </c>
      <c r="G1323" t="s">
        <v>5602</v>
      </c>
      <c r="H1323" t="s">
        <v>5809</v>
      </c>
      <c r="I1323">
        <v>3</v>
      </c>
      <c r="J1323" t="s">
        <v>5591</v>
      </c>
      <c r="K1323">
        <v>4.9000000000000004</v>
      </c>
      <c r="L1323" t="s">
        <v>5737</v>
      </c>
      <c r="M1323">
        <v>2.8</v>
      </c>
      <c r="N1323" t="s">
        <v>5737</v>
      </c>
      <c r="O1323">
        <v>9.6999999999999993</v>
      </c>
      <c r="P1323" t="s">
        <v>5613</v>
      </c>
      <c r="Q1323">
        <v>2</v>
      </c>
      <c r="R1323" t="s">
        <v>5613</v>
      </c>
      <c r="S1323">
        <v>12.2</v>
      </c>
      <c r="T1323" t="s">
        <v>5613</v>
      </c>
      <c r="U1323">
        <v>2</v>
      </c>
      <c r="V1323" t="s">
        <v>5613</v>
      </c>
      <c r="W1323">
        <v>1</v>
      </c>
      <c r="X1323" t="s">
        <v>5613</v>
      </c>
      <c r="Y1323">
        <v>8.3000000000000007</v>
      </c>
      <c r="Z1323" t="s">
        <v>5613</v>
      </c>
      <c r="AA1323">
        <v>1.2</v>
      </c>
      <c r="AB1323" t="s">
        <v>5613</v>
      </c>
      <c r="AC1323" t="s">
        <v>6207</v>
      </c>
    </row>
    <row r="1324" spans="1:29">
      <c r="A1324" t="s">
        <v>6343</v>
      </c>
      <c r="B1324" t="s">
        <v>6546</v>
      </c>
      <c r="C1324" t="s">
        <v>6697</v>
      </c>
      <c r="D1324" t="s">
        <v>5723</v>
      </c>
      <c r="E1324" t="s">
        <v>1093</v>
      </c>
      <c r="F1324" t="s">
        <v>5588</v>
      </c>
      <c r="G1324" t="s">
        <v>5589</v>
      </c>
      <c r="H1324" t="s">
        <v>5809</v>
      </c>
      <c r="I1324">
        <v>4</v>
      </c>
      <c r="J1324" t="s">
        <v>5591</v>
      </c>
      <c r="K1324">
        <v>4.3</v>
      </c>
      <c r="L1324" t="s">
        <v>5737</v>
      </c>
      <c r="M1324">
        <v>1.7</v>
      </c>
      <c r="N1324" t="s">
        <v>5737</v>
      </c>
      <c r="O1324">
        <v>2</v>
      </c>
      <c r="P1324" t="s">
        <v>5613</v>
      </c>
      <c r="Q1324">
        <v>4.5999999999999996</v>
      </c>
      <c r="R1324" t="s">
        <v>5613</v>
      </c>
      <c r="S1324">
        <v>36.299999999999997</v>
      </c>
      <c r="T1324">
        <v>445</v>
      </c>
      <c r="W1324">
        <v>1.1000000000000001</v>
      </c>
      <c r="X1324" t="s">
        <v>5613</v>
      </c>
      <c r="Y1324">
        <v>4.0999999999999996</v>
      </c>
      <c r="Z1324" t="s">
        <v>5613</v>
      </c>
      <c r="AA1324">
        <v>1</v>
      </c>
      <c r="AB1324" t="s">
        <v>5613</v>
      </c>
      <c r="AC1324" t="s">
        <v>6207</v>
      </c>
    </row>
    <row r="1325" spans="1:29">
      <c r="A1325" t="s">
        <v>6343</v>
      </c>
      <c r="B1325" t="s">
        <v>6343</v>
      </c>
      <c r="C1325" t="s">
        <v>6698</v>
      </c>
      <c r="D1325" t="s">
        <v>5723</v>
      </c>
      <c r="E1325" t="s">
        <v>1093</v>
      </c>
      <c r="F1325" t="s">
        <v>5588</v>
      </c>
      <c r="G1325" t="s">
        <v>5594</v>
      </c>
      <c r="H1325" t="s">
        <v>5809</v>
      </c>
      <c r="I1325">
        <v>4</v>
      </c>
      <c r="J1325" t="s">
        <v>5591</v>
      </c>
      <c r="K1325">
        <v>4.9000000000000004</v>
      </c>
      <c r="L1325" t="s">
        <v>5737</v>
      </c>
      <c r="M1325">
        <v>3.4</v>
      </c>
      <c r="N1325" t="s">
        <v>5737</v>
      </c>
      <c r="O1325">
        <v>7</v>
      </c>
      <c r="P1325" t="s">
        <v>5613</v>
      </c>
      <c r="Q1325">
        <v>5.8</v>
      </c>
      <c r="R1325" t="s">
        <v>5613</v>
      </c>
      <c r="S1325">
        <v>13.8</v>
      </c>
      <c r="T1325">
        <v>688</v>
      </c>
      <c r="U1325">
        <v>2.8</v>
      </c>
      <c r="V1325" t="s">
        <v>5613</v>
      </c>
      <c r="W1325">
        <v>4.4000000000000004</v>
      </c>
      <c r="X1325" t="s">
        <v>5613</v>
      </c>
      <c r="Y1325">
        <v>4.0999999999999996</v>
      </c>
      <c r="Z1325" t="s">
        <v>5613</v>
      </c>
      <c r="AA1325">
        <v>1.2</v>
      </c>
      <c r="AB1325" t="s">
        <v>5613</v>
      </c>
      <c r="AC1325" t="s">
        <v>6207</v>
      </c>
    </row>
    <row r="1326" spans="1:29">
      <c r="A1326" t="s">
        <v>6343</v>
      </c>
      <c r="B1326" t="s">
        <v>6343</v>
      </c>
      <c r="C1326" t="s">
        <v>6699</v>
      </c>
      <c r="D1326" t="s">
        <v>6372</v>
      </c>
      <c r="E1326" t="s">
        <v>2513</v>
      </c>
      <c r="F1326" t="s">
        <v>5605</v>
      </c>
      <c r="G1326" t="s">
        <v>5594</v>
      </c>
      <c r="H1326" t="s">
        <v>6146</v>
      </c>
      <c r="I1326">
        <v>5</v>
      </c>
      <c r="J1326" t="s">
        <v>5595</v>
      </c>
      <c r="K1326">
        <v>8.5</v>
      </c>
      <c r="L1326" t="s">
        <v>5737</v>
      </c>
      <c r="M1326">
        <v>5</v>
      </c>
      <c r="N1326" t="s">
        <v>5737</v>
      </c>
      <c r="O1326">
        <v>10.9</v>
      </c>
      <c r="P1326" t="s">
        <v>5613</v>
      </c>
      <c r="Q1326">
        <v>1.2</v>
      </c>
      <c r="R1326" t="s">
        <v>5613</v>
      </c>
      <c r="W1326">
        <v>1</v>
      </c>
      <c r="X1326" t="s">
        <v>5613</v>
      </c>
      <c r="Y1326">
        <v>10.1</v>
      </c>
      <c r="Z1326" t="s">
        <v>5613</v>
      </c>
      <c r="AA1326">
        <v>1</v>
      </c>
      <c r="AB1326" t="s">
        <v>5613</v>
      </c>
      <c r="AC1326" t="s">
        <v>6207</v>
      </c>
    </row>
    <row r="1327" spans="1:29">
      <c r="A1327" t="s">
        <v>6343</v>
      </c>
      <c r="B1327" t="s">
        <v>6343</v>
      </c>
      <c r="C1327" t="s">
        <v>4342</v>
      </c>
      <c r="D1327" t="s">
        <v>6194</v>
      </c>
      <c r="E1327" t="s">
        <v>3283</v>
      </c>
      <c r="F1327" t="s">
        <v>5593</v>
      </c>
      <c r="G1327" t="s">
        <v>5594</v>
      </c>
      <c r="H1327" t="s">
        <v>6548</v>
      </c>
      <c r="I1327">
        <v>5</v>
      </c>
      <c r="J1327" t="s">
        <v>5595</v>
      </c>
      <c r="K1327">
        <v>3.7</v>
      </c>
      <c r="L1327" t="s">
        <v>5737</v>
      </c>
      <c r="M1327">
        <v>8</v>
      </c>
      <c r="N1327" t="s">
        <v>5737</v>
      </c>
      <c r="O1327">
        <v>18.3</v>
      </c>
      <c r="P1327" t="s">
        <v>5613</v>
      </c>
      <c r="Q1327">
        <v>1</v>
      </c>
      <c r="R1327" t="s">
        <v>5613</v>
      </c>
      <c r="W1327">
        <v>1</v>
      </c>
      <c r="X1327" t="s">
        <v>5613</v>
      </c>
      <c r="Y1327">
        <v>14.5</v>
      </c>
      <c r="Z1327">
        <v>579</v>
      </c>
      <c r="AA1327">
        <v>1</v>
      </c>
      <c r="AB1327" t="s">
        <v>5613</v>
      </c>
      <c r="AC1327" t="s">
        <v>6207</v>
      </c>
    </row>
    <row r="1328" spans="1:29">
      <c r="A1328" t="s">
        <v>6343</v>
      </c>
      <c r="B1328" t="s">
        <v>6343</v>
      </c>
      <c r="C1328" t="s">
        <v>2699</v>
      </c>
      <c r="D1328" t="s">
        <v>5589</v>
      </c>
      <c r="E1328" t="s">
        <v>1820</v>
      </c>
      <c r="F1328" t="s">
        <v>5593</v>
      </c>
      <c r="G1328" t="s">
        <v>5594</v>
      </c>
      <c r="H1328" t="s">
        <v>6146</v>
      </c>
      <c r="I1328">
        <v>5</v>
      </c>
      <c r="J1328" t="s">
        <v>5595</v>
      </c>
      <c r="K1328">
        <v>4.9000000000000004</v>
      </c>
      <c r="L1328" t="s">
        <v>5737</v>
      </c>
      <c r="M1328">
        <v>5.4</v>
      </c>
      <c r="N1328" t="s">
        <v>5737</v>
      </c>
      <c r="O1328">
        <v>4</v>
      </c>
      <c r="P1328" t="s">
        <v>5613</v>
      </c>
      <c r="Q1328">
        <v>4.3</v>
      </c>
      <c r="R1328" t="s">
        <v>5613</v>
      </c>
      <c r="S1328">
        <v>2.2000000000000002</v>
      </c>
      <c r="T1328" t="s">
        <v>5613</v>
      </c>
      <c r="U1328">
        <v>1.1000000000000001</v>
      </c>
      <c r="V1328" t="s">
        <v>5613</v>
      </c>
      <c r="W1328">
        <v>1</v>
      </c>
      <c r="X1328" t="s">
        <v>5613</v>
      </c>
      <c r="Y1328">
        <v>6.8</v>
      </c>
      <c r="Z1328" t="s">
        <v>5613</v>
      </c>
      <c r="AA1328">
        <v>11</v>
      </c>
      <c r="AB1328" t="s">
        <v>6243</v>
      </c>
      <c r="AC1328" t="s">
        <v>6207</v>
      </c>
    </row>
    <row r="1329" spans="1:29">
      <c r="A1329" t="s">
        <v>6343</v>
      </c>
      <c r="B1329" t="s">
        <v>6240</v>
      </c>
      <c r="C1329" t="s">
        <v>6700</v>
      </c>
      <c r="D1329" t="s">
        <v>5589</v>
      </c>
      <c r="E1329" t="s">
        <v>1820</v>
      </c>
      <c r="F1329" t="s">
        <v>5593</v>
      </c>
      <c r="G1329" t="s">
        <v>5589</v>
      </c>
      <c r="H1329" t="s">
        <v>6146</v>
      </c>
      <c r="I1329">
        <v>4</v>
      </c>
      <c r="J1329" t="s">
        <v>5595</v>
      </c>
      <c r="K1329">
        <v>15</v>
      </c>
      <c r="L1329">
        <v>578</v>
      </c>
      <c r="M1329">
        <v>2.5</v>
      </c>
      <c r="N1329" t="s">
        <v>5737</v>
      </c>
      <c r="O1329">
        <v>2.7</v>
      </c>
      <c r="P1329" t="s">
        <v>5613</v>
      </c>
      <c r="Q1329">
        <v>1.4</v>
      </c>
      <c r="R1329" t="s">
        <v>5613</v>
      </c>
      <c r="W1329">
        <v>1</v>
      </c>
      <c r="X1329" t="s">
        <v>5613</v>
      </c>
      <c r="Y1329">
        <v>4.0999999999999996</v>
      </c>
      <c r="Z1329" t="s">
        <v>5613</v>
      </c>
      <c r="AA1329">
        <v>1</v>
      </c>
      <c r="AB1329" t="s">
        <v>5613</v>
      </c>
      <c r="AC1329" t="s">
        <v>6207</v>
      </c>
    </row>
    <row r="1330" spans="1:29">
      <c r="A1330" t="s">
        <v>6343</v>
      </c>
      <c r="B1330" t="s">
        <v>6343</v>
      </c>
      <c r="C1330" t="s">
        <v>6701</v>
      </c>
      <c r="D1330" t="s">
        <v>5707</v>
      </c>
      <c r="E1330" t="s">
        <v>1613</v>
      </c>
      <c r="F1330" t="s">
        <v>5605</v>
      </c>
      <c r="G1330" t="s">
        <v>5589</v>
      </c>
      <c r="H1330" t="s">
        <v>5809</v>
      </c>
      <c r="I1330">
        <v>4</v>
      </c>
      <c r="J1330" t="s">
        <v>5595</v>
      </c>
      <c r="K1330">
        <v>7.9</v>
      </c>
      <c r="L1330" t="s">
        <v>5737</v>
      </c>
      <c r="M1330">
        <v>3</v>
      </c>
      <c r="N1330" t="s">
        <v>5737</v>
      </c>
      <c r="O1330">
        <v>5.9</v>
      </c>
      <c r="P1330" t="s">
        <v>5613</v>
      </c>
      <c r="Q1330">
        <v>3</v>
      </c>
      <c r="R1330" t="s">
        <v>5613</v>
      </c>
      <c r="S1330">
        <v>6</v>
      </c>
      <c r="T1330" t="s">
        <v>5613</v>
      </c>
      <c r="U1330">
        <v>1.4</v>
      </c>
      <c r="V1330" t="s">
        <v>5613</v>
      </c>
      <c r="W1330">
        <v>1.1000000000000001</v>
      </c>
      <c r="X1330" t="s">
        <v>5613</v>
      </c>
      <c r="Y1330">
        <v>8.6999999999999993</v>
      </c>
      <c r="Z1330" t="s">
        <v>5613</v>
      </c>
      <c r="AA1330">
        <v>1.2</v>
      </c>
      <c r="AB1330" t="s">
        <v>5613</v>
      </c>
      <c r="AC1330" t="s">
        <v>6207</v>
      </c>
    </row>
    <row r="1331" spans="1:29">
      <c r="A1331" t="s">
        <v>6343</v>
      </c>
      <c r="B1331" t="s">
        <v>6343</v>
      </c>
      <c r="C1331" t="s">
        <v>6702</v>
      </c>
      <c r="D1331" t="s">
        <v>5723</v>
      </c>
      <c r="E1331" t="s">
        <v>1093</v>
      </c>
      <c r="F1331" t="s">
        <v>5593</v>
      </c>
      <c r="G1331" t="s">
        <v>5589</v>
      </c>
      <c r="H1331" t="s">
        <v>5809</v>
      </c>
      <c r="I1331">
        <v>3</v>
      </c>
      <c r="J1331" t="s">
        <v>5595</v>
      </c>
      <c r="K1331">
        <v>9.6999999999999993</v>
      </c>
      <c r="L1331" t="s">
        <v>5737</v>
      </c>
      <c r="M1331">
        <v>4.4000000000000004</v>
      </c>
      <c r="N1331" t="s">
        <v>5737</v>
      </c>
      <c r="O1331">
        <v>3.6</v>
      </c>
      <c r="P1331" t="s">
        <v>5613</v>
      </c>
      <c r="Q1331">
        <v>8.5</v>
      </c>
      <c r="R1331" t="s">
        <v>5613</v>
      </c>
      <c r="S1331">
        <v>6.6</v>
      </c>
      <c r="T1331" t="s">
        <v>5613</v>
      </c>
      <c r="U1331">
        <v>1.2</v>
      </c>
      <c r="V1331" t="s">
        <v>5613</v>
      </c>
      <c r="W1331">
        <v>9.4</v>
      </c>
      <c r="X1331">
        <v>682</v>
      </c>
      <c r="Y1331">
        <v>9</v>
      </c>
      <c r="Z1331" t="s">
        <v>5613</v>
      </c>
      <c r="AA1331">
        <v>2.1</v>
      </c>
      <c r="AB1331" t="s">
        <v>5613</v>
      </c>
      <c r="AC1331" t="s">
        <v>6207</v>
      </c>
    </row>
    <row r="1332" spans="1:29">
      <c r="A1332" t="s">
        <v>6343</v>
      </c>
      <c r="B1332" t="s">
        <v>6343</v>
      </c>
      <c r="C1332" t="s">
        <v>6703</v>
      </c>
      <c r="D1332" t="s">
        <v>6372</v>
      </c>
      <c r="E1332" t="s">
        <v>2513</v>
      </c>
      <c r="F1332" t="s">
        <v>5593</v>
      </c>
      <c r="G1332" t="s">
        <v>5589</v>
      </c>
      <c r="H1332" t="s">
        <v>6146</v>
      </c>
      <c r="I1332">
        <v>3</v>
      </c>
      <c r="J1332" t="s">
        <v>5591</v>
      </c>
      <c r="K1332">
        <v>7.1</v>
      </c>
      <c r="L1332" t="s">
        <v>5737</v>
      </c>
      <c r="M1332">
        <v>4.5</v>
      </c>
      <c r="N1332" t="s">
        <v>5737</v>
      </c>
      <c r="O1332">
        <v>12.6</v>
      </c>
      <c r="P1332" t="s">
        <v>5613</v>
      </c>
      <c r="Q1332">
        <v>1.6</v>
      </c>
      <c r="R1332" t="s">
        <v>5613</v>
      </c>
      <c r="S1332">
        <v>22.8</v>
      </c>
      <c r="T1332">
        <v>565</v>
      </c>
      <c r="U1332">
        <v>2.5</v>
      </c>
      <c r="V1332" t="s">
        <v>5613</v>
      </c>
      <c r="W1332">
        <v>1.1000000000000001</v>
      </c>
      <c r="X1332" t="s">
        <v>5613</v>
      </c>
      <c r="Y1332">
        <v>10.6</v>
      </c>
      <c r="Z1332" t="s">
        <v>5613</v>
      </c>
      <c r="AA1332">
        <v>1</v>
      </c>
      <c r="AB1332" t="s">
        <v>5613</v>
      </c>
      <c r="AC1332" t="s">
        <v>6207</v>
      </c>
    </row>
    <row r="1333" spans="1:29">
      <c r="A1333" t="s">
        <v>6343</v>
      </c>
      <c r="B1333" t="s">
        <v>6343</v>
      </c>
      <c r="C1333" t="s">
        <v>6704</v>
      </c>
      <c r="D1333" t="s">
        <v>6372</v>
      </c>
      <c r="E1333" t="s">
        <v>2513</v>
      </c>
      <c r="F1333" t="s">
        <v>5593</v>
      </c>
      <c r="G1333" t="s">
        <v>5589</v>
      </c>
      <c r="H1333" t="s">
        <v>5809</v>
      </c>
      <c r="I1333">
        <v>5</v>
      </c>
      <c r="J1333" t="s">
        <v>5595</v>
      </c>
      <c r="K1333">
        <v>5.0999999999999996</v>
      </c>
      <c r="L1333" t="s">
        <v>5737</v>
      </c>
      <c r="M1333">
        <v>5.4</v>
      </c>
      <c r="N1333" t="s">
        <v>5737</v>
      </c>
      <c r="O1333">
        <v>9.4</v>
      </c>
      <c r="P1333" t="s">
        <v>5613</v>
      </c>
      <c r="Q1333">
        <v>1.4</v>
      </c>
      <c r="R1333" t="s">
        <v>5613</v>
      </c>
      <c r="S1333">
        <v>3</v>
      </c>
      <c r="T1333" t="s">
        <v>5613</v>
      </c>
      <c r="U1333">
        <v>1.1000000000000001</v>
      </c>
      <c r="V1333" t="s">
        <v>5613</v>
      </c>
      <c r="W1333">
        <v>1</v>
      </c>
      <c r="X1333" t="s">
        <v>5613</v>
      </c>
      <c r="Y1333">
        <v>7.3</v>
      </c>
      <c r="Z1333" t="s">
        <v>5613</v>
      </c>
      <c r="AA1333">
        <v>6.7</v>
      </c>
      <c r="AB1333" t="s">
        <v>5613</v>
      </c>
      <c r="AC1333" t="s">
        <v>6207</v>
      </c>
    </row>
    <row r="1334" spans="1:29">
      <c r="A1334" t="s">
        <v>6343</v>
      </c>
      <c r="B1334" t="s">
        <v>6343</v>
      </c>
      <c r="C1334" t="s">
        <v>6705</v>
      </c>
      <c r="D1334" t="s">
        <v>5589</v>
      </c>
      <c r="E1334" t="s">
        <v>1820</v>
      </c>
      <c r="F1334" t="s">
        <v>5588</v>
      </c>
      <c r="G1334" t="s">
        <v>5651</v>
      </c>
      <c r="I1334">
        <v>4</v>
      </c>
      <c r="J1334" t="s">
        <v>5926</v>
      </c>
      <c r="K1334">
        <v>6.9</v>
      </c>
      <c r="L1334" t="s">
        <v>5737</v>
      </c>
      <c r="M1334">
        <v>5.2</v>
      </c>
      <c r="N1334" t="s">
        <v>5737</v>
      </c>
      <c r="O1334">
        <v>6.8</v>
      </c>
      <c r="P1334" t="s">
        <v>5613</v>
      </c>
      <c r="Q1334">
        <v>2.1</v>
      </c>
      <c r="R1334" t="s">
        <v>5613</v>
      </c>
      <c r="S1334">
        <v>3.4</v>
      </c>
      <c r="T1334" t="s">
        <v>5613</v>
      </c>
      <c r="U1334">
        <v>1.8</v>
      </c>
      <c r="V1334" t="s">
        <v>5613</v>
      </c>
      <c r="W1334">
        <v>1</v>
      </c>
      <c r="X1334" t="s">
        <v>5613</v>
      </c>
      <c r="Y1334">
        <v>8.4</v>
      </c>
      <c r="Z1334" t="s">
        <v>5613</v>
      </c>
      <c r="AA1334">
        <v>1.8</v>
      </c>
      <c r="AB1334" t="s">
        <v>5613</v>
      </c>
      <c r="AC1334" t="s">
        <v>6207</v>
      </c>
    </row>
    <row r="1335" spans="1:29">
      <c r="A1335" t="s">
        <v>6343</v>
      </c>
      <c r="B1335" t="s">
        <v>6343</v>
      </c>
      <c r="C1335" t="s">
        <v>6706</v>
      </c>
      <c r="D1335" t="s">
        <v>6474</v>
      </c>
      <c r="E1335" t="s">
        <v>6475</v>
      </c>
      <c r="F1335" t="s">
        <v>5605</v>
      </c>
      <c r="G1335" t="s">
        <v>5602</v>
      </c>
      <c r="H1335" t="s">
        <v>6146</v>
      </c>
      <c r="I1335">
        <v>4</v>
      </c>
      <c r="J1335" t="s">
        <v>5595</v>
      </c>
      <c r="K1335">
        <v>6.5</v>
      </c>
      <c r="L1335" t="s">
        <v>5737</v>
      </c>
      <c r="M1335">
        <v>8</v>
      </c>
      <c r="N1335" t="s">
        <v>5737</v>
      </c>
      <c r="O1335">
        <v>3.2</v>
      </c>
      <c r="P1335" t="s">
        <v>5613</v>
      </c>
      <c r="Q1335">
        <v>1.1000000000000001</v>
      </c>
      <c r="R1335" t="s">
        <v>5613</v>
      </c>
      <c r="S1335">
        <v>4.9000000000000004</v>
      </c>
      <c r="T1335" t="s">
        <v>5613</v>
      </c>
      <c r="U1335">
        <v>2.2999999999999998</v>
      </c>
      <c r="V1335" t="s">
        <v>5613</v>
      </c>
      <c r="W1335">
        <v>1</v>
      </c>
      <c r="X1335" t="s">
        <v>5613</v>
      </c>
      <c r="Y1335">
        <v>13.7</v>
      </c>
      <c r="Z1335">
        <v>625</v>
      </c>
      <c r="AA1335">
        <v>1.2</v>
      </c>
      <c r="AB1335" t="s">
        <v>5613</v>
      </c>
      <c r="AC1335" t="s">
        <v>6207</v>
      </c>
    </row>
    <row r="1336" spans="1:29">
      <c r="A1336" t="s">
        <v>6343</v>
      </c>
      <c r="B1336" t="s">
        <v>6343</v>
      </c>
      <c r="C1336" t="s">
        <v>6707</v>
      </c>
      <c r="D1336" t="s">
        <v>5983</v>
      </c>
      <c r="E1336" t="s">
        <v>2484</v>
      </c>
      <c r="F1336" t="s">
        <v>5588</v>
      </c>
      <c r="G1336" t="s">
        <v>5602</v>
      </c>
      <c r="H1336" t="s">
        <v>6146</v>
      </c>
      <c r="I1336">
        <v>4</v>
      </c>
      <c r="J1336" t="s">
        <v>5591</v>
      </c>
      <c r="K1336">
        <v>6.4</v>
      </c>
      <c r="L1336" t="s">
        <v>5737</v>
      </c>
      <c r="M1336">
        <v>10.199999999999999</v>
      </c>
      <c r="N1336" t="s">
        <v>5737</v>
      </c>
      <c r="O1336">
        <v>4.5</v>
      </c>
      <c r="P1336" t="s">
        <v>5613</v>
      </c>
      <c r="Q1336">
        <v>1.2</v>
      </c>
      <c r="R1336" t="s">
        <v>5613</v>
      </c>
      <c r="S1336">
        <v>8.4</v>
      </c>
      <c r="T1336" t="s">
        <v>5613</v>
      </c>
      <c r="U1336">
        <v>1</v>
      </c>
      <c r="V1336" t="s">
        <v>5613</v>
      </c>
      <c r="W1336">
        <v>1</v>
      </c>
      <c r="X1336" t="s">
        <v>5613</v>
      </c>
      <c r="Y1336">
        <v>17.100000000000001</v>
      </c>
      <c r="Z1336">
        <v>497</v>
      </c>
      <c r="AA1336">
        <v>1.6</v>
      </c>
      <c r="AB1336" t="s">
        <v>5613</v>
      </c>
      <c r="AC1336" t="s">
        <v>6207</v>
      </c>
    </row>
    <row r="1337" spans="1:29">
      <c r="A1337" t="s">
        <v>6343</v>
      </c>
      <c r="B1337" t="s">
        <v>6343</v>
      </c>
      <c r="C1337" t="s">
        <v>6708</v>
      </c>
      <c r="D1337" t="s">
        <v>6709</v>
      </c>
      <c r="E1337" t="s">
        <v>6710</v>
      </c>
      <c r="F1337" t="s">
        <v>5605</v>
      </c>
      <c r="G1337" t="s">
        <v>5594</v>
      </c>
      <c r="H1337" t="s">
        <v>6548</v>
      </c>
      <c r="I1337">
        <v>5</v>
      </c>
      <c r="J1337" t="s">
        <v>5595</v>
      </c>
      <c r="K1337">
        <v>9.3000000000000007</v>
      </c>
      <c r="L1337" t="s">
        <v>5737</v>
      </c>
      <c r="M1337">
        <v>7.6</v>
      </c>
      <c r="N1337" t="s">
        <v>5737</v>
      </c>
      <c r="O1337">
        <v>3.9</v>
      </c>
      <c r="P1337" t="s">
        <v>5613</v>
      </c>
      <c r="Q1337">
        <v>1</v>
      </c>
      <c r="R1337" t="s">
        <v>5613</v>
      </c>
      <c r="W1337">
        <v>1</v>
      </c>
      <c r="X1337" t="s">
        <v>5613</v>
      </c>
      <c r="Y1337">
        <v>20.6</v>
      </c>
      <c r="Z1337">
        <v>405</v>
      </c>
      <c r="AA1337">
        <v>1</v>
      </c>
      <c r="AB1337" t="s">
        <v>5613</v>
      </c>
      <c r="AC1337" t="s">
        <v>6207</v>
      </c>
    </row>
    <row r="1338" spans="1:29">
      <c r="A1338" t="s">
        <v>6343</v>
      </c>
      <c r="B1338" t="s">
        <v>6240</v>
      </c>
      <c r="C1338" t="s">
        <v>6711</v>
      </c>
      <c r="D1338" t="s">
        <v>5723</v>
      </c>
      <c r="E1338" t="s">
        <v>1093</v>
      </c>
      <c r="F1338" t="s">
        <v>5593</v>
      </c>
      <c r="G1338" t="s">
        <v>5594</v>
      </c>
      <c r="H1338" t="s">
        <v>6146</v>
      </c>
      <c r="I1338">
        <v>3</v>
      </c>
      <c r="J1338" t="s">
        <v>5595</v>
      </c>
      <c r="K1338">
        <v>10.4</v>
      </c>
      <c r="L1338" t="s">
        <v>5737</v>
      </c>
      <c r="M1338">
        <v>6.8</v>
      </c>
      <c r="N1338" t="s">
        <v>5737</v>
      </c>
      <c r="O1338">
        <v>7.8</v>
      </c>
      <c r="P1338" t="s">
        <v>5613</v>
      </c>
      <c r="Q1338">
        <v>3.5</v>
      </c>
      <c r="R1338" t="s">
        <v>5613</v>
      </c>
      <c r="S1338">
        <v>7.2</v>
      </c>
      <c r="T1338" t="s">
        <v>5613</v>
      </c>
      <c r="U1338">
        <v>1.8</v>
      </c>
      <c r="V1338" t="s">
        <v>5613</v>
      </c>
      <c r="W1338">
        <v>4.5999999999999996</v>
      </c>
      <c r="X1338" t="s">
        <v>5613</v>
      </c>
      <c r="Y1338">
        <v>8.5</v>
      </c>
      <c r="Z1338" t="s">
        <v>5613</v>
      </c>
      <c r="AA1338">
        <v>6.3</v>
      </c>
      <c r="AB1338" t="s">
        <v>5613</v>
      </c>
      <c r="AC1338" t="s">
        <v>6207</v>
      </c>
    </row>
    <row r="1339" spans="1:29">
      <c r="A1339" t="s">
        <v>6343</v>
      </c>
      <c r="B1339" t="s">
        <v>6343</v>
      </c>
      <c r="C1339" t="s">
        <v>6712</v>
      </c>
      <c r="D1339" t="s">
        <v>5723</v>
      </c>
      <c r="E1339" t="s">
        <v>1093</v>
      </c>
      <c r="F1339" t="s">
        <v>5593</v>
      </c>
      <c r="G1339" t="s">
        <v>5589</v>
      </c>
      <c r="H1339" t="s">
        <v>5809</v>
      </c>
      <c r="I1339">
        <v>4</v>
      </c>
      <c r="J1339" t="s">
        <v>5595</v>
      </c>
      <c r="K1339">
        <v>8.6</v>
      </c>
      <c r="L1339" t="s">
        <v>5737</v>
      </c>
      <c r="M1339">
        <v>4.2</v>
      </c>
      <c r="N1339" t="s">
        <v>5737</v>
      </c>
      <c r="O1339">
        <v>2.9</v>
      </c>
      <c r="P1339" t="s">
        <v>5613</v>
      </c>
      <c r="Q1339">
        <v>3.8</v>
      </c>
      <c r="R1339" t="s">
        <v>5613</v>
      </c>
      <c r="S1339">
        <v>9.6999999999999993</v>
      </c>
      <c r="T1339" t="s">
        <v>5613</v>
      </c>
      <c r="U1339">
        <v>1.4</v>
      </c>
      <c r="V1339" t="s">
        <v>5613</v>
      </c>
      <c r="W1339">
        <v>1.4</v>
      </c>
      <c r="X1339" t="s">
        <v>5613</v>
      </c>
      <c r="Y1339">
        <v>4.0999999999999996</v>
      </c>
      <c r="Z1339" t="s">
        <v>5613</v>
      </c>
      <c r="AA1339">
        <v>1.1000000000000001</v>
      </c>
      <c r="AB1339" t="s">
        <v>5613</v>
      </c>
      <c r="AC1339" t="s">
        <v>6207</v>
      </c>
    </row>
    <row r="1340" spans="1:29">
      <c r="A1340" t="s">
        <v>6343</v>
      </c>
      <c r="B1340" t="s">
        <v>6343</v>
      </c>
      <c r="C1340" t="s">
        <v>6713</v>
      </c>
      <c r="D1340" t="s">
        <v>5589</v>
      </c>
      <c r="E1340" t="s">
        <v>1820</v>
      </c>
      <c r="F1340" t="s">
        <v>5593</v>
      </c>
      <c r="G1340" t="s">
        <v>5589</v>
      </c>
      <c r="H1340" t="s">
        <v>6146</v>
      </c>
      <c r="I1340">
        <v>5</v>
      </c>
      <c r="J1340" t="s">
        <v>5595</v>
      </c>
      <c r="K1340">
        <v>9.5</v>
      </c>
      <c r="L1340" t="s">
        <v>5737</v>
      </c>
      <c r="M1340">
        <v>4</v>
      </c>
      <c r="N1340" t="s">
        <v>5737</v>
      </c>
      <c r="O1340">
        <v>5.3</v>
      </c>
      <c r="P1340" t="s">
        <v>5613</v>
      </c>
      <c r="Q1340">
        <v>1.8</v>
      </c>
      <c r="R1340" t="s">
        <v>5613</v>
      </c>
      <c r="S1340">
        <v>23.6</v>
      </c>
      <c r="T1340">
        <v>559</v>
      </c>
      <c r="U1340">
        <v>1.1000000000000001</v>
      </c>
      <c r="V1340" t="s">
        <v>5613</v>
      </c>
      <c r="W1340">
        <v>1</v>
      </c>
      <c r="X1340" t="s">
        <v>5613</v>
      </c>
      <c r="Y1340">
        <v>4.5</v>
      </c>
      <c r="Z1340" t="s">
        <v>5613</v>
      </c>
      <c r="AA1340">
        <v>1</v>
      </c>
      <c r="AB1340" t="s">
        <v>5613</v>
      </c>
      <c r="AC1340" t="s">
        <v>6207</v>
      </c>
    </row>
    <row r="1341" spans="1:29">
      <c r="A1341" t="s">
        <v>6343</v>
      </c>
      <c r="B1341" t="s">
        <v>6343</v>
      </c>
      <c r="C1341" t="s">
        <v>2284</v>
      </c>
      <c r="D1341" t="s">
        <v>5723</v>
      </c>
      <c r="E1341" t="s">
        <v>1093</v>
      </c>
      <c r="F1341" t="s">
        <v>5593</v>
      </c>
      <c r="G1341" t="s">
        <v>5589</v>
      </c>
      <c r="H1341" t="s">
        <v>5809</v>
      </c>
      <c r="I1341">
        <v>3</v>
      </c>
      <c r="J1341" t="s">
        <v>5591</v>
      </c>
      <c r="K1341">
        <v>6.6</v>
      </c>
      <c r="L1341" t="s">
        <v>5737</v>
      </c>
      <c r="M1341">
        <v>14.6</v>
      </c>
      <c r="N1341">
        <v>560</v>
      </c>
      <c r="O1341">
        <v>12.9</v>
      </c>
      <c r="P1341" t="s">
        <v>5613</v>
      </c>
      <c r="Q1341">
        <v>2.2000000000000002</v>
      </c>
      <c r="R1341" t="s">
        <v>5613</v>
      </c>
      <c r="S1341">
        <v>7.6</v>
      </c>
      <c r="T1341" t="s">
        <v>5613</v>
      </c>
      <c r="U1341">
        <v>2</v>
      </c>
      <c r="V1341" t="s">
        <v>5613</v>
      </c>
      <c r="W1341">
        <v>1.1000000000000001</v>
      </c>
      <c r="X1341" t="s">
        <v>5613</v>
      </c>
      <c r="Y1341">
        <v>8.4</v>
      </c>
      <c r="Z1341" t="s">
        <v>5613</v>
      </c>
      <c r="AA1341">
        <v>3.5</v>
      </c>
      <c r="AB1341" t="s">
        <v>5613</v>
      </c>
      <c r="AC1341" t="s">
        <v>6207</v>
      </c>
    </row>
    <row r="1342" spans="1:29">
      <c r="A1342" t="s">
        <v>6343</v>
      </c>
      <c r="B1342" t="s">
        <v>6343</v>
      </c>
      <c r="C1342" t="s">
        <v>6714</v>
      </c>
      <c r="D1342" t="s">
        <v>5710</v>
      </c>
      <c r="E1342" t="s">
        <v>3726</v>
      </c>
      <c r="F1342" t="s">
        <v>5593</v>
      </c>
      <c r="G1342" t="s">
        <v>5602</v>
      </c>
      <c r="H1342" t="s">
        <v>6146</v>
      </c>
      <c r="I1342">
        <v>4</v>
      </c>
      <c r="J1342" t="s">
        <v>5591</v>
      </c>
      <c r="K1342">
        <v>4.3</v>
      </c>
      <c r="L1342" t="s">
        <v>5737</v>
      </c>
      <c r="M1342">
        <v>9</v>
      </c>
      <c r="N1342" t="s">
        <v>5737</v>
      </c>
      <c r="O1342">
        <v>16.7</v>
      </c>
      <c r="P1342" t="s">
        <v>5613</v>
      </c>
      <c r="Q1342">
        <v>1</v>
      </c>
      <c r="R1342" t="s">
        <v>5613</v>
      </c>
      <c r="S1342">
        <v>5.3</v>
      </c>
      <c r="T1342" t="s">
        <v>5613</v>
      </c>
      <c r="U1342">
        <v>8</v>
      </c>
      <c r="V1342" t="s">
        <v>5613</v>
      </c>
      <c r="W1342">
        <v>1</v>
      </c>
      <c r="X1342" t="s">
        <v>5613</v>
      </c>
      <c r="Y1342">
        <v>7.1</v>
      </c>
      <c r="Z1342" t="s">
        <v>5613</v>
      </c>
      <c r="AC1342" t="s">
        <v>6207</v>
      </c>
    </row>
    <row r="1343" spans="1:29">
      <c r="A1343" t="s">
        <v>6343</v>
      </c>
      <c r="B1343" t="s">
        <v>6343</v>
      </c>
      <c r="C1343" t="s">
        <v>6715</v>
      </c>
      <c r="D1343" t="s">
        <v>6194</v>
      </c>
      <c r="E1343" t="s">
        <v>3283</v>
      </c>
      <c r="F1343" t="s">
        <v>5588</v>
      </c>
      <c r="G1343" t="s">
        <v>5594</v>
      </c>
      <c r="H1343" t="s">
        <v>6146</v>
      </c>
      <c r="I1343">
        <v>5</v>
      </c>
      <c r="J1343" t="s">
        <v>5595</v>
      </c>
      <c r="K1343">
        <v>10.9</v>
      </c>
      <c r="L1343" t="s">
        <v>5737</v>
      </c>
      <c r="M1343">
        <v>7.6</v>
      </c>
      <c r="N1343" t="s">
        <v>5737</v>
      </c>
      <c r="O1343">
        <v>3.2</v>
      </c>
      <c r="P1343" t="s">
        <v>5613</v>
      </c>
      <c r="Q1343">
        <v>2.4</v>
      </c>
      <c r="R1343" t="s">
        <v>5613</v>
      </c>
      <c r="W1343">
        <v>1</v>
      </c>
      <c r="X1343" t="s">
        <v>5613</v>
      </c>
      <c r="Y1343">
        <v>10.9</v>
      </c>
      <c r="Z1343" t="s">
        <v>5613</v>
      </c>
      <c r="AA1343">
        <v>1</v>
      </c>
      <c r="AB1343" t="s">
        <v>5613</v>
      </c>
      <c r="AC1343" t="s">
        <v>6207</v>
      </c>
    </row>
    <row r="1344" spans="1:29">
      <c r="A1344" t="s">
        <v>6343</v>
      </c>
      <c r="B1344" t="s">
        <v>6343</v>
      </c>
      <c r="C1344" t="s">
        <v>6716</v>
      </c>
      <c r="D1344" t="s">
        <v>6717</v>
      </c>
      <c r="E1344" t="s">
        <v>4935</v>
      </c>
      <c r="F1344" t="s">
        <v>5605</v>
      </c>
      <c r="G1344" t="s">
        <v>5594</v>
      </c>
      <c r="H1344" t="s">
        <v>6548</v>
      </c>
      <c r="I1344">
        <v>5</v>
      </c>
      <c r="J1344" t="s">
        <v>5595</v>
      </c>
      <c r="K1344">
        <v>7.7</v>
      </c>
      <c r="L1344" t="s">
        <v>5737</v>
      </c>
      <c r="M1344">
        <v>2.4</v>
      </c>
      <c r="N1344" t="s">
        <v>5737</v>
      </c>
      <c r="O1344">
        <v>1.1000000000000001</v>
      </c>
      <c r="P1344" t="s">
        <v>5613</v>
      </c>
      <c r="Q1344">
        <v>1.6</v>
      </c>
      <c r="R1344" t="s">
        <v>5613</v>
      </c>
      <c r="S1344">
        <v>6.8</v>
      </c>
      <c r="T1344" t="s">
        <v>5613</v>
      </c>
      <c r="U1344">
        <v>1</v>
      </c>
      <c r="V1344" t="s">
        <v>5613</v>
      </c>
      <c r="W1344">
        <v>1.1000000000000001</v>
      </c>
      <c r="X1344" t="s">
        <v>5613</v>
      </c>
      <c r="Y1344">
        <v>14.8</v>
      </c>
      <c r="Z1344">
        <v>565</v>
      </c>
      <c r="AA1344">
        <v>1</v>
      </c>
      <c r="AB1344" t="s">
        <v>5613</v>
      </c>
      <c r="AC1344" t="s">
        <v>6207</v>
      </c>
    </row>
    <row r="1345" spans="1:29">
      <c r="A1345" t="s">
        <v>6343</v>
      </c>
      <c r="B1345" t="s">
        <v>6240</v>
      </c>
      <c r="C1345" t="s">
        <v>6718</v>
      </c>
      <c r="D1345" t="s">
        <v>5983</v>
      </c>
      <c r="E1345" t="s">
        <v>2484</v>
      </c>
      <c r="F1345" t="s">
        <v>5588</v>
      </c>
      <c r="G1345" t="s">
        <v>5602</v>
      </c>
      <c r="H1345" t="s">
        <v>5809</v>
      </c>
      <c r="I1345">
        <v>5</v>
      </c>
      <c r="J1345" t="s">
        <v>5595</v>
      </c>
      <c r="K1345">
        <v>6.8</v>
      </c>
      <c r="L1345" t="s">
        <v>5737</v>
      </c>
      <c r="M1345">
        <v>8.6999999999999993</v>
      </c>
      <c r="N1345" t="s">
        <v>5737</v>
      </c>
      <c r="O1345">
        <v>14.6</v>
      </c>
      <c r="P1345" t="s">
        <v>5613</v>
      </c>
      <c r="Q1345">
        <v>1.6</v>
      </c>
      <c r="R1345" t="s">
        <v>5613</v>
      </c>
      <c r="S1345">
        <v>1.4</v>
      </c>
      <c r="T1345" t="s">
        <v>5613</v>
      </c>
      <c r="U1345">
        <v>1.8</v>
      </c>
      <c r="V1345" t="s">
        <v>5613</v>
      </c>
      <c r="W1345">
        <v>1</v>
      </c>
      <c r="X1345" t="s">
        <v>5613</v>
      </c>
      <c r="Y1345">
        <v>9.8000000000000007</v>
      </c>
      <c r="Z1345" t="s">
        <v>5613</v>
      </c>
      <c r="AA1345">
        <v>1</v>
      </c>
      <c r="AB1345" t="s">
        <v>5613</v>
      </c>
      <c r="AC1345" t="s">
        <v>6207</v>
      </c>
    </row>
    <row r="1346" spans="1:29">
      <c r="A1346" t="s">
        <v>6343</v>
      </c>
      <c r="B1346" t="s">
        <v>6343</v>
      </c>
      <c r="C1346" t="s">
        <v>6719</v>
      </c>
      <c r="D1346" t="s">
        <v>5710</v>
      </c>
      <c r="E1346" t="s">
        <v>3726</v>
      </c>
      <c r="F1346" t="s">
        <v>5593</v>
      </c>
      <c r="G1346" t="s">
        <v>5589</v>
      </c>
      <c r="H1346" t="s">
        <v>5809</v>
      </c>
      <c r="I1346">
        <v>3</v>
      </c>
      <c r="J1346" t="s">
        <v>5595</v>
      </c>
      <c r="K1346">
        <v>9.5</v>
      </c>
      <c r="L1346" t="s">
        <v>5737</v>
      </c>
      <c r="M1346">
        <v>2.8</v>
      </c>
      <c r="N1346" t="s">
        <v>5737</v>
      </c>
      <c r="O1346">
        <v>5.7</v>
      </c>
      <c r="P1346" t="s">
        <v>5613</v>
      </c>
      <c r="Q1346">
        <v>3.7</v>
      </c>
      <c r="R1346" t="s">
        <v>5613</v>
      </c>
      <c r="W1346">
        <v>1.3</v>
      </c>
      <c r="X1346" t="s">
        <v>5613</v>
      </c>
      <c r="Y1346">
        <v>5.0999999999999996</v>
      </c>
      <c r="Z1346" t="s">
        <v>5613</v>
      </c>
      <c r="AA1346">
        <v>1.2</v>
      </c>
      <c r="AB1346" t="s">
        <v>5613</v>
      </c>
      <c r="AC1346" t="s">
        <v>6207</v>
      </c>
    </row>
    <row r="1347" spans="1:29">
      <c r="A1347" t="s">
        <v>6343</v>
      </c>
      <c r="B1347" t="s">
        <v>6240</v>
      </c>
      <c r="C1347" t="s">
        <v>6720</v>
      </c>
      <c r="D1347" t="s">
        <v>5710</v>
      </c>
      <c r="E1347" t="s">
        <v>3726</v>
      </c>
      <c r="F1347" t="s">
        <v>5593</v>
      </c>
      <c r="G1347" t="s">
        <v>5589</v>
      </c>
      <c r="H1347" t="s">
        <v>6146</v>
      </c>
      <c r="I1347">
        <v>4</v>
      </c>
      <c r="J1347" t="s">
        <v>5595</v>
      </c>
      <c r="K1347">
        <v>4.4000000000000004</v>
      </c>
      <c r="L1347" t="s">
        <v>5737</v>
      </c>
      <c r="M1347">
        <v>1.5</v>
      </c>
      <c r="N1347" t="s">
        <v>5737</v>
      </c>
      <c r="O1347">
        <v>34.9</v>
      </c>
      <c r="P1347">
        <v>454</v>
      </c>
      <c r="Q1347">
        <v>1.5</v>
      </c>
      <c r="R1347" t="s">
        <v>5613</v>
      </c>
      <c r="W1347">
        <v>1</v>
      </c>
      <c r="X1347" t="s">
        <v>5613</v>
      </c>
      <c r="Y1347">
        <v>5.0999999999999996</v>
      </c>
      <c r="Z1347" t="s">
        <v>5613</v>
      </c>
      <c r="AA1347">
        <v>1</v>
      </c>
      <c r="AB1347" t="s">
        <v>5613</v>
      </c>
      <c r="AC1347" t="s">
        <v>6207</v>
      </c>
    </row>
    <row r="1348" spans="1:29">
      <c r="A1348" t="s">
        <v>6343</v>
      </c>
      <c r="B1348" t="s">
        <v>6343</v>
      </c>
      <c r="C1348" t="s">
        <v>6721</v>
      </c>
      <c r="D1348" t="s">
        <v>5710</v>
      </c>
      <c r="E1348" t="s">
        <v>3726</v>
      </c>
      <c r="F1348" t="s">
        <v>5593</v>
      </c>
      <c r="G1348" t="s">
        <v>5589</v>
      </c>
      <c r="H1348" t="s">
        <v>5809</v>
      </c>
      <c r="I1348">
        <v>3</v>
      </c>
      <c r="J1348" t="s">
        <v>5595</v>
      </c>
      <c r="K1348">
        <v>11.5</v>
      </c>
      <c r="L1348" t="s">
        <v>5737</v>
      </c>
      <c r="M1348">
        <v>3.2</v>
      </c>
      <c r="N1348" t="s">
        <v>5737</v>
      </c>
      <c r="O1348">
        <v>7.5</v>
      </c>
      <c r="P1348" t="s">
        <v>5613</v>
      </c>
      <c r="Q1348">
        <v>2.2999999999999998</v>
      </c>
      <c r="R1348" t="s">
        <v>5613</v>
      </c>
      <c r="S1348">
        <v>1.6</v>
      </c>
      <c r="T1348" t="s">
        <v>5613</v>
      </c>
      <c r="U1348">
        <v>4.7</v>
      </c>
      <c r="V1348" t="s">
        <v>5613</v>
      </c>
      <c r="W1348">
        <v>1.3</v>
      </c>
      <c r="X1348" t="s">
        <v>5613</v>
      </c>
      <c r="Y1348">
        <v>5.0999999999999996</v>
      </c>
      <c r="Z1348" t="s">
        <v>5613</v>
      </c>
      <c r="AA1348">
        <v>4.5999999999999996</v>
      </c>
      <c r="AB1348" t="s">
        <v>5613</v>
      </c>
      <c r="AC1348" t="s">
        <v>6207</v>
      </c>
    </row>
    <row r="1349" spans="1:29">
      <c r="A1349" t="s">
        <v>6343</v>
      </c>
      <c r="B1349" t="s">
        <v>6343</v>
      </c>
      <c r="C1349" t="s">
        <v>6722</v>
      </c>
      <c r="D1349" t="s">
        <v>5710</v>
      </c>
      <c r="E1349" t="s">
        <v>3726</v>
      </c>
      <c r="F1349" t="s">
        <v>5605</v>
      </c>
      <c r="G1349" t="s">
        <v>5594</v>
      </c>
      <c r="H1349" t="s">
        <v>6146</v>
      </c>
      <c r="I1349">
        <v>4</v>
      </c>
      <c r="J1349" t="s">
        <v>5595</v>
      </c>
      <c r="K1349">
        <v>4.3</v>
      </c>
      <c r="L1349" t="s">
        <v>5737</v>
      </c>
      <c r="M1349">
        <v>2.5</v>
      </c>
      <c r="N1349" t="s">
        <v>5737</v>
      </c>
      <c r="O1349">
        <v>21.5</v>
      </c>
      <c r="P1349">
        <v>636</v>
      </c>
      <c r="Q1349">
        <v>1.4</v>
      </c>
      <c r="R1349" t="s">
        <v>5613</v>
      </c>
      <c r="W1349">
        <v>1.1000000000000001</v>
      </c>
      <c r="X1349" t="s">
        <v>5613</v>
      </c>
      <c r="Y1349">
        <v>5.0999999999999996</v>
      </c>
      <c r="Z1349" t="s">
        <v>5613</v>
      </c>
      <c r="AA1349">
        <v>1.1000000000000001</v>
      </c>
      <c r="AB1349" t="s">
        <v>5613</v>
      </c>
      <c r="AC1349" t="s">
        <v>6207</v>
      </c>
    </row>
    <row r="1350" spans="1:29">
      <c r="A1350" t="s">
        <v>6343</v>
      </c>
      <c r="B1350" t="s">
        <v>6343</v>
      </c>
      <c r="C1350" t="s">
        <v>3725</v>
      </c>
      <c r="D1350" t="s">
        <v>5710</v>
      </c>
      <c r="E1350" t="s">
        <v>3726</v>
      </c>
      <c r="F1350" t="s">
        <v>5605</v>
      </c>
      <c r="G1350" t="s">
        <v>5589</v>
      </c>
      <c r="H1350" t="s">
        <v>5809</v>
      </c>
      <c r="I1350">
        <v>5</v>
      </c>
      <c r="J1350" t="s">
        <v>5595</v>
      </c>
      <c r="K1350">
        <v>11.7</v>
      </c>
      <c r="L1350" t="s">
        <v>5737</v>
      </c>
      <c r="M1350">
        <v>5.8</v>
      </c>
      <c r="N1350" t="s">
        <v>5737</v>
      </c>
      <c r="O1350">
        <v>2.2000000000000002</v>
      </c>
      <c r="P1350" t="s">
        <v>5613</v>
      </c>
      <c r="Q1350">
        <v>2.7</v>
      </c>
      <c r="R1350" t="s">
        <v>5613</v>
      </c>
      <c r="S1350">
        <v>1.5</v>
      </c>
      <c r="T1350" t="s">
        <v>5613</v>
      </c>
      <c r="U1350">
        <v>1.1000000000000001</v>
      </c>
      <c r="V1350" t="s">
        <v>5613</v>
      </c>
      <c r="W1350">
        <v>1.1000000000000001</v>
      </c>
      <c r="X1350" t="s">
        <v>5613</v>
      </c>
      <c r="Y1350">
        <v>2.7</v>
      </c>
      <c r="Z1350" t="s">
        <v>5613</v>
      </c>
      <c r="AA1350">
        <v>3.2</v>
      </c>
      <c r="AB1350" t="s">
        <v>5613</v>
      </c>
      <c r="AC1350" t="s">
        <v>6207</v>
      </c>
    </row>
    <row r="1351" spans="1:29">
      <c r="A1351" t="s">
        <v>6343</v>
      </c>
      <c r="B1351" t="s">
        <v>6343</v>
      </c>
      <c r="C1351" t="s">
        <v>6723</v>
      </c>
      <c r="D1351" t="s">
        <v>5707</v>
      </c>
      <c r="E1351" t="s">
        <v>1613</v>
      </c>
      <c r="F1351" t="s">
        <v>5588</v>
      </c>
      <c r="G1351" t="s">
        <v>5602</v>
      </c>
      <c r="H1351" t="s">
        <v>5809</v>
      </c>
      <c r="I1351">
        <v>4</v>
      </c>
      <c r="J1351" t="s">
        <v>5926</v>
      </c>
      <c r="K1351">
        <v>5</v>
      </c>
      <c r="L1351" t="s">
        <v>5737</v>
      </c>
      <c r="M1351">
        <v>4.5</v>
      </c>
      <c r="N1351" t="s">
        <v>5737</v>
      </c>
      <c r="O1351">
        <v>16.100000000000001</v>
      </c>
      <c r="P1351" t="s">
        <v>5613</v>
      </c>
      <c r="Q1351">
        <v>1.2</v>
      </c>
      <c r="R1351" t="s">
        <v>5613</v>
      </c>
      <c r="S1351">
        <v>4.5</v>
      </c>
      <c r="T1351" t="s">
        <v>5613</v>
      </c>
      <c r="U1351">
        <v>3.1</v>
      </c>
      <c r="V1351" t="s">
        <v>5613</v>
      </c>
      <c r="W1351">
        <v>1</v>
      </c>
      <c r="X1351" t="s">
        <v>5613</v>
      </c>
      <c r="Y1351">
        <v>8</v>
      </c>
      <c r="Z1351" t="s">
        <v>5613</v>
      </c>
      <c r="AA1351">
        <v>1.4</v>
      </c>
      <c r="AB1351" t="s">
        <v>5613</v>
      </c>
      <c r="AC1351" t="s">
        <v>6207</v>
      </c>
    </row>
    <row r="1352" spans="1:29">
      <c r="A1352" t="s">
        <v>6343</v>
      </c>
      <c r="B1352" t="s">
        <v>6343</v>
      </c>
      <c r="C1352" t="s">
        <v>5239</v>
      </c>
      <c r="D1352" t="s">
        <v>5983</v>
      </c>
      <c r="E1352" t="s">
        <v>2484</v>
      </c>
      <c r="F1352" t="s">
        <v>5593</v>
      </c>
      <c r="G1352" t="s">
        <v>5602</v>
      </c>
      <c r="H1352" t="s">
        <v>6146</v>
      </c>
      <c r="I1352">
        <v>3</v>
      </c>
      <c r="J1352" t="s">
        <v>5591</v>
      </c>
      <c r="K1352">
        <v>6.2</v>
      </c>
      <c r="L1352" t="s">
        <v>5737</v>
      </c>
      <c r="M1352">
        <v>9.1999999999999993</v>
      </c>
      <c r="N1352" t="s">
        <v>5737</v>
      </c>
      <c r="O1352">
        <v>1.8</v>
      </c>
      <c r="P1352" t="s">
        <v>5613</v>
      </c>
      <c r="Q1352">
        <v>1.3</v>
      </c>
      <c r="R1352" t="s">
        <v>5613</v>
      </c>
      <c r="S1352">
        <v>3.9</v>
      </c>
      <c r="T1352" t="s">
        <v>5613</v>
      </c>
      <c r="U1352">
        <v>1.3</v>
      </c>
      <c r="V1352" t="s">
        <v>5613</v>
      </c>
      <c r="W1352">
        <v>1</v>
      </c>
      <c r="X1352" t="s">
        <v>5613</v>
      </c>
      <c r="Y1352">
        <v>8.5</v>
      </c>
      <c r="Z1352" t="s">
        <v>5613</v>
      </c>
      <c r="AA1352">
        <v>2</v>
      </c>
      <c r="AB1352" t="s">
        <v>5613</v>
      </c>
      <c r="AC1352" t="s">
        <v>6207</v>
      </c>
    </row>
    <row r="1353" spans="1:29">
      <c r="A1353" t="s">
        <v>6343</v>
      </c>
      <c r="B1353" t="s">
        <v>6343</v>
      </c>
      <c r="C1353" t="s">
        <v>6724</v>
      </c>
      <c r="D1353" t="s">
        <v>6236</v>
      </c>
      <c r="E1353" t="s">
        <v>3525</v>
      </c>
      <c r="F1353" t="s">
        <v>5588</v>
      </c>
      <c r="G1353" t="s">
        <v>5651</v>
      </c>
      <c r="I1353">
        <v>3</v>
      </c>
      <c r="J1353" t="s">
        <v>5595</v>
      </c>
      <c r="K1353">
        <v>6.2</v>
      </c>
      <c r="L1353" t="s">
        <v>5737</v>
      </c>
      <c r="M1353">
        <v>1.1000000000000001</v>
      </c>
      <c r="N1353" t="s">
        <v>5737</v>
      </c>
      <c r="O1353">
        <v>20.100000000000001</v>
      </c>
      <c r="P1353">
        <v>662</v>
      </c>
      <c r="Q1353">
        <v>1.1000000000000001</v>
      </c>
      <c r="R1353" t="s">
        <v>5613</v>
      </c>
      <c r="S1353">
        <v>3.3</v>
      </c>
      <c r="T1353" t="s">
        <v>5613</v>
      </c>
      <c r="U1353">
        <v>4.5</v>
      </c>
      <c r="V1353" t="s">
        <v>5613</v>
      </c>
      <c r="W1353">
        <v>1</v>
      </c>
      <c r="X1353" t="s">
        <v>5613</v>
      </c>
      <c r="Y1353">
        <v>14.2</v>
      </c>
      <c r="Z1353">
        <v>595</v>
      </c>
      <c r="AC1353" t="s">
        <v>6207</v>
      </c>
    </row>
    <row r="1354" spans="1:29">
      <c r="A1354" t="s">
        <v>6343</v>
      </c>
      <c r="B1354" t="s">
        <v>6343</v>
      </c>
      <c r="C1354" t="s">
        <v>6725</v>
      </c>
      <c r="D1354" t="s">
        <v>5707</v>
      </c>
      <c r="E1354" t="s">
        <v>1613</v>
      </c>
      <c r="F1354" t="s">
        <v>5605</v>
      </c>
      <c r="G1354" t="s">
        <v>5602</v>
      </c>
      <c r="H1354" t="s">
        <v>5809</v>
      </c>
      <c r="I1354">
        <v>4</v>
      </c>
      <c r="J1354" t="s">
        <v>5595</v>
      </c>
      <c r="K1354">
        <v>8.6999999999999993</v>
      </c>
      <c r="L1354" t="s">
        <v>5737</v>
      </c>
      <c r="M1354">
        <v>3.2</v>
      </c>
      <c r="N1354" t="s">
        <v>5737</v>
      </c>
      <c r="O1354">
        <v>7.8</v>
      </c>
      <c r="P1354" t="s">
        <v>5613</v>
      </c>
      <c r="Q1354">
        <v>1.4</v>
      </c>
      <c r="R1354" t="s">
        <v>5613</v>
      </c>
      <c r="W1354">
        <v>1</v>
      </c>
      <c r="X1354" t="s">
        <v>5613</v>
      </c>
      <c r="Y1354">
        <v>3.9</v>
      </c>
      <c r="Z1354" t="s">
        <v>5613</v>
      </c>
      <c r="AA1354">
        <v>1.1000000000000001</v>
      </c>
      <c r="AB1354" t="s">
        <v>5613</v>
      </c>
      <c r="AC1354" t="s">
        <v>6207</v>
      </c>
    </row>
    <row r="1355" spans="1:29">
      <c r="A1355" t="s">
        <v>6343</v>
      </c>
      <c r="B1355" t="s">
        <v>6240</v>
      </c>
      <c r="C1355" t="s">
        <v>6726</v>
      </c>
      <c r="D1355" t="s">
        <v>5695</v>
      </c>
      <c r="E1355" t="s">
        <v>577</v>
      </c>
      <c r="F1355" t="s">
        <v>5605</v>
      </c>
      <c r="G1355" t="s">
        <v>5594</v>
      </c>
      <c r="H1355" t="s">
        <v>5809</v>
      </c>
      <c r="I1355">
        <v>4</v>
      </c>
      <c r="J1355" t="s">
        <v>5595</v>
      </c>
      <c r="K1355">
        <v>9.4</v>
      </c>
      <c r="L1355" t="s">
        <v>5737</v>
      </c>
      <c r="M1355">
        <v>4</v>
      </c>
      <c r="N1355" t="s">
        <v>5737</v>
      </c>
      <c r="O1355">
        <v>17.600000000000001</v>
      </c>
      <c r="P1355" t="s">
        <v>5613</v>
      </c>
      <c r="Q1355">
        <v>2.6</v>
      </c>
      <c r="R1355" t="s">
        <v>5613</v>
      </c>
      <c r="S1355">
        <v>3.8</v>
      </c>
      <c r="T1355" t="s">
        <v>5613</v>
      </c>
      <c r="U1355">
        <v>1.2</v>
      </c>
      <c r="V1355" t="s">
        <v>5613</v>
      </c>
      <c r="W1355">
        <v>5.7</v>
      </c>
      <c r="X1355" t="s">
        <v>5613</v>
      </c>
      <c r="Y1355">
        <v>7.6</v>
      </c>
      <c r="Z1355" t="s">
        <v>5613</v>
      </c>
      <c r="AA1355">
        <v>2.4</v>
      </c>
      <c r="AB1355" t="s">
        <v>5613</v>
      </c>
      <c r="AC1355" t="s">
        <v>6207</v>
      </c>
    </row>
    <row r="1356" spans="1:29">
      <c r="A1356" t="s">
        <v>6343</v>
      </c>
      <c r="B1356" t="s">
        <v>6343</v>
      </c>
      <c r="C1356" t="s">
        <v>2758</v>
      </c>
      <c r="D1356" t="s">
        <v>5695</v>
      </c>
      <c r="E1356" t="s">
        <v>577</v>
      </c>
      <c r="F1356" t="s">
        <v>5605</v>
      </c>
      <c r="G1356" t="s">
        <v>5594</v>
      </c>
      <c r="H1356" t="s">
        <v>5809</v>
      </c>
      <c r="I1356">
        <v>4</v>
      </c>
      <c r="J1356" t="s">
        <v>5595</v>
      </c>
      <c r="K1356">
        <v>9.1</v>
      </c>
      <c r="L1356" t="s">
        <v>5737</v>
      </c>
      <c r="M1356">
        <v>2.4</v>
      </c>
      <c r="N1356" t="s">
        <v>5737</v>
      </c>
      <c r="O1356">
        <v>8.9</v>
      </c>
      <c r="P1356" t="s">
        <v>5613</v>
      </c>
      <c r="Q1356">
        <v>3.1</v>
      </c>
      <c r="R1356" t="s">
        <v>5613</v>
      </c>
      <c r="S1356">
        <v>5.4</v>
      </c>
      <c r="T1356" t="s">
        <v>5613</v>
      </c>
      <c r="U1356">
        <v>1.5</v>
      </c>
      <c r="V1356" t="s">
        <v>5613</v>
      </c>
      <c r="W1356">
        <v>4.3</v>
      </c>
      <c r="X1356" t="s">
        <v>5613</v>
      </c>
      <c r="Y1356">
        <v>8.1</v>
      </c>
      <c r="Z1356" t="s">
        <v>5613</v>
      </c>
      <c r="AA1356">
        <v>4.4000000000000004</v>
      </c>
      <c r="AB1356" t="s">
        <v>5613</v>
      </c>
      <c r="AC1356" t="s">
        <v>6207</v>
      </c>
    </row>
    <row r="1357" spans="1:29">
      <c r="A1357" t="s">
        <v>6343</v>
      </c>
      <c r="B1357" t="s">
        <v>6240</v>
      </c>
      <c r="C1357" t="s">
        <v>6727</v>
      </c>
      <c r="D1357" t="s">
        <v>5695</v>
      </c>
      <c r="E1357" t="s">
        <v>577</v>
      </c>
      <c r="F1357" t="s">
        <v>5593</v>
      </c>
      <c r="G1357" t="s">
        <v>5589</v>
      </c>
      <c r="H1357" t="s">
        <v>5809</v>
      </c>
      <c r="I1357">
        <v>4</v>
      </c>
      <c r="J1357" t="s">
        <v>5595</v>
      </c>
      <c r="K1357">
        <v>3.6</v>
      </c>
      <c r="L1357" t="s">
        <v>5737</v>
      </c>
      <c r="M1357">
        <v>2.2999999999999998</v>
      </c>
      <c r="N1357" t="s">
        <v>5737</v>
      </c>
      <c r="O1357">
        <v>31.4</v>
      </c>
      <c r="P1357">
        <v>501</v>
      </c>
      <c r="Q1357">
        <v>3</v>
      </c>
      <c r="R1357" t="s">
        <v>5613</v>
      </c>
      <c r="W1357">
        <v>1.4</v>
      </c>
      <c r="X1357" t="s">
        <v>5613</v>
      </c>
      <c r="Y1357">
        <v>3.8</v>
      </c>
      <c r="Z1357" t="s">
        <v>5613</v>
      </c>
      <c r="AA1357">
        <v>1</v>
      </c>
      <c r="AB1357" t="s">
        <v>5613</v>
      </c>
      <c r="AC1357" t="s">
        <v>6207</v>
      </c>
    </row>
    <row r="1358" spans="1:29">
      <c r="A1358" t="s">
        <v>6343</v>
      </c>
      <c r="B1358" t="s">
        <v>6240</v>
      </c>
      <c r="C1358" t="s">
        <v>6728</v>
      </c>
      <c r="D1358" t="s">
        <v>5695</v>
      </c>
      <c r="E1358" t="s">
        <v>577</v>
      </c>
      <c r="F1358" t="s">
        <v>5593</v>
      </c>
      <c r="G1358" t="s">
        <v>5589</v>
      </c>
      <c r="H1358" t="s">
        <v>5590</v>
      </c>
      <c r="I1358">
        <v>4</v>
      </c>
      <c r="J1358" t="s">
        <v>5595</v>
      </c>
      <c r="K1358">
        <v>5.0999999999999996</v>
      </c>
      <c r="L1358" t="s">
        <v>5737</v>
      </c>
      <c r="M1358">
        <v>1.4</v>
      </c>
      <c r="N1358" t="s">
        <v>5737</v>
      </c>
      <c r="O1358">
        <v>27</v>
      </c>
      <c r="P1358">
        <v>559</v>
      </c>
      <c r="Q1358">
        <v>5</v>
      </c>
      <c r="R1358" t="s">
        <v>5613</v>
      </c>
      <c r="U1358">
        <v>1.4</v>
      </c>
      <c r="V1358" t="s">
        <v>5613</v>
      </c>
      <c r="W1358">
        <v>1.2</v>
      </c>
      <c r="X1358" t="s">
        <v>5613</v>
      </c>
      <c r="Y1358">
        <v>3.8</v>
      </c>
      <c r="Z1358" t="s">
        <v>5613</v>
      </c>
      <c r="AA1358">
        <v>1.1000000000000001</v>
      </c>
      <c r="AB1358" t="s">
        <v>5613</v>
      </c>
      <c r="AC1358" t="s">
        <v>6207</v>
      </c>
    </row>
    <row r="1359" spans="1:29">
      <c r="A1359" t="s">
        <v>6343</v>
      </c>
      <c r="B1359" t="s">
        <v>6343</v>
      </c>
      <c r="C1359" t="s">
        <v>6729</v>
      </c>
      <c r="D1359" t="s">
        <v>5695</v>
      </c>
      <c r="E1359" t="s">
        <v>577</v>
      </c>
      <c r="F1359" t="s">
        <v>5593</v>
      </c>
      <c r="G1359" t="s">
        <v>5594</v>
      </c>
      <c r="H1359" t="s">
        <v>5809</v>
      </c>
      <c r="I1359">
        <v>4</v>
      </c>
      <c r="J1359" t="s">
        <v>5595</v>
      </c>
      <c r="K1359">
        <v>6.5</v>
      </c>
      <c r="L1359" t="s">
        <v>5737</v>
      </c>
      <c r="M1359">
        <v>1.6</v>
      </c>
      <c r="N1359" t="s">
        <v>5737</v>
      </c>
      <c r="O1359">
        <v>15.8</v>
      </c>
      <c r="P1359" t="s">
        <v>5613</v>
      </c>
      <c r="Q1359">
        <v>5.2</v>
      </c>
      <c r="R1359" t="s">
        <v>5613</v>
      </c>
      <c r="S1359">
        <v>2.6</v>
      </c>
      <c r="T1359" t="s">
        <v>5613</v>
      </c>
      <c r="U1359">
        <v>1.2</v>
      </c>
      <c r="V1359" t="s">
        <v>5613</v>
      </c>
      <c r="W1359">
        <v>3.4</v>
      </c>
      <c r="X1359" t="s">
        <v>5613</v>
      </c>
      <c r="Y1359">
        <v>9.6</v>
      </c>
      <c r="Z1359" t="s">
        <v>5613</v>
      </c>
      <c r="AA1359">
        <v>17.8</v>
      </c>
      <c r="AB1359" t="s">
        <v>6409</v>
      </c>
      <c r="AC1359" t="s">
        <v>6207</v>
      </c>
    </row>
    <row r="1360" spans="1:29">
      <c r="A1360" t="s">
        <v>6343</v>
      </c>
      <c r="B1360" t="s">
        <v>6343</v>
      </c>
      <c r="C1360" t="s">
        <v>6730</v>
      </c>
      <c r="D1360" t="s">
        <v>5695</v>
      </c>
      <c r="E1360" t="s">
        <v>577</v>
      </c>
      <c r="F1360" t="s">
        <v>5593</v>
      </c>
      <c r="G1360" t="s">
        <v>5594</v>
      </c>
      <c r="H1360" t="s">
        <v>5809</v>
      </c>
      <c r="I1360">
        <v>5</v>
      </c>
      <c r="J1360" t="s">
        <v>5595</v>
      </c>
      <c r="K1360">
        <v>5</v>
      </c>
      <c r="L1360" t="s">
        <v>5737</v>
      </c>
      <c r="M1360">
        <v>2.2999999999999998</v>
      </c>
      <c r="N1360" t="s">
        <v>5737</v>
      </c>
      <c r="O1360">
        <v>13.3</v>
      </c>
      <c r="P1360" t="s">
        <v>5613</v>
      </c>
      <c r="Q1360">
        <v>8.6999999999999993</v>
      </c>
      <c r="R1360" t="s">
        <v>5613</v>
      </c>
      <c r="S1360">
        <v>2.9</v>
      </c>
      <c r="T1360" t="s">
        <v>5613</v>
      </c>
      <c r="U1360">
        <v>1.8</v>
      </c>
      <c r="V1360" t="s">
        <v>5613</v>
      </c>
      <c r="W1360">
        <v>1.1000000000000001</v>
      </c>
      <c r="X1360" t="s">
        <v>5613</v>
      </c>
      <c r="Y1360">
        <v>4.4000000000000004</v>
      </c>
      <c r="Z1360" t="s">
        <v>5613</v>
      </c>
      <c r="AA1360">
        <v>1.8</v>
      </c>
      <c r="AB1360" t="s">
        <v>5613</v>
      </c>
      <c r="AC1360" t="s">
        <v>6207</v>
      </c>
    </row>
    <row r="1361" spans="1:29">
      <c r="A1361" t="s">
        <v>6343</v>
      </c>
      <c r="B1361" t="s">
        <v>6343</v>
      </c>
      <c r="C1361" t="s">
        <v>6731</v>
      </c>
      <c r="D1361" t="s">
        <v>5695</v>
      </c>
      <c r="E1361" t="s">
        <v>577</v>
      </c>
      <c r="F1361" t="s">
        <v>5605</v>
      </c>
      <c r="G1361" t="s">
        <v>5594</v>
      </c>
      <c r="H1361" t="s">
        <v>5809</v>
      </c>
      <c r="I1361">
        <v>4</v>
      </c>
      <c r="J1361" t="s">
        <v>5595</v>
      </c>
      <c r="K1361">
        <v>7.3</v>
      </c>
      <c r="L1361" t="s">
        <v>5737</v>
      </c>
      <c r="M1361">
        <v>3.1</v>
      </c>
      <c r="N1361" t="s">
        <v>5737</v>
      </c>
      <c r="O1361">
        <v>7.7</v>
      </c>
      <c r="P1361" t="s">
        <v>5613</v>
      </c>
      <c r="Q1361">
        <v>5.8</v>
      </c>
      <c r="R1361" t="s">
        <v>5613</v>
      </c>
      <c r="S1361">
        <v>1.4</v>
      </c>
      <c r="T1361" t="s">
        <v>5613</v>
      </c>
      <c r="U1361">
        <v>1.3</v>
      </c>
      <c r="V1361" t="s">
        <v>5613</v>
      </c>
      <c r="W1361">
        <v>3.2</v>
      </c>
      <c r="X1361" t="s">
        <v>5613</v>
      </c>
      <c r="Y1361">
        <v>4.3</v>
      </c>
      <c r="Z1361" t="s">
        <v>5613</v>
      </c>
      <c r="AA1361">
        <v>24.8</v>
      </c>
      <c r="AB1361" t="s">
        <v>6030</v>
      </c>
      <c r="AC1361" t="s">
        <v>6207</v>
      </c>
    </row>
    <row r="1362" spans="1:29">
      <c r="A1362" t="s">
        <v>6343</v>
      </c>
      <c r="B1362" t="s">
        <v>6343</v>
      </c>
      <c r="C1362" t="s">
        <v>6732</v>
      </c>
      <c r="D1362" t="s">
        <v>5695</v>
      </c>
      <c r="E1362" t="s">
        <v>577</v>
      </c>
      <c r="F1362" t="s">
        <v>5605</v>
      </c>
      <c r="G1362" t="s">
        <v>5594</v>
      </c>
      <c r="H1362" t="s">
        <v>5809</v>
      </c>
      <c r="I1362">
        <v>4</v>
      </c>
      <c r="J1362" t="s">
        <v>5595</v>
      </c>
      <c r="K1362">
        <v>10</v>
      </c>
      <c r="L1362" t="s">
        <v>5737</v>
      </c>
      <c r="M1362">
        <v>2.2999999999999998</v>
      </c>
      <c r="N1362" t="s">
        <v>5737</v>
      </c>
      <c r="O1362">
        <v>11.7</v>
      </c>
      <c r="P1362" t="s">
        <v>5613</v>
      </c>
      <c r="Q1362">
        <v>3.7</v>
      </c>
      <c r="R1362" t="s">
        <v>5613</v>
      </c>
      <c r="S1362">
        <v>5.3</v>
      </c>
      <c r="T1362" t="s">
        <v>5613</v>
      </c>
      <c r="U1362">
        <v>1.1000000000000001</v>
      </c>
      <c r="V1362" t="s">
        <v>5613</v>
      </c>
      <c r="W1362">
        <v>10.1</v>
      </c>
      <c r="X1362">
        <v>668</v>
      </c>
      <c r="Y1362">
        <v>7.6</v>
      </c>
      <c r="Z1362" t="s">
        <v>5613</v>
      </c>
      <c r="AA1362">
        <v>4.0999999999999996</v>
      </c>
      <c r="AB1362" t="s">
        <v>5613</v>
      </c>
      <c r="AC1362" t="s">
        <v>6207</v>
      </c>
    </row>
    <row r="1363" spans="1:29">
      <c r="A1363" t="s">
        <v>6343</v>
      </c>
      <c r="B1363" t="s">
        <v>6343</v>
      </c>
      <c r="C1363" t="s">
        <v>6733</v>
      </c>
      <c r="D1363" t="s">
        <v>5695</v>
      </c>
      <c r="E1363" t="s">
        <v>577</v>
      </c>
      <c r="F1363" t="s">
        <v>5588</v>
      </c>
      <c r="G1363" t="s">
        <v>5589</v>
      </c>
      <c r="H1363" t="s">
        <v>5809</v>
      </c>
      <c r="I1363">
        <v>4</v>
      </c>
      <c r="J1363" t="s">
        <v>5591</v>
      </c>
      <c r="K1363">
        <v>3.5</v>
      </c>
      <c r="L1363" t="s">
        <v>5737</v>
      </c>
      <c r="M1363">
        <v>7.6</v>
      </c>
      <c r="N1363" t="s">
        <v>5737</v>
      </c>
      <c r="O1363">
        <v>10.6</v>
      </c>
      <c r="P1363" t="s">
        <v>5613</v>
      </c>
      <c r="Q1363">
        <v>1.9</v>
      </c>
      <c r="R1363" t="s">
        <v>5613</v>
      </c>
      <c r="S1363">
        <v>5.0999999999999996</v>
      </c>
      <c r="T1363" t="s">
        <v>5613</v>
      </c>
      <c r="U1363">
        <v>1</v>
      </c>
      <c r="V1363" t="s">
        <v>5613</v>
      </c>
      <c r="W1363">
        <v>1</v>
      </c>
      <c r="X1363" t="s">
        <v>5613</v>
      </c>
      <c r="Y1363">
        <v>37</v>
      </c>
      <c r="Z1363">
        <v>200</v>
      </c>
      <c r="AA1363">
        <v>1</v>
      </c>
      <c r="AB1363" t="s">
        <v>5613</v>
      </c>
      <c r="AC1363" t="s">
        <v>6207</v>
      </c>
    </row>
    <row r="1364" spans="1:29">
      <c r="A1364" t="s">
        <v>6343</v>
      </c>
      <c r="B1364" t="s">
        <v>6343</v>
      </c>
      <c r="C1364" t="s">
        <v>6734</v>
      </c>
      <c r="D1364" t="s">
        <v>5747</v>
      </c>
      <c r="E1364" t="s">
        <v>397</v>
      </c>
      <c r="F1364" t="s">
        <v>5593</v>
      </c>
      <c r="G1364" t="s">
        <v>5602</v>
      </c>
      <c r="H1364" t="s">
        <v>5590</v>
      </c>
      <c r="I1364">
        <v>3</v>
      </c>
      <c r="J1364" t="s">
        <v>5595</v>
      </c>
      <c r="K1364">
        <v>5.7</v>
      </c>
      <c r="L1364" t="s">
        <v>5737</v>
      </c>
      <c r="M1364">
        <v>2.2999999999999998</v>
      </c>
      <c r="N1364" t="s">
        <v>5737</v>
      </c>
      <c r="O1364">
        <v>1.5</v>
      </c>
      <c r="P1364" t="s">
        <v>5613</v>
      </c>
      <c r="Q1364">
        <v>6.3</v>
      </c>
      <c r="R1364" t="s">
        <v>5613</v>
      </c>
      <c r="S1364">
        <v>8.4</v>
      </c>
      <c r="T1364" t="s">
        <v>5613</v>
      </c>
      <c r="U1364">
        <v>6.4</v>
      </c>
      <c r="V1364" t="s">
        <v>5613</v>
      </c>
      <c r="W1364">
        <v>1.4</v>
      </c>
      <c r="X1364" t="s">
        <v>5613</v>
      </c>
      <c r="Y1364">
        <v>8.5</v>
      </c>
      <c r="Z1364" t="s">
        <v>5613</v>
      </c>
      <c r="AA1364">
        <v>1.1000000000000001</v>
      </c>
      <c r="AB1364" t="s">
        <v>5613</v>
      </c>
      <c r="AC1364" t="s">
        <v>6207</v>
      </c>
    </row>
    <row r="1365" spans="1:29">
      <c r="A1365" t="s">
        <v>6343</v>
      </c>
      <c r="C1365" t="s">
        <v>6735</v>
      </c>
      <c r="D1365" t="s">
        <v>5872</v>
      </c>
      <c r="E1365" t="s">
        <v>1955</v>
      </c>
      <c r="F1365" t="s">
        <v>5593</v>
      </c>
      <c r="G1365" t="s">
        <v>5589</v>
      </c>
      <c r="H1365" t="s">
        <v>5809</v>
      </c>
      <c r="I1365">
        <v>4</v>
      </c>
      <c r="J1365" t="s">
        <v>5591</v>
      </c>
      <c r="K1365">
        <v>10.4</v>
      </c>
      <c r="L1365" t="s">
        <v>5737</v>
      </c>
      <c r="M1365">
        <v>3.8</v>
      </c>
      <c r="N1365" t="s">
        <v>5737</v>
      </c>
      <c r="O1365">
        <v>2</v>
      </c>
      <c r="P1365" t="s">
        <v>5613</v>
      </c>
      <c r="Q1365">
        <v>1.7</v>
      </c>
      <c r="R1365" t="s">
        <v>5613</v>
      </c>
      <c r="S1365">
        <v>2.2999999999999998</v>
      </c>
      <c r="T1365" t="s">
        <v>5613</v>
      </c>
      <c r="U1365">
        <v>1.2</v>
      </c>
      <c r="V1365" t="s">
        <v>5613</v>
      </c>
      <c r="W1365">
        <v>1</v>
      </c>
      <c r="X1365" t="s">
        <v>5613</v>
      </c>
      <c r="Y1365">
        <v>7.6</v>
      </c>
      <c r="Z1365" t="s">
        <v>5613</v>
      </c>
      <c r="AA1365">
        <v>1.8</v>
      </c>
      <c r="AB1365" t="s">
        <v>5613</v>
      </c>
      <c r="AC1365" t="s">
        <v>6207</v>
      </c>
    </row>
    <row r="1366" spans="1:29">
      <c r="A1366" t="s">
        <v>6343</v>
      </c>
      <c r="C1366" t="s">
        <v>4983</v>
      </c>
      <c r="D1366" t="s">
        <v>5872</v>
      </c>
      <c r="E1366" t="s">
        <v>1955</v>
      </c>
      <c r="F1366" t="s">
        <v>5593</v>
      </c>
      <c r="G1366" t="s">
        <v>5602</v>
      </c>
      <c r="H1366" t="s">
        <v>5809</v>
      </c>
      <c r="I1366">
        <v>3</v>
      </c>
      <c r="J1366" t="s">
        <v>5591</v>
      </c>
      <c r="K1366">
        <v>6.3</v>
      </c>
      <c r="L1366" t="s">
        <v>5737</v>
      </c>
      <c r="M1366">
        <v>2.5</v>
      </c>
      <c r="N1366" t="s">
        <v>5737</v>
      </c>
      <c r="O1366">
        <v>2.8</v>
      </c>
      <c r="P1366" t="s">
        <v>5613</v>
      </c>
      <c r="Q1366">
        <v>1.4</v>
      </c>
      <c r="R1366" t="s">
        <v>5613</v>
      </c>
      <c r="S1366">
        <v>36.6</v>
      </c>
      <c r="T1366">
        <v>441</v>
      </c>
      <c r="U1366">
        <v>2</v>
      </c>
      <c r="V1366" t="s">
        <v>5613</v>
      </c>
      <c r="W1366">
        <v>1</v>
      </c>
      <c r="X1366" t="s">
        <v>5613</v>
      </c>
      <c r="Y1366">
        <v>7.4</v>
      </c>
      <c r="Z1366" t="s">
        <v>5613</v>
      </c>
      <c r="AA1366">
        <v>1</v>
      </c>
      <c r="AB1366" t="s">
        <v>5613</v>
      </c>
      <c r="AC1366" t="s">
        <v>6207</v>
      </c>
    </row>
    <row r="1367" spans="1:29">
      <c r="A1367" t="s">
        <v>6343</v>
      </c>
      <c r="C1367" t="s">
        <v>3831</v>
      </c>
      <c r="D1367" t="s">
        <v>5872</v>
      </c>
      <c r="E1367" t="s">
        <v>1955</v>
      </c>
      <c r="F1367" t="s">
        <v>5605</v>
      </c>
      <c r="G1367" t="s">
        <v>5602</v>
      </c>
      <c r="H1367" t="s">
        <v>5590</v>
      </c>
      <c r="I1367">
        <v>4</v>
      </c>
      <c r="J1367" t="s">
        <v>5595</v>
      </c>
      <c r="K1367">
        <v>9.6</v>
      </c>
      <c r="L1367" t="s">
        <v>5737</v>
      </c>
      <c r="M1367">
        <v>3.1</v>
      </c>
      <c r="N1367" t="s">
        <v>5737</v>
      </c>
      <c r="O1367">
        <v>11</v>
      </c>
      <c r="P1367" t="s">
        <v>5613</v>
      </c>
      <c r="Q1367">
        <v>1.4</v>
      </c>
      <c r="R1367" t="s">
        <v>5613</v>
      </c>
      <c r="S1367">
        <v>14.6</v>
      </c>
      <c r="T1367">
        <v>673</v>
      </c>
      <c r="U1367">
        <v>1.7</v>
      </c>
      <c r="V1367" t="s">
        <v>5613</v>
      </c>
      <c r="W1367">
        <v>1</v>
      </c>
      <c r="X1367" t="s">
        <v>5613</v>
      </c>
      <c r="Y1367">
        <v>7.9</v>
      </c>
      <c r="Z1367" t="s">
        <v>5613</v>
      </c>
      <c r="AA1367">
        <v>3.4</v>
      </c>
      <c r="AB1367" t="s">
        <v>5613</v>
      </c>
      <c r="AC1367" t="s">
        <v>6207</v>
      </c>
    </row>
    <row r="1368" spans="1:29">
      <c r="A1368" t="s">
        <v>6343</v>
      </c>
      <c r="B1368" t="s">
        <v>6343</v>
      </c>
      <c r="C1368" t="s">
        <v>3972</v>
      </c>
      <c r="D1368" t="s">
        <v>5872</v>
      </c>
      <c r="E1368" t="s">
        <v>1955</v>
      </c>
      <c r="F1368" t="s">
        <v>5605</v>
      </c>
      <c r="G1368" t="s">
        <v>5594</v>
      </c>
      <c r="H1368" t="s">
        <v>5809</v>
      </c>
      <c r="I1368">
        <v>4</v>
      </c>
      <c r="J1368" t="s">
        <v>5595</v>
      </c>
      <c r="K1368">
        <v>7.6</v>
      </c>
      <c r="L1368" t="s">
        <v>5737</v>
      </c>
      <c r="M1368">
        <v>6.2</v>
      </c>
      <c r="N1368" t="s">
        <v>5737</v>
      </c>
      <c r="O1368">
        <v>21</v>
      </c>
      <c r="P1368">
        <v>646</v>
      </c>
      <c r="Q1368">
        <v>1.3</v>
      </c>
      <c r="R1368" t="s">
        <v>5613</v>
      </c>
      <c r="S1368">
        <v>9.8000000000000007</v>
      </c>
      <c r="T1368" t="s">
        <v>5613</v>
      </c>
      <c r="U1368">
        <v>2.4</v>
      </c>
      <c r="V1368" t="s">
        <v>5613</v>
      </c>
      <c r="W1368">
        <v>1</v>
      </c>
      <c r="X1368" t="s">
        <v>5613</v>
      </c>
      <c r="Y1368">
        <v>9.1999999999999993</v>
      </c>
      <c r="Z1368" t="s">
        <v>5613</v>
      </c>
      <c r="AA1368">
        <v>5.3</v>
      </c>
      <c r="AB1368" t="s">
        <v>5613</v>
      </c>
      <c r="AC1368" t="s">
        <v>6207</v>
      </c>
    </row>
    <row r="1369" spans="1:29">
      <c r="A1369" t="s">
        <v>6343</v>
      </c>
      <c r="B1369" t="s">
        <v>6343</v>
      </c>
      <c r="C1369" t="s">
        <v>6736</v>
      </c>
      <c r="D1369" t="s">
        <v>6359</v>
      </c>
      <c r="E1369" t="s">
        <v>1853</v>
      </c>
      <c r="F1369" t="s">
        <v>5593</v>
      </c>
      <c r="G1369" t="s">
        <v>5602</v>
      </c>
      <c r="H1369" t="s">
        <v>5809</v>
      </c>
      <c r="I1369">
        <v>4</v>
      </c>
      <c r="J1369" t="s">
        <v>5595</v>
      </c>
      <c r="K1369">
        <v>9.6</v>
      </c>
      <c r="L1369" t="s">
        <v>5737</v>
      </c>
      <c r="M1369">
        <v>6.3</v>
      </c>
      <c r="N1369" t="s">
        <v>5737</v>
      </c>
      <c r="O1369">
        <v>4.8</v>
      </c>
      <c r="P1369" t="s">
        <v>5613</v>
      </c>
      <c r="Q1369">
        <v>2.6</v>
      </c>
      <c r="R1369" t="s">
        <v>5613</v>
      </c>
      <c r="S1369">
        <v>1.6</v>
      </c>
      <c r="T1369" t="s">
        <v>5613</v>
      </c>
      <c r="U1369">
        <v>5.2</v>
      </c>
      <c r="V1369" t="s">
        <v>5613</v>
      </c>
      <c r="W1369">
        <v>1.1000000000000001</v>
      </c>
      <c r="X1369" t="s">
        <v>5613</v>
      </c>
      <c r="Y1369">
        <v>8.1999999999999993</v>
      </c>
      <c r="Z1369" t="s">
        <v>5613</v>
      </c>
      <c r="AA1369">
        <v>1.1000000000000001</v>
      </c>
      <c r="AB1369" t="s">
        <v>5613</v>
      </c>
      <c r="AC1369" t="s">
        <v>6207</v>
      </c>
    </row>
    <row r="1370" spans="1:29">
      <c r="A1370" t="s">
        <v>6343</v>
      </c>
      <c r="C1370" t="s">
        <v>6737</v>
      </c>
      <c r="D1370" t="s">
        <v>5624</v>
      </c>
      <c r="E1370" t="s">
        <v>125</v>
      </c>
      <c r="G1370" t="s">
        <v>5589</v>
      </c>
      <c r="J1370" t="s">
        <v>5595</v>
      </c>
      <c r="K1370">
        <v>5.8</v>
      </c>
      <c r="L1370" t="s">
        <v>5737</v>
      </c>
      <c r="M1370">
        <v>2.1</v>
      </c>
      <c r="N1370" t="s">
        <v>5737</v>
      </c>
      <c r="W1370">
        <v>46</v>
      </c>
      <c r="X1370">
        <v>336</v>
      </c>
      <c r="AC1370" t="s">
        <v>6207</v>
      </c>
    </row>
    <row r="1371" spans="1:29">
      <c r="A1371" t="s">
        <v>6343</v>
      </c>
      <c r="C1371" t="s">
        <v>6738</v>
      </c>
      <c r="D1371" t="s">
        <v>5624</v>
      </c>
      <c r="E1371" t="s">
        <v>125</v>
      </c>
      <c r="F1371" t="s">
        <v>5588</v>
      </c>
      <c r="G1371" t="s">
        <v>5651</v>
      </c>
      <c r="K1371">
        <v>6.1</v>
      </c>
      <c r="L1371" t="s">
        <v>5737</v>
      </c>
      <c r="M1371">
        <v>1.9</v>
      </c>
      <c r="N1371" t="s">
        <v>5737</v>
      </c>
      <c r="O1371">
        <v>18.2</v>
      </c>
      <c r="P1371" t="s">
        <v>5613</v>
      </c>
      <c r="Q1371">
        <v>7.2</v>
      </c>
      <c r="R1371" t="s">
        <v>5613</v>
      </c>
      <c r="W1371">
        <v>16.7</v>
      </c>
      <c r="X1371">
        <v>578</v>
      </c>
      <c r="Y1371">
        <v>6.4</v>
      </c>
      <c r="Z1371" t="s">
        <v>5613</v>
      </c>
      <c r="AC1371" t="s">
        <v>6207</v>
      </c>
    </row>
    <row r="1372" spans="1:29">
      <c r="A1372" t="s">
        <v>6343</v>
      </c>
      <c r="B1372" t="s">
        <v>6343</v>
      </c>
      <c r="C1372" t="s">
        <v>6739</v>
      </c>
      <c r="D1372" t="s">
        <v>6477</v>
      </c>
      <c r="E1372" t="s">
        <v>2171</v>
      </c>
      <c r="F1372" t="s">
        <v>5593</v>
      </c>
      <c r="G1372" t="s">
        <v>5602</v>
      </c>
      <c r="H1372" t="s">
        <v>5590</v>
      </c>
      <c r="I1372">
        <v>4</v>
      </c>
      <c r="J1372" t="s">
        <v>5595</v>
      </c>
      <c r="K1372">
        <v>6.1</v>
      </c>
      <c r="L1372" t="s">
        <v>5737</v>
      </c>
      <c r="M1372">
        <v>2.5</v>
      </c>
      <c r="N1372" t="s">
        <v>5737</v>
      </c>
      <c r="O1372">
        <v>17.3</v>
      </c>
      <c r="P1372" t="s">
        <v>5613</v>
      </c>
      <c r="Q1372">
        <v>1.9</v>
      </c>
      <c r="R1372" t="s">
        <v>5613</v>
      </c>
      <c r="S1372">
        <v>2.2000000000000002</v>
      </c>
      <c r="T1372" t="s">
        <v>5613</v>
      </c>
      <c r="U1372">
        <v>1.8</v>
      </c>
      <c r="V1372" t="s">
        <v>5613</v>
      </c>
      <c r="W1372">
        <v>1</v>
      </c>
      <c r="X1372" t="s">
        <v>5613</v>
      </c>
      <c r="Y1372">
        <v>15.5</v>
      </c>
      <c r="Z1372">
        <v>542</v>
      </c>
      <c r="AA1372">
        <v>1</v>
      </c>
      <c r="AB1372" t="s">
        <v>5613</v>
      </c>
      <c r="AC1372" t="s">
        <v>6207</v>
      </c>
    </row>
    <row r="1373" spans="1:29">
      <c r="A1373" t="s">
        <v>6343</v>
      </c>
      <c r="B1373" t="s">
        <v>6343</v>
      </c>
      <c r="C1373" t="s">
        <v>6740</v>
      </c>
      <c r="D1373" t="s">
        <v>5624</v>
      </c>
      <c r="E1373" t="s">
        <v>125</v>
      </c>
      <c r="F1373" t="s">
        <v>5593</v>
      </c>
      <c r="G1373" t="s">
        <v>5651</v>
      </c>
      <c r="I1373">
        <v>5</v>
      </c>
      <c r="J1373" t="s">
        <v>5595</v>
      </c>
      <c r="K1373">
        <v>8.9</v>
      </c>
      <c r="L1373" t="s">
        <v>5737</v>
      </c>
      <c r="M1373">
        <v>3.4</v>
      </c>
      <c r="N1373" t="s">
        <v>5737</v>
      </c>
      <c r="O1373">
        <v>1.8</v>
      </c>
      <c r="P1373" t="s">
        <v>5613</v>
      </c>
      <c r="Q1373">
        <v>2.2000000000000002</v>
      </c>
      <c r="R1373" t="s">
        <v>5613</v>
      </c>
      <c r="S1373">
        <v>25.5</v>
      </c>
      <c r="T1373">
        <v>528</v>
      </c>
      <c r="U1373">
        <v>30.8</v>
      </c>
      <c r="V1373">
        <v>414</v>
      </c>
      <c r="W1373">
        <v>1</v>
      </c>
      <c r="X1373" t="s">
        <v>5613</v>
      </c>
      <c r="Y1373">
        <v>7.1</v>
      </c>
      <c r="Z1373" t="s">
        <v>5613</v>
      </c>
      <c r="AA1373">
        <v>1.1000000000000001</v>
      </c>
      <c r="AB1373" t="s">
        <v>5613</v>
      </c>
      <c r="AC1373" t="s">
        <v>6207</v>
      </c>
    </row>
    <row r="1374" spans="1:29">
      <c r="A1374" t="s">
        <v>6343</v>
      </c>
      <c r="B1374" t="s">
        <v>6546</v>
      </c>
      <c r="C1374" t="s">
        <v>6741</v>
      </c>
      <c r="D1374" t="s">
        <v>6742</v>
      </c>
      <c r="E1374" t="s">
        <v>2536</v>
      </c>
      <c r="F1374" t="s">
        <v>5605</v>
      </c>
      <c r="G1374" t="s">
        <v>5589</v>
      </c>
      <c r="H1374" t="s">
        <v>5590</v>
      </c>
      <c r="I1374">
        <v>3</v>
      </c>
      <c r="J1374" t="s">
        <v>5595</v>
      </c>
      <c r="K1374">
        <v>3.1</v>
      </c>
      <c r="L1374" t="s">
        <v>5737</v>
      </c>
      <c r="M1374">
        <v>2.2000000000000002</v>
      </c>
      <c r="N1374" t="s">
        <v>5737</v>
      </c>
      <c r="O1374">
        <v>1.6</v>
      </c>
      <c r="P1374" t="s">
        <v>5613</v>
      </c>
      <c r="Q1374">
        <v>4</v>
      </c>
      <c r="R1374" t="s">
        <v>5613</v>
      </c>
      <c r="S1374">
        <v>3.7</v>
      </c>
      <c r="T1374" t="s">
        <v>5613</v>
      </c>
      <c r="U1374">
        <v>2.6</v>
      </c>
      <c r="V1374" t="s">
        <v>5613</v>
      </c>
      <c r="W1374">
        <v>17.600000000000001</v>
      </c>
      <c r="X1374">
        <v>566</v>
      </c>
      <c r="Y1374">
        <v>22</v>
      </c>
      <c r="Z1374">
        <v>376</v>
      </c>
      <c r="AA1374">
        <v>2.7</v>
      </c>
      <c r="AB1374" t="s">
        <v>5613</v>
      </c>
      <c r="AC1374" t="s">
        <v>6207</v>
      </c>
    </row>
    <row r="1375" spans="1:29">
      <c r="A1375" t="s">
        <v>6343</v>
      </c>
      <c r="B1375" t="s">
        <v>6343</v>
      </c>
      <c r="C1375" t="s">
        <v>6743</v>
      </c>
      <c r="D1375" t="s">
        <v>5624</v>
      </c>
      <c r="E1375" t="s">
        <v>125</v>
      </c>
      <c r="F1375" t="s">
        <v>5605</v>
      </c>
      <c r="G1375" t="s">
        <v>5602</v>
      </c>
      <c r="H1375" t="s">
        <v>5590</v>
      </c>
      <c r="I1375">
        <v>5</v>
      </c>
      <c r="J1375" t="s">
        <v>5595</v>
      </c>
      <c r="K1375">
        <v>11.9</v>
      </c>
      <c r="L1375" t="s">
        <v>5737</v>
      </c>
      <c r="M1375">
        <v>2.4</v>
      </c>
      <c r="N1375" t="s">
        <v>5737</v>
      </c>
      <c r="O1375">
        <v>3</v>
      </c>
      <c r="P1375" t="s">
        <v>5613</v>
      </c>
      <c r="Q1375">
        <v>3</v>
      </c>
      <c r="R1375" t="s">
        <v>5613</v>
      </c>
      <c r="S1375">
        <v>9.9</v>
      </c>
      <c r="T1375" t="s">
        <v>5613</v>
      </c>
      <c r="U1375">
        <v>1.5</v>
      </c>
      <c r="V1375" t="s">
        <v>5613</v>
      </c>
      <c r="W1375">
        <v>14.6</v>
      </c>
      <c r="X1375">
        <v>601</v>
      </c>
      <c r="Y1375">
        <v>15.2</v>
      </c>
      <c r="Z1375">
        <v>553</v>
      </c>
      <c r="AA1375">
        <v>1.9</v>
      </c>
      <c r="AB1375" t="s">
        <v>5613</v>
      </c>
      <c r="AC1375" t="s">
        <v>6207</v>
      </c>
    </row>
    <row r="1376" spans="1:29">
      <c r="A1376" t="s">
        <v>6343</v>
      </c>
      <c r="C1376" t="s">
        <v>6744</v>
      </c>
      <c r="D1376" t="s">
        <v>5672</v>
      </c>
      <c r="E1376" t="s">
        <v>664</v>
      </c>
      <c r="F1376" t="s">
        <v>5588</v>
      </c>
      <c r="G1376" t="s">
        <v>5589</v>
      </c>
      <c r="H1376" t="s">
        <v>5809</v>
      </c>
      <c r="I1376">
        <v>3</v>
      </c>
      <c r="J1376" t="s">
        <v>5595</v>
      </c>
      <c r="K1376">
        <v>6</v>
      </c>
      <c r="L1376" t="s">
        <v>5737</v>
      </c>
      <c r="M1376">
        <v>2.9</v>
      </c>
      <c r="N1376" t="s">
        <v>5737</v>
      </c>
      <c r="O1376">
        <v>9.1999999999999993</v>
      </c>
      <c r="P1376" t="s">
        <v>5613</v>
      </c>
      <c r="Q1376">
        <v>1.9</v>
      </c>
      <c r="R1376" t="s">
        <v>5613</v>
      </c>
      <c r="S1376">
        <v>9</v>
      </c>
      <c r="T1376" t="s">
        <v>5613</v>
      </c>
      <c r="U1376">
        <v>6.7</v>
      </c>
      <c r="V1376" t="s">
        <v>5613</v>
      </c>
      <c r="W1376">
        <v>1</v>
      </c>
      <c r="X1376" t="s">
        <v>5613</v>
      </c>
      <c r="Y1376">
        <v>4.2</v>
      </c>
      <c r="Z1376" t="s">
        <v>5613</v>
      </c>
      <c r="AA1376">
        <v>1</v>
      </c>
      <c r="AB1376" t="s">
        <v>5613</v>
      </c>
      <c r="AC1376" t="s">
        <v>6207</v>
      </c>
    </row>
    <row r="1377" spans="1:29">
      <c r="A1377" t="s">
        <v>6343</v>
      </c>
      <c r="C1377" t="s">
        <v>3134</v>
      </c>
      <c r="D1377" t="s">
        <v>5672</v>
      </c>
      <c r="E1377" t="s">
        <v>664</v>
      </c>
      <c r="F1377" t="s">
        <v>5588</v>
      </c>
      <c r="G1377" t="s">
        <v>5602</v>
      </c>
      <c r="H1377" t="s">
        <v>5590</v>
      </c>
      <c r="I1377">
        <v>2</v>
      </c>
      <c r="J1377" t="s">
        <v>5595</v>
      </c>
      <c r="K1377">
        <v>6</v>
      </c>
      <c r="L1377" t="s">
        <v>5737</v>
      </c>
      <c r="M1377">
        <v>6.2</v>
      </c>
      <c r="N1377" t="s">
        <v>5737</v>
      </c>
      <c r="O1377">
        <v>9.8000000000000007</v>
      </c>
      <c r="P1377" t="s">
        <v>5613</v>
      </c>
      <c r="Q1377">
        <v>5.4</v>
      </c>
      <c r="R1377" t="s">
        <v>5613</v>
      </c>
      <c r="S1377">
        <v>3.5</v>
      </c>
      <c r="T1377" t="s">
        <v>5613</v>
      </c>
      <c r="U1377">
        <v>5.7</v>
      </c>
      <c r="V1377" t="s">
        <v>5613</v>
      </c>
      <c r="W1377">
        <v>1.2</v>
      </c>
      <c r="X1377" t="s">
        <v>5613</v>
      </c>
      <c r="Y1377">
        <v>9.1999999999999993</v>
      </c>
      <c r="Z1377" t="s">
        <v>5613</v>
      </c>
      <c r="AA1377">
        <v>4.3</v>
      </c>
      <c r="AB1377" t="s">
        <v>5613</v>
      </c>
      <c r="AC1377" t="s">
        <v>6207</v>
      </c>
    </row>
    <row r="1378" spans="1:29">
      <c r="A1378" t="s">
        <v>6343</v>
      </c>
      <c r="B1378" t="s">
        <v>6343</v>
      </c>
      <c r="C1378" t="s">
        <v>2663</v>
      </c>
      <c r="D1378" t="s">
        <v>6479</v>
      </c>
      <c r="E1378" t="s">
        <v>2157</v>
      </c>
      <c r="F1378" t="s">
        <v>5593</v>
      </c>
      <c r="G1378" t="s">
        <v>5594</v>
      </c>
      <c r="H1378" t="s">
        <v>5809</v>
      </c>
      <c r="I1378">
        <v>3</v>
      </c>
      <c r="J1378" t="s">
        <v>5595</v>
      </c>
      <c r="K1378">
        <v>3.6</v>
      </c>
      <c r="L1378" t="s">
        <v>5737</v>
      </c>
      <c r="M1378">
        <v>6.3</v>
      </c>
      <c r="N1378" t="s">
        <v>5737</v>
      </c>
      <c r="O1378">
        <v>13.2</v>
      </c>
      <c r="P1378" t="s">
        <v>5613</v>
      </c>
      <c r="Q1378">
        <v>1.9</v>
      </c>
      <c r="R1378" t="s">
        <v>5613</v>
      </c>
      <c r="S1378">
        <v>1.1000000000000001</v>
      </c>
      <c r="T1378" t="s">
        <v>5613</v>
      </c>
      <c r="U1378">
        <v>1</v>
      </c>
      <c r="V1378" t="s">
        <v>5613</v>
      </c>
      <c r="W1378">
        <v>1.6</v>
      </c>
      <c r="X1378" t="s">
        <v>5613</v>
      </c>
      <c r="Y1378">
        <v>9.6999999999999993</v>
      </c>
      <c r="Z1378" t="s">
        <v>5613</v>
      </c>
      <c r="AA1378">
        <v>2.6</v>
      </c>
      <c r="AB1378" t="s">
        <v>5613</v>
      </c>
      <c r="AC1378" t="s">
        <v>6207</v>
      </c>
    </row>
    <row r="1379" spans="1:29">
      <c r="A1379" t="s">
        <v>6343</v>
      </c>
      <c r="B1379" t="s">
        <v>6343</v>
      </c>
      <c r="C1379" t="s">
        <v>3330</v>
      </c>
      <c r="D1379" t="s">
        <v>6479</v>
      </c>
      <c r="E1379" t="s">
        <v>2157</v>
      </c>
      <c r="F1379" t="s">
        <v>5605</v>
      </c>
      <c r="G1379" t="s">
        <v>5594</v>
      </c>
      <c r="H1379" t="s">
        <v>6146</v>
      </c>
      <c r="I1379">
        <v>4</v>
      </c>
      <c r="J1379" t="s">
        <v>5595</v>
      </c>
      <c r="K1379">
        <v>4.4000000000000004</v>
      </c>
      <c r="L1379" t="s">
        <v>5737</v>
      </c>
      <c r="M1379">
        <v>6</v>
      </c>
      <c r="N1379" t="s">
        <v>5737</v>
      </c>
      <c r="O1379">
        <v>15.9</v>
      </c>
      <c r="P1379" t="s">
        <v>5613</v>
      </c>
      <c r="Q1379">
        <v>1.4</v>
      </c>
      <c r="R1379" t="s">
        <v>5613</v>
      </c>
      <c r="S1379">
        <v>1.3</v>
      </c>
      <c r="T1379" t="s">
        <v>5613</v>
      </c>
      <c r="U1379">
        <v>1.1000000000000001</v>
      </c>
      <c r="V1379" t="s">
        <v>5613</v>
      </c>
      <c r="W1379">
        <v>1.4</v>
      </c>
      <c r="X1379" t="s">
        <v>5613</v>
      </c>
      <c r="Y1379">
        <v>9.3000000000000007</v>
      </c>
      <c r="Z1379" t="s">
        <v>5613</v>
      </c>
      <c r="AA1379">
        <v>1</v>
      </c>
      <c r="AB1379" t="s">
        <v>5613</v>
      </c>
      <c r="AC1379" t="s">
        <v>6207</v>
      </c>
    </row>
    <row r="1380" spans="1:29">
      <c r="A1380" t="s">
        <v>6343</v>
      </c>
      <c r="B1380" t="s">
        <v>6240</v>
      </c>
      <c r="C1380" t="s">
        <v>6745</v>
      </c>
      <c r="D1380" t="s">
        <v>5901</v>
      </c>
      <c r="E1380" t="s">
        <v>1543</v>
      </c>
      <c r="F1380" t="s">
        <v>5588</v>
      </c>
      <c r="G1380" t="s">
        <v>5602</v>
      </c>
      <c r="H1380" t="s">
        <v>5590</v>
      </c>
      <c r="I1380">
        <v>3</v>
      </c>
      <c r="J1380" t="s">
        <v>5595</v>
      </c>
      <c r="K1380">
        <v>5.8</v>
      </c>
      <c r="L1380" t="s">
        <v>5737</v>
      </c>
      <c r="M1380">
        <v>3.1</v>
      </c>
      <c r="N1380" t="s">
        <v>5737</v>
      </c>
      <c r="O1380">
        <v>28.1</v>
      </c>
      <c r="P1380">
        <v>544</v>
      </c>
      <c r="Q1380">
        <v>2.5</v>
      </c>
      <c r="R1380" t="s">
        <v>5613</v>
      </c>
      <c r="U1380">
        <v>5.2</v>
      </c>
      <c r="V1380" t="s">
        <v>5613</v>
      </c>
      <c r="W1380">
        <v>1.5</v>
      </c>
      <c r="X1380" t="s">
        <v>5613</v>
      </c>
      <c r="Y1380">
        <v>6.1</v>
      </c>
      <c r="Z1380" t="s">
        <v>5613</v>
      </c>
      <c r="AA1380">
        <v>1</v>
      </c>
      <c r="AB1380" t="s">
        <v>5613</v>
      </c>
      <c r="AC1380" t="s">
        <v>6207</v>
      </c>
    </row>
    <row r="1381" spans="1:29">
      <c r="A1381" t="s">
        <v>6343</v>
      </c>
      <c r="B1381" t="s">
        <v>6343</v>
      </c>
      <c r="C1381" t="s">
        <v>6746</v>
      </c>
      <c r="D1381" t="s">
        <v>5587</v>
      </c>
      <c r="E1381" t="s">
        <v>29</v>
      </c>
      <c r="F1381" t="s">
        <v>5593</v>
      </c>
      <c r="G1381" t="s">
        <v>5589</v>
      </c>
      <c r="H1381" t="s">
        <v>6146</v>
      </c>
      <c r="J1381" t="s">
        <v>5595</v>
      </c>
      <c r="K1381">
        <v>3.8</v>
      </c>
      <c r="L1381" t="s">
        <v>5737</v>
      </c>
      <c r="M1381">
        <v>1.5</v>
      </c>
      <c r="N1381" t="s">
        <v>5737</v>
      </c>
      <c r="O1381">
        <v>7.9</v>
      </c>
      <c r="P1381" t="s">
        <v>5613</v>
      </c>
      <c r="Q1381">
        <v>1.4</v>
      </c>
      <c r="R1381" t="s">
        <v>5613</v>
      </c>
      <c r="S1381">
        <v>16.8</v>
      </c>
      <c r="T1381">
        <v>636</v>
      </c>
      <c r="U1381">
        <v>10.9</v>
      </c>
      <c r="V1381">
        <v>694</v>
      </c>
      <c r="W1381">
        <v>1</v>
      </c>
      <c r="X1381" t="s">
        <v>5613</v>
      </c>
      <c r="Y1381">
        <v>9.4</v>
      </c>
      <c r="Z1381" t="s">
        <v>5613</v>
      </c>
      <c r="AC1381" t="s">
        <v>6207</v>
      </c>
    </row>
    <row r="1382" spans="1:29">
      <c r="A1382" t="s">
        <v>6343</v>
      </c>
      <c r="C1382" t="s">
        <v>1251</v>
      </c>
      <c r="D1382" t="s">
        <v>6747</v>
      </c>
      <c r="E1382" t="s">
        <v>1252</v>
      </c>
      <c r="G1382" t="s">
        <v>5589</v>
      </c>
      <c r="I1382">
        <v>5</v>
      </c>
      <c r="K1382">
        <v>7.8</v>
      </c>
      <c r="L1382" t="s">
        <v>5737</v>
      </c>
      <c r="M1382">
        <v>5.5</v>
      </c>
      <c r="N1382" t="s">
        <v>5737</v>
      </c>
      <c r="W1382">
        <v>37.9</v>
      </c>
      <c r="X1382">
        <v>396</v>
      </c>
      <c r="AC1382" t="s">
        <v>6207</v>
      </c>
    </row>
    <row r="1383" spans="1:29">
      <c r="A1383" t="s">
        <v>6343</v>
      </c>
      <c r="B1383" t="s">
        <v>6343</v>
      </c>
      <c r="C1383" t="s">
        <v>6748</v>
      </c>
      <c r="D1383" t="s">
        <v>5616</v>
      </c>
      <c r="E1383" t="s">
        <v>54</v>
      </c>
      <c r="F1383" t="s">
        <v>5593</v>
      </c>
      <c r="G1383" t="s">
        <v>5602</v>
      </c>
      <c r="H1383" t="s">
        <v>5809</v>
      </c>
      <c r="I1383">
        <v>4</v>
      </c>
      <c r="J1383" t="s">
        <v>5595</v>
      </c>
      <c r="K1383">
        <v>3.8</v>
      </c>
      <c r="L1383" t="s">
        <v>5737</v>
      </c>
      <c r="M1383">
        <v>1.8</v>
      </c>
      <c r="N1383" t="s">
        <v>5737</v>
      </c>
      <c r="O1383">
        <v>10.199999999999999</v>
      </c>
      <c r="P1383" t="s">
        <v>5613</v>
      </c>
      <c r="Q1383">
        <v>2.7</v>
      </c>
      <c r="R1383" t="s">
        <v>5613</v>
      </c>
      <c r="S1383">
        <v>7.4</v>
      </c>
      <c r="T1383" t="s">
        <v>5613</v>
      </c>
      <c r="U1383">
        <v>32.799999999999997</v>
      </c>
      <c r="V1383">
        <v>394</v>
      </c>
      <c r="W1383">
        <v>1</v>
      </c>
      <c r="X1383" t="s">
        <v>5613</v>
      </c>
      <c r="Y1383">
        <v>14.8</v>
      </c>
      <c r="Z1383">
        <v>568</v>
      </c>
      <c r="AA1383">
        <v>1.1000000000000001</v>
      </c>
      <c r="AB1383" t="s">
        <v>5613</v>
      </c>
      <c r="AC1383" t="s">
        <v>6207</v>
      </c>
    </row>
    <row r="1384" spans="1:29">
      <c r="A1384" t="s">
        <v>6343</v>
      </c>
      <c r="B1384" t="s">
        <v>6343</v>
      </c>
      <c r="C1384" t="s">
        <v>6749</v>
      </c>
      <c r="D1384" t="s">
        <v>6750</v>
      </c>
      <c r="E1384" t="s">
        <v>5038</v>
      </c>
      <c r="F1384" t="s">
        <v>5593</v>
      </c>
      <c r="G1384" t="s">
        <v>5594</v>
      </c>
      <c r="H1384" t="s">
        <v>6146</v>
      </c>
      <c r="I1384">
        <v>4</v>
      </c>
      <c r="J1384" t="s">
        <v>5595</v>
      </c>
      <c r="K1384">
        <v>6.2</v>
      </c>
      <c r="L1384" t="s">
        <v>5737</v>
      </c>
      <c r="M1384">
        <v>4.5</v>
      </c>
      <c r="N1384" t="s">
        <v>5737</v>
      </c>
      <c r="O1384">
        <v>8</v>
      </c>
      <c r="P1384" t="s">
        <v>5613</v>
      </c>
      <c r="Q1384">
        <v>2.5</v>
      </c>
      <c r="R1384" t="s">
        <v>5613</v>
      </c>
      <c r="U1384">
        <v>1.4</v>
      </c>
      <c r="V1384" t="s">
        <v>5613</v>
      </c>
      <c r="W1384">
        <v>3.9</v>
      </c>
      <c r="X1384" t="s">
        <v>5613</v>
      </c>
      <c r="Y1384">
        <v>24.9</v>
      </c>
      <c r="Z1384">
        <v>333</v>
      </c>
      <c r="AA1384">
        <v>1.1000000000000001</v>
      </c>
      <c r="AB1384" t="s">
        <v>5613</v>
      </c>
      <c r="AC1384" t="s">
        <v>6207</v>
      </c>
    </row>
    <row r="1385" spans="1:29">
      <c r="A1385" t="s">
        <v>6343</v>
      </c>
      <c r="B1385" t="s">
        <v>6240</v>
      </c>
      <c r="C1385" t="s">
        <v>3628</v>
      </c>
      <c r="D1385" t="s">
        <v>6479</v>
      </c>
      <c r="E1385" t="s">
        <v>2157</v>
      </c>
      <c r="F1385" t="s">
        <v>5593</v>
      </c>
      <c r="G1385" t="s">
        <v>5594</v>
      </c>
      <c r="H1385" t="s">
        <v>5809</v>
      </c>
      <c r="I1385">
        <v>3</v>
      </c>
      <c r="J1385" t="s">
        <v>5595</v>
      </c>
      <c r="K1385">
        <v>3.3</v>
      </c>
      <c r="L1385" t="s">
        <v>5737</v>
      </c>
      <c r="M1385">
        <v>8.5</v>
      </c>
      <c r="N1385" t="s">
        <v>5737</v>
      </c>
      <c r="O1385">
        <v>30.6</v>
      </c>
      <c r="P1385">
        <v>511</v>
      </c>
      <c r="Q1385">
        <v>1.4</v>
      </c>
      <c r="R1385" t="s">
        <v>5613</v>
      </c>
      <c r="S1385">
        <v>4.7</v>
      </c>
      <c r="T1385" t="s">
        <v>5613</v>
      </c>
      <c r="U1385">
        <v>1.1000000000000001</v>
      </c>
      <c r="V1385" t="s">
        <v>5613</v>
      </c>
      <c r="W1385">
        <v>1</v>
      </c>
      <c r="X1385" t="s">
        <v>5613</v>
      </c>
      <c r="Y1385">
        <v>8.8000000000000007</v>
      </c>
      <c r="Z1385" t="s">
        <v>5613</v>
      </c>
      <c r="AA1385">
        <v>1</v>
      </c>
      <c r="AB1385" t="s">
        <v>5613</v>
      </c>
      <c r="AC1385" t="s">
        <v>6207</v>
      </c>
    </row>
    <row r="1386" spans="1:29">
      <c r="A1386" t="s">
        <v>6343</v>
      </c>
      <c r="B1386" t="s">
        <v>6343</v>
      </c>
      <c r="C1386" t="s">
        <v>2051</v>
      </c>
      <c r="D1386" t="s">
        <v>5587</v>
      </c>
      <c r="E1386" t="s">
        <v>29</v>
      </c>
      <c r="F1386" t="s">
        <v>5593</v>
      </c>
      <c r="G1386" t="s">
        <v>5589</v>
      </c>
      <c r="H1386" t="s">
        <v>5590</v>
      </c>
      <c r="J1386" t="s">
        <v>5595</v>
      </c>
      <c r="K1386">
        <v>3.1</v>
      </c>
      <c r="L1386" t="s">
        <v>5737</v>
      </c>
      <c r="M1386">
        <v>5.0999999999999996</v>
      </c>
      <c r="N1386" t="s">
        <v>5737</v>
      </c>
      <c r="O1386">
        <v>14.9</v>
      </c>
      <c r="P1386" t="s">
        <v>5613</v>
      </c>
      <c r="Q1386">
        <v>8.9</v>
      </c>
      <c r="R1386" t="s">
        <v>5613</v>
      </c>
      <c r="S1386">
        <v>2.1</v>
      </c>
      <c r="T1386" t="s">
        <v>5613</v>
      </c>
      <c r="U1386">
        <v>4.4000000000000004</v>
      </c>
      <c r="V1386" t="s">
        <v>5613</v>
      </c>
      <c r="W1386">
        <v>5</v>
      </c>
      <c r="X1386" t="s">
        <v>5613</v>
      </c>
      <c r="Y1386">
        <v>10.7</v>
      </c>
      <c r="Z1386" t="s">
        <v>5613</v>
      </c>
      <c r="AC1386" t="s">
        <v>6207</v>
      </c>
    </row>
    <row r="1387" spans="1:29">
      <c r="A1387" t="s">
        <v>6343</v>
      </c>
      <c r="B1387" t="s">
        <v>6240</v>
      </c>
      <c r="C1387" t="s">
        <v>6751</v>
      </c>
      <c r="D1387" t="s">
        <v>6213</v>
      </c>
      <c r="E1387" t="s">
        <v>691</v>
      </c>
      <c r="F1387" t="s">
        <v>5588</v>
      </c>
      <c r="G1387" t="s">
        <v>5589</v>
      </c>
      <c r="H1387" t="s">
        <v>5809</v>
      </c>
      <c r="I1387">
        <v>5</v>
      </c>
      <c r="J1387" t="s">
        <v>5591</v>
      </c>
      <c r="K1387">
        <v>6.2</v>
      </c>
      <c r="L1387" t="s">
        <v>5737</v>
      </c>
      <c r="M1387">
        <v>5.2</v>
      </c>
      <c r="N1387" t="s">
        <v>5737</v>
      </c>
      <c r="O1387">
        <v>23.6</v>
      </c>
      <c r="P1387">
        <v>606</v>
      </c>
      <c r="Q1387">
        <v>2.2999999999999998</v>
      </c>
      <c r="R1387" t="s">
        <v>5613</v>
      </c>
      <c r="S1387">
        <v>3.1</v>
      </c>
      <c r="T1387" t="s">
        <v>5613</v>
      </c>
      <c r="U1387">
        <v>6.6</v>
      </c>
      <c r="V1387" t="s">
        <v>5613</v>
      </c>
      <c r="W1387">
        <v>1.2</v>
      </c>
      <c r="X1387" t="s">
        <v>5613</v>
      </c>
      <c r="Y1387">
        <v>12.7</v>
      </c>
      <c r="Z1387">
        <v>675</v>
      </c>
      <c r="AA1387">
        <v>1.1000000000000001</v>
      </c>
      <c r="AB1387" t="s">
        <v>5613</v>
      </c>
      <c r="AC1387" t="s">
        <v>6207</v>
      </c>
    </row>
    <row r="1388" spans="1:29">
      <c r="A1388" t="s">
        <v>6343</v>
      </c>
      <c r="B1388" t="s">
        <v>6240</v>
      </c>
      <c r="C1388" t="s">
        <v>6752</v>
      </c>
      <c r="D1388" t="s">
        <v>5587</v>
      </c>
      <c r="E1388" t="s">
        <v>29</v>
      </c>
      <c r="F1388" t="s">
        <v>5588</v>
      </c>
      <c r="G1388" t="s">
        <v>5651</v>
      </c>
      <c r="I1388">
        <v>4</v>
      </c>
      <c r="J1388" t="s">
        <v>5595</v>
      </c>
      <c r="K1388">
        <v>4</v>
      </c>
      <c r="L1388" t="s">
        <v>5737</v>
      </c>
      <c r="M1388">
        <v>3.6</v>
      </c>
      <c r="N1388" t="s">
        <v>5737</v>
      </c>
      <c r="O1388">
        <v>16.2</v>
      </c>
      <c r="P1388" t="s">
        <v>5613</v>
      </c>
      <c r="Q1388">
        <v>14.2</v>
      </c>
      <c r="R1388">
        <v>655</v>
      </c>
      <c r="S1388">
        <v>4.8</v>
      </c>
      <c r="T1388" t="s">
        <v>5613</v>
      </c>
      <c r="U1388">
        <v>4.2</v>
      </c>
      <c r="V1388" t="s">
        <v>5613</v>
      </c>
      <c r="W1388">
        <v>1</v>
      </c>
      <c r="X1388" t="s">
        <v>5613</v>
      </c>
      <c r="Y1388">
        <v>11.5</v>
      </c>
      <c r="Z1388" t="s">
        <v>5613</v>
      </c>
      <c r="AC1388" t="s">
        <v>6207</v>
      </c>
    </row>
    <row r="1389" spans="1:29">
      <c r="A1389" t="s">
        <v>6343</v>
      </c>
      <c r="B1389" t="s">
        <v>6240</v>
      </c>
      <c r="C1389" t="s">
        <v>6753</v>
      </c>
      <c r="D1389" t="s">
        <v>5587</v>
      </c>
      <c r="E1389" t="s">
        <v>29</v>
      </c>
      <c r="F1389" t="s">
        <v>5588</v>
      </c>
      <c r="G1389" t="s">
        <v>5589</v>
      </c>
      <c r="H1389" t="s">
        <v>5809</v>
      </c>
      <c r="I1389">
        <v>5</v>
      </c>
      <c r="J1389" t="s">
        <v>5595</v>
      </c>
      <c r="K1389">
        <v>2.5</v>
      </c>
      <c r="L1389" t="s">
        <v>5737</v>
      </c>
      <c r="M1389">
        <v>2.6</v>
      </c>
      <c r="N1389" t="s">
        <v>5737</v>
      </c>
      <c r="O1389">
        <v>11.8</v>
      </c>
      <c r="P1389" t="s">
        <v>5613</v>
      </c>
      <c r="Q1389">
        <v>9.1999999999999993</v>
      </c>
      <c r="R1389" t="s">
        <v>5613</v>
      </c>
      <c r="S1389">
        <v>1.3</v>
      </c>
      <c r="T1389" t="s">
        <v>5613</v>
      </c>
      <c r="U1389">
        <v>1.7</v>
      </c>
      <c r="V1389" t="s">
        <v>5613</v>
      </c>
      <c r="W1389">
        <v>1</v>
      </c>
      <c r="X1389" t="s">
        <v>5613</v>
      </c>
      <c r="Y1389">
        <v>8.3000000000000007</v>
      </c>
      <c r="Z1389" t="s">
        <v>5613</v>
      </c>
      <c r="AA1389">
        <v>3.5</v>
      </c>
      <c r="AB1389" t="s">
        <v>5613</v>
      </c>
      <c r="AC1389" t="s">
        <v>6207</v>
      </c>
    </row>
    <row r="1390" spans="1:29">
      <c r="A1390" t="s">
        <v>6343</v>
      </c>
      <c r="B1390" t="s">
        <v>6343</v>
      </c>
      <c r="C1390" t="s">
        <v>6754</v>
      </c>
      <c r="D1390" t="s">
        <v>6295</v>
      </c>
      <c r="E1390" t="s">
        <v>1839</v>
      </c>
      <c r="F1390" t="s">
        <v>5593</v>
      </c>
      <c r="G1390" t="s">
        <v>5594</v>
      </c>
      <c r="H1390" t="s">
        <v>5809</v>
      </c>
      <c r="I1390">
        <v>4</v>
      </c>
      <c r="J1390" t="s">
        <v>5595</v>
      </c>
      <c r="K1390">
        <v>5.2</v>
      </c>
      <c r="L1390" t="s">
        <v>5737</v>
      </c>
      <c r="M1390">
        <v>3.7</v>
      </c>
      <c r="N1390" t="s">
        <v>5737</v>
      </c>
      <c r="O1390">
        <v>13.2</v>
      </c>
      <c r="P1390" t="s">
        <v>5613</v>
      </c>
      <c r="Q1390">
        <v>2.4</v>
      </c>
      <c r="R1390" t="s">
        <v>5613</v>
      </c>
      <c r="U1390">
        <v>6.2</v>
      </c>
      <c r="V1390" t="s">
        <v>5613</v>
      </c>
      <c r="W1390">
        <v>6.1</v>
      </c>
      <c r="X1390" t="s">
        <v>5613</v>
      </c>
      <c r="Y1390">
        <v>9.1</v>
      </c>
      <c r="Z1390" t="s">
        <v>5613</v>
      </c>
      <c r="AA1390">
        <v>1.1000000000000001</v>
      </c>
      <c r="AB1390" t="s">
        <v>5613</v>
      </c>
      <c r="AC1390" t="s">
        <v>6207</v>
      </c>
    </row>
    <row r="1391" spans="1:29">
      <c r="A1391" t="s">
        <v>6343</v>
      </c>
      <c r="B1391" t="s">
        <v>6343</v>
      </c>
      <c r="C1391" t="s">
        <v>6755</v>
      </c>
      <c r="D1391" t="s">
        <v>5587</v>
      </c>
      <c r="E1391" t="s">
        <v>29</v>
      </c>
      <c r="F1391" t="s">
        <v>5593</v>
      </c>
      <c r="G1391" t="s">
        <v>5589</v>
      </c>
      <c r="H1391" t="s">
        <v>5809</v>
      </c>
      <c r="I1391">
        <v>5</v>
      </c>
      <c r="J1391" t="s">
        <v>5595</v>
      </c>
      <c r="K1391">
        <v>2.9</v>
      </c>
      <c r="L1391" t="s">
        <v>5737</v>
      </c>
      <c r="M1391">
        <v>2.8</v>
      </c>
      <c r="N1391" t="s">
        <v>5737</v>
      </c>
      <c r="O1391">
        <v>9.1999999999999993</v>
      </c>
      <c r="P1391" t="s">
        <v>5613</v>
      </c>
      <c r="Q1391">
        <v>10.6</v>
      </c>
      <c r="R1391" t="s">
        <v>5613</v>
      </c>
      <c r="S1391">
        <v>9.6999999999999993</v>
      </c>
      <c r="T1391" t="s">
        <v>5613</v>
      </c>
      <c r="U1391">
        <v>2.6</v>
      </c>
      <c r="V1391" t="s">
        <v>5613</v>
      </c>
      <c r="W1391">
        <v>7.6</v>
      </c>
      <c r="X1391" t="s">
        <v>5613</v>
      </c>
      <c r="Y1391">
        <v>7.1</v>
      </c>
      <c r="Z1391" t="s">
        <v>5613</v>
      </c>
      <c r="AC1391" t="s">
        <v>6207</v>
      </c>
    </row>
    <row r="1392" spans="1:29">
      <c r="A1392" t="s">
        <v>6343</v>
      </c>
      <c r="B1392" t="s">
        <v>6240</v>
      </c>
      <c r="C1392" t="s">
        <v>3809</v>
      </c>
      <c r="D1392" t="s">
        <v>5882</v>
      </c>
      <c r="E1392" t="s">
        <v>984</v>
      </c>
      <c r="F1392" t="s">
        <v>5588</v>
      </c>
      <c r="G1392" t="s">
        <v>5602</v>
      </c>
      <c r="H1392" t="s">
        <v>5590</v>
      </c>
      <c r="I1392">
        <v>3</v>
      </c>
      <c r="J1392" t="s">
        <v>5595</v>
      </c>
      <c r="K1392">
        <v>6</v>
      </c>
      <c r="L1392" t="s">
        <v>5737</v>
      </c>
      <c r="M1392">
        <v>1</v>
      </c>
      <c r="N1392" t="s">
        <v>5737</v>
      </c>
      <c r="O1392">
        <v>19.899999999999999</v>
      </c>
      <c r="P1392">
        <v>669</v>
      </c>
      <c r="Q1392">
        <v>4.0999999999999996</v>
      </c>
      <c r="R1392" t="s">
        <v>5613</v>
      </c>
      <c r="S1392">
        <v>18.600000000000001</v>
      </c>
      <c r="T1392">
        <v>605</v>
      </c>
      <c r="U1392">
        <v>12.3</v>
      </c>
      <c r="V1392">
        <v>673</v>
      </c>
      <c r="W1392">
        <v>1.8</v>
      </c>
      <c r="X1392" t="s">
        <v>5613</v>
      </c>
      <c r="Y1392">
        <v>7.7</v>
      </c>
      <c r="Z1392" t="s">
        <v>5613</v>
      </c>
      <c r="AA1392">
        <v>1.2</v>
      </c>
      <c r="AB1392" t="s">
        <v>5613</v>
      </c>
      <c r="AC1392" t="s">
        <v>6207</v>
      </c>
    </row>
    <row r="1393" spans="1:29">
      <c r="A1393" t="s">
        <v>6343</v>
      </c>
      <c r="B1393" t="s">
        <v>6240</v>
      </c>
      <c r="C1393" t="s">
        <v>3819</v>
      </c>
      <c r="D1393" t="s">
        <v>6213</v>
      </c>
      <c r="E1393" t="s">
        <v>691</v>
      </c>
      <c r="F1393" t="s">
        <v>5615</v>
      </c>
      <c r="G1393" t="s">
        <v>5602</v>
      </c>
      <c r="H1393" t="s">
        <v>5590</v>
      </c>
      <c r="I1393">
        <v>4</v>
      </c>
      <c r="J1393" t="s">
        <v>5595</v>
      </c>
      <c r="K1393">
        <v>4.5</v>
      </c>
      <c r="L1393" t="s">
        <v>5737</v>
      </c>
      <c r="M1393">
        <v>3.5</v>
      </c>
      <c r="N1393" t="s">
        <v>5737</v>
      </c>
      <c r="O1393">
        <v>23.7</v>
      </c>
      <c r="P1393">
        <v>603</v>
      </c>
      <c r="Q1393">
        <v>8.3000000000000007</v>
      </c>
      <c r="R1393" t="s">
        <v>5613</v>
      </c>
      <c r="U1393">
        <v>9.1999999999999993</v>
      </c>
      <c r="V1393" t="s">
        <v>5613</v>
      </c>
      <c r="W1393">
        <v>5.9</v>
      </c>
      <c r="X1393" t="s">
        <v>5613</v>
      </c>
      <c r="Y1393">
        <v>5.8</v>
      </c>
      <c r="Z1393" t="s">
        <v>5613</v>
      </c>
      <c r="AA1393">
        <v>1</v>
      </c>
      <c r="AB1393" t="s">
        <v>5613</v>
      </c>
      <c r="AC1393" t="s">
        <v>6207</v>
      </c>
    </row>
    <row r="1394" spans="1:29">
      <c r="A1394" t="s">
        <v>6343</v>
      </c>
      <c r="B1394" t="s">
        <v>6240</v>
      </c>
      <c r="C1394" t="s">
        <v>6756</v>
      </c>
      <c r="D1394" t="s">
        <v>6596</v>
      </c>
      <c r="E1394" t="s">
        <v>2275</v>
      </c>
      <c r="F1394" t="s">
        <v>5593</v>
      </c>
      <c r="G1394" t="s">
        <v>5589</v>
      </c>
      <c r="H1394" t="s">
        <v>5809</v>
      </c>
      <c r="I1394">
        <v>3</v>
      </c>
      <c r="J1394" t="s">
        <v>5595</v>
      </c>
      <c r="K1394">
        <v>7.8</v>
      </c>
      <c r="L1394" t="s">
        <v>5737</v>
      </c>
      <c r="M1394">
        <v>9.9</v>
      </c>
      <c r="N1394" t="s">
        <v>5737</v>
      </c>
      <c r="O1394">
        <v>14.9</v>
      </c>
      <c r="P1394" t="s">
        <v>5613</v>
      </c>
      <c r="Q1394">
        <v>2</v>
      </c>
      <c r="R1394" t="s">
        <v>5613</v>
      </c>
      <c r="S1394">
        <v>1</v>
      </c>
      <c r="T1394" t="s">
        <v>5613</v>
      </c>
      <c r="U1394">
        <v>1.3</v>
      </c>
      <c r="V1394" t="s">
        <v>5613</v>
      </c>
      <c r="W1394">
        <v>2.2000000000000002</v>
      </c>
      <c r="X1394" t="s">
        <v>5613</v>
      </c>
      <c r="Y1394">
        <v>10.8</v>
      </c>
      <c r="Z1394" t="s">
        <v>5613</v>
      </c>
      <c r="AA1394">
        <v>2.2000000000000002</v>
      </c>
      <c r="AB1394" t="s">
        <v>5613</v>
      </c>
      <c r="AC1394" t="s">
        <v>6207</v>
      </c>
    </row>
    <row r="1395" spans="1:29">
      <c r="A1395" t="s">
        <v>6343</v>
      </c>
      <c r="B1395" t="s">
        <v>6240</v>
      </c>
      <c r="C1395" t="s">
        <v>3876</v>
      </c>
      <c r="D1395" t="s">
        <v>6323</v>
      </c>
      <c r="E1395" t="s">
        <v>2613</v>
      </c>
      <c r="F1395" t="s">
        <v>5593</v>
      </c>
      <c r="G1395" t="s">
        <v>5589</v>
      </c>
      <c r="H1395" t="s">
        <v>5809</v>
      </c>
      <c r="I1395">
        <v>4</v>
      </c>
      <c r="J1395" t="s">
        <v>5595</v>
      </c>
      <c r="K1395">
        <v>5.9</v>
      </c>
      <c r="L1395" t="s">
        <v>5737</v>
      </c>
      <c r="M1395">
        <v>2.7</v>
      </c>
      <c r="N1395" t="s">
        <v>5737</v>
      </c>
      <c r="O1395">
        <v>17.100000000000001</v>
      </c>
      <c r="P1395" t="s">
        <v>5613</v>
      </c>
      <c r="Q1395">
        <v>4.3</v>
      </c>
      <c r="R1395" t="s">
        <v>5613</v>
      </c>
      <c r="S1395">
        <v>2.6</v>
      </c>
      <c r="T1395" t="s">
        <v>5613</v>
      </c>
      <c r="U1395">
        <v>1.9</v>
      </c>
      <c r="V1395" t="s">
        <v>5613</v>
      </c>
      <c r="W1395">
        <v>5.7</v>
      </c>
      <c r="X1395" t="s">
        <v>5613</v>
      </c>
      <c r="Y1395">
        <v>10.1</v>
      </c>
      <c r="Z1395" t="s">
        <v>5613</v>
      </c>
      <c r="AA1395">
        <v>2.6</v>
      </c>
      <c r="AB1395" t="s">
        <v>5613</v>
      </c>
      <c r="AC1395" t="s">
        <v>6207</v>
      </c>
    </row>
    <row r="1396" spans="1:29">
      <c r="A1396" t="s">
        <v>6343</v>
      </c>
      <c r="B1396" t="s">
        <v>6343</v>
      </c>
      <c r="C1396" t="s">
        <v>6757</v>
      </c>
      <c r="D1396" t="s">
        <v>5901</v>
      </c>
      <c r="E1396" t="s">
        <v>1543</v>
      </c>
      <c r="F1396" t="s">
        <v>5593</v>
      </c>
      <c r="G1396" t="s">
        <v>5594</v>
      </c>
      <c r="H1396" t="s">
        <v>5809</v>
      </c>
      <c r="I1396">
        <v>3</v>
      </c>
      <c r="J1396" t="s">
        <v>5595</v>
      </c>
      <c r="K1396">
        <v>4.3</v>
      </c>
      <c r="L1396" t="s">
        <v>5737</v>
      </c>
      <c r="M1396">
        <v>1.9</v>
      </c>
      <c r="N1396" t="s">
        <v>5737</v>
      </c>
      <c r="O1396">
        <v>17.8</v>
      </c>
      <c r="P1396" t="s">
        <v>5613</v>
      </c>
      <c r="Q1396">
        <v>2.6</v>
      </c>
      <c r="R1396" t="s">
        <v>5613</v>
      </c>
      <c r="U1396">
        <v>1.7</v>
      </c>
      <c r="V1396" t="s">
        <v>5613</v>
      </c>
      <c r="W1396">
        <v>2</v>
      </c>
      <c r="X1396" t="s">
        <v>5613</v>
      </c>
      <c r="Y1396">
        <v>6.1</v>
      </c>
      <c r="Z1396" t="s">
        <v>5613</v>
      </c>
      <c r="AA1396">
        <v>1</v>
      </c>
      <c r="AB1396" t="s">
        <v>5613</v>
      </c>
      <c r="AC1396" t="s">
        <v>6207</v>
      </c>
    </row>
    <row r="1397" spans="1:29">
      <c r="A1397" t="s">
        <v>6343</v>
      </c>
      <c r="C1397" t="s">
        <v>6758</v>
      </c>
      <c r="D1397" t="s">
        <v>6050</v>
      </c>
      <c r="E1397" t="s">
        <v>2229</v>
      </c>
      <c r="F1397" t="s">
        <v>5588</v>
      </c>
      <c r="G1397" t="s">
        <v>5602</v>
      </c>
      <c r="H1397" t="s">
        <v>5809</v>
      </c>
      <c r="I1397">
        <v>4</v>
      </c>
      <c r="J1397" t="s">
        <v>5926</v>
      </c>
      <c r="K1397">
        <v>6.2</v>
      </c>
      <c r="L1397" t="s">
        <v>5737</v>
      </c>
      <c r="M1397">
        <v>8.6</v>
      </c>
      <c r="N1397" t="s">
        <v>5737</v>
      </c>
      <c r="O1397">
        <v>3.4</v>
      </c>
      <c r="P1397" t="s">
        <v>5613</v>
      </c>
      <c r="Q1397">
        <v>1.8</v>
      </c>
      <c r="R1397" t="s">
        <v>5613</v>
      </c>
      <c r="S1397">
        <v>1.9</v>
      </c>
      <c r="T1397" t="s">
        <v>5613</v>
      </c>
      <c r="U1397">
        <v>2.2000000000000002</v>
      </c>
      <c r="V1397" t="s">
        <v>5613</v>
      </c>
      <c r="W1397">
        <v>1</v>
      </c>
      <c r="X1397" t="s">
        <v>5613</v>
      </c>
      <c r="Y1397">
        <v>9.4</v>
      </c>
      <c r="Z1397" t="s">
        <v>5613</v>
      </c>
      <c r="AC1397" t="s">
        <v>6207</v>
      </c>
    </row>
    <row r="1398" spans="1:29">
      <c r="A1398" t="s">
        <v>6343</v>
      </c>
      <c r="B1398" t="s">
        <v>6240</v>
      </c>
      <c r="C1398" t="s">
        <v>6759</v>
      </c>
      <c r="D1398" t="s">
        <v>5587</v>
      </c>
      <c r="E1398" t="s">
        <v>29</v>
      </c>
      <c r="F1398" t="s">
        <v>5588</v>
      </c>
      <c r="G1398" t="s">
        <v>5589</v>
      </c>
      <c r="H1398" t="s">
        <v>5809</v>
      </c>
      <c r="I1398">
        <v>4</v>
      </c>
      <c r="J1398" t="s">
        <v>5591</v>
      </c>
      <c r="K1398">
        <v>6.8</v>
      </c>
      <c r="L1398" t="s">
        <v>5737</v>
      </c>
      <c r="M1398">
        <v>4.4000000000000004</v>
      </c>
      <c r="N1398" t="s">
        <v>5737</v>
      </c>
      <c r="O1398">
        <v>24.9</v>
      </c>
      <c r="P1398">
        <v>588</v>
      </c>
      <c r="Q1398">
        <v>2.8</v>
      </c>
      <c r="R1398" t="s">
        <v>5613</v>
      </c>
      <c r="S1398">
        <v>3.1</v>
      </c>
      <c r="T1398" t="s">
        <v>5613</v>
      </c>
      <c r="U1398">
        <v>6</v>
      </c>
      <c r="V1398" t="s">
        <v>5613</v>
      </c>
      <c r="W1398">
        <v>1</v>
      </c>
      <c r="X1398" t="s">
        <v>5613</v>
      </c>
      <c r="Y1398">
        <v>17.2</v>
      </c>
      <c r="Z1398">
        <v>489</v>
      </c>
      <c r="AA1398">
        <v>1</v>
      </c>
      <c r="AB1398" t="s">
        <v>5613</v>
      </c>
      <c r="AC1398" t="s">
        <v>6207</v>
      </c>
    </row>
    <row r="1399" spans="1:29">
      <c r="A1399" t="s">
        <v>6343</v>
      </c>
      <c r="B1399" t="s">
        <v>6343</v>
      </c>
      <c r="C1399" t="s">
        <v>6760</v>
      </c>
      <c r="D1399" t="s">
        <v>6761</v>
      </c>
      <c r="E1399" t="s">
        <v>3906</v>
      </c>
      <c r="F1399" t="s">
        <v>5593</v>
      </c>
      <c r="G1399" t="s">
        <v>5589</v>
      </c>
      <c r="H1399" t="s">
        <v>5809</v>
      </c>
      <c r="I1399">
        <v>4</v>
      </c>
      <c r="J1399" t="s">
        <v>5595</v>
      </c>
      <c r="K1399">
        <v>4.2</v>
      </c>
      <c r="L1399" t="s">
        <v>5737</v>
      </c>
      <c r="M1399">
        <v>3.5</v>
      </c>
      <c r="N1399" t="s">
        <v>5737</v>
      </c>
      <c r="O1399">
        <v>3.8</v>
      </c>
      <c r="P1399" t="s">
        <v>5613</v>
      </c>
      <c r="Q1399">
        <v>2</v>
      </c>
      <c r="R1399" t="s">
        <v>5613</v>
      </c>
      <c r="U1399">
        <v>3</v>
      </c>
      <c r="V1399" t="s">
        <v>5613</v>
      </c>
      <c r="W1399">
        <v>7</v>
      </c>
      <c r="X1399" t="s">
        <v>5613</v>
      </c>
      <c r="Y1399">
        <v>38.200000000000003</v>
      </c>
      <c r="Z1399">
        <v>192</v>
      </c>
      <c r="AA1399">
        <v>1</v>
      </c>
      <c r="AB1399" t="s">
        <v>5613</v>
      </c>
      <c r="AC1399" t="s">
        <v>6207</v>
      </c>
    </row>
    <row r="1400" spans="1:29">
      <c r="A1400" t="s">
        <v>6343</v>
      </c>
      <c r="B1400" t="s">
        <v>6343</v>
      </c>
      <c r="C1400" t="s">
        <v>3932</v>
      </c>
      <c r="D1400" t="s">
        <v>5901</v>
      </c>
      <c r="E1400" t="s">
        <v>1543</v>
      </c>
      <c r="F1400" t="s">
        <v>5593</v>
      </c>
      <c r="G1400" t="s">
        <v>5589</v>
      </c>
      <c r="H1400" t="s">
        <v>5590</v>
      </c>
      <c r="I1400">
        <v>4</v>
      </c>
      <c r="J1400" t="s">
        <v>5595</v>
      </c>
      <c r="K1400">
        <v>5.3</v>
      </c>
      <c r="L1400" t="s">
        <v>5737</v>
      </c>
      <c r="M1400">
        <v>4.3</v>
      </c>
      <c r="N1400" t="s">
        <v>5737</v>
      </c>
      <c r="O1400">
        <v>17.2</v>
      </c>
      <c r="P1400" t="s">
        <v>5613</v>
      </c>
      <c r="Q1400">
        <v>3.3</v>
      </c>
      <c r="R1400" t="s">
        <v>5613</v>
      </c>
      <c r="S1400">
        <v>3.3</v>
      </c>
      <c r="T1400" t="s">
        <v>5613</v>
      </c>
      <c r="U1400">
        <v>3.3</v>
      </c>
      <c r="V1400" t="s">
        <v>5613</v>
      </c>
      <c r="W1400">
        <v>11.5</v>
      </c>
      <c r="X1400">
        <v>644</v>
      </c>
      <c r="Y1400">
        <v>8.3000000000000007</v>
      </c>
      <c r="Z1400" t="s">
        <v>5613</v>
      </c>
      <c r="AA1400">
        <v>1.4</v>
      </c>
      <c r="AB1400" t="s">
        <v>5613</v>
      </c>
      <c r="AC1400" t="s">
        <v>6207</v>
      </c>
    </row>
    <row r="1401" spans="1:29">
      <c r="A1401" t="s">
        <v>6343</v>
      </c>
      <c r="B1401" t="s">
        <v>6343</v>
      </c>
      <c r="C1401" t="s">
        <v>6762</v>
      </c>
      <c r="D1401" t="s">
        <v>5587</v>
      </c>
      <c r="E1401" t="s">
        <v>29</v>
      </c>
      <c r="F1401" t="s">
        <v>5593</v>
      </c>
      <c r="G1401" t="s">
        <v>5589</v>
      </c>
      <c r="H1401" t="s">
        <v>5809</v>
      </c>
      <c r="I1401">
        <v>4</v>
      </c>
      <c r="J1401" t="s">
        <v>5595</v>
      </c>
      <c r="K1401">
        <v>5.3</v>
      </c>
      <c r="L1401" t="s">
        <v>5737</v>
      </c>
      <c r="M1401">
        <v>4.4000000000000004</v>
      </c>
      <c r="N1401" t="s">
        <v>5737</v>
      </c>
      <c r="O1401">
        <v>17.3</v>
      </c>
      <c r="P1401" t="s">
        <v>5613</v>
      </c>
      <c r="Q1401">
        <v>6.5</v>
      </c>
      <c r="R1401" t="s">
        <v>5613</v>
      </c>
      <c r="U1401">
        <v>1.8</v>
      </c>
      <c r="V1401" t="s">
        <v>5613</v>
      </c>
      <c r="W1401">
        <v>1.1000000000000001</v>
      </c>
      <c r="X1401" t="s">
        <v>5613</v>
      </c>
      <c r="Y1401">
        <v>7.6</v>
      </c>
      <c r="Z1401" t="s">
        <v>5613</v>
      </c>
      <c r="AA1401">
        <v>1.2</v>
      </c>
      <c r="AB1401" t="s">
        <v>5613</v>
      </c>
      <c r="AC1401" t="s">
        <v>6207</v>
      </c>
    </row>
    <row r="1402" spans="1:29">
      <c r="A1402" t="s">
        <v>6343</v>
      </c>
      <c r="B1402" t="s">
        <v>6343</v>
      </c>
      <c r="C1402" t="s">
        <v>3097</v>
      </c>
      <c r="D1402" t="s">
        <v>6323</v>
      </c>
      <c r="E1402" t="s">
        <v>2613</v>
      </c>
      <c r="F1402" t="s">
        <v>5593</v>
      </c>
      <c r="G1402" t="s">
        <v>5594</v>
      </c>
      <c r="H1402" t="s">
        <v>5809</v>
      </c>
      <c r="I1402">
        <v>3</v>
      </c>
      <c r="J1402" t="s">
        <v>5595</v>
      </c>
      <c r="K1402">
        <v>5.9</v>
      </c>
      <c r="L1402" t="s">
        <v>5737</v>
      </c>
      <c r="M1402">
        <v>2.5</v>
      </c>
      <c r="N1402" t="s">
        <v>5737</v>
      </c>
      <c r="O1402">
        <v>4.2</v>
      </c>
      <c r="P1402" t="s">
        <v>5613</v>
      </c>
      <c r="Q1402">
        <v>3.9</v>
      </c>
      <c r="R1402" t="s">
        <v>5613</v>
      </c>
      <c r="S1402">
        <v>1.5</v>
      </c>
      <c r="T1402" t="s">
        <v>5613</v>
      </c>
      <c r="U1402">
        <v>2.1</v>
      </c>
      <c r="V1402" t="s">
        <v>5613</v>
      </c>
      <c r="W1402">
        <v>5.9</v>
      </c>
      <c r="X1402" t="s">
        <v>5613</v>
      </c>
      <c r="Y1402">
        <v>11</v>
      </c>
      <c r="Z1402" t="s">
        <v>5613</v>
      </c>
      <c r="AA1402">
        <v>1.4</v>
      </c>
      <c r="AB1402" t="s">
        <v>5613</v>
      </c>
      <c r="AC1402" t="s">
        <v>6207</v>
      </c>
    </row>
    <row r="1403" spans="1:29">
      <c r="A1403" t="s">
        <v>6343</v>
      </c>
      <c r="B1403" t="s">
        <v>6240</v>
      </c>
      <c r="C1403" t="s">
        <v>6763</v>
      </c>
      <c r="D1403" t="s">
        <v>5587</v>
      </c>
      <c r="E1403" t="s">
        <v>29</v>
      </c>
      <c r="F1403" t="s">
        <v>5588</v>
      </c>
      <c r="G1403" t="s">
        <v>5589</v>
      </c>
      <c r="H1403" t="s">
        <v>5809</v>
      </c>
      <c r="I1403">
        <v>5</v>
      </c>
      <c r="J1403" t="s">
        <v>5591</v>
      </c>
      <c r="K1403">
        <v>2.2000000000000002</v>
      </c>
      <c r="L1403" t="s">
        <v>5737</v>
      </c>
      <c r="M1403">
        <v>3.7</v>
      </c>
      <c r="N1403" t="s">
        <v>5737</v>
      </c>
      <c r="O1403">
        <v>34.299999999999997</v>
      </c>
      <c r="P1403">
        <v>466</v>
      </c>
      <c r="Q1403">
        <v>3.4</v>
      </c>
      <c r="R1403" t="s">
        <v>5613</v>
      </c>
      <c r="S1403">
        <v>4.2</v>
      </c>
      <c r="T1403" t="s">
        <v>5613</v>
      </c>
      <c r="U1403">
        <v>7.2</v>
      </c>
      <c r="V1403" t="s">
        <v>5613</v>
      </c>
      <c r="W1403">
        <v>1</v>
      </c>
      <c r="X1403" t="s">
        <v>5613</v>
      </c>
      <c r="Y1403">
        <v>10.8</v>
      </c>
      <c r="Z1403" t="s">
        <v>5613</v>
      </c>
      <c r="AA1403">
        <v>1</v>
      </c>
      <c r="AB1403" t="s">
        <v>5613</v>
      </c>
      <c r="AC1403" t="s">
        <v>6207</v>
      </c>
    </row>
    <row r="1404" spans="1:29">
      <c r="A1404" t="s">
        <v>6343</v>
      </c>
      <c r="B1404" t="s">
        <v>6240</v>
      </c>
      <c r="C1404" t="s">
        <v>4046</v>
      </c>
      <c r="D1404" t="s">
        <v>5901</v>
      </c>
      <c r="E1404" t="s">
        <v>1543</v>
      </c>
      <c r="F1404" t="s">
        <v>5593</v>
      </c>
      <c r="G1404" t="s">
        <v>5602</v>
      </c>
      <c r="H1404" t="s">
        <v>5590</v>
      </c>
      <c r="I1404">
        <v>2</v>
      </c>
      <c r="J1404" t="s">
        <v>5595</v>
      </c>
      <c r="K1404">
        <v>6</v>
      </c>
      <c r="L1404" t="s">
        <v>5737</v>
      </c>
      <c r="M1404">
        <v>10.8</v>
      </c>
      <c r="N1404" t="s">
        <v>5737</v>
      </c>
      <c r="O1404">
        <v>24.2</v>
      </c>
      <c r="P1404">
        <v>589</v>
      </c>
      <c r="Q1404">
        <v>3.5</v>
      </c>
      <c r="R1404" t="s">
        <v>5613</v>
      </c>
      <c r="S1404">
        <v>2</v>
      </c>
      <c r="T1404" t="s">
        <v>5613</v>
      </c>
      <c r="U1404">
        <v>2.7</v>
      </c>
      <c r="V1404" t="s">
        <v>5613</v>
      </c>
      <c r="W1404">
        <v>4.3</v>
      </c>
      <c r="X1404" t="s">
        <v>5613</v>
      </c>
      <c r="Y1404">
        <v>6.3</v>
      </c>
      <c r="Z1404" t="s">
        <v>5613</v>
      </c>
      <c r="AA1404">
        <v>1.3</v>
      </c>
      <c r="AB1404" t="s">
        <v>5613</v>
      </c>
      <c r="AC1404" t="s">
        <v>6207</v>
      </c>
    </row>
    <row r="1405" spans="1:29">
      <c r="A1405" t="s">
        <v>6343</v>
      </c>
      <c r="B1405" t="s">
        <v>6343</v>
      </c>
      <c r="C1405" t="s">
        <v>6764</v>
      </c>
      <c r="D1405" t="s">
        <v>5882</v>
      </c>
      <c r="E1405" t="s">
        <v>984</v>
      </c>
      <c r="F1405" t="s">
        <v>5588</v>
      </c>
      <c r="G1405" t="s">
        <v>5602</v>
      </c>
      <c r="H1405" t="s">
        <v>5590</v>
      </c>
      <c r="I1405">
        <v>3</v>
      </c>
      <c r="J1405" t="s">
        <v>5595</v>
      </c>
      <c r="K1405">
        <v>5.9</v>
      </c>
      <c r="L1405" t="s">
        <v>5737</v>
      </c>
      <c r="M1405">
        <v>2</v>
      </c>
      <c r="N1405" t="s">
        <v>5737</v>
      </c>
      <c r="O1405">
        <v>11.9</v>
      </c>
      <c r="P1405" t="s">
        <v>5613</v>
      </c>
      <c r="Q1405">
        <v>4.3</v>
      </c>
      <c r="R1405" t="s">
        <v>5613</v>
      </c>
      <c r="W1405">
        <v>2.7</v>
      </c>
      <c r="X1405" t="s">
        <v>5613</v>
      </c>
      <c r="Y1405">
        <v>11.4</v>
      </c>
      <c r="Z1405" t="s">
        <v>5613</v>
      </c>
      <c r="AA1405">
        <v>1</v>
      </c>
      <c r="AB1405" t="s">
        <v>5613</v>
      </c>
      <c r="AC1405" t="s">
        <v>6207</v>
      </c>
    </row>
    <row r="1406" spans="1:29">
      <c r="A1406" t="s">
        <v>6343</v>
      </c>
      <c r="B1406" t="s">
        <v>6343</v>
      </c>
      <c r="C1406" t="s">
        <v>6765</v>
      </c>
      <c r="D1406" t="s">
        <v>6359</v>
      </c>
      <c r="E1406" t="s">
        <v>1853</v>
      </c>
      <c r="F1406" t="s">
        <v>5593</v>
      </c>
      <c r="G1406" t="s">
        <v>5602</v>
      </c>
      <c r="H1406" t="s">
        <v>5590</v>
      </c>
      <c r="I1406">
        <v>5</v>
      </c>
      <c r="J1406" t="s">
        <v>5595</v>
      </c>
      <c r="K1406">
        <v>5.7</v>
      </c>
      <c r="L1406" t="s">
        <v>5737</v>
      </c>
      <c r="M1406">
        <v>8.6999999999999993</v>
      </c>
      <c r="N1406" t="s">
        <v>5737</v>
      </c>
      <c r="O1406">
        <v>3.5</v>
      </c>
      <c r="P1406" t="s">
        <v>5613</v>
      </c>
      <c r="Q1406">
        <v>6.4</v>
      </c>
      <c r="R1406" t="s">
        <v>5613</v>
      </c>
      <c r="S1406">
        <v>1.5</v>
      </c>
      <c r="T1406" t="s">
        <v>5613</v>
      </c>
      <c r="U1406">
        <v>2.8</v>
      </c>
      <c r="V1406" t="s">
        <v>5613</v>
      </c>
      <c r="W1406">
        <v>17.899999999999999</v>
      </c>
      <c r="X1406">
        <v>561</v>
      </c>
      <c r="Y1406">
        <v>6.4</v>
      </c>
      <c r="Z1406" t="s">
        <v>5613</v>
      </c>
      <c r="AA1406">
        <v>1.2</v>
      </c>
      <c r="AB1406" t="s">
        <v>5613</v>
      </c>
      <c r="AC1406" t="s">
        <v>6207</v>
      </c>
    </row>
    <row r="1407" spans="1:29">
      <c r="A1407" t="s">
        <v>6343</v>
      </c>
      <c r="B1407" t="s">
        <v>6240</v>
      </c>
      <c r="C1407" t="s">
        <v>4042</v>
      </c>
      <c r="D1407" t="s">
        <v>5696</v>
      </c>
      <c r="E1407" t="s">
        <v>5697</v>
      </c>
      <c r="F1407" t="s">
        <v>5593</v>
      </c>
      <c r="G1407" t="s">
        <v>5589</v>
      </c>
      <c r="H1407" t="s">
        <v>5809</v>
      </c>
      <c r="I1407">
        <v>5</v>
      </c>
      <c r="J1407" t="s">
        <v>5595</v>
      </c>
      <c r="K1407">
        <v>5.9</v>
      </c>
      <c r="L1407" t="s">
        <v>5737</v>
      </c>
      <c r="M1407">
        <v>2.2999999999999998</v>
      </c>
      <c r="N1407" t="s">
        <v>5737</v>
      </c>
      <c r="O1407">
        <v>19.899999999999999</v>
      </c>
      <c r="P1407">
        <v>670</v>
      </c>
      <c r="Q1407">
        <v>1.3</v>
      </c>
      <c r="R1407" t="s">
        <v>5613</v>
      </c>
      <c r="S1407">
        <v>3.4</v>
      </c>
      <c r="T1407" t="s">
        <v>5613</v>
      </c>
      <c r="U1407">
        <v>25.6</v>
      </c>
      <c r="V1407">
        <v>466</v>
      </c>
      <c r="W1407">
        <v>1</v>
      </c>
      <c r="X1407" t="s">
        <v>5613</v>
      </c>
      <c r="Y1407">
        <v>6.6</v>
      </c>
      <c r="Z1407" t="s">
        <v>5613</v>
      </c>
      <c r="AA1407">
        <v>1.4</v>
      </c>
      <c r="AB1407" t="s">
        <v>5613</v>
      </c>
      <c r="AC1407" t="s">
        <v>6207</v>
      </c>
    </row>
    <row r="1408" spans="1:29">
      <c r="A1408" t="s">
        <v>6343</v>
      </c>
      <c r="C1408" t="s">
        <v>6766</v>
      </c>
      <c r="D1408" t="s">
        <v>5872</v>
      </c>
      <c r="E1408" t="s">
        <v>1955</v>
      </c>
      <c r="F1408" t="s">
        <v>5593</v>
      </c>
      <c r="G1408" t="s">
        <v>5602</v>
      </c>
      <c r="H1408" t="s">
        <v>5809</v>
      </c>
      <c r="I1408">
        <v>2</v>
      </c>
      <c r="J1408" t="s">
        <v>5595</v>
      </c>
      <c r="K1408">
        <v>9.6</v>
      </c>
      <c r="L1408" t="s">
        <v>5737</v>
      </c>
      <c r="M1408">
        <v>2.8</v>
      </c>
      <c r="N1408" t="s">
        <v>5737</v>
      </c>
      <c r="O1408">
        <v>8</v>
      </c>
      <c r="P1408" t="s">
        <v>5613</v>
      </c>
      <c r="Q1408">
        <v>1.4</v>
      </c>
      <c r="R1408" t="s">
        <v>5613</v>
      </c>
      <c r="S1408">
        <v>15.4</v>
      </c>
      <c r="T1408">
        <v>662</v>
      </c>
      <c r="U1408">
        <v>1.8</v>
      </c>
      <c r="V1408" t="s">
        <v>5613</v>
      </c>
      <c r="W1408">
        <v>1</v>
      </c>
      <c r="X1408" t="s">
        <v>5613</v>
      </c>
      <c r="Y1408">
        <v>7.8</v>
      </c>
      <c r="Z1408" t="s">
        <v>5613</v>
      </c>
      <c r="AA1408">
        <v>1</v>
      </c>
      <c r="AB1408" t="s">
        <v>5613</v>
      </c>
      <c r="AC1408" t="s">
        <v>6207</v>
      </c>
    </row>
    <row r="1409" spans="1:29">
      <c r="A1409" t="s">
        <v>6343</v>
      </c>
      <c r="B1409" t="s">
        <v>6343</v>
      </c>
      <c r="C1409" t="s">
        <v>6767</v>
      </c>
      <c r="D1409" t="s">
        <v>5644</v>
      </c>
      <c r="E1409" t="s">
        <v>181</v>
      </c>
      <c r="F1409" t="s">
        <v>5588</v>
      </c>
      <c r="G1409" t="s">
        <v>5602</v>
      </c>
      <c r="H1409" t="s">
        <v>6146</v>
      </c>
      <c r="I1409">
        <v>3</v>
      </c>
      <c r="J1409" t="s">
        <v>5926</v>
      </c>
      <c r="K1409">
        <v>5.7</v>
      </c>
      <c r="L1409" t="s">
        <v>5737</v>
      </c>
      <c r="M1409">
        <v>10.6</v>
      </c>
      <c r="N1409" t="s">
        <v>5737</v>
      </c>
      <c r="O1409">
        <v>17.5</v>
      </c>
      <c r="P1409" t="s">
        <v>5613</v>
      </c>
      <c r="Q1409">
        <v>1.3</v>
      </c>
      <c r="R1409" t="s">
        <v>5613</v>
      </c>
      <c r="S1409">
        <v>2.8</v>
      </c>
      <c r="T1409" t="s">
        <v>5613</v>
      </c>
      <c r="U1409">
        <v>5.9</v>
      </c>
      <c r="V1409" t="s">
        <v>5613</v>
      </c>
      <c r="W1409">
        <v>1</v>
      </c>
      <c r="X1409" t="s">
        <v>5613</v>
      </c>
      <c r="Y1409">
        <v>6.6</v>
      </c>
      <c r="Z1409" t="s">
        <v>5613</v>
      </c>
      <c r="AC1409" t="s">
        <v>6207</v>
      </c>
    </row>
    <row r="1410" spans="1:29">
      <c r="A1410" t="s">
        <v>6343</v>
      </c>
      <c r="B1410" t="s">
        <v>6343</v>
      </c>
      <c r="C1410" t="s">
        <v>3235</v>
      </c>
      <c r="D1410" t="s">
        <v>5678</v>
      </c>
      <c r="E1410" t="s">
        <v>389</v>
      </c>
      <c r="F1410" t="s">
        <v>5588</v>
      </c>
      <c r="G1410" t="s">
        <v>5602</v>
      </c>
      <c r="H1410" t="s">
        <v>5590</v>
      </c>
      <c r="I1410">
        <v>3</v>
      </c>
      <c r="J1410" t="s">
        <v>5926</v>
      </c>
      <c r="K1410">
        <v>5.4</v>
      </c>
      <c r="L1410" t="s">
        <v>5737</v>
      </c>
      <c r="M1410">
        <v>5.4</v>
      </c>
      <c r="N1410" t="s">
        <v>5737</v>
      </c>
      <c r="O1410">
        <v>7.4</v>
      </c>
      <c r="P1410" t="s">
        <v>5613</v>
      </c>
      <c r="Q1410">
        <v>10.6</v>
      </c>
      <c r="R1410" t="s">
        <v>5613</v>
      </c>
      <c r="S1410">
        <v>7</v>
      </c>
      <c r="T1410" t="s">
        <v>5613</v>
      </c>
      <c r="U1410">
        <v>9.6</v>
      </c>
      <c r="V1410" t="s">
        <v>5613</v>
      </c>
      <c r="W1410">
        <v>1</v>
      </c>
      <c r="X1410" t="s">
        <v>5613</v>
      </c>
      <c r="Y1410">
        <v>7.9</v>
      </c>
      <c r="Z1410" t="s">
        <v>5613</v>
      </c>
      <c r="AA1410">
        <v>1</v>
      </c>
      <c r="AB1410" t="s">
        <v>5613</v>
      </c>
      <c r="AC1410" t="s">
        <v>6207</v>
      </c>
    </row>
    <row r="1411" spans="1:29">
      <c r="A1411" t="s">
        <v>6343</v>
      </c>
      <c r="B1411" t="s">
        <v>6343</v>
      </c>
      <c r="C1411" t="s">
        <v>2196</v>
      </c>
      <c r="D1411" t="s">
        <v>6015</v>
      </c>
      <c r="E1411" t="s">
        <v>1483</v>
      </c>
      <c r="F1411" t="s">
        <v>5605</v>
      </c>
      <c r="G1411" t="s">
        <v>5594</v>
      </c>
      <c r="H1411" t="s">
        <v>5809</v>
      </c>
      <c r="I1411">
        <v>3</v>
      </c>
      <c r="J1411" t="s">
        <v>5595</v>
      </c>
      <c r="K1411">
        <v>6.6</v>
      </c>
      <c r="L1411" t="s">
        <v>5737</v>
      </c>
      <c r="M1411">
        <v>3.8</v>
      </c>
      <c r="N1411" t="s">
        <v>5737</v>
      </c>
      <c r="O1411">
        <v>2.9</v>
      </c>
      <c r="P1411" t="s">
        <v>5613</v>
      </c>
      <c r="Q1411">
        <v>2.4</v>
      </c>
      <c r="R1411" t="s">
        <v>5613</v>
      </c>
      <c r="S1411">
        <v>1.2</v>
      </c>
      <c r="T1411" t="s">
        <v>5613</v>
      </c>
      <c r="U1411">
        <v>2.4</v>
      </c>
      <c r="V1411" t="s">
        <v>5613</v>
      </c>
      <c r="W1411">
        <v>15.3</v>
      </c>
      <c r="X1411">
        <v>593</v>
      </c>
      <c r="Y1411">
        <v>2.8</v>
      </c>
      <c r="Z1411" t="s">
        <v>5613</v>
      </c>
      <c r="AA1411">
        <v>7.7</v>
      </c>
      <c r="AB1411" t="s">
        <v>5613</v>
      </c>
      <c r="AC1411" t="s">
        <v>6207</v>
      </c>
    </row>
    <row r="1412" spans="1:29">
      <c r="A1412" t="s">
        <v>6343</v>
      </c>
      <c r="C1412" t="s">
        <v>5016</v>
      </c>
      <c r="D1412" t="s">
        <v>5863</v>
      </c>
      <c r="E1412" t="s">
        <v>1306</v>
      </c>
      <c r="F1412" t="s">
        <v>5588</v>
      </c>
      <c r="G1412" t="s">
        <v>5602</v>
      </c>
      <c r="H1412" t="s">
        <v>5809</v>
      </c>
      <c r="I1412">
        <v>4</v>
      </c>
      <c r="J1412" t="s">
        <v>5591</v>
      </c>
      <c r="K1412">
        <v>8</v>
      </c>
      <c r="L1412" t="s">
        <v>5737</v>
      </c>
      <c r="M1412">
        <v>5</v>
      </c>
      <c r="N1412" t="s">
        <v>5737</v>
      </c>
      <c r="O1412">
        <v>8.4</v>
      </c>
      <c r="P1412" t="s">
        <v>5613</v>
      </c>
      <c r="Q1412">
        <v>1.4</v>
      </c>
      <c r="R1412" t="s">
        <v>5613</v>
      </c>
      <c r="S1412">
        <v>5.3</v>
      </c>
      <c r="T1412" t="s">
        <v>5613</v>
      </c>
      <c r="U1412">
        <v>2.1</v>
      </c>
      <c r="V1412" t="s">
        <v>5613</v>
      </c>
      <c r="W1412">
        <v>1</v>
      </c>
      <c r="X1412" t="s">
        <v>5613</v>
      </c>
      <c r="Y1412">
        <v>12.4</v>
      </c>
      <c r="Z1412" t="s">
        <v>5613</v>
      </c>
      <c r="AA1412">
        <v>1</v>
      </c>
      <c r="AB1412" t="s">
        <v>5613</v>
      </c>
      <c r="AC1412" t="s">
        <v>6207</v>
      </c>
    </row>
    <row r="1413" spans="1:29">
      <c r="A1413" t="s">
        <v>6546</v>
      </c>
      <c r="B1413" t="s">
        <v>6343</v>
      </c>
      <c r="C1413" t="s">
        <v>6768</v>
      </c>
      <c r="D1413" t="s">
        <v>5981</v>
      </c>
      <c r="E1413" t="s">
        <v>895</v>
      </c>
      <c r="F1413" t="s">
        <v>5605</v>
      </c>
      <c r="G1413" t="s">
        <v>5594</v>
      </c>
      <c r="H1413" t="s">
        <v>5809</v>
      </c>
      <c r="I1413">
        <v>3</v>
      </c>
      <c r="J1413" t="s">
        <v>5595</v>
      </c>
      <c r="K1413">
        <v>5.2</v>
      </c>
      <c r="L1413" t="s">
        <v>5737</v>
      </c>
      <c r="M1413">
        <v>3.8</v>
      </c>
      <c r="N1413" t="s">
        <v>5737</v>
      </c>
      <c r="O1413">
        <v>3.4</v>
      </c>
      <c r="P1413" t="s">
        <v>5613</v>
      </c>
      <c r="Q1413">
        <v>2.8</v>
      </c>
      <c r="R1413" t="s">
        <v>5613</v>
      </c>
      <c r="S1413">
        <v>1.2</v>
      </c>
      <c r="T1413" t="s">
        <v>5613</v>
      </c>
      <c r="U1413">
        <v>1.1000000000000001</v>
      </c>
      <c r="V1413" t="s">
        <v>5613</v>
      </c>
      <c r="W1413">
        <v>1.9</v>
      </c>
      <c r="X1413" t="s">
        <v>5613</v>
      </c>
      <c r="Y1413">
        <v>7.5</v>
      </c>
      <c r="Z1413" t="s">
        <v>5613</v>
      </c>
      <c r="AA1413">
        <v>1</v>
      </c>
      <c r="AB1413" t="s">
        <v>5613</v>
      </c>
      <c r="AC1413" t="s">
        <v>6207</v>
      </c>
    </row>
    <row r="1414" spans="1:29">
      <c r="A1414" t="s">
        <v>6546</v>
      </c>
      <c r="B1414" t="s">
        <v>6343</v>
      </c>
      <c r="C1414" t="s">
        <v>2217</v>
      </c>
      <c r="D1414" t="s">
        <v>6134</v>
      </c>
      <c r="E1414" t="s">
        <v>1554</v>
      </c>
      <c r="F1414" t="s">
        <v>5593</v>
      </c>
      <c r="G1414" t="s">
        <v>5594</v>
      </c>
      <c r="H1414" t="s">
        <v>6146</v>
      </c>
      <c r="I1414">
        <v>3</v>
      </c>
      <c r="J1414" t="s">
        <v>5595</v>
      </c>
      <c r="K1414">
        <v>5</v>
      </c>
      <c r="L1414" t="s">
        <v>5737</v>
      </c>
      <c r="M1414">
        <v>6.7</v>
      </c>
      <c r="N1414" t="s">
        <v>5737</v>
      </c>
      <c r="O1414">
        <v>4.3</v>
      </c>
      <c r="P1414" t="s">
        <v>5613</v>
      </c>
      <c r="Q1414">
        <v>2.4</v>
      </c>
      <c r="R1414" t="s">
        <v>5613</v>
      </c>
      <c r="S1414">
        <v>3.8</v>
      </c>
      <c r="T1414" t="s">
        <v>5613</v>
      </c>
      <c r="U1414">
        <v>1.8</v>
      </c>
      <c r="V1414" t="s">
        <v>5613</v>
      </c>
      <c r="W1414">
        <v>2</v>
      </c>
      <c r="X1414" t="s">
        <v>5613</v>
      </c>
      <c r="Y1414">
        <v>7.6</v>
      </c>
      <c r="Z1414" t="s">
        <v>5613</v>
      </c>
      <c r="AA1414">
        <v>1</v>
      </c>
      <c r="AB1414" t="s">
        <v>5613</v>
      </c>
      <c r="AC1414" t="s">
        <v>6207</v>
      </c>
    </row>
    <row r="1415" spans="1:29">
      <c r="A1415" t="s">
        <v>6546</v>
      </c>
      <c r="B1415" t="s">
        <v>6546</v>
      </c>
      <c r="C1415" t="s">
        <v>6769</v>
      </c>
      <c r="D1415" t="s">
        <v>5981</v>
      </c>
      <c r="E1415" t="s">
        <v>895</v>
      </c>
      <c r="F1415" t="s">
        <v>5605</v>
      </c>
      <c r="G1415" t="s">
        <v>5589</v>
      </c>
      <c r="H1415" t="s">
        <v>5809</v>
      </c>
      <c r="I1415">
        <v>4</v>
      </c>
      <c r="J1415" t="s">
        <v>5595</v>
      </c>
      <c r="K1415">
        <v>4.9000000000000004</v>
      </c>
      <c r="L1415" t="s">
        <v>5737</v>
      </c>
      <c r="M1415">
        <v>2</v>
      </c>
      <c r="N1415" t="s">
        <v>5737</v>
      </c>
      <c r="O1415">
        <v>2.8</v>
      </c>
      <c r="P1415" t="s">
        <v>5613</v>
      </c>
      <c r="Q1415">
        <v>3.9</v>
      </c>
      <c r="R1415" t="s">
        <v>5613</v>
      </c>
      <c r="S1415">
        <v>2.7</v>
      </c>
      <c r="T1415" t="s">
        <v>5613</v>
      </c>
      <c r="U1415">
        <v>3.6</v>
      </c>
      <c r="V1415" t="s">
        <v>5613</v>
      </c>
      <c r="W1415">
        <v>2.2999999999999998</v>
      </c>
      <c r="X1415" t="s">
        <v>5613</v>
      </c>
      <c r="Y1415">
        <v>9.4</v>
      </c>
      <c r="Z1415" t="s">
        <v>5613</v>
      </c>
      <c r="AA1415">
        <v>4.3</v>
      </c>
      <c r="AB1415" t="s">
        <v>5613</v>
      </c>
      <c r="AC1415" t="s">
        <v>6207</v>
      </c>
    </row>
    <row r="1416" spans="1:29">
      <c r="A1416" t="s">
        <v>6546</v>
      </c>
      <c r="B1416" t="s">
        <v>6343</v>
      </c>
      <c r="C1416" t="s">
        <v>6770</v>
      </c>
      <c r="D1416" t="s">
        <v>5587</v>
      </c>
      <c r="E1416" t="s">
        <v>29</v>
      </c>
      <c r="F1416" t="s">
        <v>5593</v>
      </c>
      <c r="G1416" t="s">
        <v>5589</v>
      </c>
      <c r="H1416" t="s">
        <v>5809</v>
      </c>
      <c r="I1416">
        <v>4</v>
      </c>
      <c r="J1416" t="s">
        <v>5595</v>
      </c>
      <c r="K1416">
        <v>5.4</v>
      </c>
      <c r="L1416" t="s">
        <v>5737</v>
      </c>
      <c r="M1416">
        <v>2.5</v>
      </c>
      <c r="N1416" t="s">
        <v>5737</v>
      </c>
      <c r="O1416">
        <v>3.5</v>
      </c>
      <c r="P1416" t="s">
        <v>5613</v>
      </c>
      <c r="Q1416">
        <v>3.2</v>
      </c>
      <c r="R1416" t="s">
        <v>5613</v>
      </c>
      <c r="S1416">
        <v>4</v>
      </c>
      <c r="T1416" t="s">
        <v>5613</v>
      </c>
      <c r="U1416">
        <v>5.6</v>
      </c>
      <c r="V1416" t="s">
        <v>5613</v>
      </c>
      <c r="W1416">
        <v>1.1000000000000001</v>
      </c>
      <c r="X1416" t="s">
        <v>5613</v>
      </c>
      <c r="Y1416">
        <v>9.5</v>
      </c>
      <c r="Z1416" t="s">
        <v>5613</v>
      </c>
      <c r="AC1416" t="s">
        <v>6207</v>
      </c>
    </row>
    <row r="1417" spans="1:29">
      <c r="A1417" t="s">
        <v>6546</v>
      </c>
      <c r="B1417" t="s">
        <v>6546</v>
      </c>
      <c r="C1417" t="s">
        <v>6771</v>
      </c>
      <c r="D1417" t="s">
        <v>5587</v>
      </c>
      <c r="E1417" t="s">
        <v>29</v>
      </c>
      <c r="F1417" t="s">
        <v>5605</v>
      </c>
      <c r="G1417" t="s">
        <v>5589</v>
      </c>
      <c r="H1417" t="s">
        <v>5590</v>
      </c>
      <c r="I1417">
        <v>4</v>
      </c>
      <c r="J1417" t="s">
        <v>5595</v>
      </c>
      <c r="K1417">
        <v>4</v>
      </c>
      <c r="L1417" t="s">
        <v>5737</v>
      </c>
      <c r="M1417">
        <v>2.8</v>
      </c>
      <c r="N1417" t="s">
        <v>5737</v>
      </c>
      <c r="O1417">
        <v>8.1</v>
      </c>
      <c r="P1417" t="s">
        <v>5613</v>
      </c>
      <c r="Y1417">
        <v>9.6</v>
      </c>
      <c r="Z1417" t="s">
        <v>5613</v>
      </c>
      <c r="AC1417" t="s">
        <v>6207</v>
      </c>
    </row>
    <row r="1418" spans="1:29">
      <c r="A1418" t="s">
        <v>6546</v>
      </c>
      <c r="B1418" t="s">
        <v>6546</v>
      </c>
      <c r="C1418" t="s">
        <v>2725</v>
      </c>
      <c r="D1418" t="s">
        <v>5981</v>
      </c>
      <c r="E1418" t="s">
        <v>895</v>
      </c>
      <c r="F1418" t="s">
        <v>5605</v>
      </c>
      <c r="G1418" t="s">
        <v>5594</v>
      </c>
      <c r="H1418" t="s">
        <v>5809</v>
      </c>
      <c r="I1418">
        <v>4</v>
      </c>
      <c r="J1418" t="s">
        <v>5595</v>
      </c>
      <c r="K1418">
        <v>4.4000000000000004</v>
      </c>
      <c r="L1418" t="s">
        <v>5737</v>
      </c>
      <c r="M1418">
        <v>2.8</v>
      </c>
      <c r="N1418" t="s">
        <v>5737</v>
      </c>
      <c r="O1418">
        <v>4.5</v>
      </c>
      <c r="P1418" t="s">
        <v>5613</v>
      </c>
      <c r="Q1418">
        <v>2.5</v>
      </c>
      <c r="R1418" t="s">
        <v>5613</v>
      </c>
      <c r="S1418">
        <v>2.1</v>
      </c>
      <c r="T1418" t="s">
        <v>5613</v>
      </c>
      <c r="U1418">
        <v>5</v>
      </c>
      <c r="V1418" t="s">
        <v>5613</v>
      </c>
      <c r="W1418">
        <v>3.8</v>
      </c>
      <c r="X1418" t="s">
        <v>5613</v>
      </c>
      <c r="Y1418">
        <v>6.9</v>
      </c>
      <c r="Z1418" t="s">
        <v>5613</v>
      </c>
      <c r="AA1418">
        <v>13.9</v>
      </c>
      <c r="AB1418" t="s">
        <v>6686</v>
      </c>
      <c r="AC1418" t="s">
        <v>6207</v>
      </c>
    </row>
    <row r="1419" spans="1:29">
      <c r="A1419" t="s">
        <v>6546</v>
      </c>
      <c r="C1419" t="s">
        <v>3497</v>
      </c>
      <c r="D1419" t="s">
        <v>6364</v>
      </c>
      <c r="E1419" t="s">
        <v>2836</v>
      </c>
      <c r="G1419" t="s">
        <v>5602</v>
      </c>
      <c r="I1419">
        <v>5</v>
      </c>
      <c r="J1419" t="s">
        <v>5595</v>
      </c>
      <c r="K1419">
        <v>6.3</v>
      </c>
      <c r="L1419" t="s">
        <v>5737</v>
      </c>
      <c r="M1419">
        <v>4.2</v>
      </c>
      <c r="N1419" t="s">
        <v>5737</v>
      </c>
      <c r="W1419">
        <v>1</v>
      </c>
      <c r="X1419" t="s">
        <v>5613</v>
      </c>
      <c r="AC1419" t="s">
        <v>6207</v>
      </c>
    </row>
    <row r="1420" spans="1:29">
      <c r="A1420" t="s">
        <v>6546</v>
      </c>
      <c r="C1420" t="s">
        <v>6772</v>
      </c>
      <c r="D1420" t="s">
        <v>5770</v>
      </c>
      <c r="E1420" t="s">
        <v>528</v>
      </c>
      <c r="G1420" t="s">
        <v>5589</v>
      </c>
      <c r="I1420">
        <v>3</v>
      </c>
      <c r="J1420" t="s">
        <v>5595</v>
      </c>
      <c r="K1420">
        <v>3.3</v>
      </c>
      <c r="L1420" t="s">
        <v>5737</v>
      </c>
      <c r="M1420">
        <v>2.6</v>
      </c>
      <c r="N1420" t="s">
        <v>5737</v>
      </c>
      <c r="W1420">
        <v>1</v>
      </c>
      <c r="X1420" t="s">
        <v>5613</v>
      </c>
      <c r="AC1420" t="s">
        <v>6207</v>
      </c>
    </row>
    <row r="1421" spans="1:29">
      <c r="A1421" t="s">
        <v>6546</v>
      </c>
      <c r="B1421" t="s">
        <v>6343</v>
      </c>
      <c r="C1421" t="s">
        <v>4672</v>
      </c>
      <c r="D1421" t="s">
        <v>5587</v>
      </c>
      <c r="E1421" t="s">
        <v>29</v>
      </c>
      <c r="F1421" t="s">
        <v>5588</v>
      </c>
      <c r="G1421" t="s">
        <v>5589</v>
      </c>
      <c r="H1421" t="s">
        <v>5809</v>
      </c>
      <c r="I1421">
        <v>3</v>
      </c>
      <c r="J1421" t="s">
        <v>5595</v>
      </c>
      <c r="K1421">
        <v>3.8</v>
      </c>
      <c r="L1421" t="s">
        <v>5737</v>
      </c>
      <c r="M1421">
        <v>2.2000000000000002</v>
      </c>
      <c r="N1421" t="s">
        <v>5737</v>
      </c>
      <c r="O1421">
        <v>8.9</v>
      </c>
      <c r="P1421" t="s">
        <v>5613</v>
      </c>
      <c r="Q1421">
        <v>4.5999999999999996</v>
      </c>
      <c r="R1421" t="s">
        <v>5613</v>
      </c>
      <c r="S1421">
        <v>2.2999999999999998</v>
      </c>
      <c r="T1421" t="s">
        <v>5613</v>
      </c>
      <c r="U1421">
        <v>1.6</v>
      </c>
      <c r="V1421" t="s">
        <v>5613</v>
      </c>
      <c r="W1421">
        <v>1</v>
      </c>
      <c r="X1421" t="s">
        <v>5613</v>
      </c>
      <c r="Y1421">
        <v>7.9</v>
      </c>
      <c r="Z1421" t="s">
        <v>5613</v>
      </c>
      <c r="AC1421" t="s">
        <v>6207</v>
      </c>
    </row>
    <row r="1422" spans="1:29">
      <c r="A1422" t="s">
        <v>6546</v>
      </c>
      <c r="B1422" t="s">
        <v>6343</v>
      </c>
      <c r="C1422" t="s">
        <v>6773</v>
      </c>
      <c r="D1422" t="s">
        <v>5587</v>
      </c>
      <c r="E1422" t="s">
        <v>29</v>
      </c>
      <c r="F1422" t="s">
        <v>5593</v>
      </c>
      <c r="G1422" t="s">
        <v>5589</v>
      </c>
      <c r="H1422" t="s">
        <v>5809</v>
      </c>
      <c r="I1422">
        <v>5</v>
      </c>
      <c r="K1422">
        <v>3.7</v>
      </c>
      <c r="L1422" t="s">
        <v>5737</v>
      </c>
      <c r="M1422">
        <v>3.5</v>
      </c>
      <c r="N1422" t="s">
        <v>5737</v>
      </c>
      <c r="O1422">
        <v>5.9</v>
      </c>
      <c r="P1422" t="s">
        <v>5613</v>
      </c>
      <c r="Q1422">
        <v>5.2</v>
      </c>
      <c r="R1422" t="s">
        <v>5613</v>
      </c>
      <c r="S1422">
        <v>4.9000000000000004</v>
      </c>
      <c r="T1422" t="s">
        <v>5613</v>
      </c>
      <c r="U1422">
        <v>2.5</v>
      </c>
      <c r="V1422" t="s">
        <v>5613</v>
      </c>
      <c r="W1422">
        <v>1.1000000000000001</v>
      </c>
      <c r="X1422" t="s">
        <v>5613</v>
      </c>
      <c r="Y1422">
        <v>10.9</v>
      </c>
      <c r="Z1422" t="s">
        <v>5613</v>
      </c>
      <c r="AC1422" t="s">
        <v>6207</v>
      </c>
    </row>
    <row r="1423" spans="1:29">
      <c r="A1423" t="s">
        <v>6546</v>
      </c>
      <c r="C1423" t="s">
        <v>6774</v>
      </c>
      <c r="D1423" t="s">
        <v>5770</v>
      </c>
      <c r="E1423" t="s">
        <v>528</v>
      </c>
      <c r="G1423" t="s">
        <v>5602</v>
      </c>
      <c r="I1423">
        <v>4</v>
      </c>
      <c r="K1423">
        <v>7.5</v>
      </c>
      <c r="L1423" t="s">
        <v>5737</v>
      </c>
      <c r="M1423">
        <v>3.4</v>
      </c>
      <c r="N1423" t="s">
        <v>5737</v>
      </c>
      <c r="W1423">
        <v>1.9</v>
      </c>
      <c r="X1423" t="s">
        <v>5613</v>
      </c>
      <c r="AC1423" t="s">
        <v>6207</v>
      </c>
    </row>
    <row r="1424" spans="1:29">
      <c r="A1424" t="s">
        <v>6546</v>
      </c>
      <c r="C1424" t="s">
        <v>6775</v>
      </c>
      <c r="D1424" t="s">
        <v>6272</v>
      </c>
      <c r="E1424" t="s">
        <v>1846</v>
      </c>
      <c r="G1424" t="s">
        <v>5589</v>
      </c>
      <c r="I1424">
        <v>3</v>
      </c>
      <c r="K1424">
        <v>5.9</v>
      </c>
      <c r="L1424" t="s">
        <v>5737</v>
      </c>
      <c r="M1424">
        <v>3.6</v>
      </c>
      <c r="N1424" t="s">
        <v>5737</v>
      </c>
      <c r="W1424">
        <v>1</v>
      </c>
      <c r="X1424" t="s">
        <v>5613</v>
      </c>
      <c r="AC1424" t="s">
        <v>6207</v>
      </c>
    </row>
    <row r="1425" spans="1:29">
      <c r="A1425" t="s">
        <v>6546</v>
      </c>
      <c r="B1425" t="s">
        <v>6343</v>
      </c>
      <c r="C1425" t="s">
        <v>3555</v>
      </c>
      <c r="D1425" t="s">
        <v>5696</v>
      </c>
      <c r="E1425" t="s">
        <v>5697</v>
      </c>
      <c r="F1425" t="s">
        <v>5593</v>
      </c>
      <c r="G1425" t="s">
        <v>5589</v>
      </c>
      <c r="H1425" t="s">
        <v>5809</v>
      </c>
      <c r="I1425">
        <v>5</v>
      </c>
      <c r="J1425" t="s">
        <v>5595</v>
      </c>
      <c r="K1425">
        <v>3.6</v>
      </c>
      <c r="L1425" t="s">
        <v>5737</v>
      </c>
      <c r="M1425">
        <v>1.6</v>
      </c>
      <c r="N1425" t="s">
        <v>5737</v>
      </c>
      <c r="O1425">
        <v>17.600000000000001</v>
      </c>
      <c r="P1425" t="s">
        <v>5613</v>
      </c>
      <c r="Q1425">
        <v>1.4</v>
      </c>
      <c r="R1425" t="s">
        <v>5613</v>
      </c>
      <c r="S1425">
        <v>1.9</v>
      </c>
      <c r="T1425" t="s">
        <v>5613</v>
      </c>
      <c r="U1425">
        <v>3.8</v>
      </c>
      <c r="V1425" t="s">
        <v>5613</v>
      </c>
      <c r="W1425">
        <v>1.1000000000000001</v>
      </c>
      <c r="X1425" t="s">
        <v>5613</v>
      </c>
      <c r="Y1425">
        <v>8.6999999999999993</v>
      </c>
      <c r="Z1425" t="s">
        <v>5613</v>
      </c>
      <c r="AA1425">
        <v>1.5</v>
      </c>
      <c r="AB1425" t="s">
        <v>5613</v>
      </c>
      <c r="AC1425" t="s">
        <v>6207</v>
      </c>
    </row>
    <row r="1426" spans="1:29">
      <c r="A1426" t="s">
        <v>6546</v>
      </c>
      <c r="C1426" t="s">
        <v>2885</v>
      </c>
      <c r="D1426" t="s">
        <v>6272</v>
      </c>
      <c r="E1426" t="s">
        <v>1846</v>
      </c>
      <c r="G1426" t="s">
        <v>5651</v>
      </c>
      <c r="I1426">
        <v>3</v>
      </c>
      <c r="K1426">
        <v>5.9</v>
      </c>
      <c r="L1426" t="s">
        <v>5737</v>
      </c>
      <c r="M1426">
        <v>5.3</v>
      </c>
      <c r="N1426" t="s">
        <v>5737</v>
      </c>
      <c r="W1426">
        <v>1</v>
      </c>
      <c r="X1426" t="s">
        <v>5613</v>
      </c>
      <c r="AC1426" t="s">
        <v>6207</v>
      </c>
    </row>
    <row r="1427" spans="1:29">
      <c r="A1427" t="s">
        <v>6546</v>
      </c>
      <c r="C1427" t="s">
        <v>2401</v>
      </c>
      <c r="D1427" t="s">
        <v>6482</v>
      </c>
      <c r="E1427" t="s">
        <v>1433</v>
      </c>
      <c r="G1427" t="s">
        <v>5589</v>
      </c>
      <c r="K1427">
        <v>5.9</v>
      </c>
      <c r="L1427" t="s">
        <v>5737</v>
      </c>
      <c r="M1427">
        <v>7.6</v>
      </c>
      <c r="N1427" t="s">
        <v>5737</v>
      </c>
      <c r="W1427">
        <v>10.8</v>
      </c>
      <c r="X1427">
        <v>656</v>
      </c>
      <c r="AC1427" t="s">
        <v>6207</v>
      </c>
    </row>
    <row r="1428" spans="1:29">
      <c r="A1428" t="s">
        <v>6546</v>
      </c>
      <c r="B1428" t="s">
        <v>6343</v>
      </c>
      <c r="C1428" t="s">
        <v>3695</v>
      </c>
      <c r="D1428" t="s">
        <v>5696</v>
      </c>
      <c r="E1428" t="s">
        <v>5697</v>
      </c>
      <c r="F1428" t="s">
        <v>5593</v>
      </c>
      <c r="G1428" t="s">
        <v>5602</v>
      </c>
      <c r="H1428" t="s">
        <v>5590</v>
      </c>
      <c r="I1428">
        <v>4</v>
      </c>
      <c r="J1428" t="s">
        <v>5595</v>
      </c>
      <c r="K1428">
        <v>5.2</v>
      </c>
      <c r="L1428" t="s">
        <v>5737</v>
      </c>
      <c r="M1428">
        <v>4.9000000000000004</v>
      </c>
      <c r="N1428" t="s">
        <v>5737</v>
      </c>
      <c r="O1428">
        <v>7.5</v>
      </c>
      <c r="P1428" t="s">
        <v>5613</v>
      </c>
      <c r="Q1428">
        <v>1.4</v>
      </c>
      <c r="R1428" t="s">
        <v>5613</v>
      </c>
      <c r="S1428">
        <v>1.3</v>
      </c>
      <c r="T1428" t="s">
        <v>5613</v>
      </c>
      <c r="U1428">
        <v>3.4</v>
      </c>
      <c r="V1428" t="s">
        <v>5613</v>
      </c>
      <c r="W1428">
        <v>1</v>
      </c>
      <c r="X1428" t="s">
        <v>5613</v>
      </c>
      <c r="Y1428">
        <v>7.3</v>
      </c>
      <c r="Z1428" t="s">
        <v>5613</v>
      </c>
      <c r="AA1428">
        <v>1</v>
      </c>
      <c r="AB1428" t="s">
        <v>5613</v>
      </c>
      <c r="AC1428" t="s">
        <v>6207</v>
      </c>
    </row>
    <row r="1429" spans="1:29">
      <c r="A1429" t="s">
        <v>6546</v>
      </c>
      <c r="B1429" t="s">
        <v>6343</v>
      </c>
      <c r="C1429" t="s">
        <v>6776</v>
      </c>
      <c r="D1429" t="s">
        <v>5696</v>
      </c>
      <c r="E1429" t="s">
        <v>5697</v>
      </c>
      <c r="F1429" t="s">
        <v>5593</v>
      </c>
      <c r="G1429" t="s">
        <v>5602</v>
      </c>
      <c r="H1429" t="s">
        <v>6146</v>
      </c>
      <c r="I1429">
        <v>3</v>
      </c>
      <c r="J1429" t="s">
        <v>5595</v>
      </c>
      <c r="K1429">
        <v>6.1</v>
      </c>
      <c r="L1429" t="s">
        <v>5737</v>
      </c>
      <c r="M1429">
        <v>1.6</v>
      </c>
      <c r="N1429" t="s">
        <v>5737</v>
      </c>
      <c r="O1429">
        <v>9.3000000000000007</v>
      </c>
      <c r="P1429" t="s">
        <v>5613</v>
      </c>
      <c r="Q1429">
        <v>1.1000000000000001</v>
      </c>
      <c r="R1429" t="s">
        <v>5613</v>
      </c>
      <c r="S1429">
        <v>2.9</v>
      </c>
      <c r="T1429" t="s">
        <v>5613</v>
      </c>
      <c r="U1429">
        <v>3.6</v>
      </c>
      <c r="V1429" t="s">
        <v>5613</v>
      </c>
      <c r="W1429">
        <v>1</v>
      </c>
      <c r="X1429" t="s">
        <v>5613</v>
      </c>
      <c r="Y1429">
        <v>7.6</v>
      </c>
      <c r="Z1429" t="s">
        <v>5613</v>
      </c>
      <c r="AA1429">
        <v>1.2</v>
      </c>
      <c r="AB1429" t="s">
        <v>5613</v>
      </c>
      <c r="AC1429" t="s">
        <v>6207</v>
      </c>
    </row>
    <row r="1430" spans="1:29">
      <c r="A1430" t="s">
        <v>6546</v>
      </c>
      <c r="C1430" t="s">
        <v>6777</v>
      </c>
      <c r="D1430" t="s">
        <v>5631</v>
      </c>
      <c r="E1430" t="s">
        <v>94</v>
      </c>
      <c r="G1430" t="s">
        <v>5602</v>
      </c>
      <c r="I1430">
        <v>3</v>
      </c>
      <c r="K1430">
        <v>5.6</v>
      </c>
      <c r="L1430" t="s">
        <v>5737</v>
      </c>
      <c r="M1430">
        <v>2.2999999999999998</v>
      </c>
      <c r="N1430" t="s">
        <v>5737</v>
      </c>
      <c r="W1430">
        <v>1.5</v>
      </c>
      <c r="X1430" t="s">
        <v>5613</v>
      </c>
      <c r="AC1430" t="s">
        <v>6207</v>
      </c>
    </row>
    <row r="1431" spans="1:29">
      <c r="A1431" t="s">
        <v>6546</v>
      </c>
      <c r="B1431" t="s">
        <v>6343</v>
      </c>
      <c r="C1431" t="s">
        <v>6778</v>
      </c>
      <c r="D1431" t="s">
        <v>5695</v>
      </c>
      <c r="E1431" t="s">
        <v>577</v>
      </c>
      <c r="F1431" t="s">
        <v>5588</v>
      </c>
      <c r="G1431" t="s">
        <v>5589</v>
      </c>
      <c r="H1431" t="s">
        <v>6146</v>
      </c>
      <c r="I1431">
        <v>4</v>
      </c>
      <c r="J1431" t="s">
        <v>5926</v>
      </c>
      <c r="K1431">
        <v>4.9000000000000004</v>
      </c>
      <c r="L1431" t="s">
        <v>5737</v>
      </c>
      <c r="M1431">
        <v>3.3</v>
      </c>
      <c r="N1431" t="s">
        <v>5737</v>
      </c>
      <c r="O1431">
        <v>6.4</v>
      </c>
      <c r="P1431" t="s">
        <v>5613</v>
      </c>
      <c r="Q1431">
        <v>2</v>
      </c>
      <c r="R1431" t="s">
        <v>5613</v>
      </c>
      <c r="S1431">
        <v>2.4</v>
      </c>
      <c r="T1431" t="s">
        <v>5613</v>
      </c>
      <c r="U1431">
        <v>1.2</v>
      </c>
      <c r="V1431" t="s">
        <v>5613</v>
      </c>
      <c r="W1431">
        <v>1</v>
      </c>
      <c r="X1431" t="s">
        <v>5613</v>
      </c>
      <c r="Y1431">
        <v>9.6</v>
      </c>
      <c r="Z1431" t="s">
        <v>5613</v>
      </c>
      <c r="AA1431">
        <v>1</v>
      </c>
      <c r="AB1431" t="s">
        <v>5613</v>
      </c>
      <c r="AC1431" t="s">
        <v>6207</v>
      </c>
    </row>
    <row r="1432" spans="1:29">
      <c r="A1432" t="s">
        <v>6546</v>
      </c>
      <c r="B1432" t="s">
        <v>6546</v>
      </c>
      <c r="C1432" t="s">
        <v>6779</v>
      </c>
      <c r="D1432" t="s">
        <v>5695</v>
      </c>
      <c r="E1432" t="s">
        <v>577</v>
      </c>
      <c r="F1432" t="s">
        <v>5605</v>
      </c>
      <c r="G1432" t="s">
        <v>5602</v>
      </c>
      <c r="H1432" t="s">
        <v>5809</v>
      </c>
      <c r="I1432">
        <v>4</v>
      </c>
      <c r="J1432" t="s">
        <v>5926</v>
      </c>
      <c r="K1432">
        <v>5</v>
      </c>
      <c r="L1432" t="s">
        <v>5737</v>
      </c>
      <c r="M1432">
        <v>3.8</v>
      </c>
      <c r="N1432" t="s">
        <v>5737</v>
      </c>
      <c r="O1432">
        <v>1.6</v>
      </c>
      <c r="P1432" t="s">
        <v>5613</v>
      </c>
      <c r="Q1432">
        <v>1.5</v>
      </c>
      <c r="R1432" t="s">
        <v>5613</v>
      </c>
      <c r="W1432">
        <v>1</v>
      </c>
      <c r="X1432" t="s">
        <v>5613</v>
      </c>
      <c r="Y1432">
        <v>6.2</v>
      </c>
      <c r="Z1432" t="s">
        <v>5613</v>
      </c>
      <c r="AA1432">
        <v>1</v>
      </c>
      <c r="AB1432" t="s">
        <v>5613</v>
      </c>
      <c r="AC1432" t="s">
        <v>6207</v>
      </c>
    </row>
    <row r="1433" spans="1:29">
      <c r="A1433" t="s">
        <v>6546</v>
      </c>
      <c r="B1433" t="s">
        <v>6343</v>
      </c>
      <c r="C1433" t="s">
        <v>6780</v>
      </c>
      <c r="D1433" t="s">
        <v>5695</v>
      </c>
      <c r="E1433" t="s">
        <v>577</v>
      </c>
      <c r="F1433" t="s">
        <v>5588</v>
      </c>
      <c r="G1433" t="s">
        <v>5594</v>
      </c>
      <c r="H1433" t="s">
        <v>5809</v>
      </c>
      <c r="I1433">
        <v>4</v>
      </c>
      <c r="J1433" t="s">
        <v>5591</v>
      </c>
      <c r="K1433">
        <v>4.3</v>
      </c>
      <c r="L1433" t="s">
        <v>5737</v>
      </c>
      <c r="M1433">
        <v>2.7</v>
      </c>
      <c r="N1433" t="s">
        <v>5737</v>
      </c>
      <c r="O1433">
        <v>6</v>
      </c>
      <c r="P1433" t="s">
        <v>5613</v>
      </c>
      <c r="Q1433">
        <v>4.2</v>
      </c>
      <c r="R1433" t="s">
        <v>5613</v>
      </c>
      <c r="S1433">
        <v>1.9</v>
      </c>
      <c r="T1433" t="s">
        <v>5613</v>
      </c>
      <c r="U1433">
        <v>1.4</v>
      </c>
      <c r="V1433" t="s">
        <v>5613</v>
      </c>
      <c r="W1433">
        <v>1.4</v>
      </c>
      <c r="X1433" t="s">
        <v>5613</v>
      </c>
      <c r="Y1433">
        <v>5.6</v>
      </c>
      <c r="Z1433" t="s">
        <v>5613</v>
      </c>
      <c r="AA1433">
        <v>1</v>
      </c>
      <c r="AB1433" t="s">
        <v>5613</v>
      </c>
      <c r="AC1433" t="s">
        <v>6207</v>
      </c>
    </row>
    <row r="1434" spans="1:29">
      <c r="A1434" t="s">
        <v>6546</v>
      </c>
      <c r="C1434" t="s">
        <v>6781</v>
      </c>
      <c r="D1434" t="s">
        <v>6272</v>
      </c>
      <c r="E1434" t="s">
        <v>1846</v>
      </c>
      <c r="G1434" t="s">
        <v>5589</v>
      </c>
      <c r="I1434">
        <v>4</v>
      </c>
      <c r="K1434">
        <v>9.1999999999999993</v>
      </c>
      <c r="L1434" t="s">
        <v>5737</v>
      </c>
      <c r="M1434">
        <v>9.6999999999999993</v>
      </c>
      <c r="N1434" t="s">
        <v>5737</v>
      </c>
      <c r="W1434">
        <v>1.1000000000000001</v>
      </c>
      <c r="X1434" t="s">
        <v>5613</v>
      </c>
      <c r="AC1434" t="s">
        <v>6207</v>
      </c>
    </row>
    <row r="1435" spans="1:29">
      <c r="A1435" t="s">
        <v>6546</v>
      </c>
      <c r="B1435" t="s">
        <v>6546</v>
      </c>
      <c r="C1435" t="s">
        <v>3043</v>
      </c>
      <c r="D1435" t="s">
        <v>5981</v>
      </c>
      <c r="E1435" t="s">
        <v>895</v>
      </c>
      <c r="F1435" t="s">
        <v>5605</v>
      </c>
      <c r="G1435" t="s">
        <v>5594</v>
      </c>
      <c r="H1435" t="s">
        <v>6146</v>
      </c>
      <c r="I1435">
        <v>3</v>
      </c>
      <c r="J1435" t="s">
        <v>5595</v>
      </c>
      <c r="K1435">
        <v>3.7</v>
      </c>
      <c r="L1435" t="s">
        <v>5737</v>
      </c>
      <c r="M1435">
        <v>3</v>
      </c>
      <c r="N1435" t="s">
        <v>5737</v>
      </c>
      <c r="O1435">
        <v>2.8</v>
      </c>
      <c r="P1435" t="s">
        <v>5613</v>
      </c>
      <c r="Q1435">
        <v>3.1</v>
      </c>
      <c r="R1435" t="s">
        <v>5613</v>
      </c>
      <c r="S1435">
        <v>1.7</v>
      </c>
      <c r="T1435" t="s">
        <v>5613</v>
      </c>
      <c r="U1435">
        <v>12.6</v>
      </c>
      <c r="V1435">
        <v>669</v>
      </c>
      <c r="W1435">
        <v>1.3</v>
      </c>
      <c r="X1435" t="s">
        <v>5613</v>
      </c>
      <c r="Y1435">
        <v>7.5</v>
      </c>
      <c r="Z1435" t="s">
        <v>5613</v>
      </c>
      <c r="AA1435">
        <v>1</v>
      </c>
      <c r="AB1435" t="s">
        <v>5613</v>
      </c>
      <c r="AC1435" t="s">
        <v>6207</v>
      </c>
    </row>
    <row r="1436" spans="1:29">
      <c r="A1436" t="s">
        <v>6546</v>
      </c>
      <c r="C1436" t="s">
        <v>3064</v>
      </c>
      <c r="D1436" t="s">
        <v>6272</v>
      </c>
      <c r="E1436" t="s">
        <v>1846</v>
      </c>
      <c r="G1436" t="s">
        <v>5602</v>
      </c>
      <c r="I1436">
        <v>3</v>
      </c>
      <c r="K1436">
        <v>6.8</v>
      </c>
      <c r="L1436" t="s">
        <v>5737</v>
      </c>
      <c r="M1436">
        <v>8.9</v>
      </c>
      <c r="N1436" t="s">
        <v>5737</v>
      </c>
      <c r="W1436">
        <v>1</v>
      </c>
      <c r="X1436" t="s">
        <v>5613</v>
      </c>
      <c r="AC1436" t="s">
        <v>6207</v>
      </c>
    </row>
    <row r="1437" spans="1:29">
      <c r="A1437" t="s">
        <v>6546</v>
      </c>
      <c r="B1437" t="s">
        <v>6343</v>
      </c>
      <c r="C1437" t="s">
        <v>6263</v>
      </c>
      <c r="D1437" t="s">
        <v>5678</v>
      </c>
      <c r="E1437" t="s">
        <v>389</v>
      </c>
      <c r="F1437" t="s">
        <v>5593</v>
      </c>
      <c r="G1437" t="s">
        <v>5602</v>
      </c>
      <c r="H1437" t="s">
        <v>6146</v>
      </c>
      <c r="I1437">
        <v>4</v>
      </c>
      <c r="J1437" t="s">
        <v>5926</v>
      </c>
      <c r="K1437">
        <v>4.7</v>
      </c>
      <c r="L1437" t="s">
        <v>5737</v>
      </c>
      <c r="M1437">
        <v>6</v>
      </c>
      <c r="N1437" t="s">
        <v>5737</v>
      </c>
      <c r="O1437">
        <v>4.3</v>
      </c>
      <c r="P1437" t="s">
        <v>5613</v>
      </c>
      <c r="Q1437">
        <v>1.8</v>
      </c>
      <c r="R1437" t="s">
        <v>5613</v>
      </c>
      <c r="S1437">
        <v>4</v>
      </c>
      <c r="T1437" t="s">
        <v>5613</v>
      </c>
      <c r="U1437">
        <v>4</v>
      </c>
      <c r="V1437" t="s">
        <v>5613</v>
      </c>
      <c r="W1437">
        <v>1</v>
      </c>
      <c r="X1437" t="s">
        <v>5613</v>
      </c>
      <c r="Y1437">
        <v>8.3000000000000007</v>
      </c>
      <c r="Z1437" t="s">
        <v>5613</v>
      </c>
      <c r="AA1437">
        <v>2.2000000000000002</v>
      </c>
      <c r="AB1437" t="s">
        <v>5613</v>
      </c>
      <c r="AC1437" t="s">
        <v>6207</v>
      </c>
    </row>
    <row r="1438" spans="1:29">
      <c r="A1438" t="s">
        <v>6546</v>
      </c>
      <c r="C1438" t="s">
        <v>6782</v>
      </c>
      <c r="D1438" t="s">
        <v>6272</v>
      </c>
      <c r="E1438" t="s">
        <v>1846</v>
      </c>
      <c r="G1438" t="s">
        <v>5602</v>
      </c>
      <c r="I1438">
        <v>2</v>
      </c>
      <c r="K1438">
        <v>10</v>
      </c>
      <c r="L1438" t="s">
        <v>5737</v>
      </c>
      <c r="M1438">
        <v>2.8</v>
      </c>
      <c r="N1438" t="s">
        <v>5737</v>
      </c>
      <c r="W1438">
        <v>1</v>
      </c>
      <c r="X1438" t="s">
        <v>5613</v>
      </c>
      <c r="AC1438" t="s">
        <v>6207</v>
      </c>
    </row>
    <row r="1439" spans="1:29">
      <c r="A1439" t="s">
        <v>6546</v>
      </c>
      <c r="C1439" t="s">
        <v>3962</v>
      </c>
      <c r="D1439" t="s">
        <v>5872</v>
      </c>
      <c r="E1439" t="s">
        <v>1955</v>
      </c>
      <c r="F1439" t="s">
        <v>5593</v>
      </c>
      <c r="G1439" t="s">
        <v>5602</v>
      </c>
      <c r="H1439" t="s">
        <v>5590</v>
      </c>
      <c r="I1439">
        <v>4</v>
      </c>
      <c r="J1439" t="s">
        <v>5595</v>
      </c>
      <c r="K1439">
        <v>5.3</v>
      </c>
      <c r="L1439" t="s">
        <v>5737</v>
      </c>
      <c r="M1439">
        <v>2.2999999999999998</v>
      </c>
      <c r="N1439" t="s">
        <v>5737</v>
      </c>
      <c r="O1439">
        <v>7.9</v>
      </c>
      <c r="P1439" t="s">
        <v>5613</v>
      </c>
      <c r="Q1439">
        <v>1.7</v>
      </c>
      <c r="R1439" t="s">
        <v>5613</v>
      </c>
      <c r="S1439">
        <v>9.9</v>
      </c>
      <c r="T1439" t="s">
        <v>5613</v>
      </c>
      <c r="U1439">
        <v>1.3</v>
      </c>
      <c r="V1439" t="s">
        <v>5613</v>
      </c>
      <c r="W1439">
        <v>1</v>
      </c>
      <c r="X1439" t="s">
        <v>5613</v>
      </c>
      <c r="Y1439">
        <v>7.5</v>
      </c>
      <c r="Z1439" t="s">
        <v>5613</v>
      </c>
      <c r="AA1439">
        <v>1</v>
      </c>
      <c r="AB1439" t="s">
        <v>5613</v>
      </c>
      <c r="AC1439" t="s">
        <v>6207</v>
      </c>
    </row>
    <row r="1440" spans="1:29">
      <c r="A1440" t="s">
        <v>6546</v>
      </c>
      <c r="B1440" t="s">
        <v>6546</v>
      </c>
      <c r="C1440" t="s">
        <v>6783</v>
      </c>
      <c r="D1440" t="s">
        <v>6750</v>
      </c>
      <c r="E1440" t="s">
        <v>5038</v>
      </c>
      <c r="F1440" t="s">
        <v>5605</v>
      </c>
      <c r="G1440" t="s">
        <v>5589</v>
      </c>
      <c r="H1440" t="s">
        <v>6146</v>
      </c>
      <c r="I1440">
        <v>3</v>
      </c>
      <c r="J1440" t="s">
        <v>5595</v>
      </c>
      <c r="K1440">
        <v>4.0999999999999996</v>
      </c>
      <c r="L1440" t="s">
        <v>5737</v>
      </c>
      <c r="M1440">
        <v>2.7</v>
      </c>
      <c r="N1440" t="s">
        <v>5737</v>
      </c>
      <c r="O1440">
        <v>3.2</v>
      </c>
      <c r="P1440" t="s">
        <v>5613</v>
      </c>
      <c r="Q1440">
        <v>1.2</v>
      </c>
      <c r="R1440" t="s">
        <v>5613</v>
      </c>
      <c r="S1440">
        <v>1.9</v>
      </c>
      <c r="T1440" t="s">
        <v>5613</v>
      </c>
      <c r="U1440">
        <v>1.6</v>
      </c>
      <c r="V1440" t="s">
        <v>5613</v>
      </c>
      <c r="W1440">
        <v>1</v>
      </c>
      <c r="X1440" t="s">
        <v>5613</v>
      </c>
      <c r="Y1440">
        <v>9.4</v>
      </c>
      <c r="Z1440" t="s">
        <v>5613</v>
      </c>
      <c r="AA1440">
        <v>1</v>
      </c>
      <c r="AB1440" t="s">
        <v>5613</v>
      </c>
      <c r="AC1440" t="s">
        <v>6207</v>
      </c>
    </row>
    <row r="1441" spans="1:29">
      <c r="A1441" t="s">
        <v>6546</v>
      </c>
      <c r="C1441" t="s">
        <v>3128</v>
      </c>
      <c r="D1441" t="s">
        <v>5989</v>
      </c>
      <c r="E1441" t="s">
        <v>1220</v>
      </c>
      <c r="G1441" t="s">
        <v>5651</v>
      </c>
      <c r="K1441">
        <v>5.9</v>
      </c>
      <c r="L1441" t="s">
        <v>5737</v>
      </c>
      <c r="M1441">
        <v>5.4</v>
      </c>
      <c r="N1441" t="s">
        <v>5737</v>
      </c>
      <c r="W1441">
        <v>2.6</v>
      </c>
      <c r="X1441" t="s">
        <v>5613</v>
      </c>
      <c r="AC1441" t="s">
        <v>6207</v>
      </c>
    </row>
    <row r="1442" spans="1:29">
      <c r="A1442" t="s">
        <v>6546</v>
      </c>
      <c r="C1442" t="s">
        <v>6784</v>
      </c>
      <c r="D1442" t="s">
        <v>5639</v>
      </c>
      <c r="E1442" t="s">
        <v>99</v>
      </c>
      <c r="G1442" t="s">
        <v>5651</v>
      </c>
      <c r="K1442">
        <v>5.5</v>
      </c>
      <c r="L1442" t="s">
        <v>5737</v>
      </c>
      <c r="M1442">
        <v>4.5999999999999996</v>
      </c>
      <c r="N1442" t="s">
        <v>5737</v>
      </c>
      <c r="W1442">
        <v>4.9000000000000004</v>
      </c>
      <c r="X1442" t="s">
        <v>5613</v>
      </c>
      <c r="AC1442" t="s">
        <v>6207</v>
      </c>
    </row>
    <row r="1443" spans="1:29">
      <c r="A1443" t="s">
        <v>6546</v>
      </c>
      <c r="C1443" t="s">
        <v>6785</v>
      </c>
      <c r="D1443" t="s">
        <v>5639</v>
      </c>
      <c r="E1443" t="s">
        <v>99</v>
      </c>
      <c r="G1443" t="s">
        <v>5651</v>
      </c>
      <c r="K1443">
        <v>8.8000000000000007</v>
      </c>
      <c r="L1443" t="s">
        <v>5737</v>
      </c>
      <c r="M1443">
        <v>5.6</v>
      </c>
      <c r="N1443" t="s">
        <v>5737</v>
      </c>
      <c r="W1443">
        <v>2.8</v>
      </c>
      <c r="X1443" t="s">
        <v>5613</v>
      </c>
      <c r="AC1443" t="s">
        <v>6207</v>
      </c>
    </row>
    <row r="1444" spans="1:29">
      <c r="A1444" t="s">
        <v>6546</v>
      </c>
      <c r="C1444" t="s">
        <v>6786</v>
      </c>
      <c r="D1444" t="s">
        <v>5639</v>
      </c>
      <c r="E1444" t="s">
        <v>99</v>
      </c>
      <c r="G1444" t="s">
        <v>5589</v>
      </c>
      <c r="K1444">
        <v>6.5</v>
      </c>
      <c r="L1444" t="s">
        <v>5737</v>
      </c>
      <c r="M1444">
        <v>3.2</v>
      </c>
      <c r="N1444" t="s">
        <v>5737</v>
      </c>
      <c r="W1444">
        <v>10.8</v>
      </c>
      <c r="X1444">
        <v>655</v>
      </c>
      <c r="AC1444" t="s">
        <v>6207</v>
      </c>
    </row>
    <row r="1445" spans="1:29">
      <c r="A1445" t="s">
        <v>6546</v>
      </c>
      <c r="B1445" t="s">
        <v>6343</v>
      </c>
      <c r="C1445" t="s">
        <v>6787</v>
      </c>
      <c r="D1445" t="s">
        <v>5612</v>
      </c>
      <c r="E1445" t="s">
        <v>116</v>
      </c>
      <c r="F1445" t="s">
        <v>5588</v>
      </c>
      <c r="G1445" t="s">
        <v>5602</v>
      </c>
      <c r="H1445" t="s">
        <v>5590</v>
      </c>
      <c r="I1445">
        <v>3</v>
      </c>
      <c r="J1445" t="s">
        <v>5591</v>
      </c>
      <c r="K1445">
        <v>3.2</v>
      </c>
      <c r="L1445" t="s">
        <v>5737</v>
      </c>
      <c r="M1445">
        <v>4.2</v>
      </c>
      <c r="N1445" t="s">
        <v>5737</v>
      </c>
      <c r="O1445">
        <v>3.1</v>
      </c>
      <c r="P1445" t="s">
        <v>5613</v>
      </c>
      <c r="Q1445">
        <v>7.6</v>
      </c>
      <c r="R1445" t="s">
        <v>5613</v>
      </c>
      <c r="S1445">
        <v>2.9</v>
      </c>
      <c r="T1445" t="s">
        <v>5613</v>
      </c>
      <c r="U1445">
        <v>1.5</v>
      </c>
      <c r="V1445" t="s">
        <v>5613</v>
      </c>
      <c r="W1445">
        <v>1</v>
      </c>
      <c r="X1445" t="s">
        <v>5613</v>
      </c>
      <c r="Y1445">
        <v>6.2</v>
      </c>
      <c r="Z1445" t="s">
        <v>5613</v>
      </c>
      <c r="AA1445">
        <v>1</v>
      </c>
      <c r="AB1445" t="s">
        <v>5613</v>
      </c>
      <c r="AC1445" t="s">
        <v>6207</v>
      </c>
    </row>
    <row r="1446" spans="1:29">
      <c r="A1446" t="s">
        <v>6546</v>
      </c>
      <c r="C1446" t="s">
        <v>6788</v>
      </c>
      <c r="D1446" t="s">
        <v>5872</v>
      </c>
      <c r="E1446" t="s">
        <v>1955</v>
      </c>
      <c r="F1446" t="s">
        <v>5593</v>
      </c>
      <c r="G1446" t="s">
        <v>5594</v>
      </c>
      <c r="H1446" t="s">
        <v>6146</v>
      </c>
      <c r="I1446">
        <v>4</v>
      </c>
      <c r="J1446" t="s">
        <v>5595</v>
      </c>
      <c r="K1446">
        <v>5.6</v>
      </c>
      <c r="L1446" t="s">
        <v>5737</v>
      </c>
      <c r="M1446">
        <v>3.9</v>
      </c>
      <c r="N1446" t="s">
        <v>5737</v>
      </c>
      <c r="O1446">
        <v>6.5</v>
      </c>
      <c r="P1446" t="s">
        <v>5613</v>
      </c>
      <c r="Q1446">
        <v>1.3</v>
      </c>
      <c r="R1446" t="s">
        <v>5613</v>
      </c>
      <c r="S1446">
        <v>3.6</v>
      </c>
      <c r="T1446" t="s">
        <v>5613</v>
      </c>
      <c r="U1446">
        <v>9.6</v>
      </c>
      <c r="V1446" t="s">
        <v>5613</v>
      </c>
      <c r="W1446">
        <v>1</v>
      </c>
      <c r="X1446" t="s">
        <v>5613</v>
      </c>
      <c r="Y1446">
        <v>5</v>
      </c>
      <c r="Z1446" t="s">
        <v>5613</v>
      </c>
      <c r="AA1446">
        <v>1.1000000000000001</v>
      </c>
      <c r="AB1446" t="s">
        <v>5613</v>
      </c>
      <c r="AC1446" t="s">
        <v>6207</v>
      </c>
    </row>
    <row r="1447" spans="1:29">
      <c r="A1447" t="s">
        <v>6546</v>
      </c>
      <c r="B1447" t="s">
        <v>6343</v>
      </c>
      <c r="C1447" t="s">
        <v>6789</v>
      </c>
      <c r="D1447" t="s">
        <v>5723</v>
      </c>
      <c r="E1447" t="s">
        <v>1093</v>
      </c>
      <c r="F1447" t="s">
        <v>5605</v>
      </c>
      <c r="G1447" t="s">
        <v>5602</v>
      </c>
      <c r="H1447" t="s">
        <v>5809</v>
      </c>
      <c r="I1447">
        <v>3</v>
      </c>
      <c r="J1447" t="s">
        <v>5591</v>
      </c>
      <c r="K1447">
        <v>5.5</v>
      </c>
      <c r="L1447" t="s">
        <v>5737</v>
      </c>
      <c r="M1447">
        <v>2.2000000000000002</v>
      </c>
      <c r="N1447" t="s">
        <v>5737</v>
      </c>
      <c r="O1447">
        <v>4.9000000000000004</v>
      </c>
      <c r="P1447" t="s">
        <v>5613</v>
      </c>
      <c r="Q1447">
        <v>2.9</v>
      </c>
      <c r="R1447" t="s">
        <v>5613</v>
      </c>
      <c r="S1447">
        <v>11.1</v>
      </c>
      <c r="T1447" t="s">
        <v>5613</v>
      </c>
      <c r="U1447">
        <v>1.4</v>
      </c>
      <c r="V1447" t="s">
        <v>5613</v>
      </c>
      <c r="W1447">
        <v>1.9</v>
      </c>
      <c r="X1447" t="s">
        <v>5613</v>
      </c>
      <c r="Y1447">
        <v>8.5</v>
      </c>
      <c r="Z1447" t="s">
        <v>5613</v>
      </c>
      <c r="AA1447">
        <v>1.7</v>
      </c>
      <c r="AB1447" t="s">
        <v>5613</v>
      </c>
      <c r="AC1447" t="s">
        <v>6207</v>
      </c>
    </row>
    <row r="1448" spans="1:29">
      <c r="A1448" t="s">
        <v>6546</v>
      </c>
      <c r="B1448" t="s">
        <v>6343</v>
      </c>
      <c r="C1448" t="s">
        <v>6790</v>
      </c>
      <c r="D1448" t="s">
        <v>5707</v>
      </c>
      <c r="E1448" t="s">
        <v>1613</v>
      </c>
      <c r="F1448" t="s">
        <v>5593</v>
      </c>
      <c r="G1448" t="s">
        <v>5594</v>
      </c>
      <c r="H1448" t="s">
        <v>6146</v>
      </c>
      <c r="I1448">
        <v>4</v>
      </c>
      <c r="J1448" t="s">
        <v>5595</v>
      </c>
      <c r="K1448">
        <v>4.9000000000000004</v>
      </c>
      <c r="L1448" t="s">
        <v>5737</v>
      </c>
      <c r="M1448">
        <v>2.9</v>
      </c>
      <c r="N1448" t="s">
        <v>5737</v>
      </c>
      <c r="O1448">
        <v>5.2</v>
      </c>
      <c r="P1448" t="s">
        <v>5613</v>
      </c>
      <c r="Q1448">
        <v>2.4</v>
      </c>
      <c r="R1448" t="s">
        <v>5613</v>
      </c>
      <c r="S1448">
        <v>5.4</v>
      </c>
      <c r="T1448" t="s">
        <v>5613</v>
      </c>
      <c r="U1448">
        <v>1.6</v>
      </c>
      <c r="V1448" t="s">
        <v>5613</v>
      </c>
      <c r="W1448">
        <v>1</v>
      </c>
      <c r="X1448" t="s">
        <v>5613</v>
      </c>
      <c r="Y1448">
        <v>6</v>
      </c>
      <c r="Z1448" t="s">
        <v>5613</v>
      </c>
      <c r="AA1448">
        <v>1</v>
      </c>
      <c r="AB1448" t="s">
        <v>5613</v>
      </c>
      <c r="AC1448" t="s">
        <v>6207</v>
      </c>
    </row>
    <row r="1449" spans="1:29">
      <c r="A1449" t="s">
        <v>6546</v>
      </c>
      <c r="B1449" t="s">
        <v>6343</v>
      </c>
      <c r="C1449" t="s">
        <v>6791</v>
      </c>
      <c r="D1449" t="s">
        <v>5707</v>
      </c>
      <c r="E1449" t="s">
        <v>1613</v>
      </c>
      <c r="F1449" t="s">
        <v>5605</v>
      </c>
      <c r="G1449" t="s">
        <v>5594</v>
      </c>
      <c r="H1449" t="s">
        <v>6146</v>
      </c>
      <c r="I1449">
        <v>5</v>
      </c>
      <c r="J1449" t="s">
        <v>5595</v>
      </c>
      <c r="K1449">
        <v>6.2</v>
      </c>
      <c r="L1449" t="s">
        <v>5737</v>
      </c>
      <c r="M1449">
        <v>2.4</v>
      </c>
      <c r="N1449" t="s">
        <v>5737</v>
      </c>
      <c r="O1449">
        <v>5.5</v>
      </c>
      <c r="P1449" t="s">
        <v>5613</v>
      </c>
      <c r="Q1449">
        <v>2.4</v>
      </c>
      <c r="R1449" t="s">
        <v>5613</v>
      </c>
      <c r="S1449">
        <v>1.6</v>
      </c>
      <c r="T1449" t="s">
        <v>5613</v>
      </c>
      <c r="U1449">
        <v>1.4</v>
      </c>
      <c r="V1449" t="s">
        <v>5613</v>
      </c>
      <c r="W1449">
        <v>1.3</v>
      </c>
      <c r="X1449" t="s">
        <v>5613</v>
      </c>
      <c r="Y1449">
        <v>3.9</v>
      </c>
      <c r="Z1449" t="s">
        <v>5613</v>
      </c>
      <c r="AA1449">
        <v>1.2</v>
      </c>
      <c r="AB1449" t="s">
        <v>5613</v>
      </c>
      <c r="AC1449" t="s">
        <v>6207</v>
      </c>
    </row>
    <row r="1450" spans="1:29">
      <c r="A1450" t="s">
        <v>6546</v>
      </c>
      <c r="B1450" t="s">
        <v>6343</v>
      </c>
      <c r="C1450" t="s">
        <v>6792</v>
      </c>
      <c r="D1450" t="s">
        <v>5707</v>
      </c>
      <c r="E1450" t="s">
        <v>1613</v>
      </c>
      <c r="F1450" t="s">
        <v>5593</v>
      </c>
      <c r="G1450" t="s">
        <v>5589</v>
      </c>
      <c r="H1450" t="s">
        <v>5809</v>
      </c>
      <c r="I1450">
        <v>5</v>
      </c>
      <c r="J1450" t="s">
        <v>5595</v>
      </c>
      <c r="K1450">
        <v>5.6</v>
      </c>
      <c r="L1450" t="s">
        <v>5737</v>
      </c>
      <c r="M1450">
        <v>1.5</v>
      </c>
      <c r="N1450" t="s">
        <v>5737</v>
      </c>
      <c r="O1450">
        <v>5</v>
      </c>
      <c r="P1450" t="s">
        <v>5613</v>
      </c>
      <c r="Q1450">
        <v>2.4</v>
      </c>
      <c r="R1450" t="s">
        <v>5613</v>
      </c>
      <c r="S1450">
        <v>2.2999999999999998</v>
      </c>
      <c r="T1450" t="s">
        <v>5613</v>
      </c>
      <c r="U1450">
        <v>1.1000000000000001</v>
      </c>
      <c r="V1450" t="s">
        <v>5613</v>
      </c>
      <c r="W1450">
        <v>1</v>
      </c>
      <c r="X1450" t="s">
        <v>5613</v>
      </c>
      <c r="Y1450">
        <v>3.9</v>
      </c>
      <c r="Z1450" t="s">
        <v>5613</v>
      </c>
      <c r="AA1450">
        <v>1</v>
      </c>
      <c r="AB1450" t="s">
        <v>5613</v>
      </c>
      <c r="AC1450" t="s">
        <v>6207</v>
      </c>
    </row>
    <row r="1451" spans="1:29">
      <c r="A1451" t="s">
        <v>6546</v>
      </c>
      <c r="B1451" t="s">
        <v>6343</v>
      </c>
      <c r="C1451" t="s">
        <v>6793</v>
      </c>
      <c r="D1451" t="s">
        <v>5707</v>
      </c>
      <c r="E1451" t="s">
        <v>1613</v>
      </c>
      <c r="F1451" t="s">
        <v>5593</v>
      </c>
      <c r="G1451" t="s">
        <v>5594</v>
      </c>
      <c r="H1451" t="s">
        <v>6146</v>
      </c>
      <c r="I1451">
        <v>4</v>
      </c>
      <c r="J1451" t="s">
        <v>5595</v>
      </c>
      <c r="K1451">
        <v>4</v>
      </c>
      <c r="L1451" t="s">
        <v>5737</v>
      </c>
      <c r="M1451">
        <v>2.2000000000000002</v>
      </c>
      <c r="N1451" t="s">
        <v>5737</v>
      </c>
      <c r="O1451">
        <v>13</v>
      </c>
      <c r="P1451" t="s">
        <v>5613</v>
      </c>
      <c r="Q1451">
        <v>1.6</v>
      </c>
      <c r="R1451" t="s">
        <v>5613</v>
      </c>
      <c r="S1451">
        <v>3.2</v>
      </c>
      <c r="T1451" t="s">
        <v>5613</v>
      </c>
      <c r="U1451">
        <v>1.1000000000000001</v>
      </c>
      <c r="V1451" t="s">
        <v>5613</v>
      </c>
      <c r="W1451">
        <v>1.1000000000000001</v>
      </c>
      <c r="X1451" t="s">
        <v>5613</v>
      </c>
      <c r="Y1451">
        <v>4</v>
      </c>
      <c r="Z1451" t="s">
        <v>5613</v>
      </c>
      <c r="AA1451">
        <v>3.8</v>
      </c>
      <c r="AB1451" t="s">
        <v>5613</v>
      </c>
      <c r="AC1451" t="s">
        <v>6207</v>
      </c>
    </row>
    <row r="1452" spans="1:29">
      <c r="A1452" t="s">
        <v>6546</v>
      </c>
      <c r="B1452" t="s">
        <v>6546</v>
      </c>
      <c r="C1452" t="s">
        <v>6794</v>
      </c>
      <c r="D1452" t="s">
        <v>6717</v>
      </c>
      <c r="E1452" t="s">
        <v>4935</v>
      </c>
      <c r="F1452" t="s">
        <v>5593</v>
      </c>
      <c r="G1452" t="s">
        <v>5602</v>
      </c>
      <c r="H1452" t="s">
        <v>6146</v>
      </c>
      <c r="I1452">
        <v>4</v>
      </c>
      <c r="J1452" t="s">
        <v>5591</v>
      </c>
      <c r="K1452">
        <v>5.3</v>
      </c>
      <c r="L1452" t="s">
        <v>5737</v>
      </c>
      <c r="M1452">
        <v>3.2</v>
      </c>
      <c r="N1452" t="s">
        <v>5737</v>
      </c>
      <c r="O1452">
        <v>3.9</v>
      </c>
      <c r="P1452" t="s">
        <v>5613</v>
      </c>
      <c r="Q1452">
        <v>1.1000000000000001</v>
      </c>
      <c r="R1452" t="s">
        <v>5613</v>
      </c>
      <c r="S1452">
        <v>2.5</v>
      </c>
      <c r="T1452" t="s">
        <v>5613</v>
      </c>
      <c r="U1452">
        <v>3</v>
      </c>
      <c r="V1452" t="s">
        <v>5613</v>
      </c>
      <c r="W1452">
        <v>1</v>
      </c>
      <c r="X1452" t="s">
        <v>5613</v>
      </c>
      <c r="Y1452">
        <v>16.100000000000001</v>
      </c>
      <c r="Z1452">
        <v>521</v>
      </c>
      <c r="AC1452" t="s">
        <v>6207</v>
      </c>
    </row>
    <row r="1453" spans="1:29">
      <c r="A1453" t="s">
        <v>6546</v>
      </c>
      <c r="B1453" t="s">
        <v>6343</v>
      </c>
      <c r="C1453" t="s">
        <v>6795</v>
      </c>
      <c r="D1453" t="s">
        <v>5589</v>
      </c>
      <c r="E1453" t="s">
        <v>1820</v>
      </c>
      <c r="F1453" t="s">
        <v>5588</v>
      </c>
      <c r="G1453" t="s">
        <v>5602</v>
      </c>
      <c r="H1453" t="s">
        <v>5809</v>
      </c>
      <c r="I1453">
        <v>4</v>
      </c>
      <c r="J1453" t="s">
        <v>5591</v>
      </c>
      <c r="K1453">
        <v>6.4</v>
      </c>
      <c r="L1453" t="s">
        <v>5737</v>
      </c>
      <c r="M1453">
        <v>4.9000000000000004</v>
      </c>
      <c r="N1453" t="s">
        <v>5737</v>
      </c>
      <c r="O1453">
        <v>5.2</v>
      </c>
      <c r="P1453" t="s">
        <v>5613</v>
      </c>
      <c r="Q1453">
        <v>1.5</v>
      </c>
      <c r="R1453" t="s">
        <v>5613</v>
      </c>
      <c r="S1453">
        <v>3.2</v>
      </c>
      <c r="T1453" t="s">
        <v>5613</v>
      </c>
      <c r="U1453">
        <v>1.3</v>
      </c>
      <c r="V1453" t="s">
        <v>5613</v>
      </c>
      <c r="W1453">
        <v>1</v>
      </c>
      <c r="X1453" t="s">
        <v>5613</v>
      </c>
      <c r="Y1453">
        <v>7.9</v>
      </c>
      <c r="Z1453" t="s">
        <v>5613</v>
      </c>
      <c r="AA1453">
        <v>1.6</v>
      </c>
      <c r="AB1453" t="s">
        <v>5613</v>
      </c>
      <c r="AC1453" t="s">
        <v>6207</v>
      </c>
    </row>
    <row r="1454" spans="1:29">
      <c r="A1454" t="s">
        <v>6546</v>
      </c>
      <c r="B1454" t="s">
        <v>6343</v>
      </c>
      <c r="C1454" t="s">
        <v>6796</v>
      </c>
      <c r="D1454" t="s">
        <v>5723</v>
      </c>
      <c r="E1454" t="s">
        <v>1093</v>
      </c>
      <c r="F1454" t="s">
        <v>5588</v>
      </c>
      <c r="G1454" t="s">
        <v>5594</v>
      </c>
      <c r="H1454" t="s">
        <v>5809</v>
      </c>
      <c r="I1454">
        <v>3</v>
      </c>
      <c r="J1454" t="s">
        <v>5591</v>
      </c>
      <c r="K1454">
        <v>3.7</v>
      </c>
      <c r="L1454" t="s">
        <v>5737</v>
      </c>
      <c r="M1454">
        <v>2.4</v>
      </c>
      <c r="N1454" t="s">
        <v>5737</v>
      </c>
      <c r="O1454">
        <v>8.6</v>
      </c>
      <c r="P1454" t="s">
        <v>5613</v>
      </c>
      <c r="Q1454">
        <v>2.6</v>
      </c>
      <c r="R1454" t="s">
        <v>5613</v>
      </c>
      <c r="S1454">
        <v>5.5</v>
      </c>
      <c r="T1454" t="s">
        <v>5613</v>
      </c>
      <c r="U1454">
        <v>1.1000000000000001</v>
      </c>
      <c r="V1454" t="s">
        <v>5613</v>
      </c>
      <c r="W1454">
        <v>1.2</v>
      </c>
      <c r="X1454" t="s">
        <v>5613</v>
      </c>
      <c r="Y1454">
        <v>4.0999999999999996</v>
      </c>
      <c r="Z1454" t="s">
        <v>5613</v>
      </c>
      <c r="AA1454">
        <v>1.4</v>
      </c>
      <c r="AB1454" t="s">
        <v>5613</v>
      </c>
      <c r="AC1454" t="s">
        <v>6207</v>
      </c>
    </row>
    <row r="1455" spans="1:29">
      <c r="A1455" t="s">
        <v>6546</v>
      </c>
      <c r="B1455" t="s">
        <v>6546</v>
      </c>
      <c r="C1455" t="s">
        <v>6797</v>
      </c>
      <c r="D1455" t="s">
        <v>6372</v>
      </c>
      <c r="E1455" t="s">
        <v>2513</v>
      </c>
      <c r="F1455" t="s">
        <v>5593</v>
      </c>
      <c r="G1455" t="s">
        <v>5602</v>
      </c>
      <c r="H1455" t="s">
        <v>6146</v>
      </c>
      <c r="I1455">
        <v>4</v>
      </c>
      <c r="J1455" t="s">
        <v>5591</v>
      </c>
      <c r="K1455">
        <v>3.9</v>
      </c>
      <c r="L1455" t="s">
        <v>5737</v>
      </c>
      <c r="M1455">
        <v>4.2</v>
      </c>
      <c r="N1455" t="s">
        <v>5737</v>
      </c>
      <c r="O1455">
        <v>2.9</v>
      </c>
      <c r="P1455" t="s">
        <v>5613</v>
      </c>
      <c r="Q1455">
        <v>1.3</v>
      </c>
      <c r="R1455" t="s">
        <v>5613</v>
      </c>
      <c r="S1455">
        <v>6.9</v>
      </c>
      <c r="T1455" t="s">
        <v>5613</v>
      </c>
      <c r="U1455">
        <v>1.3</v>
      </c>
      <c r="V1455" t="s">
        <v>5613</v>
      </c>
      <c r="W1455">
        <v>1</v>
      </c>
      <c r="X1455" t="s">
        <v>5613</v>
      </c>
      <c r="Y1455">
        <v>14.4</v>
      </c>
      <c r="Z1455">
        <v>585</v>
      </c>
      <c r="AA1455">
        <v>1</v>
      </c>
      <c r="AB1455" t="s">
        <v>5613</v>
      </c>
      <c r="AC1455" t="s">
        <v>6207</v>
      </c>
    </row>
    <row r="1456" spans="1:29">
      <c r="A1456" t="s">
        <v>6546</v>
      </c>
      <c r="B1456" t="s">
        <v>6343</v>
      </c>
      <c r="C1456" t="s">
        <v>6798</v>
      </c>
      <c r="D1456" t="s">
        <v>5723</v>
      </c>
      <c r="E1456" t="s">
        <v>1093</v>
      </c>
      <c r="F1456" t="s">
        <v>5593</v>
      </c>
      <c r="G1456" t="s">
        <v>5602</v>
      </c>
      <c r="H1456" t="s">
        <v>6146</v>
      </c>
      <c r="I1456">
        <v>3</v>
      </c>
      <c r="J1456" t="s">
        <v>5926</v>
      </c>
      <c r="K1456">
        <v>4.8</v>
      </c>
      <c r="L1456" t="s">
        <v>5737</v>
      </c>
      <c r="M1456">
        <v>3.2</v>
      </c>
      <c r="N1456" t="s">
        <v>5737</v>
      </c>
      <c r="O1456">
        <v>3.2</v>
      </c>
      <c r="P1456" t="s">
        <v>5613</v>
      </c>
      <c r="Q1456">
        <v>1.7</v>
      </c>
      <c r="R1456" t="s">
        <v>5613</v>
      </c>
      <c r="S1456">
        <v>4.2</v>
      </c>
      <c r="T1456" t="s">
        <v>5613</v>
      </c>
      <c r="U1456">
        <v>1.9</v>
      </c>
      <c r="V1456" t="s">
        <v>5613</v>
      </c>
      <c r="W1456">
        <v>1</v>
      </c>
      <c r="X1456" t="s">
        <v>5613</v>
      </c>
      <c r="Y1456">
        <v>4.0999999999999996</v>
      </c>
      <c r="Z1456" t="s">
        <v>5613</v>
      </c>
      <c r="AA1456">
        <v>1</v>
      </c>
      <c r="AB1456" t="s">
        <v>5613</v>
      </c>
      <c r="AC1456" t="s">
        <v>6207</v>
      </c>
    </row>
    <row r="1457" spans="1:29">
      <c r="A1457" t="s">
        <v>6546</v>
      </c>
      <c r="B1457" t="s">
        <v>6343</v>
      </c>
      <c r="C1457" t="s">
        <v>6799</v>
      </c>
      <c r="D1457" t="s">
        <v>5589</v>
      </c>
      <c r="E1457" t="s">
        <v>1820</v>
      </c>
      <c r="F1457" t="s">
        <v>5593</v>
      </c>
      <c r="G1457" t="s">
        <v>5594</v>
      </c>
      <c r="H1457" t="s">
        <v>6146</v>
      </c>
      <c r="I1457">
        <v>4</v>
      </c>
      <c r="J1457" t="s">
        <v>5595</v>
      </c>
      <c r="K1457">
        <v>5.4</v>
      </c>
      <c r="L1457" t="s">
        <v>5737</v>
      </c>
      <c r="M1457">
        <v>4</v>
      </c>
      <c r="N1457" t="s">
        <v>5737</v>
      </c>
      <c r="O1457">
        <v>3</v>
      </c>
      <c r="P1457" t="s">
        <v>5613</v>
      </c>
      <c r="Q1457">
        <v>1.5</v>
      </c>
      <c r="R1457" t="s">
        <v>5613</v>
      </c>
      <c r="W1457">
        <v>1</v>
      </c>
      <c r="X1457" t="s">
        <v>5613</v>
      </c>
      <c r="Y1457">
        <v>6.2</v>
      </c>
      <c r="Z1457" t="s">
        <v>5613</v>
      </c>
      <c r="AA1457">
        <v>1</v>
      </c>
      <c r="AB1457" t="s">
        <v>5613</v>
      </c>
      <c r="AC1457" t="s">
        <v>6207</v>
      </c>
    </row>
    <row r="1458" spans="1:29">
      <c r="A1458" t="s">
        <v>6546</v>
      </c>
      <c r="B1458" t="s">
        <v>6343</v>
      </c>
      <c r="C1458" t="s">
        <v>6800</v>
      </c>
      <c r="D1458" t="s">
        <v>6372</v>
      </c>
      <c r="E1458" t="s">
        <v>2513</v>
      </c>
      <c r="F1458" t="s">
        <v>5593</v>
      </c>
      <c r="G1458" t="s">
        <v>5594</v>
      </c>
      <c r="H1458" t="s">
        <v>6146</v>
      </c>
      <c r="I1458">
        <v>5</v>
      </c>
      <c r="J1458" t="s">
        <v>5595</v>
      </c>
      <c r="K1458">
        <v>6.3</v>
      </c>
      <c r="L1458" t="s">
        <v>5737</v>
      </c>
      <c r="M1458">
        <v>2.2999999999999998</v>
      </c>
      <c r="N1458" t="s">
        <v>5737</v>
      </c>
      <c r="O1458">
        <v>4.4000000000000004</v>
      </c>
      <c r="P1458" t="s">
        <v>5613</v>
      </c>
      <c r="Q1458">
        <v>2.2999999999999998</v>
      </c>
      <c r="R1458" t="s">
        <v>5613</v>
      </c>
      <c r="S1458">
        <v>3.3</v>
      </c>
      <c r="T1458" t="s">
        <v>5613</v>
      </c>
      <c r="U1458">
        <v>1.5</v>
      </c>
      <c r="V1458" t="s">
        <v>5613</v>
      </c>
      <c r="W1458">
        <v>1.1000000000000001</v>
      </c>
      <c r="X1458" t="s">
        <v>5613</v>
      </c>
      <c r="Y1458">
        <v>6.1</v>
      </c>
      <c r="Z1458" t="s">
        <v>5613</v>
      </c>
      <c r="AA1458">
        <v>1.1000000000000001</v>
      </c>
      <c r="AB1458" t="s">
        <v>5613</v>
      </c>
      <c r="AC1458" t="s">
        <v>6207</v>
      </c>
    </row>
    <row r="1459" spans="1:29">
      <c r="A1459" t="s">
        <v>6546</v>
      </c>
      <c r="B1459" t="s">
        <v>6343</v>
      </c>
      <c r="C1459" t="s">
        <v>6801</v>
      </c>
      <c r="D1459" t="s">
        <v>5589</v>
      </c>
      <c r="E1459" t="s">
        <v>1820</v>
      </c>
      <c r="F1459" t="s">
        <v>5588</v>
      </c>
      <c r="G1459" t="s">
        <v>5602</v>
      </c>
      <c r="H1459" t="s">
        <v>5809</v>
      </c>
      <c r="I1459">
        <v>4</v>
      </c>
      <c r="J1459" t="s">
        <v>5591</v>
      </c>
      <c r="K1459">
        <v>6.3</v>
      </c>
      <c r="L1459" t="s">
        <v>5737</v>
      </c>
      <c r="M1459">
        <v>4.8</v>
      </c>
      <c r="N1459" t="s">
        <v>5737</v>
      </c>
      <c r="O1459">
        <v>5.8</v>
      </c>
      <c r="P1459" t="s">
        <v>5613</v>
      </c>
      <c r="Q1459">
        <v>1.3</v>
      </c>
      <c r="R1459" t="s">
        <v>5613</v>
      </c>
      <c r="S1459">
        <v>2.2000000000000002</v>
      </c>
      <c r="T1459" t="s">
        <v>5613</v>
      </c>
      <c r="U1459">
        <v>1.5</v>
      </c>
      <c r="V1459" t="s">
        <v>5613</v>
      </c>
      <c r="W1459">
        <v>1</v>
      </c>
      <c r="X1459" t="s">
        <v>5613</v>
      </c>
      <c r="Y1459">
        <v>7.3</v>
      </c>
      <c r="Z1459" t="s">
        <v>5613</v>
      </c>
      <c r="AA1459">
        <v>1.1000000000000001</v>
      </c>
      <c r="AB1459" t="s">
        <v>5613</v>
      </c>
      <c r="AC1459" t="s">
        <v>6207</v>
      </c>
    </row>
    <row r="1460" spans="1:29">
      <c r="A1460" t="s">
        <v>6546</v>
      </c>
      <c r="B1460" t="s">
        <v>6343</v>
      </c>
      <c r="C1460" t="s">
        <v>6802</v>
      </c>
      <c r="D1460" t="s">
        <v>5723</v>
      </c>
      <c r="E1460" t="s">
        <v>1093</v>
      </c>
      <c r="F1460" t="s">
        <v>5588</v>
      </c>
      <c r="G1460" t="s">
        <v>5602</v>
      </c>
      <c r="H1460" t="s">
        <v>5809</v>
      </c>
      <c r="I1460">
        <v>3</v>
      </c>
      <c r="J1460" t="s">
        <v>5595</v>
      </c>
      <c r="K1460">
        <v>3.9</v>
      </c>
      <c r="L1460" t="s">
        <v>5737</v>
      </c>
      <c r="M1460">
        <v>2</v>
      </c>
      <c r="N1460" t="s">
        <v>5737</v>
      </c>
      <c r="O1460">
        <v>3</v>
      </c>
      <c r="P1460" t="s">
        <v>5613</v>
      </c>
      <c r="Q1460">
        <v>7.3</v>
      </c>
      <c r="R1460" t="s">
        <v>5613</v>
      </c>
      <c r="S1460">
        <v>4.7</v>
      </c>
      <c r="T1460" t="s">
        <v>5613</v>
      </c>
      <c r="U1460">
        <v>1.3</v>
      </c>
      <c r="V1460" t="s">
        <v>5613</v>
      </c>
      <c r="W1460">
        <v>1</v>
      </c>
      <c r="X1460" t="s">
        <v>5613</v>
      </c>
      <c r="Y1460">
        <v>7.7</v>
      </c>
      <c r="Z1460" t="s">
        <v>5613</v>
      </c>
      <c r="AA1460">
        <v>1.2</v>
      </c>
      <c r="AB1460" t="s">
        <v>5613</v>
      </c>
      <c r="AC1460" t="s">
        <v>6207</v>
      </c>
    </row>
    <row r="1461" spans="1:29">
      <c r="A1461" t="s">
        <v>6546</v>
      </c>
      <c r="B1461" t="s">
        <v>6343</v>
      </c>
      <c r="C1461" t="s">
        <v>6803</v>
      </c>
      <c r="D1461" t="s">
        <v>5589</v>
      </c>
      <c r="E1461" t="s">
        <v>1820</v>
      </c>
      <c r="F1461" t="s">
        <v>5593</v>
      </c>
      <c r="G1461" t="s">
        <v>5602</v>
      </c>
      <c r="H1461" t="s">
        <v>6146</v>
      </c>
      <c r="I1461">
        <v>3</v>
      </c>
      <c r="J1461" t="s">
        <v>5926</v>
      </c>
      <c r="K1461">
        <v>3.8</v>
      </c>
      <c r="L1461" t="s">
        <v>5737</v>
      </c>
      <c r="M1461">
        <v>2.9</v>
      </c>
      <c r="N1461" t="s">
        <v>5737</v>
      </c>
      <c r="O1461">
        <v>6.7</v>
      </c>
      <c r="P1461" t="s">
        <v>5613</v>
      </c>
      <c r="Q1461">
        <v>1.3</v>
      </c>
      <c r="R1461" t="s">
        <v>5613</v>
      </c>
      <c r="S1461">
        <v>8.6999999999999993</v>
      </c>
      <c r="T1461" t="s">
        <v>5613</v>
      </c>
      <c r="U1461">
        <v>1.6</v>
      </c>
      <c r="V1461" t="s">
        <v>5613</v>
      </c>
      <c r="W1461">
        <v>1</v>
      </c>
      <c r="X1461" t="s">
        <v>5613</v>
      </c>
      <c r="Y1461">
        <v>8</v>
      </c>
      <c r="Z1461" t="s">
        <v>5613</v>
      </c>
      <c r="AA1461">
        <v>1</v>
      </c>
      <c r="AB1461" t="s">
        <v>5613</v>
      </c>
      <c r="AC1461" t="s">
        <v>6207</v>
      </c>
    </row>
    <row r="1462" spans="1:29">
      <c r="A1462" t="s">
        <v>6546</v>
      </c>
      <c r="B1462" t="s">
        <v>6343</v>
      </c>
      <c r="C1462" t="s">
        <v>6804</v>
      </c>
      <c r="D1462" t="s">
        <v>5707</v>
      </c>
      <c r="E1462" t="s">
        <v>1613</v>
      </c>
      <c r="F1462" t="s">
        <v>5605</v>
      </c>
      <c r="G1462" t="s">
        <v>5589</v>
      </c>
      <c r="H1462" t="s">
        <v>5809</v>
      </c>
      <c r="I1462">
        <v>4</v>
      </c>
      <c r="J1462" t="s">
        <v>5595</v>
      </c>
      <c r="K1462">
        <v>4</v>
      </c>
      <c r="L1462" t="s">
        <v>5737</v>
      </c>
      <c r="M1462">
        <v>1.7</v>
      </c>
      <c r="N1462" t="s">
        <v>5737</v>
      </c>
      <c r="O1462">
        <v>4.5</v>
      </c>
      <c r="P1462" t="s">
        <v>5613</v>
      </c>
      <c r="Q1462">
        <v>1.8</v>
      </c>
      <c r="R1462" t="s">
        <v>5613</v>
      </c>
      <c r="S1462">
        <v>3.7</v>
      </c>
      <c r="T1462" t="s">
        <v>5613</v>
      </c>
      <c r="U1462">
        <v>1.5</v>
      </c>
      <c r="V1462" t="s">
        <v>5613</v>
      </c>
      <c r="W1462">
        <v>1</v>
      </c>
      <c r="X1462" t="s">
        <v>5613</v>
      </c>
      <c r="Y1462">
        <v>8.1999999999999993</v>
      </c>
      <c r="Z1462" t="s">
        <v>5613</v>
      </c>
      <c r="AA1462">
        <v>1</v>
      </c>
      <c r="AB1462" t="s">
        <v>5613</v>
      </c>
      <c r="AC1462" t="s">
        <v>6207</v>
      </c>
    </row>
    <row r="1463" spans="1:29">
      <c r="A1463" t="s">
        <v>6546</v>
      </c>
      <c r="B1463" t="s">
        <v>6546</v>
      </c>
      <c r="C1463" t="s">
        <v>6805</v>
      </c>
      <c r="D1463" t="s">
        <v>5723</v>
      </c>
      <c r="E1463" t="s">
        <v>1093</v>
      </c>
      <c r="F1463" t="s">
        <v>5588</v>
      </c>
      <c r="G1463" t="s">
        <v>5602</v>
      </c>
      <c r="H1463" t="s">
        <v>5590</v>
      </c>
      <c r="I1463">
        <v>3</v>
      </c>
      <c r="J1463" t="s">
        <v>5595</v>
      </c>
      <c r="K1463">
        <v>3.6</v>
      </c>
      <c r="L1463" t="s">
        <v>5737</v>
      </c>
      <c r="M1463">
        <v>2.2999999999999998</v>
      </c>
      <c r="N1463" t="s">
        <v>5737</v>
      </c>
      <c r="O1463">
        <v>2.1</v>
      </c>
      <c r="P1463" t="s">
        <v>5613</v>
      </c>
      <c r="Q1463">
        <v>8</v>
      </c>
      <c r="R1463" t="s">
        <v>5613</v>
      </c>
      <c r="W1463">
        <v>2.6</v>
      </c>
      <c r="X1463" t="s">
        <v>5613</v>
      </c>
      <c r="Y1463">
        <v>4.0999999999999996</v>
      </c>
      <c r="Z1463" t="s">
        <v>5613</v>
      </c>
      <c r="AA1463">
        <v>1</v>
      </c>
      <c r="AB1463" t="s">
        <v>5613</v>
      </c>
      <c r="AC1463" t="s">
        <v>6207</v>
      </c>
    </row>
    <row r="1464" spans="1:29">
      <c r="A1464" t="s">
        <v>6546</v>
      </c>
      <c r="B1464" t="s">
        <v>6343</v>
      </c>
      <c r="C1464" t="s">
        <v>4908</v>
      </c>
      <c r="D1464" t="s">
        <v>5589</v>
      </c>
      <c r="E1464" t="s">
        <v>1820</v>
      </c>
      <c r="F1464" t="s">
        <v>5593</v>
      </c>
      <c r="G1464" t="s">
        <v>5589</v>
      </c>
      <c r="H1464" t="s">
        <v>6146</v>
      </c>
      <c r="I1464">
        <v>4</v>
      </c>
      <c r="J1464" t="s">
        <v>5595</v>
      </c>
      <c r="K1464">
        <v>4.2</v>
      </c>
      <c r="L1464" t="s">
        <v>5737</v>
      </c>
      <c r="M1464">
        <v>4.5999999999999996</v>
      </c>
      <c r="N1464" t="s">
        <v>5737</v>
      </c>
      <c r="O1464">
        <v>2.7</v>
      </c>
      <c r="P1464" t="s">
        <v>5613</v>
      </c>
      <c r="Q1464">
        <v>1.3</v>
      </c>
      <c r="R1464" t="s">
        <v>5613</v>
      </c>
      <c r="S1464">
        <v>6.4</v>
      </c>
      <c r="T1464" t="s">
        <v>5613</v>
      </c>
      <c r="U1464">
        <v>1.3</v>
      </c>
      <c r="V1464" t="s">
        <v>5613</v>
      </c>
      <c r="W1464">
        <v>1</v>
      </c>
      <c r="X1464" t="s">
        <v>5613</v>
      </c>
      <c r="Y1464">
        <v>6.4</v>
      </c>
      <c r="Z1464" t="s">
        <v>5613</v>
      </c>
      <c r="AA1464">
        <v>1</v>
      </c>
      <c r="AB1464" t="s">
        <v>5613</v>
      </c>
      <c r="AC1464" t="s">
        <v>6207</v>
      </c>
    </row>
    <row r="1465" spans="1:29">
      <c r="A1465" t="s">
        <v>6546</v>
      </c>
      <c r="B1465" t="s">
        <v>6343</v>
      </c>
      <c r="C1465" t="s">
        <v>6806</v>
      </c>
      <c r="D1465" t="s">
        <v>5707</v>
      </c>
      <c r="E1465" t="s">
        <v>1613</v>
      </c>
      <c r="F1465" t="s">
        <v>5605</v>
      </c>
      <c r="G1465" t="s">
        <v>5602</v>
      </c>
      <c r="H1465" t="s">
        <v>6146</v>
      </c>
      <c r="I1465">
        <v>4</v>
      </c>
      <c r="J1465" t="s">
        <v>5926</v>
      </c>
      <c r="K1465">
        <v>3.7</v>
      </c>
      <c r="L1465" t="s">
        <v>5737</v>
      </c>
      <c r="M1465">
        <v>13.3</v>
      </c>
      <c r="N1465" t="s">
        <v>5737</v>
      </c>
      <c r="O1465">
        <v>4.5999999999999996</v>
      </c>
      <c r="P1465" t="s">
        <v>5613</v>
      </c>
      <c r="Q1465">
        <v>1</v>
      </c>
      <c r="R1465" t="s">
        <v>5613</v>
      </c>
      <c r="S1465">
        <v>1.2</v>
      </c>
      <c r="T1465" t="s">
        <v>5613</v>
      </c>
      <c r="U1465">
        <v>1.3</v>
      </c>
      <c r="V1465" t="s">
        <v>5613</v>
      </c>
      <c r="W1465">
        <v>1</v>
      </c>
      <c r="X1465" t="s">
        <v>5613</v>
      </c>
      <c r="Y1465">
        <v>4.2</v>
      </c>
      <c r="Z1465" t="s">
        <v>5613</v>
      </c>
      <c r="AA1465">
        <v>1</v>
      </c>
      <c r="AB1465" t="s">
        <v>5613</v>
      </c>
      <c r="AC1465" t="s">
        <v>6207</v>
      </c>
    </row>
    <row r="1466" spans="1:29">
      <c r="A1466" t="s">
        <v>6546</v>
      </c>
      <c r="B1466" t="s">
        <v>6546</v>
      </c>
      <c r="C1466" t="s">
        <v>6807</v>
      </c>
      <c r="D1466" t="s">
        <v>6717</v>
      </c>
      <c r="E1466" t="s">
        <v>4935</v>
      </c>
      <c r="F1466" t="s">
        <v>5605</v>
      </c>
      <c r="G1466" t="s">
        <v>5589</v>
      </c>
      <c r="H1466" t="s">
        <v>6548</v>
      </c>
      <c r="I1466">
        <v>5</v>
      </c>
      <c r="J1466" t="s">
        <v>5595</v>
      </c>
      <c r="K1466">
        <v>5</v>
      </c>
      <c r="L1466" t="s">
        <v>5737</v>
      </c>
      <c r="M1466">
        <v>2.6</v>
      </c>
      <c r="N1466" t="s">
        <v>5737</v>
      </c>
      <c r="O1466">
        <v>1.2</v>
      </c>
      <c r="P1466" t="s">
        <v>5613</v>
      </c>
      <c r="Q1466">
        <v>1.1000000000000001</v>
      </c>
      <c r="R1466" t="s">
        <v>5613</v>
      </c>
      <c r="U1466">
        <v>1.1000000000000001</v>
      </c>
      <c r="V1466" t="s">
        <v>5613</v>
      </c>
      <c r="W1466">
        <v>1</v>
      </c>
      <c r="X1466" t="s">
        <v>5613</v>
      </c>
      <c r="Y1466">
        <v>17.100000000000001</v>
      </c>
      <c r="Z1466">
        <v>491</v>
      </c>
      <c r="AA1466">
        <v>1</v>
      </c>
      <c r="AB1466" t="s">
        <v>5613</v>
      </c>
      <c r="AC1466" t="s">
        <v>6207</v>
      </c>
    </row>
    <row r="1467" spans="1:29">
      <c r="A1467" t="s">
        <v>6546</v>
      </c>
      <c r="B1467" t="s">
        <v>6546</v>
      </c>
      <c r="C1467" t="s">
        <v>6808</v>
      </c>
      <c r="D1467" t="s">
        <v>5707</v>
      </c>
      <c r="E1467" t="s">
        <v>1613</v>
      </c>
      <c r="F1467" t="s">
        <v>5605</v>
      </c>
      <c r="G1467" t="s">
        <v>5594</v>
      </c>
      <c r="H1467" t="s">
        <v>6146</v>
      </c>
      <c r="I1467">
        <v>5</v>
      </c>
      <c r="J1467" t="s">
        <v>5595</v>
      </c>
      <c r="K1467">
        <v>3.9</v>
      </c>
      <c r="L1467" t="s">
        <v>5737</v>
      </c>
      <c r="M1467">
        <v>1.8</v>
      </c>
      <c r="N1467" t="s">
        <v>5737</v>
      </c>
      <c r="O1467">
        <v>2.9</v>
      </c>
      <c r="P1467" t="s">
        <v>5613</v>
      </c>
      <c r="Q1467">
        <v>2.1</v>
      </c>
      <c r="R1467" t="s">
        <v>5613</v>
      </c>
      <c r="W1467">
        <v>1.1000000000000001</v>
      </c>
      <c r="X1467" t="s">
        <v>5613</v>
      </c>
      <c r="Y1467">
        <v>3.9</v>
      </c>
      <c r="Z1467" t="s">
        <v>5613</v>
      </c>
      <c r="AA1467">
        <v>1</v>
      </c>
      <c r="AB1467" t="s">
        <v>5613</v>
      </c>
      <c r="AC1467" t="s">
        <v>6207</v>
      </c>
    </row>
    <row r="1468" spans="1:29">
      <c r="A1468" t="s">
        <v>6546</v>
      </c>
      <c r="B1468" t="s">
        <v>6546</v>
      </c>
      <c r="C1468" t="s">
        <v>6809</v>
      </c>
      <c r="D1468" t="s">
        <v>6810</v>
      </c>
      <c r="E1468" t="s">
        <v>6811</v>
      </c>
      <c r="F1468" t="s">
        <v>5605</v>
      </c>
      <c r="G1468" t="s">
        <v>5594</v>
      </c>
      <c r="H1468" t="s">
        <v>6548</v>
      </c>
      <c r="I1468">
        <v>5</v>
      </c>
      <c r="J1468" t="s">
        <v>5595</v>
      </c>
      <c r="K1468">
        <v>4.0999999999999996</v>
      </c>
      <c r="L1468" t="s">
        <v>5737</v>
      </c>
      <c r="M1468">
        <v>5</v>
      </c>
      <c r="N1468" t="s">
        <v>5737</v>
      </c>
      <c r="O1468">
        <v>2.9</v>
      </c>
      <c r="P1468" t="s">
        <v>5613</v>
      </c>
      <c r="Q1468">
        <v>1</v>
      </c>
      <c r="R1468" t="s">
        <v>5613</v>
      </c>
      <c r="S1468">
        <v>1.7</v>
      </c>
      <c r="T1468" t="s">
        <v>5613</v>
      </c>
      <c r="W1468">
        <v>1</v>
      </c>
      <c r="X1468" t="s">
        <v>5613</v>
      </c>
      <c r="Y1468">
        <v>22.4</v>
      </c>
      <c r="Z1468">
        <v>369</v>
      </c>
      <c r="AA1468">
        <v>1</v>
      </c>
      <c r="AB1468" t="s">
        <v>5613</v>
      </c>
      <c r="AC1468" t="s">
        <v>6207</v>
      </c>
    </row>
    <row r="1469" spans="1:29">
      <c r="A1469" t="s">
        <v>6546</v>
      </c>
      <c r="B1469" t="s">
        <v>6343</v>
      </c>
      <c r="C1469" t="s">
        <v>6812</v>
      </c>
      <c r="D1469" t="s">
        <v>5710</v>
      </c>
      <c r="E1469" t="s">
        <v>3726</v>
      </c>
      <c r="F1469" t="s">
        <v>5593</v>
      </c>
      <c r="G1469" t="s">
        <v>5602</v>
      </c>
      <c r="H1469" t="s">
        <v>5809</v>
      </c>
      <c r="I1469">
        <v>3</v>
      </c>
      <c r="J1469" t="s">
        <v>5595</v>
      </c>
      <c r="K1469">
        <v>7.4</v>
      </c>
      <c r="L1469" t="s">
        <v>5737</v>
      </c>
      <c r="M1469">
        <v>2.2000000000000002</v>
      </c>
      <c r="N1469" t="s">
        <v>5737</v>
      </c>
      <c r="O1469">
        <v>3.2</v>
      </c>
      <c r="P1469" t="s">
        <v>5613</v>
      </c>
      <c r="Q1469">
        <v>1.8</v>
      </c>
      <c r="R1469" t="s">
        <v>5613</v>
      </c>
      <c r="S1469">
        <v>3.1</v>
      </c>
      <c r="T1469" t="s">
        <v>5613</v>
      </c>
      <c r="U1469">
        <v>1.8</v>
      </c>
      <c r="V1469" t="s">
        <v>5613</v>
      </c>
      <c r="W1469">
        <v>1</v>
      </c>
      <c r="X1469" t="s">
        <v>5613</v>
      </c>
      <c r="Y1469">
        <v>5.0999999999999996</v>
      </c>
      <c r="Z1469" t="s">
        <v>5613</v>
      </c>
      <c r="AA1469">
        <v>1</v>
      </c>
      <c r="AB1469" t="s">
        <v>5613</v>
      </c>
      <c r="AC1469" t="s">
        <v>6207</v>
      </c>
    </row>
    <row r="1470" spans="1:29">
      <c r="A1470" t="s">
        <v>6546</v>
      </c>
      <c r="B1470" t="s">
        <v>6343</v>
      </c>
      <c r="C1470" t="s">
        <v>6813</v>
      </c>
      <c r="D1470" t="s">
        <v>5710</v>
      </c>
      <c r="E1470" t="s">
        <v>3726</v>
      </c>
      <c r="F1470" t="s">
        <v>5605</v>
      </c>
      <c r="G1470" t="s">
        <v>5594</v>
      </c>
      <c r="H1470" t="s">
        <v>6146</v>
      </c>
      <c r="I1470">
        <v>5</v>
      </c>
      <c r="J1470" t="s">
        <v>5595</v>
      </c>
      <c r="K1470">
        <v>7.4</v>
      </c>
      <c r="L1470" t="s">
        <v>5737</v>
      </c>
      <c r="M1470">
        <v>2.7</v>
      </c>
      <c r="N1470" t="s">
        <v>5737</v>
      </c>
      <c r="O1470">
        <v>2.6</v>
      </c>
      <c r="P1470" t="s">
        <v>5613</v>
      </c>
      <c r="Q1470">
        <v>1.6</v>
      </c>
      <c r="R1470" t="s">
        <v>5613</v>
      </c>
      <c r="W1470">
        <v>2.2999999999999998</v>
      </c>
      <c r="X1470" t="s">
        <v>5613</v>
      </c>
      <c r="Y1470">
        <v>5.0999999999999996</v>
      </c>
      <c r="Z1470" t="s">
        <v>5613</v>
      </c>
      <c r="AA1470">
        <v>1</v>
      </c>
      <c r="AB1470" t="s">
        <v>5613</v>
      </c>
      <c r="AC1470" t="s">
        <v>6207</v>
      </c>
    </row>
    <row r="1471" spans="1:29">
      <c r="A1471" t="s">
        <v>6546</v>
      </c>
      <c r="B1471" t="s">
        <v>6343</v>
      </c>
      <c r="C1471" t="s">
        <v>6814</v>
      </c>
      <c r="D1471" t="s">
        <v>5710</v>
      </c>
      <c r="E1471" t="s">
        <v>3726</v>
      </c>
      <c r="F1471" t="s">
        <v>5593</v>
      </c>
      <c r="G1471" t="s">
        <v>5594</v>
      </c>
      <c r="H1471" t="s">
        <v>5809</v>
      </c>
      <c r="I1471">
        <v>4</v>
      </c>
      <c r="J1471" t="s">
        <v>5595</v>
      </c>
      <c r="K1471">
        <v>5.9</v>
      </c>
      <c r="L1471" t="s">
        <v>5737</v>
      </c>
      <c r="M1471">
        <v>2.5</v>
      </c>
      <c r="N1471" t="s">
        <v>5737</v>
      </c>
      <c r="O1471">
        <v>14.1</v>
      </c>
      <c r="P1471" t="s">
        <v>5613</v>
      </c>
      <c r="Q1471">
        <v>1.8</v>
      </c>
      <c r="R1471" t="s">
        <v>5613</v>
      </c>
      <c r="W1471">
        <v>2.1</v>
      </c>
      <c r="X1471" t="s">
        <v>5613</v>
      </c>
      <c r="Y1471">
        <v>5.0999999999999996</v>
      </c>
      <c r="Z1471" t="s">
        <v>5613</v>
      </c>
      <c r="AA1471">
        <v>1.1000000000000001</v>
      </c>
      <c r="AB1471" t="s">
        <v>5613</v>
      </c>
      <c r="AC1471" t="s">
        <v>6207</v>
      </c>
    </row>
    <row r="1472" spans="1:29">
      <c r="A1472" t="s">
        <v>6546</v>
      </c>
      <c r="C1472" t="s">
        <v>6815</v>
      </c>
      <c r="D1472" t="s">
        <v>6372</v>
      </c>
      <c r="E1472" t="s">
        <v>2513</v>
      </c>
      <c r="F1472" t="s">
        <v>5593</v>
      </c>
      <c r="G1472" t="s">
        <v>5589</v>
      </c>
      <c r="H1472" t="s">
        <v>6146</v>
      </c>
      <c r="I1472">
        <v>3</v>
      </c>
      <c r="J1472" t="s">
        <v>5591</v>
      </c>
      <c r="K1472">
        <v>6</v>
      </c>
      <c r="L1472" t="s">
        <v>5737</v>
      </c>
      <c r="M1472">
        <v>3</v>
      </c>
      <c r="N1472" t="s">
        <v>5737</v>
      </c>
      <c r="O1472">
        <v>3.7</v>
      </c>
      <c r="P1472" t="s">
        <v>5613</v>
      </c>
      <c r="Q1472">
        <v>1.5</v>
      </c>
      <c r="R1472" t="s">
        <v>5613</v>
      </c>
      <c r="S1472">
        <v>7</v>
      </c>
      <c r="T1472" t="s">
        <v>5613</v>
      </c>
      <c r="U1472">
        <v>1.7</v>
      </c>
      <c r="V1472" t="s">
        <v>5613</v>
      </c>
      <c r="W1472">
        <v>1</v>
      </c>
      <c r="X1472" t="s">
        <v>5613</v>
      </c>
      <c r="Y1472">
        <v>6.1</v>
      </c>
      <c r="Z1472" t="s">
        <v>5613</v>
      </c>
      <c r="AA1472">
        <v>1</v>
      </c>
      <c r="AB1472" t="s">
        <v>5613</v>
      </c>
      <c r="AC1472" t="s">
        <v>6207</v>
      </c>
    </row>
    <row r="1473" spans="1:29">
      <c r="A1473" t="s">
        <v>6546</v>
      </c>
      <c r="B1473" t="s">
        <v>6343</v>
      </c>
      <c r="C1473" t="s">
        <v>6816</v>
      </c>
      <c r="D1473" t="s">
        <v>6372</v>
      </c>
      <c r="E1473" t="s">
        <v>2513</v>
      </c>
      <c r="F1473" t="s">
        <v>5605</v>
      </c>
      <c r="G1473" t="s">
        <v>5602</v>
      </c>
      <c r="H1473" t="s">
        <v>5809</v>
      </c>
      <c r="I1473">
        <v>4</v>
      </c>
      <c r="J1473" t="s">
        <v>5591</v>
      </c>
      <c r="K1473">
        <v>5.0999999999999996</v>
      </c>
      <c r="L1473" t="s">
        <v>5737</v>
      </c>
      <c r="M1473">
        <v>2.8</v>
      </c>
      <c r="N1473" t="s">
        <v>5737</v>
      </c>
      <c r="O1473">
        <v>1.2</v>
      </c>
      <c r="P1473" t="s">
        <v>5613</v>
      </c>
      <c r="Q1473">
        <v>1.6</v>
      </c>
      <c r="R1473" t="s">
        <v>5613</v>
      </c>
      <c r="S1473">
        <v>9.3000000000000007</v>
      </c>
      <c r="T1473" t="s">
        <v>5613</v>
      </c>
      <c r="U1473">
        <v>1.3</v>
      </c>
      <c r="V1473" t="s">
        <v>5613</v>
      </c>
      <c r="W1473">
        <v>1</v>
      </c>
      <c r="X1473" t="s">
        <v>5613</v>
      </c>
      <c r="Y1473">
        <v>9.5</v>
      </c>
      <c r="Z1473" t="s">
        <v>5613</v>
      </c>
      <c r="AA1473">
        <v>3.9</v>
      </c>
      <c r="AB1473" t="s">
        <v>5613</v>
      </c>
      <c r="AC1473" t="s">
        <v>6207</v>
      </c>
    </row>
    <row r="1474" spans="1:29">
      <c r="A1474" t="s">
        <v>6546</v>
      </c>
      <c r="B1474" t="s">
        <v>6546</v>
      </c>
      <c r="C1474" t="s">
        <v>6817</v>
      </c>
      <c r="D1474" t="s">
        <v>5589</v>
      </c>
      <c r="E1474" t="s">
        <v>1820</v>
      </c>
      <c r="F1474" t="s">
        <v>5588</v>
      </c>
      <c r="G1474" t="s">
        <v>5602</v>
      </c>
      <c r="H1474" t="s">
        <v>5809</v>
      </c>
      <c r="I1474">
        <v>4</v>
      </c>
      <c r="J1474" t="s">
        <v>5591</v>
      </c>
      <c r="K1474">
        <v>2.6</v>
      </c>
      <c r="L1474" t="s">
        <v>5737</v>
      </c>
      <c r="M1474">
        <v>5.4</v>
      </c>
      <c r="N1474" t="s">
        <v>5737</v>
      </c>
      <c r="O1474">
        <v>2.8</v>
      </c>
      <c r="P1474" t="s">
        <v>5613</v>
      </c>
      <c r="Q1474">
        <v>2.5</v>
      </c>
      <c r="R1474" t="s">
        <v>5613</v>
      </c>
      <c r="S1474">
        <v>8.3000000000000007</v>
      </c>
      <c r="T1474" t="s">
        <v>5613</v>
      </c>
      <c r="U1474">
        <v>6.6</v>
      </c>
      <c r="V1474" t="s">
        <v>5613</v>
      </c>
      <c r="W1474">
        <v>1</v>
      </c>
      <c r="X1474" t="s">
        <v>5613</v>
      </c>
      <c r="Y1474">
        <v>9</v>
      </c>
      <c r="Z1474" t="s">
        <v>5613</v>
      </c>
      <c r="AA1474">
        <v>1</v>
      </c>
      <c r="AB1474" t="s">
        <v>5613</v>
      </c>
      <c r="AC1474" t="s">
        <v>6207</v>
      </c>
    </row>
    <row r="1475" spans="1:29">
      <c r="A1475" t="s">
        <v>6546</v>
      </c>
      <c r="B1475" t="s">
        <v>6343</v>
      </c>
      <c r="C1475" t="s">
        <v>6818</v>
      </c>
      <c r="D1475" t="s">
        <v>5589</v>
      </c>
      <c r="E1475" t="s">
        <v>1820</v>
      </c>
      <c r="F1475" t="s">
        <v>5593</v>
      </c>
      <c r="G1475" t="s">
        <v>5589</v>
      </c>
      <c r="H1475" t="s">
        <v>6146</v>
      </c>
      <c r="I1475">
        <v>4</v>
      </c>
      <c r="J1475" t="s">
        <v>5595</v>
      </c>
      <c r="K1475">
        <v>4</v>
      </c>
      <c r="L1475" t="s">
        <v>5737</v>
      </c>
      <c r="M1475">
        <v>7.1</v>
      </c>
      <c r="N1475" t="s">
        <v>5737</v>
      </c>
      <c r="O1475">
        <v>3.3</v>
      </c>
      <c r="P1475" t="s">
        <v>5613</v>
      </c>
      <c r="Q1475">
        <v>1.9</v>
      </c>
      <c r="R1475" t="s">
        <v>5613</v>
      </c>
      <c r="S1475">
        <v>1.4</v>
      </c>
      <c r="T1475" t="s">
        <v>5613</v>
      </c>
      <c r="U1475">
        <v>1</v>
      </c>
      <c r="V1475" t="s">
        <v>5613</v>
      </c>
      <c r="W1475">
        <v>1</v>
      </c>
      <c r="X1475" t="s">
        <v>5613</v>
      </c>
      <c r="Y1475">
        <v>6.7</v>
      </c>
      <c r="Z1475" t="s">
        <v>5613</v>
      </c>
      <c r="AA1475">
        <v>1</v>
      </c>
      <c r="AB1475" t="s">
        <v>5613</v>
      </c>
      <c r="AC1475" t="s">
        <v>6207</v>
      </c>
    </row>
    <row r="1476" spans="1:29">
      <c r="A1476" t="s">
        <v>6546</v>
      </c>
      <c r="B1476" t="s">
        <v>6343</v>
      </c>
      <c r="C1476" t="s">
        <v>3451</v>
      </c>
      <c r="D1476" t="s">
        <v>5695</v>
      </c>
      <c r="E1476" t="s">
        <v>577</v>
      </c>
      <c r="F1476" t="s">
        <v>5605</v>
      </c>
      <c r="G1476" t="s">
        <v>5589</v>
      </c>
      <c r="H1476" t="s">
        <v>5809</v>
      </c>
      <c r="I1476">
        <v>4</v>
      </c>
      <c r="J1476" t="s">
        <v>5595</v>
      </c>
      <c r="K1476">
        <v>3.9</v>
      </c>
      <c r="L1476" t="s">
        <v>5737</v>
      </c>
      <c r="M1476">
        <v>1.3</v>
      </c>
      <c r="N1476" t="s">
        <v>5737</v>
      </c>
      <c r="O1476">
        <v>20.2</v>
      </c>
      <c r="P1476">
        <v>660</v>
      </c>
      <c r="Q1476">
        <v>1.6</v>
      </c>
      <c r="R1476" t="s">
        <v>5613</v>
      </c>
      <c r="W1476">
        <v>1</v>
      </c>
      <c r="X1476" t="s">
        <v>5613</v>
      </c>
      <c r="Y1476">
        <v>5.0999999999999996</v>
      </c>
      <c r="Z1476" t="s">
        <v>5613</v>
      </c>
      <c r="AA1476">
        <v>1</v>
      </c>
      <c r="AB1476" t="s">
        <v>5613</v>
      </c>
      <c r="AC1476" t="s">
        <v>6207</v>
      </c>
    </row>
    <row r="1477" spans="1:29">
      <c r="A1477" t="s">
        <v>6546</v>
      </c>
      <c r="B1477" t="s">
        <v>6343</v>
      </c>
      <c r="C1477" t="s">
        <v>6819</v>
      </c>
      <c r="D1477" t="s">
        <v>5695</v>
      </c>
      <c r="E1477" t="s">
        <v>577</v>
      </c>
      <c r="F1477" t="s">
        <v>5593</v>
      </c>
      <c r="G1477" t="s">
        <v>5594</v>
      </c>
      <c r="H1477" t="s">
        <v>5809</v>
      </c>
      <c r="I1477">
        <v>4</v>
      </c>
      <c r="J1477" t="s">
        <v>5595</v>
      </c>
      <c r="K1477">
        <v>3.5</v>
      </c>
      <c r="L1477" t="s">
        <v>5737</v>
      </c>
      <c r="M1477">
        <v>2.5</v>
      </c>
      <c r="N1477" t="s">
        <v>5737</v>
      </c>
      <c r="O1477">
        <v>13.4</v>
      </c>
      <c r="P1477" t="s">
        <v>5613</v>
      </c>
      <c r="Q1477">
        <v>3.5</v>
      </c>
      <c r="R1477" t="s">
        <v>5613</v>
      </c>
      <c r="S1477">
        <v>2.2000000000000002</v>
      </c>
      <c r="T1477" t="s">
        <v>5613</v>
      </c>
      <c r="U1477">
        <v>1.3</v>
      </c>
      <c r="V1477" t="s">
        <v>5613</v>
      </c>
      <c r="W1477">
        <v>1.1000000000000001</v>
      </c>
      <c r="X1477" t="s">
        <v>5613</v>
      </c>
      <c r="Y1477">
        <v>3.8</v>
      </c>
      <c r="Z1477" t="s">
        <v>5613</v>
      </c>
      <c r="AA1477">
        <v>3.4</v>
      </c>
      <c r="AB1477" t="s">
        <v>5613</v>
      </c>
      <c r="AC1477" t="s">
        <v>6207</v>
      </c>
    </row>
    <row r="1478" spans="1:29">
      <c r="A1478" t="s">
        <v>6546</v>
      </c>
      <c r="B1478" t="s">
        <v>6343</v>
      </c>
      <c r="C1478" t="s">
        <v>6820</v>
      </c>
      <c r="D1478" t="s">
        <v>5695</v>
      </c>
      <c r="E1478" t="s">
        <v>577</v>
      </c>
      <c r="F1478" t="s">
        <v>5605</v>
      </c>
      <c r="G1478" t="s">
        <v>5589</v>
      </c>
      <c r="H1478" t="s">
        <v>5590</v>
      </c>
      <c r="I1478">
        <v>4</v>
      </c>
      <c r="J1478" t="s">
        <v>5595</v>
      </c>
      <c r="K1478">
        <v>4.0999999999999996</v>
      </c>
      <c r="L1478" t="s">
        <v>5737</v>
      </c>
      <c r="M1478">
        <v>2.7</v>
      </c>
      <c r="N1478" t="s">
        <v>5737</v>
      </c>
      <c r="O1478">
        <v>8.6999999999999993</v>
      </c>
      <c r="P1478" t="s">
        <v>5613</v>
      </c>
      <c r="Q1478">
        <v>3.1</v>
      </c>
      <c r="R1478" t="s">
        <v>5613</v>
      </c>
      <c r="S1478">
        <v>2.7</v>
      </c>
      <c r="T1478" t="s">
        <v>5613</v>
      </c>
      <c r="U1478">
        <v>1.1000000000000001</v>
      </c>
      <c r="V1478" t="s">
        <v>5613</v>
      </c>
      <c r="W1478">
        <v>3.3</v>
      </c>
      <c r="X1478" t="s">
        <v>5613</v>
      </c>
      <c r="Y1478">
        <v>3.8</v>
      </c>
      <c r="Z1478" t="s">
        <v>5613</v>
      </c>
      <c r="AA1478">
        <v>1.4</v>
      </c>
      <c r="AB1478" t="s">
        <v>5613</v>
      </c>
      <c r="AC1478" t="s">
        <v>6207</v>
      </c>
    </row>
    <row r="1479" spans="1:29">
      <c r="A1479" t="s">
        <v>6546</v>
      </c>
      <c r="B1479" t="s">
        <v>6343</v>
      </c>
      <c r="C1479" t="s">
        <v>6821</v>
      </c>
      <c r="D1479" t="s">
        <v>5695</v>
      </c>
      <c r="E1479" t="s">
        <v>577</v>
      </c>
      <c r="F1479" t="s">
        <v>5605</v>
      </c>
      <c r="G1479" t="s">
        <v>5589</v>
      </c>
      <c r="H1479" t="s">
        <v>5590</v>
      </c>
      <c r="I1479">
        <v>4</v>
      </c>
      <c r="J1479" t="s">
        <v>5595</v>
      </c>
      <c r="K1479">
        <v>3.6</v>
      </c>
      <c r="L1479" t="s">
        <v>5737</v>
      </c>
      <c r="M1479">
        <v>1.6</v>
      </c>
      <c r="N1479" t="s">
        <v>5737</v>
      </c>
      <c r="O1479">
        <v>7.1</v>
      </c>
      <c r="P1479" t="s">
        <v>5613</v>
      </c>
      <c r="Q1479">
        <v>4.2</v>
      </c>
      <c r="R1479" t="s">
        <v>5613</v>
      </c>
      <c r="S1479">
        <v>3.7</v>
      </c>
      <c r="T1479" t="s">
        <v>5613</v>
      </c>
      <c r="U1479">
        <v>1.3</v>
      </c>
      <c r="V1479" t="s">
        <v>5613</v>
      </c>
      <c r="W1479">
        <v>1.5</v>
      </c>
      <c r="X1479" t="s">
        <v>5613</v>
      </c>
      <c r="Y1479">
        <v>3.8</v>
      </c>
      <c r="Z1479" t="s">
        <v>5613</v>
      </c>
      <c r="AA1479">
        <v>1.4</v>
      </c>
      <c r="AB1479" t="s">
        <v>5613</v>
      </c>
      <c r="AC1479" t="s">
        <v>6207</v>
      </c>
    </row>
    <row r="1480" spans="1:29">
      <c r="A1480" t="s">
        <v>6546</v>
      </c>
      <c r="B1480" t="s">
        <v>6343</v>
      </c>
      <c r="C1480" t="s">
        <v>6822</v>
      </c>
      <c r="D1480" t="s">
        <v>5695</v>
      </c>
      <c r="E1480" t="s">
        <v>577</v>
      </c>
      <c r="F1480" t="s">
        <v>5593</v>
      </c>
      <c r="G1480" t="s">
        <v>5594</v>
      </c>
      <c r="H1480" t="s">
        <v>5809</v>
      </c>
      <c r="I1480">
        <v>3</v>
      </c>
      <c r="J1480" t="s">
        <v>5595</v>
      </c>
      <c r="K1480">
        <v>3.6</v>
      </c>
      <c r="L1480" t="s">
        <v>5737</v>
      </c>
      <c r="M1480">
        <v>1.9</v>
      </c>
      <c r="N1480" t="s">
        <v>5737</v>
      </c>
      <c r="O1480">
        <v>12.6</v>
      </c>
      <c r="P1480" t="s">
        <v>5613</v>
      </c>
      <c r="Q1480">
        <v>3.5</v>
      </c>
      <c r="R1480" t="s">
        <v>5613</v>
      </c>
      <c r="S1480">
        <v>2.2000000000000002</v>
      </c>
      <c r="T1480" t="s">
        <v>5613</v>
      </c>
      <c r="U1480">
        <v>1.3</v>
      </c>
      <c r="V1480" t="s">
        <v>5613</v>
      </c>
      <c r="W1480">
        <v>1.8</v>
      </c>
      <c r="X1480" t="s">
        <v>5613</v>
      </c>
      <c r="Y1480">
        <v>3.8</v>
      </c>
      <c r="Z1480" t="s">
        <v>5613</v>
      </c>
      <c r="AA1480">
        <v>10.9</v>
      </c>
      <c r="AB1480" t="s">
        <v>6120</v>
      </c>
      <c r="AC1480" t="s">
        <v>6207</v>
      </c>
    </row>
    <row r="1481" spans="1:29">
      <c r="A1481" t="s">
        <v>6546</v>
      </c>
      <c r="B1481" t="s">
        <v>6343</v>
      </c>
      <c r="C1481" t="s">
        <v>6823</v>
      </c>
      <c r="D1481" t="s">
        <v>5695</v>
      </c>
      <c r="E1481" t="s">
        <v>577</v>
      </c>
      <c r="F1481" t="s">
        <v>5593</v>
      </c>
      <c r="G1481" t="s">
        <v>5594</v>
      </c>
      <c r="H1481" t="s">
        <v>6146</v>
      </c>
      <c r="I1481">
        <v>4</v>
      </c>
      <c r="J1481" t="s">
        <v>5595</v>
      </c>
      <c r="K1481">
        <v>3.2</v>
      </c>
      <c r="L1481" t="s">
        <v>5737</v>
      </c>
      <c r="M1481">
        <v>1.9</v>
      </c>
      <c r="N1481" t="s">
        <v>5737</v>
      </c>
      <c r="O1481">
        <v>10</v>
      </c>
      <c r="P1481" t="s">
        <v>5613</v>
      </c>
      <c r="Q1481">
        <v>2.1</v>
      </c>
      <c r="R1481" t="s">
        <v>5613</v>
      </c>
      <c r="W1481">
        <v>1</v>
      </c>
      <c r="X1481" t="s">
        <v>5613</v>
      </c>
      <c r="Y1481">
        <v>3.8</v>
      </c>
      <c r="Z1481" t="s">
        <v>5613</v>
      </c>
      <c r="AA1481">
        <v>1</v>
      </c>
      <c r="AB1481" t="s">
        <v>5613</v>
      </c>
      <c r="AC1481" t="s">
        <v>6207</v>
      </c>
    </row>
    <row r="1482" spans="1:29">
      <c r="A1482" t="s">
        <v>6546</v>
      </c>
      <c r="B1482" t="s">
        <v>6343</v>
      </c>
      <c r="C1482" t="s">
        <v>6824</v>
      </c>
      <c r="D1482" t="s">
        <v>5695</v>
      </c>
      <c r="E1482" t="s">
        <v>577</v>
      </c>
      <c r="F1482" t="s">
        <v>5605</v>
      </c>
      <c r="G1482" t="s">
        <v>5594</v>
      </c>
      <c r="H1482" t="s">
        <v>5809</v>
      </c>
      <c r="I1482">
        <v>4</v>
      </c>
      <c r="J1482" t="s">
        <v>5595</v>
      </c>
      <c r="K1482">
        <v>3.4</v>
      </c>
      <c r="L1482" t="s">
        <v>5737</v>
      </c>
      <c r="M1482">
        <v>1.8</v>
      </c>
      <c r="N1482" t="s">
        <v>5737</v>
      </c>
      <c r="O1482">
        <v>6.7</v>
      </c>
      <c r="P1482" t="s">
        <v>5613</v>
      </c>
      <c r="Q1482">
        <v>2.5</v>
      </c>
      <c r="R1482" t="s">
        <v>5613</v>
      </c>
      <c r="S1482">
        <v>2.8</v>
      </c>
      <c r="T1482" t="s">
        <v>5613</v>
      </c>
      <c r="U1482">
        <v>1.1000000000000001</v>
      </c>
      <c r="V1482" t="s">
        <v>5613</v>
      </c>
      <c r="W1482">
        <v>1.9</v>
      </c>
      <c r="X1482" t="s">
        <v>5613</v>
      </c>
      <c r="Y1482">
        <v>3.8</v>
      </c>
      <c r="Z1482" t="s">
        <v>5613</v>
      </c>
      <c r="AA1482">
        <v>6.4</v>
      </c>
      <c r="AB1482" t="s">
        <v>5613</v>
      </c>
      <c r="AC1482" t="s">
        <v>6207</v>
      </c>
    </row>
    <row r="1483" spans="1:29">
      <c r="A1483" t="s">
        <v>6546</v>
      </c>
      <c r="B1483" t="s">
        <v>6343</v>
      </c>
      <c r="C1483" t="s">
        <v>6825</v>
      </c>
      <c r="D1483" t="s">
        <v>5695</v>
      </c>
      <c r="E1483" t="s">
        <v>577</v>
      </c>
      <c r="F1483" t="s">
        <v>5605</v>
      </c>
      <c r="G1483" t="s">
        <v>5594</v>
      </c>
      <c r="H1483" t="s">
        <v>5809</v>
      </c>
      <c r="I1483">
        <v>4</v>
      </c>
      <c r="J1483" t="s">
        <v>5595</v>
      </c>
      <c r="K1483">
        <v>4.5999999999999996</v>
      </c>
      <c r="L1483" t="s">
        <v>5737</v>
      </c>
      <c r="M1483">
        <v>1.5</v>
      </c>
      <c r="N1483" t="s">
        <v>5737</v>
      </c>
      <c r="O1483">
        <v>8.6</v>
      </c>
      <c r="P1483" t="s">
        <v>5613</v>
      </c>
      <c r="Q1483">
        <v>3.2</v>
      </c>
      <c r="R1483" t="s">
        <v>5613</v>
      </c>
      <c r="W1483">
        <v>5.6</v>
      </c>
      <c r="X1483" t="s">
        <v>5613</v>
      </c>
      <c r="Y1483">
        <v>3.8</v>
      </c>
      <c r="Z1483" t="s">
        <v>5613</v>
      </c>
      <c r="AA1483">
        <v>1.4</v>
      </c>
      <c r="AB1483" t="s">
        <v>5613</v>
      </c>
      <c r="AC1483" t="s">
        <v>6207</v>
      </c>
    </row>
    <row r="1484" spans="1:29">
      <c r="A1484" t="s">
        <v>6546</v>
      </c>
      <c r="B1484" t="s">
        <v>6343</v>
      </c>
      <c r="C1484" t="s">
        <v>3279</v>
      </c>
      <c r="D1484" t="s">
        <v>5872</v>
      </c>
      <c r="E1484" t="s">
        <v>1955</v>
      </c>
      <c r="F1484" t="s">
        <v>5605</v>
      </c>
      <c r="G1484" t="s">
        <v>5589</v>
      </c>
      <c r="H1484" t="s">
        <v>5809</v>
      </c>
      <c r="I1484">
        <v>4</v>
      </c>
      <c r="J1484" t="s">
        <v>5595</v>
      </c>
      <c r="K1484">
        <v>6.9</v>
      </c>
      <c r="L1484" t="s">
        <v>5737</v>
      </c>
      <c r="M1484">
        <v>3.9</v>
      </c>
      <c r="N1484" t="s">
        <v>5737</v>
      </c>
      <c r="O1484">
        <v>4.9000000000000004</v>
      </c>
      <c r="P1484" t="s">
        <v>5613</v>
      </c>
      <c r="Q1484">
        <v>1.4</v>
      </c>
      <c r="R1484" t="s">
        <v>5613</v>
      </c>
      <c r="S1484">
        <v>2.1</v>
      </c>
      <c r="T1484" t="s">
        <v>5613</v>
      </c>
      <c r="U1484">
        <v>1.1000000000000001</v>
      </c>
      <c r="V1484" t="s">
        <v>5613</v>
      </c>
      <c r="W1484">
        <v>1</v>
      </c>
      <c r="X1484" t="s">
        <v>5613</v>
      </c>
      <c r="Y1484">
        <v>6.1</v>
      </c>
      <c r="Z1484" t="s">
        <v>5613</v>
      </c>
      <c r="AA1484">
        <v>1.1000000000000001</v>
      </c>
      <c r="AB1484" t="s">
        <v>5613</v>
      </c>
      <c r="AC1484" t="s">
        <v>6207</v>
      </c>
    </row>
    <row r="1485" spans="1:29">
      <c r="A1485" t="s">
        <v>6546</v>
      </c>
      <c r="C1485" t="s">
        <v>6826</v>
      </c>
      <c r="D1485" t="s">
        <v>5872</v>
      </c>
      <c r="E1485" t="s">
        <v>1955</v>
      </c>
      <c r="F1485" t="s">
        <v>5588</v>
      </c>
      <c r="G1485" t="s">
        <v>5602</v>
      </c>
      <c r="H1485" t="s">
        <v>5809</v>
      </c>
      <c r="I1485">
        <v>4</v>
      </c>
      <c r="J1485" t="s">
        <v>5926</v>
      </c>
      <c r="K1485">
        <v>6.1</v>
      </c>
      <c r="L1485" t="s">
        <v>5737</v>
      </c>
      <c r="M1485">
        <v>4.2</v>
      </c>
      <c r="N1485" t="s">
        <v>5737</v>
      </c>
      <c r="O1485">
        <v>7.3</v>
      </c>
      <c r="P1485" t="s">
        <v>5613</v>
      </c>
      <c r="Q1485">
        <v>1.6</v>
      </c>
      <c r="R1485" t="s">
        <v>5613</v>
      </c>
      <c r="S1485">
        <v>2.7</v>
      </c>
      <c r="T1485" t="s">
        <v>5613</v>
      </c>
      <c r="U1485">
        <v>1.4</v>
      </c>
      <c r="V1485" t="s">
        <v>5613</v>
      </c>
      <c r="W1485">
        <v>1</v>
      </c>
      <c r="X1485" t="s">
        <v>5613</v>
      </c>
      <c r="Y1485">
        <v>8.1</v>
      </c>
      <c r="Z1485" t="s">
        <v>5613</v>
      </c>
      <c r="AC1485" t="s">
        <v>6207</v>
      </c>
    </row>
    <row r="1486" spans="1:29">
      <c r="A1486" t="s">
        <v>6546</v>
      </c>
      <c r="B1486" t="s">
        <v>6343</v>
      </c>
      <c r="C1486" t="s">
        <v>6827</v>
      </c>
      <c r="D1486" t="s">
        <v>5872</v>
      </c>
      <c r="E1486" t="s">
        <v>1955</v>
      </c>
      <c r="F1486" t="s">
        <v>5593</v>
      </c>
      <c r="G1486" t="s">
        <v>5602</v>
      </c>
      <c r="H1486" t="s">
        <v>5809</v>
      </c>
      <c r="I1486">
        <v>3</v>
      </c>
      <c r="J1486" t="s">
        <v>5591</v>
      </c>
      <c r="K1486">
        <v>5.3</v>
      </c>
      <c r="L1486" t="s">
        <v>5737</v>
      </c>
      <c r="M1486">
        <v>2.4</v>
      </c>
      <c r="N1486" t="s">
        <v>5737</v>
      </c>
      <c r="O1486">
        <v>7.8</v>
      </c>
      <c r="P1486" t="s">
        <v>5613</v>
      </c>
      <c r="Q1486">
        <v>1.1000000000000001</v>
      </c>
      <c r="R1486" t="s">
        <v>5613</v>
      </c>
      <c r="S1486">
        <v>6.5</v>
      </c>
      <c r="T1486" t="s">
        <v>5613</v>
      </c>
      <c r="U1486">
        <v>1.1000000000000001</v>
      </c>
      <c r="V1486" t="s">
        <v>5613</v>
      </c>
      <c r="W1486">
        <v>1</v>
      </c>
      <c r="X1486" t="s">
        <v>5613</v>
      </c>
      <c r="Y1486">
        <v>7.1</v>
      </c>
      <c r="Z1486" t="s">
        <v>5613</v>
      </c>
      <c r="AA1486">
        <v>1.4</v>
      </c>
      <c r="AB1486" t="s">
        <v>5613</v>
      </c>
      <c r="AC1486" t="s">
        <v>6207</v>
      </c>
    </row>
    <row r="1487" spans="1:29">
      <c r="A1487" t="s">
        <v>6546</v>
      </c>
      <c r="C1487" t="s">
        <v>6828</v>
      </c>
      <c r="D1487" t="s">
        <v>5624</v>
      </c>
      <c r="E1487" t="s">
        <v>125</v>
      </c>
      <c r="G1487" t="s">
        <v>5589</v>
      </c>
      <c r="K1487">
        <v>9.5</v>
      </c>
      <c r="L1487" t="s">
        <v>5737</v>
      </c>
      <c r="M1487">
        <v>5.0999999999999996</v>
      </c>
      <c r="N1487" t="s">
        <v>5737</v>
      </c>
      <c r="W1487">
        <v>14.3</v>
      </c>
      <c r="X1487">
        <v>611</v>
      </c>
      <c r="AC1487" t="s">
        <v>6207</v>
      </c>
    </row>
    <row r="1488" spans="1:29">
      <c r="A1488" t="s">
        <v>6546</v>
      </c>
      <c r="B1488" t="s">
        <v>6546</v>
      </c>
      <c r="C1488" t="s">
        <v>3418</v>
      </c>
      <c r="D1488" t="s">
        <v>6359</v>
      </c>
      <c r="E1488" t="s">
        <v>1853</v>
      </c>
      <c r="F1488" t="s">
        <v>5593</v>
      </c>
      <c r="G1488" t="s">
        <v>5589</v>
      </c>
      <c r="H1488" t="s">
        <v>5809</v>
      </c>
      <c r="I1488">
        <v>4</v>
      </c>
      <c r="J1488" t="s">
        <v>5595</v>
      </c>
      <c r="K1488">
        <v>4.0999999999999996</v>
      </c>
      <c r="L1488" t="s">
        <v>5737</v>
      </c>
      <c r="M1488">
        <v>2</v>
      </c>
      <c r="N1488" t="s">
        <v>5737</v>
      </c>
      <c r="O1488">
        <v>2.9</v>
      </c>
      <c r="P1488" t="s">
        <v>5613</v>
      </c>
      <c r="Q1488">
        <v>2</v>
      </c>
      <c r="R1488" t="s">
        <v>5613</v>
      </c>
      <c r="W1488">
        <v>1.1000000000000001</v>
      </c>
      <c r="X1488" t="s">
        <v>5613</v>
      </c>
      <c r="Y1488">
        <v>7.9</v>
      </c>
      <c r="Z1488" t="s">
        <v>5613</v>
      </c>
      <c r="AA1488">
        <v>1</v>
      </c>
      <c r="AB1488" t="s">
        <v>5613</v>
      </c>
      <c r="AC1488" t="s">
        <v>6207</v>
      </c>
    </row>
    <row r="1489" spans="1:29">
      <c r="A1489" t="s">
        <v>6546</v>
      </c>
      <c r="C1489" t="s">
        <v>1947</v>
      </c>
      <c r="D1489" t="s">
        <v>6829</v>
      </c>
      <c r="E1489" t="s">
        <v>1895</v>
      </c>
      <c r="G1489" t="s">
        <v>5589</v>
      </c>
      <c r="I1489">
        <v>4</v>
      </c>
      <c r="K1489">
        <v>9</v>
      </c>
      <c r="L1489" t="s">
        <v>5737</v>
      </c>
      <c r="M1489">
        <v>6.6</v>
      </c>
      <c r="N1489" t="s">
        <v>5737</v>
      </c>
      <c r="W1489">
        <v>8.1999999999999993</v>
      </c>
      <c r="X1489" t="s">
        <v>5613</v>
      </c>
      <c r="AC1489" t="s">
        <v>6207</v>
      </c>
    </row>
    <row r="1490" spans="1:29">
      <c r="A1490" t="s">
        <v>6546</v>
      </c>
      <c r="B1490" t="s">
        <v>6343</v>
      </c>
      <c r="C1490" t="s">
        <v>2394</v>
      </c>
      <c r="D1490" t="s">
        <v>6295</v>
      </c>
      <c r="E1490" t="s">
        <v>1839</v>
      </c>
      <c r="F1490" t="s">
        <v>5593</v>
      </c>
      <c r="G1490" t="s">
        <v>5602</v>
      </c>
      <c r="H1490" t="s">
        <v>5590</v>
      </c>
      <c r="I1490">
        <v>3</v>
      </c>
      <c r="J1490" t="s">
        <v>5595</v>
      </c>
      <c r="K1490">
        <v>4</v>
      </c>
      <c r="L1490" t="s">
        <v>5737</v>
      </c>
      <c r="M1490">
        <v>2.4</v>
      </c>
      <c r="N1490" t="s">
        <v>5737</v>
      </c>
      <c r="O1490">
        <v>10.3</v>
      </c>
      <c r="P1490" t="s">
        <v>5613</v>
      </c>
      <c r="Q1490">
        <v>3.6</v>
      </c>
      <c r="R1490" t="s">
        <v>5613</v>
      </c>
      <c r="S1490">
        <v>1</v>
      </c>
      <c r="T1490" t="s">
        <v>5613</v>
      </c>
      <c r="U1490">
        <v>1.1000000000000001</v>
      </c>
      <c r="V1490" t="s">
        <v>5613</v>
      </c>
      <c r="W1490">
        <v>2.7</v>
      </c>
      <c r="X1490" t="s">
        <v>5613</v>
      </c>
      <c r="Y1490">
        <v>9.1999999999999993</v>
      </c>
      <c r="Z1490" t="s">
        <v>5613</v>
      </c>
      <c r="AA1490">
        <v>1</v>
      </c>
      <c r="AB1490" t="s">
        <v>5613</v>
      </c>
      <c r="AC1490" t="s">
        <v>6207</v>
      </c>
    </row>
    <row r="1491" spans="1:29">
      <c r="A1491" t="s">
        <v>6546</v>
      </c>
      <c r="C1491" t="s">
        <v>2403</v>
      </c>
      <c r="D1491" t="s">
        <v>6829</v>
      </c>
      <c r="E1491" t="s">
        <v>1895</v>
      </c>
      <c r="G1491" t="s">
        <v>5589</v>
      </c>
      <c r="K1491">
        <v>7.4</v>
      </c>
      <c r="L1491" t="s">
        <v>5737</v>
      </c>
      <c r="M1491">
        <v>5.6</v>
      </c>
      <c r="N1491" t="s">
        <v>5737</v>
      </c>
      <c r="W1491">
        <v>1.5</v>
      </c>
      <c r="X1491" t="s">
        <v>5613</v>
      </c>
      <c r="AC1491" t="s">
        <v>6207</v>
      </c>
    </row>
    <row r="1492" spans="1:29">
      <c r="A1492" t="s">
        <v>6546</v>
      </c>
      <c r="C1492" t="s">
        <v>3642</v>
      </c>
      <c r="D1492" t="s">
        <v>5872</v>
      </c>
      <c r="E1492" t="s">
        <v>1955</v>
      </c>
      <c r="F1492" t="s">
        <v>5593</v>
      </c>
      <c r="G1492" t="s">
        <v>5594</v>
      </c>
      <c r="H1492" t="s">
        <v>6146</v>
      </c>
      <c r="I1492">
        <v>4</v>
      </c>
      <c r="K1492">
        <v>3.4</v>
      </c>
      <c r="L1492" t="s">
        <v>5737</v>
      </c>
      <c r="M1492">
        <v>1.8</v>
      </c>
      <c r="N1492" t="s">
        <v>5737</v>
      </c>
      <c r="O1492">
        <v>4.7</v>
      </c>
      <c r="P1492" t="s">
        <v>5613</v>
      </c>
      <c r="Q1492">
        <v>1.3</v>
      </c>
      <c r="R1492" t="s">
        <v>5613</v>
      </c>
      <c r="S1492">
        <v>1</v>
      </c>
      <c r="T1492" t="s">
        <v>5613</v>
      </c>
      <c r="U1492">
        <v>1</v>
      </c>
      <c r="V1492" t="s">
        <v>5613</v>
      </c>
      <c r="W1492">
        <v>1</v>
      </c>
      <c r="X1492" t="s">
        <v>5613</v>
      </c>
      <c r="Y1492">
        <v>5.8</v>
      </c>
      <c r="Z1492" t="s">
        <v>5613</v>
      </c>
      <c r="AC1492" t="s">
        <v>6207</v>
      </c>
    </row>
    <row r="1493" spans="1:29">
      <c r="A1493" t="s">
        <v>6546</v>
      </c>
      <c r="C1493" t="s">
        <v>4930</v>
      </c>
      <c r="D1493" t="s">
        <v>5872</v>
      </c>
      <c r="E1493" t="s">
        <v>1955</v>
      </c>
      <c r="F1493" t="s">
        <v>5593</v>
      </c>
      <c r="G1493" t="s">
        <v>5602</v>
      </c>
      <c r="H1493" t="s">
        <v>6146</v>
      </c>
      <c r="I1493">
        <v>4</v>
      </c>
      <c r="J1493" t="s">
        <v>5595</v>
      </c>
      <c r="K1493">
        <v>4.9000000000000004</v>
      </c>
      <c r="L1493" t="s">
        <v>5737</v>
      </c>
      <c r="M1493">
        <v>1.6</v>
      </c>
      <c r="N1493" t="s">
        <v>5737</v>
      </c>
      <c r="O1493">
        <v>3.5</v>
      </c>
      <c r="P1493" t="s">
        <v>5613</v>
      </c>
      <c r="Q1493">
        <v>1.1000000000000001</v>
      </c>
      <c r="R1493" t="s">
        <v>5613</v>
      </c>
      <c r="S1493">
        <v>1.2</v>
      </c>
      <c r="T1493" t="s">
        <v>5613</v>
      </c>
      <c r="U1493">
        <v>1</v>
      </c>
      <c r="V1493" t="s">
        <v>5613</v>
      </c>
      <c r="W1493">
        <v>1</v>
      </c>
      <c r="X1493" t="s">
        <v>5613</v>
      </c>
      <c r="Y1493">
        <v>5</v>
      </c>
      <c r="Z1493" t="s">
        <v>5613</v>
      </c>
      <c r="AC1493" t="s">
        <v>6207</v>
      </c>
    </row>
    <row r="1494" spans="1:29">
      <c r="A1494" t="s">
        <v>6546</v>
      </c>
      <c r="B1494" t="s">
        <v>6546</v>
      </c>
      <c r="C1494" t="s">
        <v>2990</v>
      </c>
      <c r="D1494" t="s">
        <v>6359</v>
      </c>
      <c r="E1494" t="s">
        <v>1853</v>
      </c>
      <c r="F1494" t="s">
        <v>5593</v>
      </c>
      <c r="G1494" t="s">
        <v>5594</v>
      </c>
      <c r="H1494" t="s">
        <v>6146</v>
      </c>
      <c r="I1494">
        <v>4</v>
      </c>
      <c r="J1494" t="s">
        <v>5595</v>
      </c>
      <c r="K1494">
        <v>5</v>
      </c>
      <c r="L1494" t="s">
        <v>5737</v>
      </c>
      <c r="M1494">
        <v>2</v>
      </c>
      <c r="N1494" t="s">
        <v>5737</v>
      </c>
      <c r="O1494">
        <v>3.6</v>
      </c>
      <c r="P1494" t="s">
        <v>5613</v>
      </c>
      <c r="Q1494">
        <v>1.7</v>
      </c>
      <c r="R1494" t="s">
        <v>5613</v>
      </c>
      <c r="S1494">
        <v>1.6</v>
      </c>
      <c r="T1494" t="s">
        <v>5613</v>
      </c>
      <c r="U1494">
        <v>7</v>
      </c>
      <c r="V1494" t="s">
        <v>5613</v>
      </c>
      <c r="W1494">
        <v>1.8</v>
      </c>
      <c r="X1494" t="s">
        <v>5613</v>
      </c>
      <c r="Y1494">
        <v>5.9</v>
      </c>
      <c r="Z1494" t="s">
        <v>5613</v>
      </c>
      <c r="AA1494">
        <v>2.2000000000000002</v>
      </c>
      <c r="AB1494" t="s">
        <v>5613</v>
      </c>
      <c r="AC1494" t="s">
        <v>6207</v>
      </c>
    </row>
    <row r="1495" spans="1:29">
      <c r="A1495" t="s">
        <v>6546</v>
      </c>
      <c r="C1495" t="s">
        <v>1730</v>
      </c>
      <c r="D1495" t="s">
        <v>5736</v>
      </c>
      <c r="E1495" t="s">
        <v>327</v>
      </c>
      <c r="G1495" t="s">
        <v>5589</v>
      </c>
      <c r="I1495">
        <v>2</v>
      </c>
      <c r="K1495">
        <v>7.2</v>
      </c>
      <c r="L1495" t="s">
        <v>5737</v>
      </c>
      <c r="M1495">
        <v>5.7</v>
      </c>
      <c r="N1495" t="s">
        <v>5737</v>
      </c>
      <c r="W1495">
        <v>26.3</v>
      </c>
      <c r="X1495">
        <v>489</v>
      </c>
      <c r="AC1495" t="s">
        <v>6207</v>
      </c>
    </row>
    <row r="1496" spans="1:29">
      <c r="A1496" t="s">
        <v>6546</v>
      </c>
      <c r="B1496" t="s">
        <v>6343</v>
      </c>
      <c r="C1496" t="s">
        <v>6830</v>
      </c>
      <c r="D1496" t="s">
        <v>6359</v>
      </c>
      <c r="E1496" t="s">
        <v>1853</v>
      </c>
      <c r="F1496" t="s">
        <v>5588</v>
      </c>
      <c r="G1496" t="s">
        <v>5602</v>
      </c>
      <c r="H1496" t="s">
        <v>5590</v>
      </c>
      <c r="I1496">
        <v>5</v>
      </c>
      <c r="J1496" t="s">
        <v>5595</v>
      </c>
      <c r="K1496">
        <v>4</v>
      </c>
      <c r="L1496" t="s">
        <v>5737</v>
      </c>
      <c r="M1496">
        <v>3.4</v>
      </c>
      <c r="N1496" t="s">
        <v>5737</v>
      </c>
      <c r="O1496">
        <v>8.6</v>
      </c>
      <c r="P1496" t="s">
        <v>5613</v>
      </c>
      <c r="Q1496">
        <v>3.6</v>
      </c>
      <c r="R1496" t="s">
        <v>5613</v>
      </c>
      <c r="S1496">
        <v>1.2</v>
      </c>
      <c r="T1496" t="s">
        <v>5613</v>
      </c>
      <c r="U1496">
        <v>2.9</v>
      </c>
      <c r="V1496" t="s">
        <v>5613</v>
      </c>
      <c r="W1496">
        <v>1.3</v>
      </c>
      <c r="X1496" t="s">
        <v>5613</v>
      </c>
      <c r="Y1496">
        <v>8.5</v>
      </c>
      <c r="Z1496" t="s">
        <v>5613</v>
      </c>
      <c r="AA1496">
        <v>1</v>
      </c>
      <c r="AB1496" t="s">
        <v>5613</v>
      </c>
      <c r="AC1496" t="s">
        <v>6207</v>
      </c>
    </row>
    <row r="1497" spans="1:29">
      <c r="A1497" t="s">
        <v>6546</v>
      </c>
      <c r="B1497" t="s">
        <v>6343</v>
      </c>
      <c r="C1497" t="s">
        <v>6831</v>
      </c>
      <c r="D1497" t="s">
        <v>5587</v>
      </c>
      <c r="E1497" t="s">
        <v>29</v>
      </c>
      <c r="F1497" t="s">
        <v>5593</v>
      </c>
      <c r="G1497" t="s">
        <v>5589</v>
      </c>
      <c r="H1497" t="s">
        <v>5809</v>
      </c>
      <c r="I1497">
        <v>5</v>
      </c>
      <c r="K1497">
        <v>2.8</v>
      </c>
      <c r="L1497" t="s">
        <v>5737</v>
      </c>
      <c r="M1497">
        <v>3.4</v>
      </c>
      <c r="N1497" t="s">
        <v>5737</v>
      </c>
      <c r="O1497">
        <v>7</v>
      </c>
      <c r="P1497" t="s">
        <v>5613</v>
      </c>
      <c r="Q1497">
        <v>4.3</v>
      </c>
      <c r="R1497" t="s">
        <v>5613</v>
      </c>
      <c r="S1497">
        <v>14.5</v>
      </c>
      <c r="T1497">
        <v>676</v>
      </c>
      <c r="U1497">
        <v>1.4</v>
      </c>
      <c r="V1497" t="s">
        <v>5613</v>
      </c>
      <c r="W1497">
        <v>1</v>
      </c>
      <c r="X1497" t="s">
        <v>5613</v>
      </c>
      <c r="Y1497">
        <v>7.3</v>
      </c>
      <c r="Z1497" t="s">
        <v>5613</v>
      </c>
      <c r="AC1497" t="s">
        <v>6207</v>
      </c>
    </row>
    <row r="1498" spans="1:29">
      <c r="A1498" t="s">
        <v>6546</v>
      </c>
      <c r="C1498" t="s">
        <v>6832</v>
      </c>
      <c r="D1498" t="s">
        <v>5601</v>
      </c>
      <c r="E1498" t="s">
        <v>50</v>
      </c>
      <c r="G1498" t="s">
        <v>5589</v>
      </c>
      <c r="K1498">
        <v>5.7</v>
      </c>
      <c r="L1498" t="s">
        <v>5737</v>
      </c>
      <c r="M1498">
        <v>6.7</v>
      </c>
      <c r="N1498" t="s">
        <v>5737</v>
      </c>
      <c r="W1498">
        <v>1.7</v>
      </c>
      <c r="X1498" t="s">
        <v>5613</v>
      </c>
      <c r="AC1498" t="s">
        <v>6207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DACC-05FB-46D0-805F-C2EFD1B7CE2D}">
  <dimension ref="A1:B2672"/>
  <sheetViews>
    <sheetView tabSelected="1" workbookViewId="0">
      <selection activeCell="B1" sqref="B1:B1498"/>
    </sheetView>
  </sheetViews>
  <sheetFormatPr defaultRowHeight="15"/>
  <cols>
    <col min="1" max="1" width="37.140625" customWidth="1"/>
    <col min="2" max="2" width="44.7109375" customWidth="1"/>
  </cols>
  <sheetData>
    <row r="1" spans="1:2">
      <c r="A1" t="s">
        <v>2</v>
      </c>
      <c r="B1" t="s">
        <v>2</v>
      </c>
    </row>
    <row r="2" spans="1:2">
      <c r="A2" t="s">
        <v>25</v>
      </c>
      <c r="B2" t="s">
        <v>31</v>
      </c>
    </row>
    <row r="3" spans="1:2">
      <c r="A3" t="s">
        <v>28</v>
      </c>
      <c r="B3" t="s">
        <v>35</v>
      </c>
    </row>
    <row r="4" spans="1:2">
      <c r="A4" t="s">
        <v>31</v>
      </c>
      <c r="B4" t="s">
        <v>25</v>
      </c>
    </row>
    <row r="5" spans="1:2">
      <c r="A5" t="s">
        <v>33</v>
      </c>
      <c r="B5" t="s">
        <v>33</v>
      </c>
    </row>
    <row r="6" spans="1:2">
      <c r="A6" t="s">
        <v>35</v>
      </c>
      <c r="B6" t="s">
        <v>28</v>
      </c>
    </row>
    <row r="7" spans="1:2">
      <c r="A7" t="s">
        <v>37</v>
      </c>
      <c r="B7" t="s">
        <v>43</v>
      </c>
    </row>
    <row r="8" spans="1:2">
      <c r="A8" t="s">
        <v>39</v>
      </c>
      <c r="B8" t="s">
        <v>5600</v>
      </c>
    </row>
    <row r="9" spans="1:2">
      <c r="A9" t="s">
        <v>43</v>
      </c>
      <c r="B9" t="s">
        <v>69</v>
      </c>
    </row>
    <row r="10" spans="1:2">
      <c r="A10" t="s">
        <v>45</v>
      </c>
      <c r="B10" t="s">
        <v>78</v>
      </c>
    </row>
    <row r="11" spans="1:2">
      <c r="A11" t="s">
        <v>47</v>
      </c>
      <c r="B11" t="s">
        <v>45</v>
      </c>
    </row>
    <row r="12" spans="1:2">
      <c r="A12" t="s">
        <v>49</v>
      </c>
      <c r="B12" t="s">
        <v>5607</v>
      </c>
    </row>
    <row r="13" spans="1:2">
      <c r="A13" t="s">
        <v>53</v>
      </c>
      <c r="B13" t="s">
        <v>63</v>
      </c>
    </row>
    <row r="14" spans="1:2">
      <c r="A14" t="s">
        <v>57</v>
      </c>
      <c r="B14" t="s">
        <v>73</v>
      </c>
    </row>
    <row r="15" spans="1:2">
      <c r="A15" t="s">
        <v>59</v>
      </c>
      <c r="B15" t="s">
        <v>5611</v>
      </c>
    </row>
    <row r="16" spans="1:2">
      <c r="A16" t="s">
        <v>61</v>
      </c>
      <c r="B16" t="s">
        <v>39</v>
      </c>
    </row>
    <row r="17" spans="1:2">
      <c r="A17" t="s">
        <v>63</v>
      </c>
      <c r="B17" t="s">
        <v>47</v>
      </c>
    </row>
    <row r="18" spans="1:2">
      <c r="A18" t="s">
        <v>65</v>
      </c>
      <c r="B18" t="s">
        <v>59</v>
      </c>
    </row>
    <row r="19" spans="1:2">
      <c r="A19" t="s">
        <v>67</v>
      </c>
      <c r="B19" t="s">
        <v>37</v>
      </c>
    </row>
    <row r="20" spans="1:2">
      <c r="A20" t="s">
        <v>69</v>
      </c>
      <c r="B20" t="s">
        <v>5618</v>
      </c>
    </row>
    <row r="21" spans="1:2">
      <c r="A21" t="s">
        <v>73</v>
      </c>
      <c r="B21" t="s">
        <v>174</v>
      </c>
    </row>
    <row r="22" spans="1:2">
      <c r="A22" t="s">
        <v>75</v>
      </c>
      <c r="B22" t="s">
        <v>75</v>
      </c>
    </row>
    <row r="23" spans="1:2">
      <c r="A23" t="s">
        <v>78</v>
      </c>
      <c r="B23" t="s">
        <v>5621</v>
      </c>
    </row>
    <row r="24" spans="1:2">
      <c r="A24" t="s">
        <v>81</v>
      </c>
      <c r="B24" t="s">
        <v>65</v>
      </c>
    </row>
    <row r="25" spans="1:2">
      <c r="A25" t="s">
        <v>83</v>
      </c>
      <c r="B25" t="s">
        <v>5623</v>
      </c>
    </row>
    <row r="26" spans="1:2">
      <c r="A26" t="s">
        <v>85</v>
      </c>
      <c r="B26" t="s">
        <v>53</v>
      </c>
    </row>
    <row r="27" spans="1:2">
      <c r="A27" t="s">
        <v>87</v>
      </c>
      <c r="B27" t="s">
        <v>101</v>
      </c>
    </row>
    <row r="28" spans="1:2">
      <c r="A28" t="s">
        <v>89</v>
      </c>
      <c r="B28" t="s">
        <v>5628</v>
      </c>
    </row>
    <row r="29" spans="1:2">
      <c r="A29" t="s">
        <v>91</v>
      </c>
      <c r="B29" t="s">
        <v>61</v>
      </c>
    </row>
    <row r="30" spans="1:2">
      <c r="A30" t="s">
        <v>93</v>
      </c>
      <c r="B30" t="s">
        <v>93</v>
      </c>
    </row>
    <row r="31" spans="1:2">
      <c r="A31" t="s">
        <v>96</v>
      </c>
      <c r="B31" t="s">
        <v>67</v>
      </c>
    </row>
    <row r="32" spans="1:2">
      <c r="A32" t="s">
        <v>98</v>
      </c>
      <c r="B32" t="s">
        <v>147</v>
      </c>
    </row>
    <row r="33" spans="1:2">
      <c r="A33" t="s">
        <v>101</v>
      </c>
      <c r="B33" t="s">
        <v>5632</v>
      </c>
    </row>
    <row r="34" spans="1:2">
      <c r="A34" t="s">
        <v>104</v>
      </c>
      <c r="B34" t="s">
        <v>81</v>
      </c>
    </row>
    <row r="35" spans="1:2">
      <c r="A35" t="s">
        <v>107</v>
      </c>
      <c r="B35" t="s">
        <v>5635</v>
      </c>
    </row>
    <row r="36" spans="1:2">
      <c r="A36" t="s">
        <v>109</v>
      </c>
      <c r="B36" t="s">
        <v>127</v>
      </c>
    </row>
    <row r="37" spans="1:2">
      <c r="A37" t="s">
        <v>112</v>
      </c>
      <c r="B37" t="s">
        <v>5637</v>
      </c>
    </row>
    <row r="38" spans="1:2">
      <c r="A38" t="s">
        <v>115</v>
      </c>
      <c r="B38" t="s">
        <v>98</v>
      </c>
    </row>
    <row r="39" spans="1:2">
      <c r="A39" t="s">
        <v>119</v>
      </c>
      <c r="B39" t="s">
        <v>202</v>
      </c>
    </row>
    <row r="40" spans="1:2">
      <c r="A40" t="s">
        <v>121</v>
      </c>
      <c r="B40" t="s">
        <v>89</v>
      </c>
    </row>
    <row r="41" spans="1:2">
      <c r="A41" t="s">
        <v>124</v>
      </c>
      <c r="B41" t="s">
        <v>5642</v>
      </c>
    </row>
    <row r="42" spans="1:2">
      <c r="A42" t="s">
        <v>127</v>
      </c>
      <c r="B42" t="s">
        <v>180</v>
      </c>
    </row>
    <row r="43" spans="1:2">
      <c r="A43" t="s">
        <v>129</v>
      </c>
      <c r="B43" t="s">
        <v>159</v>
      </c>
    </row>
    <row r="44" spans="1:2">
      <c r="A44" t="s">
        <v>131</v>
      </c>
      <c r="B44" t="s">
        <v>199</v>
      </c>
    </row>
    <row r="45" spans="1:2">
      <c r="A45" t="s">
        <v>134</v>
      </c>
      <c r="B45" t="s">
        <v>164</v>
      </c>
    </row>
    <row r="46" spans="1:2">
      <c r="A46" t="s">
        <v>136</v>
      </c>
      <c r="B46" t="s">
        <v>5650</v>
      </c>
    </row>
    <row r="47" spans="1:2">
      <c r="A47" t="s">
        <v>139</v>
      </c>
      <c r="B47" t="s">
        <v>161</v>
      </c>
    </row>
    <row r="48" spans="1:2">
      <c r="A48" t="s">
        <v>141</v>
      </c>
      <c r="B48" t="s">
        <v>143</v>
      </c>
    </row>
    <row r="49" spans="1:2">
      <c r="A49" t="s">
        <v>143</v>
      </c>
      <c r="B49" t="s">
        <v>91</v>
      </c>
    </row>
    <row r="50" spans="1:2">
      <c r="A50" t="s">
        <v>147</v>
      </c>
      <c r="B50" t="s">
        <v>5654</v>
      </c>
    </row>
    <row r="51" spans="1:2">
      <c r="A51" t="s">
        <v>149</v>
      </c>
      <c r="B51" t="s">
        <v>134</v>
      </c>
    </row>
    <row r="52" spans="1:2">
      <c r="A52" t="s">
        <v>152</v>
      </c>
      <c r="B52" t="s">
        <v>131</v>
      </c>
    </row>
    <row r="53" spans="1:2">
      <c r="A53" t="s">
        <v>154</v>
      </c>
      <c r="B53" t="s">
        <v>83</v>
      </c>
    </row>
    <row r="54" spans="1:2">
      <c r="A54" t="s">
        <v>156</v>
      </c>
      <c r="B54" t="s">
        <v>177</v>
      </c>
    </row>
    <row r="55" spans="1:2">
      <c r="A55" t="s">
        <v>159</v>
      </c>
      <c r="B55" t="s">
        <v>5659</v>
      </c>
    </row>
    <row r="56" spans="1:2">
      <c r="A56" t="s">
        <v>161</v>
      </c>
      <c r="B56" t="s">
        <v>223</v>
      </c>
    </row>
    <row r="57" spans="1:2">
      <c r="A57" t="s">
        <v>164</v>
      </c>
      <c r="B57" t="s">
        <v>5661</v>
      </c>
    </row>
    <row r="58" spans="1:2">
      <c r="A58" t="s">
        <v>167</v>
      </c>
      <c r="B58" t="s">
        <v>87</v>
      </c>
    </row>
    <row r="59" spans="1:2">
      <c r="A59" t="s">
        <v>170</v>
      </c>
      <c r="B59" t="s">
        <v>154</v>
      </c>
    </row>
    <row r="60" spans="1:2">
      <c r="A60" t="s">
        <v>172</v>
      </c>
      <c r="B60" t="s">
        <v>210</v>
      </c>
    </row>
    <row r="61" spans="1:2">
      <c r="A61" t="s">
        <v>174</v>
      </c>
      <c r="B61" t="s">
        <v>187</v>
      </c>
    </row>
    <row r="62" spans="1:2">
      <c r="A62" t="s">
        <v>177</v>
      </c>
      <c r="B62" t="s">
        <v>136</v>
      </c>
    </row>
    <row r="63" spans="1:2">
      <c r="A63" t="s">
        <v>180</v>
      </c>
      <c r="B63" t="s">
        <v>107</v>
      </c>
    </row>
    <row r="64" spans="1:2">
      <c r="A64" t="s">
        <v>183</v>
      </c>
      <c r="B64" t="s">
        <v>85</v>
      </c>
    </row>
    <row r="65" spans="1:2">
      <c r="A65" t="s">
        <v>185</v>
      </c>
      <c r="B65" t="s">
        <v>129</v>
      </c>
    </row>
    <row r="66" spans="1:2">
      <c r="A66" t="s">
        <v>187</v>
      </c>
      <c r="B66" t="s">
        <v>239</v>
      </c>
    </row>
    <row r="67" spans="1:2">
      <c r="A67" t="s">
        <v>190</v>
      </c>
      <c r="B67" t="s">
        <v>5671</v>
      </c>
    </row>
    <row r="68" spans="1:2">
      <c r="A68" t="s">
        <v>192</v>
      </c>
      <c r="B68" t="s">
        <v>5673</v>
      </c>
    </row>
    <row r="69" spans="1:2">
      <c r="A69" t="s">
        <v>195</v>
      </c>
      <c r="B69" t="s">
        <v>5675</v>
      </c>
    </row>
    <row r="70" spans="1:2">
      <c r="A70" t="s">
        <v>197</v>
      </c>
      <c r="B70" t="s">
        <v>5677</v>
      </c>
    </row>
    <row r="71" spans="1:2">
      <c r="A71" t="s">
        <v>199</v>
      </c>
      <c r="B71" t="s">
        <v>225</v>
      </c>
    </row>
    <row r="72" spans="1:2">
      <c r="A72" t="s">
        <v>202</v>
      </c>
      <c r="B72" t="s">
        <v>5679</v>
      </c>
    </row>
    <row r="73" spans="1:2">
      <c r="A73" t="s">
        <v>204</v>
      </c>
      <c r="B73" t="s">
        <v>365</v>
      </c>
    </row>
    <row r="74" spans="1:2">
      <c r="A74" t="s">
        <v>206</v>
      </c>
      <c r="B74" t="s">
        <v>185</v>
      </c>
    </row>
    <row r="75" spans="1:2">
      <c r="A75" t="s">
        <v>208</v>
      </c>
      <c r="B75" t="s">
        <v>5683</v>
      </c>
    </row>
    <row r="76" spans="1:2">
      <c r="A76" t="s">
        <v>210</v>
      </c>
      <c r="B76" t="s">
        <v>331</v>
      </c>
    </row>
    <row r="77" spans="1:2">
      <c r="A77" t="s">
        <v>212</v>
      </c>
      <c r="B77" t="s">
        <v>237</v>
      </c>
    </row>
    <row r="78" spans="1:2">
      <c r="A78" t="s">
        <v>215</v>
      </c>
      <c r="B78" t="s">
        <v>5686</v>
      </c>
    </row>
    <row r="79" spans="1:2">
      <c r="A79" t="s">
        <v>217</v>
      </c>
      <c r="B79" t="s">
        <v>436</v>
      </c>
    </row>
    <row r="80" spans="1:2">
      <c r="A80" t="s">
        <v>219</v>
      </c>
      <c r="B80" t="s">
        <v>536</v>
      </c>
    </row>
    <row r="81" spans="1:2">
      <c r="A81" t="s">
        <v>221</v>
      </c>
      <c r="B81" t="s">
        <v>439</v>
      </c>
    </row>
    <row r="82" spans="1:2">
      <c r="A82" t="s">
        <v>223</v>
      </c>
      <c r="B82" t="s">
        <v>5690</v>
      </c>
    </row>
    <row r="83" spans="1:2">
      <c r="A83" t="s">
        <v>225</v>
      </c>
      <c r="B83" t="s">
        <v>261</v>
      </c>
    </row>
    <row r="84" spans="1:2">
      <c r="A84" t="s">
        <v>228</v>
      </c>
      <c r="B84" t="s">
        <v>5693</v>
      </c>
    </row>
    <row r="85" spans="1:2">
      <c r="A85" t="s">
        <v>230</v>
      </c>
      <c r="B85" t="s">
        <v>267</v>
      </c>
    </row>
    <row r="86" spans="1:2">
      <c r="A86" t="s">
        <v>233</v>
      </c>
      <c r="B86" t="s">
        <v>281</v>
      </c>
    </row>
    <row r="87" spans="1:2">
      <c r="A87" t="s">
        <v>235</v>
      </c>
      <c r="B87" t="s">
        <v>5694</v>
      </c>
    </row>
    <row r="88" spans="1:2">
      <c r="A88" t="s">
        <v>237</v>
      </c>
      <c r="B88" t="s">
        <v>254</v>
      </c>
    </row>
    <row r="89" spans="1:2">
      <c r="A89" t="s">
        <v>239</v>
      </c>
      <c r="B89" t="s">
        <v>5699</v>
      </c>
    </row>
    <row r="90" spans="1:2">
      <c r="A90" t="s">
        <v>242</v>
      </c>
      <c r="B90" t="s">
        <v>5701</v>
      </c>
    </row>
    <row r="91" spans="1:2">
      <c r="A91" t="s">
        <v>244</v>
      </c>
      <c r="B91" t="s">
        <v>373</v>
      </c>
    </row>
    <row r="92" spans="1:2">
      <c r="A92" t="s">
        <v>246</v>
      </c>
      <c r="B92" t="s">
        <v>472</v>
      </c>
    </row>
    <row r="93" spans="1:2">
      <c r="A93" t="s">
        <v>248</v>
      </c>
      <c r="B93" t="s">
        <v>221</v>
      </c>
    </row>
    <row r="94" spans="1:2">
      <c r="A94" t="s">
        <v>250</v>
      </c>
      <c r="B94" t="s">
        <v>217</v>
      </c>
    </row>
    <row r="95" spans="1:2">
      <c r="A95" t="s">
        <v>252</v>
      </c>
      <c r="B95" t="s">
        <v>5706</v>
      </c>
    </row>
    <row r="96" spans="1:2">
      <c r="A96" t="s">
        <v>254</v>
      </c>
      <c r="B96" t="s">
        <v>5709</v>
      </c>
    </row>
    <row r="97" spans="1:2">
      <c r="A97" t="s">
        <v>257</v>
      </c>
      <c r="B97" t="s">
        <v>483</v>
      </c>
    </row>
    <row r="98" spans="1:2">
      <c r="A98" t="s">
        <v>259</v>
      </c>
      <c r="B98" t="s">
        <v>112</v>
      </c>
    </row>
    <row r="99" spans="1:2">
      <c r="A99" t="s">
        <v>261</v>
      </c>
      <c r="B99" t="s">
        <v>5715</v>
      </c>
    </row>
    <row r="100" spans="1:2">
      <c r="A100" t="s">
        <v>263</v>
      </c>
      <c r="B100" t="s">
        <v>5717</v>
      </c>
    </row>
    <row r="101" spans="1:2">
      <c r="A101" t="s">
        <v>265</v>
      </c>
      <c r="B101" t="s">
        <v>5719</v>
      </c>
    </row>
    <row r="102" spans="1:2">
      <c r="A102" t="s">
        <v>267</v>
      </c>
      <c r="B102" t="s">
        <v>333</v>
      </c>
    </row>
    <row r="103" spans="1:2">
      <c r="A103" t="s">
        <v>269</v>
      </c>
      <c r="B103" t="s">
        <v>183</v>
      </c>
    </row>
    <row r="104" spans="1:2">
      <c r="A104" t="s">
        <v>271</v>
      </c>
      <c r="B104" t="s">
        <v>5722</v>
      </c>
    </row>
    <row r="105" spans="1:2">
      <c r="A105" t="s">
        <v>274</v>
      </c>
      <c r="B105" t="s">
        <v>5725</v>
      </c>
    </row>
    <row r="106" spans="1:2">
      <c r="A106" t="s">
        <v>276</v>
      </c>
      <c r="B106" t="s">
        <v>361</v>
      </c>
    </row>
    <row r="107" spans="1:2">
      <c r="A107" t="s">
        <v>279</v>
      </c>
      <c r="B107" t="s">
        <v>244</v>
      </c>
    </row>
    <row r="108" spans="1:2">
      <c r="A108" t="s">
        <v>281</v>
      </c>
      <c r="B108" t="s">
        <v>271</v>
      </c>
    </row>
    <row r="109" spans="1:2">
      <c r="A109" t="s">
        <v>283</v>
      </c>
      <c r="B109" t="s">
        <v>5730</v>
      </c>
    </row>
    <row r="110" spans="1:2">
      <c r="A110" t="s">
        <v>285</v>
      </c>
      <c r="B110" t="s">
        <v>500</v>
      </c>
    </row>
    <row r="111" spans="1:2">
      <c r="A111" t="s">
        <v>287</v>
      </c>
      <c r="B111" t="s">
        <v>432</v>
      </c>
    </row>
    <row r="112" spans="1:2">
      <c r="A112" t="s">
        <v>289</v>
      </c>
      <c r="B112" t="s">
        <v>287</v>
      </c>
    </row>
    <row r="113" spans="1:2">
      <c r="A113" t="s">
        <v>292</v>
      </c>
      <c r="B113" t="s">
        <v>404</v>
      </c>
    </row>
    <row r="114" spans="1:2">
      <c r="A114" t="s">
        <v>294</v>
      </c>
      <c r="B114" t="s">
        <v>335</v>
      </c>
    </row>
    <row r="115" spans="1:2">
      <c r="A115" t="s">
        <v>297</v>
      </c>
      <c r="B115" t="s">
        <v>600</v>
      </c>
    </row>
    <row r="116" spans="1:2">
      <c r="A116" t="s">
        <v>299</v>
      </c>
      <c r="B116" t="s">
        <v>312</v>
      </c>
    </row>
    <row r="117" spans="1:2">
      <c r="A117" t="s">
        <v>301</v>
      </c>
      <c r="B117" t="s">
        <v>208</v>
      </c>
    </row>
    <row r="118" spans="1:2">
      <c r="A118" t="s">
        <v>303</v>
      </c>
      <c r="B118" t="s">
        <v>326</v>
      </c>
    </row>
    <row r="119" spans="1:2">
      <c r="A119" t="s">
        <v>305</v>
      </c>
      <c r="B119" t="s">
        <v>460</v>
      </c>
    </row>
    <row r="120" spans="1:2">
      <c r="A120" t="s">
        <v>307</v>
      </c>
      <c r="B120" t="s">
        <v>5741</v>
      </c>
    </row>
    <row r="121" spans="1:2">
      <c r="A121" t="s">
        <v>309</v>
      </c>
      <c r="B121" t="s">
        <v>5744</v>
      </c>
    </row>
    <row r="122" spans="1:2">
      <c r="A122" t="s">
        <v>312</v>
      </c>
      <c r="B122" t="s">
        <v>323</v>
      </c>
    </row>
    <row r="123" spans="1:2">
      <c r="A123" t="s">
        <v>315</v>
      </c>
      <c r="B123" t="s">
        <v>399</v>
      </c>
    </row>
    <row r="124" spans="1:2">
      <c r="A124" t="s">
        <v>317</v>
      </c>
      <c r="B124" t="s">
        <v>561</v>
      </c>
    </row>
    <row r="125" spans="1:2">
      <c r="A125" t="s">
        <v>319</v>
      </c>
      <c r="B125" t="s">
        <v>426</v>
      </c>
    </row>
    <row r="126" spans="1:2">
      <c r="A126" t="s">
        <v>321</v>
      </c>
      <c r="B126" t="s">
        <v>317</v>
      </c>
    </row>
    <row r="127" spans="1:2">
      <c r="A127" t="s">
        <v>323</v>
      </c>
      <c r="B127" t="s">
        <v>215</v>
      </c>
    </row>
    <row r="128" spans="1:2">
      <c r="A128" t="s">
        <v>326</v>
      </c>
      <c r="B128" t="s">
        <v>301</v>
      </c>
    </row>
    <row r="129" spans="1:2">
      <c r="A129" t="s">
        <v>329</v>
      </c>
      <c r="B129" t="s">
        <v>456</v>
      </c>
    </row>
    <row r="130" spans="1:2">
      <c r="A130" t="s">
        <v>331</v>
      </c>
      <c r="B130" t="s">
        <v>468</v>
      </c>
    </row>
    <row r="131" spans="1:2">
      <c r="A131" t="s">
        <v>333</v>
      </c>
      <c r="B131" t="s">
        <v>450</v>
      </c>
    </row>
    <row r="132" spans="1:2">
      <c r="A132" t="s">
        <v>335</v>
      </c>
      <c r="B132" t="s">
        <v>309</v>
      </c>
    </row>
    <row r="133" spans="1:2">
      <c r="A133" t="s">
        <v>338</v>
      </c>
      <c r="B133" t="s">
        <v>172</v>
      </c>
    </row>
    <row r="134" spans="1:2">
      <c r="A134" t="s">
        <v>340</v>
      </c>
      <c r="B134" t="s">
        <v>5755</v>
      </c>
    </row>
    <row r="135" spans="1:2">
      <c r="A135" t="s">
        <v>342</v>
      </c>
      <c r="B135" t="s">
        <v>452</v>
      </c>
    </row>
    <row r="136" spans="1:2">
      <c r="A136" t="s">
        <v>345</v>
      </c>
      <c r="B136" t="s">
        <v>305</v>
      </c>
    </row>
    <row r="137" spans="1:2">
      <c r="A137" t="s">
        <v>347</v>
      </c>
      <c r="B137" t="s">
        <v>303</v>
      </c>
    </row>
    <row r="138" spans="1:2">
      <c r="A138" t="s">
        <v>349</v>
      </c>
      <c r="B138" t="s">
        <v>1110</v>
      </c>
    </row>
    <row r="139" spans="1:2">
      <c r="A139" t="s">
        <v>352</v>
      </c>
      <c r="B139" t="s">
        <v>167</v>
      </c>
    </row>
    <row r="140" spans="1:2">
      <c r="A140" t="s">
        <v>354</v>
      </c>
      <c r="B140" t="s">
        <v>219</v>
      </c>
    </row>
    <row r="141" spans="1:2">
      <c r="A141" t="s">
        <v>356</v>
      </c>
      <c r="B141" t="s">
        <v>683</v>
      </c>
    </row>
    <row r="142" spans="1:2">
      <c r="A142" t="s">
        <v>359</v>
      </c>
      <c r="B142" t="s">
        <v>206</v>
      </c>
    </row>
    <row r="143" spans="1:2">
      <c r="A143" t="s">
        <v>361</v>
      </c>
      <c r="B143" t="s">
        <v>5761</v>
      </c>
    </row>
    <row r="144" spans="1:2">
      <c r="A144" t="s">
        <v>363</v>
      </c>
      <c r="B144" t="s">
        <v>285</v>
      </c>
    </row>
    <row r="145" spans="1:2">
      <c r="A145" t="s">
        <v>365</v>
      </c>
      <c r="B145" t="s">
        <v>642</v>
      </c>
    </row>
    <row r="146" spans="1:2">
      <c r="A146" t="s">
        <v>367</v>
      </c>
      <c r="B146" t="s">
        <v>345</v>
      </c>
    </row>
    <row r="147" spans="1:2">
      <c r="A147" t="s">
        <v>369</v>
      </c>
      <c r="B147" t="s">
        <v>307</v>
      </c>
    </row>
    <row r="148" spans="1:2">
      <c r="A148" t="s">
        <v>371</v>
      </c>
      <c r="B148" t="s">
        <v>5765</v>
      </c>
    </row>
    <row r="149" spans="1:2">
      <c r="A149" t="s">
        <v>373</v>
      </c>
      <c r="B149" t="s">
        <v>610</v>
      </c>
    </row>
    <row r="150" spans="1:2">
      <c r="A150" t="s">
        <v>376</v>
      </c>
      <c r="B150" t="s">
        <v>5769</v>
      </c>
    </row>
    <row r="151" spans="1:2">
      <c r="A151" t="s">
        <v>379</v>
      </c>
      <c r="B151" t="s">
        <v>5771</v>
      </c>
    </row>
    <row r="152" spans="1:2">
      <c r="A152" t="s">
        <v>383</v>
      </c>
      <c r="B152" t="s">
        <v>5773</v>
      </c>
    </row>
    <row r="153" spans="1:2">
      <c r="A153" t="s">
        <v>385</v>
      </c>
      <c r="B153" t="s">
        <v>190</v>
      </c>
    </row>
    <row r="154" spans="1:2">
      <c r="A154" t="s">
        <v>388</v>
      </c>
      <c r="B154" t="s">
        <v>5776</v>
      </c>
    </row>
    <row r="155" spans="1:2">
      <c r="A155" t="s">
        <v>391</v>
      </c>
      <c r="B155" t="s">
        <v>5777</v>
      </c>
    </row>
    <row r="156" spans="1:2">
      <c r="A156" t="s">
        <v>394</v>
      </c>
      <c r="B156" t="s">
        <v>470</v>
      </c>
    </row>
    <row r="157" spans="1:2">
      <c r="A157" t="s">
        <v>396</v>
      </c>
      <c r="B157" t="s">
        <v>5779</v>
      </c>
    </row>
    <row r="158" spans="1:2">
      <c r="A158" t="s">
        <v>399</v>
      </c>
      <c r="B158" t="s">
        <v>5780</v>
      </c>
    </row>
    <row r="159" spans="1:2">
      <c r="A159" t="s">
        <v>401</v>
      </c>
      <c r="B159" t="s">
        <v>1326</v>
      </c>
    </row>
    <row r="160" spans="1:2">
      <c r="A160" t="s">
        <v>404</v>
      </c>
      <c r="B160" t="s">
        <v>299</v>
      </c>
    </row>
    <row r="161" spans="1:2">
      <c r="A161" t="s">
        <v>406</v>
      </c>
      <c r="B161" t="s">
        <v>5782</v>
      </c>
    </row>
    <row r="162" spans="1:2">
      <c r="A162" t="s">
        <v>408</v>
      </c>
      <c r="B162" t="s">
        <v>1043</v>
      </c>
    </row>
    <row r="163" spans="1:2">
      <c r="A163" t="s">
        <v>410</v>
      </c>
      <c r="B163" t="s">
        <v>602</v>
      </c>
    </row>
    <row r="164" spans="1:2">
      <c r="A164" t="s">
        <v>412</v>
      </c>
      <c r="B164" t="s">
        <v>197</v>
      </c>
    </row>
    <row r="165" spans="1:2">
      <c r="A165" t="s">
        <v>414</v>
      </c>
      <c r="B165" t="s">
        <v>760</v>
      </c>
    </row>
    <row r="166" spans="1:2">
      <c r="A166" t="s">
        <v>416</v>
      </c>
      <c r="B166" t="s">
        <v>771</v>
      </c>
    </row>
    <row r="167" spans="1:2">
      <c r="A167" t="s">
        <v>418</v>
      </c>
      <c r="B167" t="s">
        <v>5786</v>
      </c>
    </row>
    <row r="168" spans="1:2">
      <c r="A168" t="s">
        <v>420</v>
      </c>
      <c r="B168" t="s">
        <v>371</v>
      </c>
    </row>
    <row r="169" spans="1:2">
      <c r="A169" t="s">
        <v>424</v>
      </c>
      <c r="B169" t="s">
        <v>338</v>
      </c>
    </row>
    <row r="170" spans="1:2">
      <c r="A170" t="s">
        <v>426</v>
      </c>
      <c r="B170" t="s">
        <v>297</v>
      </c>
    </row>
    <row r="171" spans="1:2">
      <c r="A171" t="s">
        <v>428</v>
      </c>
      <c r="B171" t="s">
        <v>570</v>
      </c>
    </row>
    <row r="172" spans="1:2">
      <c r="A172" t="s">
        <v>430</v>
      </c>
      <c r="B172" t="s">
        <v>1213</v>
      </c>
    </row>
    <row r="173" spans="1:2">
      <c r="A173" t="s">
        <v>432</v>
      </c>
      <c r="B173" t="s">
        <v>594</v>
      </c>
    </row>
    <row r="174" spans="1:2">
      <c r="A174" t="s">
        <v>434</v>
      </c>
      <c r="B174" t="s">
        <v>675</v>
      </c>
    </row>
    <row r="175" spans="1:2">
      <c r="A175" t="s">
        <v>436</v>
      </c>
      <c r="B175" t="s">
        <v>5791</v>
      </c>
    </row>
    <row r="176" spans="1:2">
      <c r="A176" t="s">
        <v>439</v>
      </c>
      <c r="B176" t="s">
        <v>420</v>
      </c>
    </row>
    <row r="177" spans="1:2">
      <c r="A177" t="s">
        <v>442</v>
      </c>
      <c r="B177" t="s">
        <v>5796</v>
      </c>
    </row>
    <row r="178" spans="1:2">
      <c r="A178" t="s">
        <v>444</v>
      </c>
      <c r="B178" t="s">
        <v>552</v>
      </c>
    </row>
    <row r="179" spans="1:2">
      <c r="A179" t="s">
        <v>446</v>
      </c>
      <c r="B179" t="s">
        <v>430</v>
      </c>
    </row>
    <row r="180" spans="1:2">
      <c r="A180" t="s">
        <v>448</v>
      </c>
      <c r="B180" t="s">
        <v>5799</v>
      </c>
    </row>
    <row r="181" spans="1:2">
      <c r="A181" t="s">
        <v>450</v>
      </c>
      <c r="B181" t="s">
        <v>5800</v>
      </c>
    </row>
    <row r="182" spans="1:2">
      <c r="A182" t="s">
        <v>452</v>
      </c>
      <c r="B182" t="s">
        <v>5802</v>
      </c>
    </row>
    <row r="183" spans="1:2">
      <c r="A183" t="s">
        <v>454</v>
      </c>
      <c r="B183" t="s">
        <v>508</v>
      </c>
    </row>
    <row r="184" spans="1:2">
      <c r="A184" t="s">
        <v>456</v>
      </c>
      <c r="B184" t="s">
        <v>512</v>
      </c>
    </row>
    <row r="185" spans="1:2">
      <c r="A185" t="s">
        <v>458</v>
      </c>
      <c r="B185" t="s">
        <v>5805</v>
      </c>
    </row>
    <row r="186" spans="1:2">
      <c r="A186" t="s">
        <v>460</v>
      </c>
      <c r="B186" t="s">
        <v>5806</v>
      </c>
    </row>
    <row r="187" spans="1:2">
      <c r="A187" t="s">
        <v>462</v>
      </c>
      <c r="B187" t="s">
        <v>5808</v>
      </c>
    </row>
    <row r="188" spans="1:2">
      <c r="A188" t="s">
        <v>464</v>
      </c>
      <c r="B188" t="s">
        <v>521</v>
      </c>
    </row>
    <row r="189" spans="1:2">
      <c r="A189" t="s">
        <v>466</v>
      </c>
      <c r="B189" t="s">
        <v>5812</v>
      </c>
    </row>
    <row r="190" spans="1:2">
      <c r="A190" t="s">
        <v>468</v>
      </c>
      <c r="B190" t="s">
        <v>274</v>
      </c>
    </row>
    <row r="191" spans="1:2">
      <c r="A191" t="s">
        <v>470</v>
      </c>
      <c r="B191" t="s">
        <v>491</v>
      </c>
    </row>
    <row r="192" spans="1:2">
      <c r="A192" t="s">
        <v>472</v>
      </c>
      <c r="B192" t="s">
        <v>5817</v>
      </c>
    </row>
    <row r="193" spans="1:2">
      <c r="A193" t="s">
        <v>474</v>
      </c>
      <c r="B193" t="s">
        <v>5819</v>
      </c>
    </row>
    <row r="194" spans="1:2">
      <c r="A194" t="s">
        <v>476</v>
      </c>
      <c r="B194" t="s">
        <v>5821</v>
      </c>
    </row>
    <row r="195" spans="1:2">
      <c r="A195" t="s">
        <v>478</v>
      </c>
      <c r="B195" t="s">
        <v>416</v>
      </c>
    </row>
    <row r="196" spans="1:2">
      <c r="A196" t="s">
        <v>481</v>
      </c>
      <c r="B196" t="s">
        <v>5824</v>
      </c>
    </row>
    <row r="197" spans="1:2">
      <c r="A197" t="s">
        <v>483</v>
      </c>
      <c r="B197" t="s">
        <v>880</v>
      </c>
    </row>
    <row r="198" spans="1:2">
      <c r="A198" t="s">
        <v>485</v>
      </c>
      <c r="B198" t="s">
        <v>5826</v>
      </c>
    </row>
    <row r="199" spans="1:2">
      <c r="A199" t="s">
        <v>487</v>
      </c>
      <c r="B199" t="s">
        <v>5828</v>
      </c>
    </row>
    <row r="200" spans="1:2">
      <c r="A200" t="s">
        <v>489</v>
      </c>
      <c r="B200" t="s">
        <v>279</v>
      </c>
    </row>
    <row r="201" spans="1:2">
      <c r="A201" t="s">
        <v>491</v>
      </c>
      <c r="B201" t="s">
        <v>5831</v>
      </c>
    </row>
    <row r="202" spans="1:2">
      <c r="A202" t="s">
        <v>494</v>
      </c>
      <c r="B202" t="s">
        <v>2183</v>
      </c>
    </row>
    <row r="203" spans="1:2">
      <c r="A203" t="s">
        <v>497</v>
      </c>
      <c r="B203" t="s">
        <v>5835</v>
      </c>
    </row>
    <row r="204" spans="1:2">
      <c r="A204" t="s">
        <v>500</v>
      </c>
      <c r="B204" t="s">
        <v>1049</v>
      </c>
    </row>
    <row r="205" spans="1:2">
      <c r="A205" t="s">
        <v>503</v>
      </c>
      <c r="B205" t="s">
        <v>448</v>
      </c>
    </row>
    <row r="206" spans="1:2">
      <c r="A206" t="s">
        <v>505</v>
      </c>
      <c r="B206" t="s">
        <v>5836</v>
      </c>
    </row>
    <row r="207" spans="1:2">
      <c r="A207" t="s">
        <v>508</v>
      </c>
      <c r="B207" t="s">
        <v>785</v>
      </c>
    </row>
    <row r="208" spans="1:2">
      <c r="A208" t="s">
        <v>510</v>
      </c>
      <c r="B208" t="s">
        <v>321</v>
      </c>
    </row>
    <row r="209" spans="1:2">
      <c r="A209" t="s">
        <v>512</v>
      </c>
      <c r="B209" t="s">
        <v>503</v>
      </c>
    </row>
    <row r="210" spans="1:2">
      <c r="A210" t="s">
        <v>515</v>
      </c>
      <c r="B210" t="s">
        <v>5839</v>
      </c>
    </row>
    <row r="211" spans="1:2">
      <c r="A211" t="s">
        <v>517</v>
      </c>
      <c r="B211" t="s">
        <v>458</v>
      </c>
    </row>
    <row r="212" spans="1:2">
      <c r="A212" t="s">
        <v>519</v>
      </c>
      <c r="B212" t="s">
        <v>1447</v>
      </c>
    </row>
    <row r="213" spans="1:2">
      <c r="A213" t="s">
        <v>521</v>
      </c>
      <c r="B213" t="s">
        <v>657</v>
      </c>
    </row>
    <row r="214" spans="1:2">
      <c r="A214" t="s">
        <v>523</v>
      </c>
      <c r="B214" t="s">
        <v>5845</v>
      </c>
    </row>
    <row r="215" spans="1:2">
      <c r="A215" t="s">
        <v>525</v>
      </c>
      <c r="B215" t="s">
        <v>1568</v>
      </c>
    </row>
    <row r="216" spans="1:2">
      <c r="A216" t="s">
        <v>527</v>
      </c>
      <c r="B216" t="s">
        <v>587</v>
      </c>
    </row>
    <row r="217" spans="1:2">
      <c r="A217" t="s">
        <v>531</v>
      </c>
      <c r="B217" t="s">
        <v>462</v>
      </c>
    </row>
    <row r="218" spans="1:2">
      <c r="A218" t="s">
        <v>533</v>
      </c>
      <c r="B218" t="s">
        <v>1074</v>
      </c>
    </row>
    <row r="219" spans="1:2">
      <c r="A219" t="s">
        <v>536</v>
      </c>
      <c r="B219" t="s">
        <v>583</v>
      </c>
    </row>
    <row r="220" spans="1:2">
      <c r="A220" t="s">
        <v>538</v>
      </c>
      <c r="B220" t="s">
        <v>5853</v>
      </c>
    </row>
    <row r="221" spans="1:2">
      <c r="A221" t="s">
        <v>541</v>
      </c>
      <c r="B221" t="s">
        <v>5854</v>
      </c>
    </row>
    <row r="222" spans="1:2">
      <c r="A222" t="s">
        <v>543</v>
      </c>
      <c r="B222" t="s">
        <v>363</v>
      </c>
    </row>
    <row r="223" spans="1:2">
      <c r="A223" t="s">
        <v>546</v>
      </c>
      <c r="B223" t="s">
        <v>5855</v>
      </c>
    </row>
    <row r="224" spans="1:2">
      <c r="A224" t="s">
        <v>547</v>
      </c>
      <c r="B224" t="s">
        <v>5856</v>
      </c>
    </row>
    <row r="225" spans="1:2">
      <c r="A225" t="s">
        <v>548</v>
      </c>
      <c r="B225" t="s">
        <v>340</v>
      </c>
    </row>
    <row r="226" spans="1:2">
      <c r="A226" t="s">
        <v>550</v>
      </c>
      <c r="B226" t="s">
        <v>527</v>
      </c>
    </row>
    <row r="227" spans="1:2">
      <c r="A227" t="s">
        <v>552</v>
      </c>
      <c r="B227" t="s">
        <v>1177</v>
      </c>
    </row>
    <row r="228" spans="1:2">
      <c r="A228" t="s">
        <v>554</v>
      </c>
      <c r="B228" t="s">
        <v>5858</v>
      </c>
    </row>
    <row r="229" spans="1:2">
      <c r="A229" t="s">
        <v>557</v>
      </c>
      <c r="B229" t="s">
        <v>5860</v>
      </c>
    </row>
    <row r="230" spans="1:2">
      <c r="A230" t="s">
        <v>559</v>
      </c>
      <c r="B230" t="s">
        <v>5862</v>
      </c>
    </row>
    <row r="231" spans="1:2">
      <c r="A231" t="s">
        <v>561</v>
      </c>
      <c r="B231" t="s">
        <v>2631</v>
      </c>
    </row>
    <row r="232" spans="1:2">
      <c r="A232" t="s">
        <v>563</v>
      </c>
      <c r="B232" t="s">
        <v>5864</v>
      </c>
    </row>
    <row r="233" spans="1:2">
      <c r="A233" t="s">
        <v>565</v>
      </c>
      <c r="B233" t="s">
        <v>5866</v>
      </c>
    </row>
    <row r="234" spans="1:2">
      <c r="A234" t="s">
        <v>567</v>
      </c>
      <c r="B234" t="s">
        <v>622</v>
      </c>
    </row>
    <row r="235" spans="1:2">
      <c r="A235" t="s">
        <v>570</v>
      </c>
      <c r="B235" t="s">
        <v>1072</v>
      </c>
    </row>
    <row r="236" spans="1:2">
      <c r="A236" t="s">
        <v>572</v>
      </c>
      <c r="B236" t="s">
        <v>878</v>
      </c>
    </row>
    <row r="237" spans="1:2">
      <c r="A237" t="s">
        <v>574</v>
      </c>
      <c r="B237" t="s">
        <v>5870</v>
      </c>
    </row>
    <row r="238" spans="1:2">
      <c r="A238" t="s">
        <v>576</v>
      </c>
      <c r="B238" t="s">
        <v>410</v>
      </c>
    </row>
    <row r="239" spans="1:2">
      <c r="A239" t="s">
        <v>579</v>
      </c>
      <c r="B239" t="s">
        <v>5871</v>
      </c>
    </row>
    <row r="240" spans="1:2">
      <c r="A240" t="s">
        <v>581</v>
      </c>
      <c r="B240" t="s">
        <v>1283</v>
      </c>
    </row>
    <row r="241" spans="1:2">
      <c r="A241" t="s">
        <v>583</v>
      </c>
      <c r="B241" t="s">
        <v>5873</v>
      </c>
    </row>
    <row r="242" spans="1:2">
      <c r="A242" t="s">
        <v>585</v>
      </c>
      <c r="B242" t="s">
        <v>1154</v>
      </c>
    </row>
    <row r="243" spans="1:2">
      <c r="A243" t="s">
        <v>587</v>
      </c>
      <c r="B243" t="s">
        <v>651</v>
      </c>
    </row>
    <row r="244" spans="1:2">
      <c r="A244" t="s">
        <v>590</v>
      </c>
      <c r="B244" t="s">
        <v>630</v>
      </c>
    </row>
    <row r="245" spans="1:2">
      <c r="A245" t="s">
        <v>592</v>
      </c>
      <c r="B245" t="s">
        <v>706</v>
      </c>
    </row>
    <row r="246" spans="1:2">
      <c r="A246" t="s">
        <v>594</v>
      </c>
      <c r="B246" t="s">
        <v>5879</v>
      </c>
    </row>
    <row r="247" spans="1:2">
      <c r="A247" t="s">
        <v>596</v>
      </c>
      <c r="B247" t="s">
        <v>714</v>
      </c>
    </row>
    <row r="248" spans="1:2">
      <c r="A248" t="s">
        <v>598</v>
      </c>
      <c r="B248" t="s">
        <v>5881</v>
      </c>
    </row>
    <row r="249" spans="1:2">
      <c r="A249" t="s">
        <v>600</v>
      </c>
      <c r="B249" t="s">
        <v>983</v>
      </c>
    </row>
    <row r="250" spans="1:2">
      <c r="A250" t="s">
        <v>602</v>
      </c>
      <c r="B250" t="s">
        <v>408</v>
      </c>
    </row>
    <row r="251" spans="1:2">
      <c r="A251" t="s">
        <v>606</v>
      </c>
      <c r="B251" t="s">
        <v>1158</v>
      </c>
    </row>
    <row r="252" spans="1:2">
      <c r="A252" t="s">
        <v>610</v>
      </c>
      <c r="B252" t="s">
        <v>5884</v>
      </c>
    </row>
    <row r="253" spans="1:2">
      <c r="A253" t="s">
        <v>612</v>
      </c>
      <c r="B253" t="s">
        <v>5887</v>
      </c>
    </row>
    <row r="254" spans="1:2">
      <c r="A254" t="s">
        <v>614</v>
      </c>
      <c r="B254" t="s">
        <v>1095</v>
      </c>
    </row>
    <row r="255" spans="1:2">
      <c r="A255" t="s">
        <v>616</v>
      </c>
      <c r="B255" t="s">
        <v>478</v>
      </c>
    </row>
    <row r="256" spans="1:2">
      <c r="A256" t="s">
        <v>618</v>
      </c>
      <c r="B256" t="s">
        <v>414</v>
      </c>
    </row>
    <row r="257" spans="1:2">
      <c r="A257" t="s">
        <v>620</v>
      </c>
      <c r="B257" t="s">
        <v>428</v>
      </c>
    </row>
    <row r="258" spans="1:2">
      <c r="A258" t="s">
        <v>622</v>
      </c>
      <c r="B258" t="s">
        <v>5894</v>
      </c>
    </row>
    <row r="259" spans="1:2">
      <c r="A259" t="s">
        <v>624</v>
      </c>
      <c r="B259" t="s">
        <v>5896</v>
      </c>
    </row>
    <row r="260" spans="1:2">
      <c r="A260" t="s">
        <v>626</v>
      </c>
      <c r="B260" t="s">
        <v>598</v>
      </c>
    </row>
    <row r="261" spans="1:2">
      <c r="A261" t="s">
        <v>628</v>
      </c>
      <c r="B261" t="s">
        <v>5897</v>
      </c>
    </row>
    <row r="262" spans="1:2">
      <c r="A262" t="s">
        <v>630</v>
      </c>
      <c r="B262" t="s">
        <v>250</v>
      </c>
    </row>
    <row r="263" spans="1:2">
      <c r="A263" t="s">
        <v>632</v>
      </c>
      <c r="B263" t="s">
        <v>5900</v>
      </c>
    </row>
    <row r="264" spans="1:2">
      <c r="A264" t="s">
        <v>634</v>
      </c>
      <c r="B264" t="s">
        <v>5902</v>
      </c>
    </row>
    <row r="265" spans="1:2">
      <c r="A265" t="s">
        <v>636</v>
      </c>
      <c r="B265" t="s">
        <v>352</v>
      </c>
    </row>
    <row r="266" spans="1:2">
      <c r="A266" t="s">
        <v>638</v>
      </c>
      <c r="B266" t="s">
        <v>5905</v>
      </c>
    </row>
    <row r="267" spans="1:2">
      <c r="A267" t="s">
        <v>640</v>
      </c>
      <c r="B267" t="s">
        <v>5906</v>
      </c>
    </row>
    <row r="268" spans="1:2">
      <c r="A268" t="s">
        <v>642</v>
      </c>
      <c r="B268" t="s">
        <v>5908</v>
      </c>
    </row>
    <row r="269" spans="1:2">
      <c r="A269" t="s">
        <v>644</v>
      </c>
      <c r="B269" t="s">
        <v>5910</v>
      </c>
    </row>
    <row r="270" spans="1:2">
      <c r="A270" t="s">
        <v>646</v>
      </c>
      <c r="B270" t="s">
        <v>248</v>
      </c>
    </row>
    <row r="271" spans="1:2">
      <c r="A271" t="s">
        <v>649</v>
      </c>
      <c r="B271" t="s">
        <v>406</v>
      </c>
    </row>
    <row r="272" spans="1:2">
      <c r="A272" t="s">
        <v>651</v>
      </c>
      <c r="B272" t="s">
        <v>5913</v>
      </c>
    </row>
    <row r="273" spans="1:2">
      <c r="A273" t="s">
        <v>653</v>
      </c>
      <c r="B273" t="s">
        <v>5915</v>
      </c>
    </row>
    <row r="274" spans="1:2">
      <c r="A274" t="s">
        <v>655</v>
      </c>
      <c r="B274" t="s">
        <v>538</v>
      </c>
    </row>
    <row r="275" spans="1:2">
      <c r="A275" t="s">
        <v>657</v>
      </c>
      <c r="B275" t="s">
        <v>671</v>
      </c>
    </row>
    <row r="276" spans="1:2">
      <c r="A276" t="s">
        <v>660</v>
      </c>
      <c r="B276" t="s">
        <v>401</v>
      </c>
    </row>
    <row r="277" spans="1:2">
      <c r="A277" t="s">
        <v>663</v>
      </c>
      <c r="B277" t="s">
        <v>904</v>
      </c>
    </row>
    <row r="278" spans="1:2">
      <c r="A278" t="s">
        <v>666</v>
      </c>
      <c r="B278" t="s">
        <v>806</v>
      </c>
    </row>
    <row r="279" spans="1:2">
      <c r="A279" t="s">
        <v>668</v>
      </c>
      <c r="B279" t="s">
        <v>5919</v>
      </c>
    </row>
    <row r="280" spans="1:2">
      <c r="A280" t="s">
        <v>671</v>
      </c>
      <c r="B280" t="s">
        <v>548</v>
      </c>
    </row>
    <row r="281" spans="1:2">
      <c r="A281" t="s">
        <v>673</v>
      </c>
      <c r="B281" t="s">
        <v>777</v>
      </c>
    </row>
    <row r="282" spans="1:2">
      <c r="A282" t="s">
        <v>675</v>
      </c>
      <c r="B282" t="s">
        <v>5922</v>
      </c>
    </row>
    <row r="283" spans="1:2">
      <c r="A283" t="s">
        <v>678</v>
      </c>
      <c r="B283" t="s">
        <v>614</v>
      </c>
    </row>
    <row r="284" spans="1:2">
      <c r="A284" t="s">
        <v>681</v>
      </c>
      <c r="B284" t="s">
        <v>803</v>
      </c>
    </row>
    <row r="285" spans="1:2">
      <c r="A285" t="s">
        <v>683</v>
      </c>
      <c r="B285" t="s">
        <v>5925</v>
      </c>
    </row>
    <row r="286" spans="1:2">
      <c r="A286" t="s">
        <v>686</v>
      </c>
      <c r="B286" t="s">
        <v>5927</v>
      </c>
    </row>
    <row r="287" spans="1:2">
      <c r="A287" t="s">
        <v>688</v>
      </c>
      <c r="B287" t="s">
        <v>585</v>
      </c>
    </row>
    <row r="288" spans="1:2">
      <c r="A288" t="s">
        <v>690</v>
      </c>
      <c r="B288" t="s">
        <v>5928</v>
      </c>
    </row>
    <row r="289" spans="1:2">
      <c r="A289" t="s">
        <v>693</v>
      </c>
      <c r="B289" t="s">
        <v>590</v>
      </c>
    </row>
    <row r="290" spans="1:2">
      <c r="A290" t="s">
        <v>695</v>
      </c>
      <c r="B290" t="s">
        <v>755</v>
      </c>
    </row>
    <row r="291" spans="1:2">
      <c r="A291" t="s">
        <v>698</v>
      </c>
      <c r="B291" t="s">
        <v>822</v>
      </c>
    </row>
    <row r="292" spans="1:2">
      <c r="A292" t="s">
        <v>700</v>
      </c>
      <c r="B292" t="s">
        <v>5930</v>
      </c>
    </row>
    <row r="293" spans="1:2">
      <c r="A293" t="s">
        <v>702</v>
      </c>
      <c r="B293" t="s">
        <v>5932</v>
      </c>
    </row>
    <row r="294" spans="1:2">
      <c r="A294" t="s">
        <v>704</v>
      </c>
      <c r="B294" t="s">
        <v>824</v>
      </c>
    </row>
    <row r="295" spans="1:2">
      <c r="A295" t="s">
        <v>706</v>
      </c>
      <c r="B295" t="s">
        <v>5933</v>
      </c>
    </row>
    <row r="296" spans="1:2">
      <c r="A296" t="s">
        <v>708</v>
      </c>
      <c r="B296" t="s">
        <v>764</v>
      </c>
    </row>
    <row r="297" spans="1:2">
      <c r="A297" t="s">
        <v>710</v>
      </c>
      <c r="B297" t="s">
        <v>624</v>
      </c>
    </row>
    <row r="298" spans="1:2">
      <c r="A298" t="s">
        <v>712</v>
      </c>
      <c r="B298" t="s">
        <v>464</v>
      </c>
    </row>
    <row r="299" spans="1:2">
      <c r="A299" t="s">
        <v>714</v>
      </c>
      <c r="B299" t="s">
        <v>742</v>
      </c>
    </row>
    <row r="300" spans="1:2">
      <c r="A300" t="s">
        <v>717</v>
      </c>
      <c r="B300" t="s">
        <v>5939</v>
      </c>
    </row>
    <row r="301" spans="1:2">
      <c r="A301" t="s">
        <v>719</v>
      </c>
      <c r="B301" t="s">
        <v>5940</v>
      </c>
    </row>
    <row r="302" spans="1:2">
      <c r="A302" t="s">
        <v>722</v>
      </c>
      <c r="B302" t="s">
        <v>5942</v>
      </c>
    </row>
    <row r="303" spans="1:2">
      <c r="A303" t="s">
        <v>724</v>
      </c>
      <c r="B303" t="s">
        <v>5944</v>
      </c>
    </row>
    <row r="304" spans="1:2">
      <c r="A304" t="s">
        <v>727</v>
      </c>
      <c r="B304" t="s">
        <v>719</v>
      </c>
    </row>
    <row r="305" spans="1:2">
      <c r="A305" t="s">
        <v>730</v>
      </c>
      <c r="B305" t="s">
        <v>1542</v>
      </c>
    </row>
    <row r="306" spans="1:2">
      <c r="A306" t="s">
        <v>732</v>
      </c>
      <c r="B306" t="s">
        <v>489</v>
      </c>
    </row>
    <row r="307" spans="1:2">
      <c r="A307" t="s">
        <v>734</v>
      </c>
      <c r="B307" t="s">
        <v>1036</v>
      </c>
    </row>
    <row r="308" spans="1:2">
      <c r="A308" t="s">
        <v>736</v>
      </c>
      <c r="B308" t="s">
        <v>5949</v>
      </c>
    </row>
    <row r="309" spans="1:2">
      <c r="A309" t="s">
        <v>738</v>
      </c>
      <c r="B309" t="s">
        <v>710</v>
      </c>
    </row>
    <row r="310" spans="1:2">
      <c r="A310" t="s">
        <v>740</v>
      </c>
      <c r="B310" t="s">
        <v>5951</v>
      </c>
    </row>
    <row r="311" spans="1:2">
      <c r="A311" t="s">
        <v>742</v>
      </c>
      <c r="B311" t="s">
        <v>712</v>
      </c>
    </row>
    <row r="312" spans="1:2">
      <c r="A312" t="s">
        <v>744</v>
      </c>
      <c r="B312" t="s">
        <v>5952</v>
      </c>
    </row>
    <row r="313" spans="1:2">
      <c r="A313" t="s">
        <v>746</v>
      </c>
      <c r="B313" t="s">
        <v>5953</v>
      </c>
    </row>
    <row r="314" spans="1:2">
      <c r="A314" t="s">
        <v>748</v>
      </c>
      <c r="B314" t="s">
        <v>5955</v>
      </c>
    </row>
    <row r="315" spans="1:2">
      <c r="A315" t="s">
        <v>751</v>
      </c>
      <c r="B315" t="s">
        <v>5957</v>
      </c>
    </row>
    <row r="316" spans="1:2">
      <c r="A316" t="s">
        <v>753</v>
      </c>
      <c r="B316" t="s">
        <v>673</v>
      </c>
    </row>
    <row r="317" spans="1:2">
      <c r="A317" t="s">
        <v>755</v>
      </c>
      <c r="B317" t="s">
        <v>1101</v>
      </c>
    </row>
    <row r="318" spans="1:2">
      <c r="A318" t="s">
        <v>758</v>
      </c>
      <c r="B318" t="s">
        <v>5961</v>
      </c>
    </row>
    <row r="319" spans="1:2">
      <c r="A319" t="s">
        <v>760</v>
      </c>
      <c r="B319" t="s">
        <v>820</v>
      </c>
    </row>
    <row r="320" spans="1:2">
      <c r="A320" t="s">
        <v>762</v>
      </c>
      <c r="B320" t="s">
        <v>693</v>
      </c>
    </row>
    <row r="321" spans="1:2">
      <c r="A321" t="s">
        <v>764</v>
      </c>
      <c r="B321" t="s">
        <v>960</v>
      </c>
    </row>
    <row r="322" spans="1:2">
      <c r="A322" t="s">
        <v>767</v>
      </c>
      <c r="B322" t="s">
        <v>5964</v>
      </c>
    </row>
    <row r="323" spans="1:2">
      <c r="A323" t="s">
        <v>769</v>
      </c>
      <c r="B323" t="s">
        <v>5965</v>
      </c>
    </row>
    <row r="324" spans="1:2">
      <c r="A324" t="s">
        <v>771</v>
      </c>
      <c r="B324" t="s">
        <v>942</v>
      </c>
    </row>
    <row r="325" spans="1:2">
      <c r="A325" t="s">
        <v>773</v>
      </c>
      <c r="B325" t="s">
        <v>581</v>
      </c>
    </row>
    <row r="326" spans="1:2">
      <c r="A326" t="s">
        <v>775</v>
      </c>
      <c r="B326" t="s">
        <v>5967</v>
      </c>
    </row>
    <row r="327" spans="1:2">
      <c r="A327" t="s">
        <v>777</v>
      </c>
      <c r="B327" t="s">
        <v>1320</v>
      </c>
    </row>
    <row r="328" spans="1:2">
      <c r="A328" t="s">
        <v>779</v>
      </c>
      <c r="B328" t="s">
        <v>798</v>
      </c>
    </row>
    <row r="329" spans="1:2">
      <c r="A329" t="s">
        <v>781</v>
      </c>
      <c r="B329" t="s">
        <v>698</v>
      </c>
    </row>
    <row r="330" spans="1:2">
      <c r="A330" t="s">
        <v>783</v>
      </c>
      <c r="B330" t="s">
        <v>857</v>
      </c>
    </row>
    <row r="331" spans="1:2">
      <c r="A331" t="s">
        <v>785</v>
      </c>
      <c r="B331" t="s">
        <v>5970</v>
      </c>
    </row>
    <row r="332" spans="1:2">
      <c r="A332" t="s">
        <v>787</v>
      </c>
      <c r="B332" t="s">
        <v>5971</v>
      </c>
    </row>
    <row r="333" spans="1:2">
      <c r="A333" t="s">
        <v>789</v>
      </c>
      <c r="B333" t="s">
        <v>5972</v>
      </c>
    </row>
    <row r="334" spans="1:2">
      <c r="A334" t="s">
        <v>791</v>
      </c>
      <c r="B334" t="s">
        <v>646</v>
      </c>
    </row>
    <row r="335" spans="1:2">
      <c r="A335" t="s">
        <v>793</v>
      </c>
      <c r="B335" t="s">
        <v>510</v>
      </c>
    </row>
    <row r="336" spans="1:2">
      <c r="A336" t="s">
        <v>794</v>
      </c>
      <c r="B336" t="s">
        <v>794</v>
      </c>
    </row>
    <row r="337" spans="1:2">
      <c r="A337" t="s">
        <v>798</v>
      </c>
      <c r="B337" t="s">
        <v>5978</v>
      </c>
    </row>
    <row r="338" spans="1:2">
      <c r="A338" t="s">
        <v>800</v>
      </c>
      <c r="B338" t="s">
        <v>497</v>
      </c>
    </row>
    <row r="339" spans="1:2">
      <c r="A339" t="s">
        <v>803</v>
      </c>
      <c r="B339" t="s">
        <v>902</v>
      </c>
    </row>
    <row r="340" spans="1:2">
      <c r="A340" t="s">
        <v>806</v>
      </c>
      <c r="B340" t="s">
        <v>5982</v>
      </c>
    </row>
    <row r="341" spans="1:2">
      <c r="A341" t="s">
        <v>808</v>
      </c>
      <c r="B341" t="s">
        <v>1045</v>
      </c>
    </row>
    <row r="342" spans="1:2">
      <c r="A342" t="s">
        <v>810</v>
      </c>
      <c r="B342" t="s">
        <v>612</v>
      </c>
    </row>
    <row r="343" spans="1:2">
      <c r="A343" t="s">
        <v>812</v>
      </c>
      <c r="B343" t="s">
        <v>517</v>
      </c>
    </row>
    <row r="344" spans="1:2">
      <c r="A344" t="s">
        <v>815</v>
      </c>
      <c r="B344" t="s">
        <v>1706</v>
      </c>
    </row>
    <row r="345" spans="1:2">
      <c r="A345" t="s">
        <v>818</v>
      </c>
      <c r="B345" t="s">
        <v>849</v>
      </c>
    </row>
    <row r="346" spans="1:2">
      <c r="A346" t="s">
        <v>820</v>
      </c>
      <c r="B346" t="s">
        <v>1405</v>
      </c>
    </row>
    <row r="347" spans="1:2">
      <c r="A347" t="s">
        <v>822</v>
      </c>
      <c r="B347" t="s">
        <v>5986</v>
      </c>
    </row>
    <row r="348" spans="1:2">
      <c r="A348" t="s">
        <v>824</v>
      </c>
      <c r="B348" t="s">
        <v>919</v>
      </c>
    </row>
    <row r="349" spans="1:2">
      <c r="A349" t="s">
        <v>827</v>
      </c>
      <c r="B349" t="s">
        <v>1633</v>
      </c>
    </row>
    <row r="350" spans="1:2">
      <c r="A350" t="s">
        <v>829</v>
      </c>
      <c r="B350" t="s">
        <v>5990</v>
      </c>
    </row>
    <row r="351" spans="1:2">
      <c r="A351" t="s">
        <v>832</v>
      </c>
      <c r="B351" t="s">
        <v>5993</v>
      </c>
    </row>
    <row r="352" spans="1:2">
      <c r="A352" t="s">
        <v>835</v>
      </c>
      <c r="B352" t="s">
        <v>1086</v>
      </c>
    </row>
    <row r="353" spans="1:2">
      <c r="A353" t="s">
        <v>838</v>
      </c>
      <c r="B353" t="s">
        <v>649</v>
      </c>
    </row>
    <row r="354" spans="1:2">
      <c r="A354" t="s">
        <v>841</v>
      </c>
      <c r="B354" t="s">
        <v>991</v>
      </c>
    </row>
    <row r="355" spans="1:2">
      <c r="A355" t="s">
        <v>843</v>
      </c>
      <c r="B355" t="s">
        <v>944</v>
      </c>
    </row>
    <row r="356" spans="1:2">
      <c r="A356" t="s">
        <v>845</v>
      </c>
      <c r="B356" t="s">
        <v>5996</v>
      </c>
    </row>
    <row r="357" spans="1:2">
      <c r="A357" t="s">
        <v>847</v>
      </c>
      <c r="B357" t="s">
        <v>3648</v>
      </c>
    </row>
    <row r="358" spans="1:2">
      <c r="A358" t="s">
        <v>849</v>
      </c>
      <c r="B358" t="s">
        <v>383</v>
      </c>
    </row>
    <row r="359" spans="1:2">
      <c r="A359" t="s">
        <v>851</v>
      </c>
      <c r="B359" t="s">
        <v>940</v>
      </c>
    </row>
    <row r="360" spans="1:2">
      <c r="A360" t="s">
        <v>853</v>
      </c>
      <c r="B360" t="s">
        <v>870</v>
      </c>
    </row>
    <row r="361" spans="1:2">
      <c r="A361" t="s">
        <v>855</v>
      </c>
      <c r="B361" t="s">
        <v>812</v>
      </c>
    </row>
    <row r="362" spans="1:2">
      <c r="A362" t="s">
        <v>857</v>
      </c>
      <c r="B362" t="s">
        <v>6001</v>
      </c>
    </row>
    <row r="363" spans="1:2">
      <c r="A363" t="s">
        <v>859</v>
      </c>
      <c r="B363" t="s">
        <v>1130</v>
      </c>
    </row>
    <row r="364" spans="1:2">
      <c r="A364" t="s">
        <v>861</v>
      </c>
      <c r="B364" t="s">
        <v>6004</v>
      </c>
    </row>
    <row r="365" spans="1:2">
      <c r="A365" t="s">
        <v>863</v>
      </c>
      <c r="B365" t="s">
        <v>6006</v>
      </c>
    </row>
    <row r="366" spans="1:2">
      <c r="A366" t="s">
        <v>865</v>
      </c>
      <c r="B366" t="s">
        <v>1401</v>
      </c>
    </row>
    <row r="367" spans="1:2">
      <c r="A367" t="s">
        <v>868</v>
      </c>
      <c r="B367" t="s">
        <v>1524</v>
      </c>
    </row>
    <row r="368" spans="1:2">
      <c r="A368" t="s">
        <v>870</v>
      </c>
      <c r="B368" t="s">
        <v>1142</v>
      </c>
    </row>
    <row r="369" spans="1:2">
      <c r="A369" t="s">
        <v>872</v>
      </c>
      <c r="B369" t="s">
        <v>6010</v>
      </c>
    </row>
    <row r="370" spans="1:2">
      <c r="A370" t="s">
        <v>874</v>
      </c>
      <c r="B370" t="s">
        <v>1222</v>
      </c>
    </row>
    <row r="371" spans="1:2">
      <c r="A371" t="s">
        <v>876</v>
      </c>
      <c r="B371" t="s">
        <v>6012</v>
      </c>
    </row>
    <row r="372" spans="1:2">
      <c r="A372" t="s">
        <v>878</v>
      </c>
      <c r="B372" t="s">
        <v>6013</v>
      </c>
    </row>
    <row r="373" spans="1:2">
      <c r="A373" t="s">
        <v>880</v>
      </c>
      <c r="B373" t="s">
        <v>1855</v>
      </c>
    </row>
    <row r="374" spans="1:2">
      <c r="A374" t="s">
        <v>882</v>
      </c>
      <c r="B374" t="s">
        <v>592</v>
      </c>
    </row>
    <row r="375" spans="1:2">
      <c r="A375" t="s">
        <v>884</v>
      </c>
      <c r="B375" t="s">
        <v>6017</v>
      </c>
    </row>
    <row r="376" spans="1:2">
      <c r="A376" t="s">
        <v>886</v>
      </c>
      <c r="B376" t="s">
        <v>730</v>
      </c>
    </row>
    <row r="377" spans="1:2">
      <c r="A377" t="s">
        <v>888</v>
      </c>
      <c r="B377" t="s">
        <v>6019</v>
      </c>
    </row>
    <row r="378" spans="1:2">
      <c r="A378" t="s">
        <v>890</v>
      </c>
      <c r="B378" t="s">
        <v>841</v>
      </c>
    </row>
    <row r="379" spans="1:2">
      <c r="A379" t="s">
        <v>892</v>
      </c>
      <c r="B379" t="s">
        <v>6021</v>
      </c>
    </row>
    <row r="380" spans="1:2">
      <c r="A380" t="s">
        <v>894</v>
      </c>
      <c r="B380" t="s">
        <v>6022</v>
      </c>
    </row>
    <row r="381" spans="1:2">
      <c r="A381" t="s">
        <v>898</v>
      </c>
      <c r="B381" t="s">
        <v>474</v>
      </c>
    </row>
    <row r="382" spans="1:2">
      <c r="A382" t="s">
        <v>900</v>
      </c>
      <c r="B382" t="s">
        <v>753</v>
      </c>
    </row>
    <row r="383" spans="1:2">
      <c r="A383" t="s">
        <v>902</v>
      </c>
      <c r="B383" t="s">
        <v>543</v>
      </c>
    </row>
    <row r="384" spans="1:2">
      <c r="A384" t="s">
        <v>904</v>
      </c>
      <c r="B384" t="s">
        <v>1591</v>
      </c>
    </row>
    <row r="385" spans="1:2">
      <c r="A385" t="s">
        <v>906</v>
      </c>
      <c r="B385" t="s">
        <v>6024</v>
      </c>
    </row>
    <row r="386" spans="1:2">
      <c r="A386" t="s">
        <v>908</v>
      </c>
      <c r="B386" t="s">
        <v>668</v>
      </c>
    </row>
    <row r="387" spans="1:2">
      <c r="A387" t="s">
        <v>911</v>
      </c>
      <c r="B387" t="s">
        <v>6028</v>
      </c>
    </row>
    <row r="388" spans="1:2">
      <c r="A388" t="s">
        <v>913</v>
      </c>
      <c r="B388" t="s">
        <v>6029</v>
      </c>
    </row>
    <row r="389" spans="1:2">
      <c r="A389" t="s">
        <v>915</v>
      </c>
      <c r="B389" t="s">
        <v>838</v>
      </c>
    </row>
    <row r="390" spans="1:2">
      <c r="A390" t="s">
        <v>917</v>
      </c>
      <c r="B390" t="s">
        <v>2671</v>
      </c>
    </row>
    <row r="391" spans="1:2">
      <c r="A391" t="s">
        <v>919</v>
      </c>
      <c r="B391" t="s">
        <v>1215</v>
      </c>
    </row>
    <row r="392" spans="1:2">
      <c r="A392" t="s">
        <v>921</v>
      </c>
      <c r="B392" t="s">
        <v>6032</v>
      </c>
    </row>
    <row r="393" spans="1:2">
      <c r="A393" t="s">
        <v>923</v>
      </c>
      <c r="B393" t="s">
        <v>968</v>
      </c>
    </row>
    <row r="394" spans="1:2">
      <c r="A394" t="s">
        <v>926</v>
      </c>
      <c r="B394" t="s">
        <v>6037</v>
      </c>
    </row>
    <row r="395" spans="1:2">
      <c r="A395" t="s">
        <v>928</v>
      </c>
      <c r="B395" t="s">
        <v>695</v>
      </c>
    </row>
    <row r="396" spans="1:2">
      <c r="A396" t="s">
        <v>931</v>
      </c>
      <c r="B396" t="s">
        <v>6041</v>
      </c>
    </row>
    <row r="397" spans="1:2">
      <c r="A397" t="s">
        <v>933</v>
      </c>
      <c r="B397" t="s">
        <v>835</v>
      </c>
    </row>
    <row r="398" spans="1:2">
      <c r="A398" t="s">
        <v>935</v>
      </c>
      <c r="B398" t="s">
        <v>6044</v>
      </c>
    </row>
    <row r="399" spans="1:2">
      <c r="A399" t="s">
        <v>938</v>
      </c>
      <c r="B399" t="s">
        <v>1997</v>
      </c>
    </row>
    <row r="400" spans="1:2">
      <c r="A400" t="s">
        <v>940</v>
      </c>
      <c r="B400" t="s">
        <v>6045</v>
      </c>
    </row>
    <row r="401" spans="1:2">
      <c r="A401" t="s">
        <v>942</v>
      </c>
      <c r="B401" t="s">
        <v>1024</v>
      </c>
    </row>
    <row r="402" spans="1:2">
      <c r="A402" t="s">
        <v>944</v>
      </c>
      <c r="B402" t="s">
        <v>886</v>
      </c>
    </row>
    <row r="403" spans="1:2">
      <c r="A403" t="s">
        <v>947</v>
      </c>
      <c r="B403" t="s">
        <v>1603</v>
      </c>
    </row>
    <row r="404" spans="1:2">
      <c r="A404" t="s">
        <v>950</v>
      </c>
      <c r="B404" t="s">
        <v>6047</v>
      </c>
    </row>
    <row r="405" spans="1:2">
      <c r="A405" t="s">
        <v>952</v>
      </c>
      <c r="B405" t="s">
        <v>1237</v>
      </c>
    </row>
    <row r="406" spans="1:2">
      <c r="A406" t="s">
        <v>955</v>
      </c>
      <c r="B406" t="s">
        <v>1254</v>
      </c>
    </row>
    <row r="407" spans="1:2">
      <c r="A407" t="s">
        <v>958</v>
      </c>
      <c r="B407" t="s">
        <v>620</v>
      </c>
    </row>
    <row r="408" spans="1:2">
      <c r="A408" t="s">
        <v>960</v>
      </c>
      <c r="B408" t="s">
        <v>3004</v>
      </c>
    </row>
    <row r="409" spans="1:2">
      <c r="A409" t="s">
        <v>962</v>
      </c>
      <c r="B409" t="s">
        <v>952</v>
      </c>
    </row>
    <row r="410" spans="1:2">
      <c r="A410" t="s">
        <v>964</v>
      </c>
      <c r="B410" t="s">
        <v>1904</v>
      </c>
    </row>
    <row r="411" spans="1:2">
      <c r="A411" t="s">
        <v>966</v>
      </c>
      <c r="B411" t="s">
        <v>6053</v>
      </c>
    </row>
    <row r="412" spans="1:2">
      <c r="A412" t="s">
        <v>968</v>
      </c>
      <c r="B412" t="s">
        <v>6055</v>
      </c>
    </row>
    <row r="413" spans="1:2">
      <c r="A413" t="s">
        <v>971</v>
      </c>
      <c r="B413" t="s">
        <v>892</v>
      </c>
    </row>
    <row r="414" spans="1:2">
      <c r="A414" t="s">
        <v>973</v>
      </c>
      <c r="B414" t="s">
        <v>6057</v>
      </c>
    </row>
    <row r="415" spans="1:2">
      <c r="A415" t="s">
        <v>975</v>
      </c>
      <c r="B415" t="s">
        <v>1673</v>
      </c>
    </row>
    <row r="416" spans="1:2">
      <c r="A416" t="s">
        <v>977</v>
      </c>
      <c r="B416" t="s">
        <v>6060</v>
      </c>
    </row>
    <row r="417" spans="1:2">
      <c r="A417" t="s">
        <v>979</v>
      </c>
      <c r="B417" t="s">
        <v>888</v>
      </c>
    </row>
    <row r="418" spans="1:2">
      <c r="A418" t="s">
        <v>981</v>
      </c>
      <c r="B418" t="s">
        <v>6062</v>
      </c>
    </row>
    <row r="419" spans="1:2">
      <c r="A419" t="s">
        <v>983</v>
      </c>
      <c r="B419" t="s">
        <v>6063</v>
      </c>
    </row>
    <row r="420" spans="1:2">
      <c r="A420" t="s">
        <v>986</v>
      </c>
      <c r="B420" t="s">
        <v>1358</v>
      </c>
    </row>
    <row r="421" spans="1:2">
      <c r="A421" t="s">
        <v>989</v>
      </c>
      <c r="B421" t="s">
        <v>6065</v>
      </c>
    </row>
    <row r="422" spans="1:2">
      <c r="A422" t="s">
        <v>991</v>
      </c>
      <c r="B422" t="s">
        <v>827</v>
      </c>
    </row>
    <row r="423" spans="1:2">
      <c r="A423" t="s">
        <v>994</v>
      </c>
      <c r="B423" t="s">
        <v>1241</v>
      </c>
    </row>
    <row r="424" spans="1:2">
      <c r="A424" t="s">
        <v>996</v>
      </c>
      <c r="B424" t="s">
        <v>1655</v>
      </c>
    </row>
    <row r="425" spans="1:2">
      <c r="A425" t="s">
        <v>998</v>
      </c>
      <c r="B425" t="s">
        <v>6066</v>
      </c>
    </row>
    <row r="426" spans="1:2">
      <c r="A426" t="s">
        <v>1000</v>
      </c>
      <c r="B426" t="s">
        <v>6069</v>
      </c>
    </row>
    <row r="427" spans="1:2">
      <c r="A427" t="s">
        <v>1002</v>
      </c>
      <c r="B427" t="s">
        <v>6072</v>
      </c>
    </row>
    <row r="428" spans="1:2">
      <c r="A428" t="s">
        <v>1004</v>
      </c>
      <c r="B428" t="s">
        <v>1051</v>
      </c>
    </row>
    <row r="429" spans="1:2">
      <c r="A429" t="s">
        <v>1006</v>
      </c>
      <c r="B429" t="s">
        <v>1182</v>
      </c>
    </row>
    <row r="430" spans="1:2">
      <c r="A430" t="s">
        <v>1008</v>
      </c>
      <c r="B430" t="s">
        <v>6074</v>
      </c>
    </row>
    <row r="431" spans="1:2">
      <c r="A431" t="s">
        <v>1010</v>
      </c>
      <c r="B431" t="s">
        <v>6075</v>
      </c>
    </row>
    <row r="432" spans="1:2">
      <c r="A432" t="s">
        <v>1012</v>
      </c>
      <c r="B432" t="s">
        <v>938</v>
      </c>
    </row>
    <row r="433" spans="1:2">
      <c r="A433" t="s">
        <v>1014</v>
      </c>
      <c r="B433" t="s">
        <v>6077</v>
      </c>
    </row>
    <row r="434" spans="1:2">
      <c r="A434" t="s">
        <v>1016</v>
      </c>
      <c r="B434" t="s">
        <v>908</v>
      </c>
    </row>
    <row r="435" spans="1:2">
      <c r="A435" t="s">
        <v>1018</v>
      </c>
      <c r="B435" t="s">
        <v>2066</v>
      </c>
    </row>
    <row r="436" spans="1:2">
      <c r="A436" t="s">
        <v>1020</v>
      </c>
      <c r="B436" t="s">
        <v>1300</v>
      </c>
    </row>
    <row r="437" spans="1:2">
      <c r="A437" t="s">
        <v>1022</v>
      </c>
      <c r="B437" t="s">
        <v>1120</v>
      </c>
    </row>
    <row r="438" spans="1:2">
      <c r="A438" t="s">
        <v>1024</v>
      </c>
      <c r="B438" t="s">
        <v>1002</v>
      </c>
    </row>
    <row r="439" spans="1:2">
      <c r="A439" t="s">
        <v>1026</v>
      </c>
      <c r="B439" t="s">
        <v>6081</v>
      </c>
    </row>
    <row r="440" spans="1:2">
      <c r="A440" t="s">
        <v>1028</v>
      </c>
      <c r="B440" t="s">
        <v>810</v>
      </c>
    </row>
    <row r="441" spans="1:2">
      <c r="A441" t="s">
        <v>1030</v>
      </c>
      <c r="B441" t="s">
        <v>6083</v>
      </c>
    </row>
    <row r="442" spans="1:2">
      <c r="A442" t="s">
        <v>1032</v>
      </c>
      <c r="B442" t="s">
        <v>6084</v>
      </c>
    </row>
    <row r="443" spans="1:2">
      <c r="A443" t="s">
        <v>1034</v>
      </c>
      <c r="B443" t="s">
        <v>6086</v>
      </c>
    </row>
    <row r="444" spans="1:2">
      <c r="A444" t="s">
        <v>1036</v>
      </c>
      <c r="B444" t="s">
        <v>6088</v>
      </c>
    </row>
    <row r="445" spans="1:2">
      <c r="A445" t="s">
        <v>1039</v>
      </c>
      <c r="B445" t="s">
        <v>6089</v>
      </c>
    </row>
    <row r="446" spans="1:2">
      <c r="A446" t="s">
        <v>1041</v>
      </c>
      <c r="B446" t="s">
        <v>596</v>
      </c>
    </row>
    <row r="447" spans="1:2">
      <c r="A447" t="s">
        <v>1043</v>
      </c>
      <c r="B447" t="s">
        <v>1298</v>
      </c>
    </row>
    <row r="448" spans="1:2">
      <c r="A448" t="s">
        <v>1045</v>
      </c>
      <c r="B448" t="s">
        <v>861</v>
      </c>
    </row>
    <row r="449" spans="1:2">
      <c r="A449" t="s">
        <v>1047</v>
      </c>
      <c r="B449" t="s">
        <v>950</v>
      </c>
    </row>
    <row r="450" spans="1:2">
      <c r="A450" t="s">
        <v>1049</v>
      </c>
      <c r="B450" t="s">
        <v>6093</v>
      </c>
    </row>
    <row r="451" spans="1:2">
      <c r="A451" t="s">
        <v>1051</v>
      </c>
      <c r="B451" t="s">
        <v>6094</v>
      </c>
    </row>
    <row r="452" spans="1:2">
      <c r="A452" t="s">
        <v>1053</v>
      </c>
      <c r="B452" t="s">
        <v>6095</v>
      </c>
    </row>
    <row r="453" spans="1:2">
      <c r="A453" t="s">
        <v>1055</v>
      </c>
      <c r="B453" t="s">
        <v>6096</v>
      </c>
    </row>
    <row r="454" spans="1:2">
      <c r="A454" t="s">
        <v>1057</v>
      </c>
      <c r="B454" t="s">
        <v>1034</v>
      </c>
    </row>
    <row r="455" spans="1:2">
      <c r="A455" t="s">
        <v>1059</v>
      </c>
      <c r="B455" t="s">
        <v>6099</v>
      </c>
    </row>
    <row r="456" spans="1:2">
      <c r="A456" t="s">
        <v>1061</v>
      </c>
      <c r="B456" t="s">
        <v>6101</v>
      </c>
    </row>
    <row r="457" spans="1:2">
      <c r="A457" t="s">
        <v>1064</v>
      </c>
      <c r="B457" t="s">
        <v>2280</v>
      </c>
    </row>
    <row r="458" spans="1:2">
      <c r="A458" t="s">
        <v>1066</v>
      </c>
      <c r="B458" t="s">
        <v>6102</v>
      </c>
    </row>
    <row r="459" spans="1:2">
      <c r="A459" t="s">
        <v>1068</v>
      </c>
      <c r="B459" t="s">
        <v>800</v>
      </c>
    </row>
    <row r="460" spans="1:2">
      <c r="A460" t="s">
        <v>1070</v>
      </c>
      <c r="B460" t="s">
        <v>1732</v>
      </c>
    </row>
    <row r="461" spans="1:2">
      <c r="A461" t="s">
        <v>1072</v>
      </c>
      <c r="B461" t="s">
        <v>6105</v>
      </c>
    </row>
    <row r="462" spans="1:2">
      <c r="A462" t="s">
        <v>1074</v>
      </c>
      <c r="B462" t="s">
        <v>6106</v>
      </c>
    </row>
    <row r="463" spans="1:2">
      <c r="A463" t="s">
        <v>1076</v>
      </c>
      <c r="B463" t="s">
        <v>6107</v>
      </c>
    </row>
    <row r="464" spans="1:2">
      <c r="A464" t="s">
        <v>1078</v>
      </c>
      <c r="B464" t="s">
        <v>628</v>
      </c>
    </row>
    <row r="465" spans="1:2">
      <c r="A465" t="s">
        <v>1080</v>
      </c>
      <c r="B465" t="s">
        <v>1068</v>
      </c>
    </row>
    <row r="466" spans="1:2">
      <c r="A466" t="s">
        <v>1082</v>
      </c>
      <c r="B466" t="s">
        <v>6108</v>
      </c>
    </row>
    <row r="467" spans="1:2">
      <c r="A467" t="s">
        <v>1084</v>
      </c>
      <c r="B467" t="s">
        <v>6110</v>
      </c>
    </row>
    <row r="468" spans="1:2">
      <c r="A468" t="s">
        <v>1086</v>
      </c>
      <c r="B468" t="s">
        <v>6111</v>
      </c>
    </row>
    <row r="469" spans="1:2">
      <c r="A469" t="s">
        <v>1088</v>
      </c>
      <c r="B469" t="s">
        <v>6112</v>
      </c>
    </row>
    <row r="470" spans="1:2">
      <c r="A470" t="s">
        <v>1090</v>
      </c>
      <c r="B470" t="s">
        <v>847</v>
      </c>
    </row>
    <row r="471" spans="1:2">
      <c r="A471" t="s">
        <v>1092</v>
      </c>
      <c r="B471" t="s">
        <v>921</v>
      </c>
    </row>
    <row r="472" spans="1:2">
      <c r="A472" t="s">
        <v>1095</v>
      </c>
      <c r="B472" t="s">
        <v>6113</v>
      </c>
    </row>
    <row r="473" spans="1:2">
      <c r="A473" t="s">
        <v>1097</v>
      </c>
      <c r="B473" t="s">
        <v>884</v>
      </c>
    </row>
    <row r="474" spans="1:2">
      <c r="A474" t="s">
        <v>1099</v>
      </c>
      <c r="B474" t="s">
        <v>6115</v>
      </c>
    </row>
    <row r="475" spans="1:2">
      <c r="A475" t="s">
        <v>1101</v>
      </c>
      <c r="B475" t="s">
        <v>1518</v>
      </c>
    </row>
    <row r="476" spans="1:2">
      <c r="A476" t="s">
        <v>1104</v>
      </c>
      <c r="B476" t="s">
        <v>727</v>
      </c>
    </row>
    <row r="477" spans="1:2">
      <c r="A477" t="s">
        <v>1106</v>
      </c>
      <c r="B477" t="s">
        <v>6117</v>
      </c>
    </row>
    <row r="478" spans="1:2">
      <c r="A478" t="s">
        <v>1108</v>
      </c>
      <c r="B478" t="s">
        <v>6118</v>
      </c>
    </row>
    <row r="479" spans="1:2">
      <c r="A479" t="s">
        <v>1110</v>
      </c>
      <c r="B479" t="s">
        <v>1573</v>
      </c>
    </row>
    <row r="480" spans="1:2">
      <c r="A480" t="s">
        <v>1112</v>
      </c>
      <c r="B480" t="s">
        <v>6121</v>
      </c>
    </row>
    <row r="481" spans="1:2">
      <c r="A481" t="s">
        <v>1114</v>
      </c>
      <c r="B481" t="s">
        <v>6123</v>
      </c>
    </row>
    <row r="482" spans="1:2">
      <c r="A482" t="s">
        <v>1116</v>
      </c>
      <c r="B482" t="s">
        <v>6124</v>
      </c>
    </row>
    <row r="483" spans="1:2">
      <c r="A483" t="s">
        <v>1118</v>
      </c>
      <c r="B483" t="s">
        <v>1061</v>
      </c>
    </row>
    <row r="484" spans="1:2">
      <c r="A484" t="s">
        <v>1120</v>
      </c>
      <c r="B484" t="s">
        <v>958</v>
      </c>
    </row>
    <row r="485" spans="1:2">
      <c r="A485" t="s">
        <v>1122</v>
      </c>
      <c r="B485" t="s">
        <v>4656</v>
      </c>
    </row>
    <row r="486" spans="1:2">
      <c r="A486" t="s">
        <v>1125</v>
      </c>
      <c r="B486" t="s">
        <v>898</v>
      </c>
    </row>
    <row r="487" spans="1:2">
      <c r="A487" t="s">
        <v>1127</v>
      </c>
      <c r="B487" t="s">
        <v>3909</v>
      </c>
    </row>
    <row r="488" spans="1:2">
      <c r="A488" t="s">
        <v>1130</v>
      </c>
      <c r="B488" t="s">
        <v>6125</v>
      </c>
    </row>
    <row r="489" spans="1:2">
      <c r="A489" t="s">
        <v>1132</v>
      </c>
      <c r="B489" t="s">
        <v>6127</v>
      </c>
    </row>
    <row r="490" spans="1:2">
      <c r="A490" t="s">
        <v>1134</v>
      </c>
      <c r="B490" t="s">
        <v>868</v>
      </c>
    </row>
    <row r="491" spans="1:2">
      <c r="A491" t="s">
        <v>1136</v>
      </c>
      <c r="B491" t="s">
        <v>1020</v>
      </c>
    </row>
    <row r="492" spans="1:2">
      <c r="A492" t="s">
        <v>1138</v>
      </c>
      <c r="B492" t="s">
        <v>2846</v>
      </c>
    </row>
    <row r="493" spans="1:2">
      <c r="A493" t="s">
        <v>1140</v>
      </c>
      <c r="B493" t="s">
        <v>6128</v>
      </c>
    </row>
    <row r="494" spans="1:2">
      <c r="A494" t="s">
        <v>1142</v>
      </c>
      <c r="B494" t="s">
        <v>998</v>
      </c>
    </row>
    <row r="495" spans="1:2">
      <c r="A495" t="s">
        <v>1144</v>
      </c>
      <c r="B495" t="s">
        <v>6129</v>
      </c>
    </row>
    <row r="496" spans="1:2">
      <c r="A496" t="s">
        <v>1146</v>
      </c>
      <c r="B496" t="s">
        <v>531</v>
      </c>
    </row>
    <row r="497" spans="1:2">
      <c r="A497" t="s">
        <v>1148</v>
      </c>
      <c r="B497" t="s">
        <v>986</v>
      </c>
    </row>
    <row r="498" spans="1:2">
      <c r="A498" t="s">
        <v>1150</v>
      </c>
      <c r="B498" t="s">
        <v>6130</v>
      </c>
    </row>
    <row r="499" spans="1:2">
      <c r="A499" t="s">
        <v>1152</v>
      </c>
      <c r="B499" t="s">
        <v>1106</v>
      </c>
    </row>
    <row r="500" spans="1:2">
      <c r="A500" t="s">
        <v>1154</v>
      </c>
      <c r="B500" t="s">
        <v>6131</v>
      </c>
    </row>
    <row r="501" spans="1:2">
      <c r="A501" t="s">
        <v>1156</v>
      </c>
      <c r="B501" t="s">
        <v>1489</v>
      </c>
    </row>
    <row r="502" spans="1:2">
      <c r="A502" t="s">
        <v>1158</v>
      </c>
      <c r="B502" t="s">
        <v>1762</v>
      </c>
    </row>
    <row r="503" spans="1:2">
      <c r="A503" t="s">
        <v>1161</v>
      </c>
      <c r="B503" t="s">
        <v>1000</v>
      </c>
    </row>
    <row r="504" spans="1:2">
      <c r="A504" t="s">
        <v>1163</v>
      </c>
      <c r="B504" t="s">
        <v>6133</v>
      </c>
    </row>
    <row r="505" spans="1:2">
      <c r="A505" t="s">
        <v>1166</v>
      </c>
      <c r="B505" t="s">
        <v>1422</v>
      </c>
    </row>
    <row r="506" spans="1:2">
      <c r="A506" t="s">
        <v>1169</v>
      </c>
      <c r="B506" t="s">
        <v>6135</v>
      </c>
    </row>
    <row r="507" spans="1:2">
      <c r="A507" t="s">
        <v>1171</v>
      </c>
      <c r="B507" t="s">
        <v>1097</v>
      </c>
    </row>
    <row r="508" spans="1:2">
      <c r="A508" t="s">
        <v>1173</v>
      </c>
      <c r="B508" t="s">
        <v>660</v>
      </c>
    </row>
    <row r="509" spans="1:2">
      <c r="A509" t="s">
        <v>1175</v>
      </c>
      <c r="B509" t="s">
        <v>6137</v>
      </c>
    </row>
    <row r="510" spans="1:2">
      <c r="A510" t="s">
        <v>1177</v>
      </c>
      <c r="B510" t="s">
        <v>6138</v>
      </c>
    </row>
    <row r="511" spans="1:2">
      <c r="A511" t="s">
        <v>1180</v>
      </c>
      <c r="B511" t="s">
        <v>6139</v>
      </c>
    </row>
    <row r="512" spans="1:2">
      <c r="A512" t="s">
        <v>1182</v>
      </c>
      <c r="B512" t="s">
        <v>2148</v>
      </c>
    </row>
    <row r="513" spans="1:2">
      <c r="A513" t="s">
        <v>1184</v>
      </c>
      <c r="B513" t="s">
        <v>845</v>
      </c>
    </row>
    <row r="514" spans="1:2">
      <c r="A514" t="s">
        <v>1186</v>
      </c>
      <c r="B514" t="s">
        <v>748</v>
      </c>
    </row>
    <row r="515" spans="1:2">
      <c r="A515" t="s">
        <v>1188</v>
      </c>
      <c r="B515" t="s">
        <v>6140</v>
      </c>
    </row>
    <row r="516" spans="1:2">
      <c r="A516" t="s">
        <v>1190</v>
      </c>
      <c r="B516" t="s">
        <v>6141</v>
      </c>
    </row>
    <row r="517" spans="1:2">
      <c r="A517" t="s">
        <v>1192</v>
      </c>
      <c r="B517" t="s">
        <v>6142</v>
      </c>
    </row>
    <row r="518" spans="1:2">
      <c r="A518" t="s">
        <v>1194</v>
      </c>
      <c r="B518" t="s">
        <v>1467</v>
      </c>
    </row>
    <row r="519" spans="1:2">
      <c r="A519" t="s">
        <v>1196</v>
      </c>
      <c r="B519" t="s">
        <v>6145</v>
      </c>
    </row>
    <row r="520" spans="1:2">
      <c r="A520" t="s">
        <v>1198</v>
      </c>
      <c r="B520" t="s">
        <v>1335</v>
      </c>
    </row>
    <row r="521" spans="1:2">
      <c r="A521" t="s">
        <v>1200</v>
      </c>
      <c r="B521" t="s">
        <v>6148</v>
      </c>
    </row>
    <row r="522" spans="1:2">
      <c r="A522" t="s">
        <v>1202</v>
      </c>
      <c r="B522" t="s">
        <v>6149</v>
      </c>
    </row>
    <row r="523" spans="1:2">
      <c r="A523" t="s">
        <v>1204</v>
      </c>
      <c r="B523" t="s">
        <v>1269</v>
      </c>
    </row>
    <row r="524" spans="1:2">
      <c r="A524" t="s">
        <v>1206</v>
      </c>
      <c r="B524" t="s">
        <v>6150</v>
      </c>
    </row>
    <row r="525" spans="1:2">
      <c r="A525" t="s">
        <v>1208</v>
      </c>
      <c r="B525" t="s">
        <v>6151</v>
      </c>
    </row>
    <row r="526" spans="1:2">
      <c r="A526" t="s">
        <v>1211</v>
      </c>
      <c r="B526" t="s">
        <v>6153</v>
      </c>
    </row>
    <row r="527" spans="1:2">
      <c r="A527" t="s">
        <v>1213</v>
      </c>
      <c r="B527" t="s">
        <v>1026</v>
      </c>
    </row>
    <row r="528" spans="1:2">
      <c r="A528" t="s">
        <v>1215</v>
      </c>
      <c r="B528" t="s">
        <v>5402</v>
      </c>
    </row>
    <row r="529" spans="1:2">
      <c r="A529" t="s">
        <v>1217</v>
      </c>
      <c r="B529" t="s">
        <v>6154</v>
      </c>
    </row>
    <row r="530" spans="1:2">
      <c r="A530" t="s">
        <v>1219</v>
      </c>
      <c r="B530" t="s">
        <v>6155</v>
      </c>
    </row>
    <row r="531" spans="1:2">
      <c r="A531" t="s">
        <v>1222</v>
      </c>
      <c r="B531" t="s">
        <v>6156</v>
      </c>
    </row>
    <row r="532" spans="1:2">
      <c r="A532" t="s">
        <v>1225</v>
      </c>
      <c r="B532" t="s">
        <v>6157</v>
      </c>
    </row>
    <row r="533" spans="1:2">
      <c r="A533" t="s">
        <v>1227</v>
      </c>
      <c r="B533" t="s">
        <v>1824</v>
      </c>
    </row>
    <row r="534" spans="1:2">
      <c r="A534" t="s">
        <v>1229</v>
      </c>
      <c r="B534" t="s">
        <v>6158</v>
      </c>
    </row>
    <row r="535" spans="1:2">
      <c r="A535" t="s">
        <v>1231</v>
      </c>
      <c r="B535" t="s">
        <v>6160</v>
      </c>
    </row>
    <row r="536" spans="1:2">
      <c r="A536" t="s">
        <v>1233</v>
      </c>
      <c r="B536" t="s">
        <v>1010</v>
      </c>
    </row>
    <row r="537" spans="1:2">
      <c r="A537" t="s">
        <v>1235</v>
      </c>
      <c r="B537" t="s">
        <v>6161</v>
      </c>
    </row>
    <row r="538" spans="1:2">
      <c r="A538" t="s">
        <v>1237</v>
      </c>
      <c r="B538" t="s">
        <v>6163</v>
      </c>
    </row>
    <row r="539" spans="1:2">
      <c r="A539" t="s">
        <v>1239</v>
      </c>
      <c r="B539" t="s">
        <v>1219</v>
      </c>
    </row>
    <row r="540" spans="1:2">
      <c r="A540" t="s">
        <v>1241</v>
      </c>
      <c r="B540" t="s">
        <v>2123</v>
      </c>
    </row>
    <row r="541" spans="1:2">
      <c r="A541" t="s">
        <v>1243</v>
      </c>
      <c r="B541" t="s">
        <v>6164</v>
      </c>
    </row>
    <row r="542" spans="1:2">
      <c r="A542" t="s">
        <v>1245</v>
      </c>
      <c r="B542" t="s">
        <v>1146</v>
      </c>
    </row>
    <row r="543" spans="1:2">
      <c r="A543" t="s">
        <v>1247</v>
      </c>
      <c r="B543" t="s">
        <v>2016</v>
      </c>
    </row>
    <row r="544" spans="1:2">
      <c r="A544" t="s">
        <v>1249</v>
      </c>
      <c r="B544" t="s">
        <v>6166</v>
      </c>
    </row>
    <row r="545" spans="1:2">
      <c r="A545" t="s">
        <v>1251</v>
      </c>
      <c r="B545" t="s">
        <v>1540</v>
      </c>
    </row>
    <row r="546" spans="1:2">
      <c r="A546" t="s">
        <v>1254</v>
      </c>
      <c r="B546" t="s">
        <v>6168</v>
      </c>
    </row>
    <row r="547" spans="1:2">
      <c r="A547" t="s">
        <v>1256</v>
      </c>
      <c r="B547" t="s">
        <v>6169</v>
      </c>
    </row>
    <row r="548" spans="1:2">
      <c r="A548" t="s">
        <v>1258</v>
      </c>
      <c r="B548" t="s">
        <v>1190</v>
      </c>
    </row>
    <row r="549" spans="1:2">
      <c r="A549" t="s">
        <v>1260</v>
      </c>
      <c r="B549" t="s">
        <v>6171</v>
      </c>
    </row>
    <row r="550" spans="1:2">
      <c r="A550" t="s">
        <v>1262</v>
      </c>
      <c r="B550" t="s">
        <v>6172</v>
      </c>
    </row>
    <row r="551" spans="1:2">
      <c r="A551" t="s">
        <v>1264</v>
      </c>
      <c r="B551" t="s">
        <v>1579</v>
      </c>
    </row>
    <row r="552" spans="1:2">
      <c r="A552" t="s">
        <v>1266</v>
      </c>
      <c r="B552" t="s">
        <v>6174</v>
      </c>
    </row>
    <row r="553" spans="1:2">
      <c r="A553" t="s">
        <v>1269</v>
      </c>
      <c r="B553" t="s">
        <v>1229</v>
      </c>
    </row>
    <row r="554" spans="1:2">
      <c r="A554" t="s">
        <v>1271</v>
      </c>
      <c r="B554" t="s">
        <v>4098</v>
      </c>
    </row>
    <row r="555" spans="1:2">
      <c r="A555" t="s">
        <v>1273</v>
      </c>
      <c r="B555" t="s">
        <v>6175</v>
      </c>
    </row>
    <row r="556" spans="1:2">
      <c r="A556" t="s">
        <v>1275</v>
      </c>
      <c r="B556" t="s">
        <v>6176</v>
      </c>
    </row>
    <row r="557" spans="1:2">
      <c r="A557" t="s">
        <v>1277</v>
      </c>
      <c r="B557" t="s">
        <v>6178</v>
      </c>
    </row>
    <row r="558" spans="1:2">
      <c r="A558" t="s">
        <v>1279</v>
      </c>
      <c r="B558" t="s">
        <v>6179</v>
      </c>
    </row>
    <row r="559" spans="1:2">
      <c r="A559" t="s">
        <v>1281</v>
      </c>
      <c r="B559" t="s">
        <v>1006</v>
      </c>
    </row>
    <row r="560" spans="1:2">
      <c r="A560" t="s">
        <v>1283</v>
      </c>
      <c r="B560" t="s">
        <v>6181</v>
      </c>
    </row>
    <row r="561" spans="1:2">
      <c r="A561" t="s">
        <v>1285</v>
      </c>
      <c r="B561" t="s">
        <v>6182</v>
      </c>
    </row>
    <row r="562" spans="1:2">
      <c r="A562" t="s">
        <v>1287</v>
      </c>
      <c r="B562" t="s">
        <v>6183</v>
      </c>
    </row>
    <row r="563" spans="1:2">
      <c r="A563" t="s">
        <v>1289</v>
      </c>
      <c r="B563" t="s">
        <v>2268</v>
      </c>
    </row>
    <row r="564" spans="1:2">
      <c r="A564" t="s">
        <v>1291</v>
      </c>
      <c r="B564" t="s">
        <v>855</v>
      </c>
    </row>
    <row r="565" spans="1:2">
      <c r="A565" t="s">
        <v>1294</v>
      </c>
      <c r="B565" t="s">
        <v>1088</v>
      </c>
    </row>
    <row r="566" spans="1:2">
      <c r="A566" t="s">
        <v>1296</v>
      </c>
      <c r="B566" t="s">
        <v>2228</v>
      </c>
    </row>
    <row r="567" spans="1:2">
      <c r="A567" t="s">
        <v>1298</v>
      </c>
      <c r="B567" t="s">
        <v>6185</v>
      </c>
    </row>
    <row r="568" spans="1:2">
      <c r="A568" t="s">
        <v>1300</v>
      </c>
      <c r="B568" t="s">
        <v>700</v>
      </c>
    </row>
    <row r="569" spans="1:2">
      <c r="A569" t="s">
        <v>1303</v>
      </c>
      <c r="B569" t="s">
        <v>962</v>
      </c>
    </row>
    <row r="570" spans="1:2">
      <c r="A570" t="s">
        <v>1305</v>
      </c>
      <c r="B570" t="s">
        <v>2453</v>
      </c>
    </row>
    <row r="571" spans="1:2">
      <c r="A571" t="s">
        <v>1308</v>
      </c>
      <c r="B571" t="s">
        <v>6186</v>
      </c>
    </row>
    <row r="572" spans="1:2">
      <c r="A572" t="s">
        <v>1310</v>
      </c>
      <c r="B572" t="s">
        <v>1249</v>
      </c>
    </row>
    <row r="573" spans="1:2">
      <c r="A573" t="s">
        <v>1312</v>
      </c>
      <c r="B573" t="s">
        <v>1875</v>
      </c>
    </row>
    <row r="574" spans="1:2">
      <c r="A574" t="s">
        <v>1314</v>
      </c>
      <c r="B574" t="s">
        <v>1457</v>
      </c>
    </row>
    <row r="575" spans="1:2">
      <c r="A575" t="s">
        <v>1316</v>
      </c>
      <c r="B575" t="s">
        <v>6187</v>
      </c>
    </row>
    <row r="576" spans="1:2">
      <c r="A576" t="s">
        <v>1318</v>
      </c>
      <c r="B576" t="s">
        <v>3205</v>
      </c>
    </row>
    <row r="577" spans="1:2">
      <c r="A577" t="s">
        <v>1320</v>
      </c>
      <c r="B577" t="s">
        <v>6188</v>
      </c>
    </row>
    <row r="578" spans="1:2">
      <c r="A578" t="s">
        <v>1323</v>
      </c>
      <c r="B578" t="s">
        <v>6189</v>
      </c>
    </row>
    <row r="579" spans="1:2">
      <c r="A579" t="s">
        <v>1326</v>
      </c>
      <c r="B579" t="s">
        <v>2020</v>
      </c>
    </row>
    <row r="580" spans="1:2">
      <c r="A580" t="s">
        <v>1328</v>
      </c>
      <c r="B580" t="s">
        <v>1127</v>
      </c>
    </row>
    <row r="581" spans="1:2">
      <c r="A581" t="s">
        <v>1330</v>
      </c>
      <c r="B581" t="s">
        <v>6190</v>
      </c>
    </row>
    <row r="582" spans="1:2">
      <c r="A582" t="s">
        <v>1331</v>
      </c>
      <c r="B582" t="s">
        <v>606</v>
      </c>
    </row>
    <row r="583" spans="1:2">
      <c r="A583" t="s">
        <v>1333</v>
      </c>
      <c r="B583" t="s">
        <v>1264</v>
      </c>
    </row>
    <row r="584" spans="1:2">
      <c r="A584" t="s">
        <v>1335</v>
      </c>
      <c r="B584" t="s">
        <v>6191</v>
      </c>
    </row>
    <row r="585" spans="1:2">
      <c r="A585" t="s">
        <v>1337</v>
      </c>
      <c r="B585" t="s">
        <v>6193</v>
      </c>
    </row>
    <row r="586" spans="1:2">
      <c r="A586" t="s">
        <v>1339</v>
      </c>
      <c r="B586" t="s">
        <v>6195</v>
      </c>
    </row>
    <row r="587" spans="1:2">
      <c r="A587" t="s">
        <v>1342</v>
      </c>
      <c r="B587" t="s">
        <v>6196</v>
      </c>
    </row>
    <row r="588" spans="1:2">
      <c r="A588" t="s">
        <v>1344</v>
      </c>
      <c r="B588" t="s">
        <v>1735</v>
      </c>
    </row>
    <row r="589" spans="1:2">
      <c r="A589" t="s">
        <v>1346</v>
      </c>
      <c r="B589" t="s">
        <v>6197</v>
      </c>
    </row>
    <row r="590" spans="1:2">
      <c r="A590" t="s">
        <v>1348</v>
      </c>
      <c r="B590" t="s">
        <v>1208</v>
      </c>
    </row>
    <row r="591" spans="1:2">
      <c r="A591" t="s">
        <v>1351</v>
      </c>
      <c r="B591" t="s">
        <v>1281</v>
      </c>
    </row>
    <row r="592" spans="1:2">
      <c r="A592" t="s">
        <v>1353</v>
      </c>
      <c r="B592" t="s">
        <v>6198</v>
      </c>
    </row>
    <row r="593" spans="1:2">
      <c r="A593" t="s">
        <v>1354</v>
      </c>
      <c r="B593" t="s">
        <v>1016</v>
      </c>
    </row>
    <row r="594" spans="1:2">
      <c r="A594" t="s">
        <v>1356</v>
      </c>
      <c r="B594" t="s">
        <v>979</v>
      </c>
    </row>
    <row r="595" spans="1:2">
      <c r="A595" t="s">
        <v>1358</v>
      </c>
      <c r="B595" t="s">
        <v>1520</v>
      </c>
    </row>
    <row r="596" spans="1:2">
      <c r="A596" t="s">
        <v>1360</v>
      </c>
      <c r="B596" t="s">
        <v>1314</v>
      </c>
    </row>
    <row r="597" spans="1:2">
      <c r="A597" t="s">
        <v>1362</v>
      </c>
      <c r="B597" t="s">
        <v>6199</v>
      </c>
    </row>
    <row r="598" spans="1:2">
      <c r="A598" t="s">
        <v>1364</v>
      </c>
      <c r="B598" t="s">
        <v>923</v>
      </c>
    </row>
    <row r="599" spans="1:2">
      <c r="A599" t="s">
        <v>1366</v>
      </c>
      <c r="B599" t="s">
        <v>6200</v>
      </c>
    </row>
    <row r="600" spans="1:2">
      <c r="A600" t="s">
        <v>1368</v>
      </c>
      <c r="B600" t="s">
        <v>6201</v>
      </c>
    </row>
    <row r="601" spans="1:2">
      <c r="A601" t="s">
        <v>1370</v>
      </c>
      <c r="B601" t="s">
        <v>3142</v>
      </c>
    </row>
    <row r="602" spans="1:2">
      <c r="A602" t="s">
        <v>1372</v>
      </c>
      <c r="B602" t="s">
        <v>1140</v>
      </c>
    </row>
    <row r="603" spans="1:2">
      <c r="A603" t="s">
        <v>1374</v>
      </c>
      <c r="B603" t="s">
        <v>6203</v>
      </c>
    </row>
    <row r="604" spans="1:2">
      <c r="A604" t="s">
        <v>1376</v>
      </c>
      <c r="B604" t="s">
        <v>6205</v>
      </c>
    </row>
    <row r="605" spans="1:2">
      <c r="A605" t="s">
        <v>1378</v>
      </c>
      <c r="B605" t="s">
        <v>4190</v>
      </c>
    </row>
    <row r="606" spans="1:2">
      <c r="A606" t="s">
        <v>1380</v>
      </c>
      <c r="B606" t="s">
        <v>6208</v>
      </c>
    </row>
    <row r="607" spans="1:2">
      <c r="A607" t="s">
        <v>1383</v>
      </c>
      <c r="B607" t="s">
        <v>744</v>
      </c>
    </row>
    <row r="608" spans="1:2">
      <c r="A608" t="s">
        <v>1386</v>
      </c>
      <c r="B608" t="s">
        <v>1547</v>
      </c>
    </row>
    <row r="609" spans="1:2">
      <c r="A609" t="s">
        <v>1388</v>
      </c>
      <c r="B609" t="s">
        <v>6209</v>
      </c>
    </row>
    <row r="610" spans="1:2">
      <c r="A610" t="s">
        <v>1391</v>
      </c>
      <c r="B610" t="s">
        <v>6211</v>
      </c>
    </row>
    <row r="611" spans="1:2">
      <c r="A611" t="s">
        <v>1393</v>
      </c>
      <c r="B611" t="s">
        <v>6212</v>
      </c>
    </row>
    <row r="612" spans="1:2">
      <c r="A612" t="s">
        <v>1395</v>
      </c>
      <c r="B612" t="s">
        <v>2561</v>
      </c>
    </row>
    <row r="613" spans="1:2">
      <c r="A613" t="s">
        <v>1397</v>
      </c>
      <c r="B613" t="s">
        <v>4110</v>
      </c>
    </row>
    <row r="614" spans="1:2">
      <c r="A614" t="s">
        <v>1399</v>
      </c>
      <c r="B614" t="s">
        <v>6215</v>
      </c>
    </row>
    <row r="615" spans="1:2">
      <c r="A615" t="s">
        <v>1401</v>
      </c>
      <c r="B615" t="s">
        <v>2254</v>
      </c>
    </row>
    <row r="616" spans="1:2">
      <c r="A616" t="s">
        <v>1403</v>
      </c>
      <c r="B616" t="s">
        <v>6216</v>
      </c>
    </row>
    <row r="617" spans="1:2">
      <c r="A617" t="s">
        <v>1405</v>
      </c>
      <c r="B617" t="s">
        <v>2451</v>
      </c>
    </row>
    <row r="618" spans="1:2">
      <c r="A618" t="s">
        <v>1407</v>
      </c>
      <c r="B618" t="s">
        <v>1323</v>
      </c>
    </row>
    <row r="619" spans="1:2">
      <c r="A619" t="s">
        <v>1409</v>
      </c>
      <c r="B619" t="s">
        <v>6217</v>
      </c>
    </row>
    <row r="620" spans="1:2">
      <c r="A620" t="s">
        <v>1411</v>
      </c>
      <c r="B620" t="s">
        <v>1608</v>
      </c>
    </row>
    <row r="621" spans="1:2">
      <c r="A621" t="s">
        <v>1413</v>
      </c>
      <c r="B621" t="s">
        <v>6219</v>
      </c>
    </row>
    <row r="622" spans="1:2">
      <c r="A622" t="s">
        <v>1415</v>
      </c>
      <c r="B622" t="s">
        <v>1444</v>
      </c>
    </row>
    <row r="623" spans="1:2">
      <c r="A623" t="s">
        <v>1418</v>
      </c>
      <c r="B623" t="s">
        <v>3136</v>
      </c>
    </row>
    <row r="624" spans="1:2">
      <c r="A624" t="s">
        <v>1420</v>
      </c>
      <c r="B624" t="s">
        <v>6220</v>
      </c>
    </row>
    <row r="625" spans="1:2">
      <c r="A625" t="s">
        <v>1422</v>
      </c>
      <c r="B625" t="s">
        <v>779</v>
      </c>
    </row>
    <row r="626" spans="1:2">
      <c r="A626" t="s">
        <v>1424</v>
      </c>
      <c r="B626" t="s">
        <v>1118</v>
      </c>
    </row>
    <row r="627" spans="1:2">
      <c r="A627" t="s">
        <v>1426</v>
      </c>
      <c r="B627" t="s">
        <v>1696</v>
      </c>
    </row>
    <row r="628" spans="1:2">
      <c r="A628" t="s">
        <v>1428</v>
      </c>
      <c r="B628" t="s">
        <v>6221</v>
      </c>
    </row>
    <row r="629" spans="1:2">
      <c r="A629" t="s">
        <v>1430</v>
      </c>
      <c r="B629" t="s">
        <v>2028</v>
      </c>
    </row>
    <row r="630" spans="1:2">
      <c r="A630" t="s">
        <v>1432</v>
      </c>
      <c r="B630" t="s">
        <v>1413</v>
      </c>
    </row>
    <row r="631" spans="1:2">
      <c r="A631" t="s">
        <v>1436</v>
      </c>
      <c r="B631" t="s">
        <v>1797</v>
      </c>
    </row>
    <row r="632" spans="1:2">
      <c r="A632" t="s">
        <v>1438</v>
      </c>
      <c r="B632" t="s">
        <v>6224</v>
      </c>
    </row>
    <row r="633" spans="1:2">
      <c r="A633" t="s">
        <v>1440</v>
      </c>
      <c r="B633" t="s">
        <v>616</v>
      </c>
    </row>
    <row r="634" spans="1:2">
      <c r="A634" t="s">
        <v>1442</v>
      </c>
      <c r="B634" t="s">
        <v>1258</v>
      </c>
    </row>
    <row r="635" spans="1:2">
      <c r="A635" t="s">
        <v>1444</v>
      </c>
      <c r="B635" t="s">
        <v>6225</v>
      </c>
    </row>
    <row r="636" spans="1:2">
      <c r="A636" t="s">
        <v>1447</v>
      </c>
      <c r="B636" t="s">
        <v>3038</v>
      </c>
    </row>
    <row r="637" spans="1:2">
      <c r="A637" t="s">
        <v>1451</v>
      </c>
      <c r="B637" t="s">
        <v>6226</v>
      </c>
    </row>
    <row r="638" spans="1:2">
      <c r="A638" t="s">
        <v>1453</v>
      </c>
      <c r="B638" t="s">
        <v>6228</v>
      </c>
    </row>
    <row r="639" spans="1:2">
      <c r="A639" t="s">
        <v>1455</v>
      </c>
      <c r="B639" t="s">
        <v>6229</v>
      </c>
    </row>
    <row r="640" spans="1:2">
      <c r="A640" t="s">
        <v>1457</v>
      </c>
      <c r="B640" t="s">
        <v>6230</v>
      </c>
    </row>
    <row r="641" spans="1:2">
      <c r="A641" t="s">
        <v>1459</v>
      </c>
      <c r="B641" t="s">
        <v>2754</v>
      </c>
    </row>
    <row r="642" spans="1:2">
      <c r="A642" t="s">
        <v>1461</v>
      </c>
      <c r="B642" t="s">
        <v>872</v>
      </c>
    </row>
    <row r="643" spans="1:2">
      <c r="A643" t="s">
        <v>1463</v>
      </c>
      <c r="B643" t="s">
        <v>6232</v>
      </c>
    </row>
    <row r="644" spans="1:2">
      <c r="A644" t="s">
        <v>1465</v>
      </c>
      <c r="B644" t="s">
        <v>6233</v>
      </c>
    </row>
    <row r="645" spans="1:2">
      <c r="A645" t="s">
        <v>1467</v>
      </c>
      <c r="B645" t="s">
        <v>1285</v>
      </c>
    </row>
    <row r="646" spans="1:2">
      <c r="A646" t="s">
        <v>1470</v>
      </c>
      <c r="B646" t="s">
        <v>1080</v>
      </c>
    </row>
    <row r="647" spans="1:2">
      <c r="A647" t="s">
        <v>1472</v>
      </c>
      <c r="B647" t="s">
        <v>6234</v>
      </c>
    </row>
    <row r="648" spans="1:2">
      <c r="A648" t="s">
        <v>1476</v>
      </c>
      <c r="B648" t="s">
        <v>2070</v>
      </c>
    </row>
    <row r="649" spans="1:2">
      <c r="A649" t="s">
        <v>1478</v>
      </c>
      <c r="B649" t="s">
        <v>6235</v>
      </c>
    </row>
    <row r="650" spans="1:2">
      <c r="A650" t="s">
        <v>1480</v>
      </c>
      <c r="B650" t="s">
        <v>1196</v>
      </c>
    </row>
    <row r="651" spans="1:2">
      <c r="A651" t="s">
        <v>1482</v>
      </c>
      <c r="B651" t="s">
        <v>1247</v>
      </c>
    </row>
    <row r="652" spans="1:2">
      <c r="A652" t="s">
        <v>1485</v>
      </c>
      <c r="B652" t="s">
        <v>1066</v>
      </c>
    </row>
    <row r="653" spans="1:2">
      <c r="A653" t="s">
        <v>1487</v>
      </c>
      <c r="B653" t="s">
        <v>6238</v>
      </c>
    </row>
    <row r="654" spans="1:2">
      <c r="A654" t="s">
        <v>1489</v>
      </c>
      <c r="B654" t="s">
        <v>1376</v>
      </c>
    </row>
    <row r="655" spans="1:2">
      <c r="A655" t="s">
        <v>1491</v>
      </c>
      <c r="B655" t="s">
        <v>1453</v>
      </c>
    </row>
    <row r="656" spans="1:2">
      <c r="A656" t="s">
        <v>1493</v>
      </c>
      <c r="B656" t="s">
        <v>6241</v>
      </c>
    </row>
    <row r="657" spans="1:2">
      <c r="A657" t="s">
        <v>1495</v>
      </c>
      <c r="B657" t="s">
        <v>6242</v>
      </c>
    </row>
    <row r="658" spans="1:2">
      <c r="A658" t="s">
        <v>1498</v>
      </c>
      <c r="B658" t="s">
        <v>1739</v>
      </c>
    </row>
    <row r="659" spans="1:2">
      <c r="A659" t="s">
        <v>1500</v>
      </c>
      <c r="B659" t="s">
        <v>6244</v>
      </c>
    </row>
    <row r="660" spans="1:2">
      <c r="A660" t="s">
        <v>1502</v>
      </c>
      <c r="B660" t="s">
        <v>1510</v>
      </c>
    </row>
    <row r="661" spans="1:2">
      <c r="A661" t="s">
        <v>1504</v>
      </c>
      <c r="B661" t="s">
        <v>634</v>
      </c>
    </row>
    <row r="662" spans="1:2">
      <c r="A662" t="s">
        <v>1506</v>
      </c>
      <c r="B662" t="s">
        <v>1166</v>
      </c>
    </row>
    <row r="663" spans="1:2">
      <c r="A663" t="s">
        <v>1508</v>
      </c>
      <c r="B663" t="s">
        <v>618</v>
      </c>
    </row>
    <row r="664" spans="1:2">
      <c r="A664" t="s">
        <v>1510</v>
      </c>
      <c r="B664" t="s">
        <v>6247</v>
      </c>
    </row>
    <row r="665" spans="1:2">
      <c r="A665" t="s">
        <v>1512</v>
      </c>
      <c r="B665" t="s">
        <v>6248</v>
      </c>
    </row>
    <row r="666" spans="1:2">
      <c r="A666" t="s">
        <v>1514</v>
      </c>
      <c r="B666" t="s">
        <v>6249</v>
      </c>
    </row>
    <row r="667" spans="1:2">
      <c r="A667" t="s">
        <v>1516</v>
      </c>
      <c r="B667" t="s">
        <v>1271</v>
      </c>
    </row>
    <row r="668" spans="1:2">
      <c r="A668" t="s">
        <v>1518</v>
      </c>
      <c r="B668" t="s">
        <v>1289</v>
      </c>
    </row>
    <row r="669" spans="1:2">
      <c r="A669" t="s">
        <v>1520</v>
      </c>
      <c r="B669" t="s">
        <v>2455</v>
      </c>
    </row>
    <row r="670" spans="1:2">
      <c r="A670" t="s">
        <v>1522</v>
      </c>
      <c r="B670" t="s">
        <v>1691</v>
      </c>
    </row>
    <row r="671" spans="1:2">
      <c r="A671" t="s">
        <v>1524</v>
      </c>
      <c r="B671" t="s">
        <v>3154</v>
      </c>
    </row>
    <row r="672" spans="1:2">
      <c r="A672" t="s">
        <v>1526</v>
      </c>
      <c r="B672" t="s">
        <v>6250</v>
      </c>
    </row>
    <row r="673" spans="1:2">
      <c r="A673" t="s">
        <v>1528</v>
      </c>
      <c r="B673" t="s">
        <v>6251</v>
      </c>
    </row>
    <row r="674" spans="1:2">
      <c r="A674" t="s">
        <v>1530</v>
      </c>
      <c r="B674" t="s">
        <v>3813</v>
      </c>
    </row>
    <row r="675" spans="1:2">
      <c r="A675" t="s">
        <v>1532</v>
      </c>
      <c r="B675" t="s">
        <v>6252</v>
      </c>
    </row>
    <row r="676" spans="1:2">
      <c r="A676" t="s">
        <v>1534</v>
      </c>
      <c r="B676" t="s">
        <v>6254</v>
      </c>
    </row>
    <row r="677" spans="1:2">
      <c r="A677" t="s">
        <v>1536</v>
      </c>
      <c r="B677" t="s">
        <v>1206</v>
      </c>
    </row>
    <row r="678" spans="1:2">
      <c r="A678" t="s">
        <v>1538</v>
      </c>
      <c r="B678" t="s">
        <v>6256</v>
      </c>
    </row>
    <row r="679" spans="1:2">
      <c r="A679" t="s">
        <v>1540</v>
      </c>
      <c r="B679" t="s">
        <v>1461</v>
      </c>
    </row>
    <row r="680" spans="1:2">
      <c r="A680" t="s">
        <v>1542</v>
      </c>
      <c r="B680" t="s">
        <v>1243</v>
      </c>
    </row>
    <row r="681" spans="1:2">
      <c r="A681" t="s">
        <v>1545</v>
      </c>
      <c r="B681" t="s">
        <v>900</v>
      </c>
    </row>
    <row r="682" spans="1:2">
      <c r="A682" t="s">
        <v>1547</v>
      </c>
      <c r="B682" t="s">
        <v>6259</v>
      </c>
    </row>
    <row r="683" spans="1:2">
      <c r="A683" t="s">
        <v>1549</v>
      </c>
      <c r="B683" t="s">
        <v>6260</v>
      </c>
    </row>
    <row r="684" spans="1:2">
      <c r="A684" t="s">
        <v>1551</v>
      </c>
      <c r="B684" t="s">
        <v>3424</v>
      </c>
    </row>
    <row r="685" spans="1:2">
      <c r="A685" t="s">
        <v>1553</v>
      </c>
      <c r="B685" t="s">
        <v>1470</v>
      </c>
    </row>
    <row r="686" spans="1:2">
      <c r="A686" t="s">
        <v>1556</v>
      </c>
      <c r="B686" t="s">
        <v>6261</v>
      </c>
    </row>
    <row r="687" spans="1:2">
      <c r="A687" t="s">
        <v>1558</v>
      </c>
      <c r="B687" t="s">
        <v>6262</v>
      </c>
    </row>
    <row r="688" spans="1:2">
      <c r="A688" t="s">
        <v>1560</v>
      </c>
      <c r="B688" t="s">
        <v>2142</v>
      </c>
    </row>
    <row r="689" spans="1:2">
      <c r="A689" t="s">
        <v>1562</v>
      </c>
      <c r="B689" t="s">
        <v>6263</v>
      </c>
    </row>
    <row r="690" spans="1:2">
      <c r="A690" t="s">
        <v>1564</v>
      </c>
      <c r="B690" t="s">
        <v>3124</v>
      </c>
    </row>
    <row r="691" spans="1:2">
      <c r="A691" t="s">
        <v>1566</v>
      </c>
      <c r="B691" t="s">
        <v>6265</v>
      </c>
    </row>
    <row r="692" spans="1:2">
      <c r="A692" t="s">
        <v>1568</v>
      </c>
      <c r="B692" t="s">
        <v>1047</v>
      </c>
    </row>
    <row r="693" spans="1:2">
      <c r="A693" t="s">
        <v>1570</v>
      </c>
      <c r="B693" t="s">
        <v>6267</v>
      </c>
    </row>
    <row r="694" spans="1:2">
      <c r="A694" t="s">
        <v>1572</v>
      </c>
      <c r="B694" t="s">
        <v>1960</v>
      </c>
    </row>
    <row r="695" spans="1:2">
      <c r="A695" t="s">
        <v>1573</v>
      </c>
      <c r="B695" t="s">
        <v>6268</v>
      </c>
    </row>
    <row r="696" spans="1:2">
      <c r="A696" t="s">
        <v>1575</v>
      </c>
      <c r="B696" t="s">
        <v>6269</v>
      </c>
    </row>
    <row r="697" spans="1:2">
      <c r="A697" t="s">
        <v>1577</v>
      </c>
      <c r="B697" t="s">
        <v>6270</v>
      </c>
    </row>
    <row r="698" spans="1:2">
      <c r="A698" t="s">
        <v>1579</v>
      </c>
      <c r="B698" t="s">
        <v>6271</v>
      </c>
    </row>
    <row r="699" spans="1:2">
      <c r="A699" t="s">
        <v>1581</v>
      </c>
      <c r="B699" t="s">
        <v>1910</v>
      </c>
    </row>
    <row r="700" spans="1:2">
      <c r="A700" t="s">
        <v>1583</v>
      </c>
      <c r="B700" t="s">
        <v>6274</v>
      </c>
    </row>
    <row r="701" spans="1:2">
      <c r="A701" t="s">
        <v>1585</v>
      </c>
      <c r="B701" t="s">
        <v>1360</v>
      </c>
    </row>
    <row r="702" spans="1:2">
      <c r="A702" t="s">
        <v>1587</v>
      </c>
      <c r="B702" t="s">
        <v>6275</v>
      </c>
    </row>
    <row r="703" spans="1:2">
      <c r="A703" t="s">
        <v>1589</v>
      </c>
      <c r="B703" t="s">
        <v>3273</v>
      </c>
    </row>
    <row r="704" spans="1:2">
      <c r="A704" t="s">
        <v>1591</v>
      </c>
      <c r="B704" t="s">
        <v>1877</v>
      </c>
    </row>
    <row r="705" spans="1:2">
      <c r="A705" t="s">
        <v>1593</v>
      </c>
      <c r="B705" t="s">
        <v>6277</v>
      </c>
    </row>
    <row r="706" spans="1:2">
      <c r="A706" t="s">
        <v>1595</v>
      </c>
      <c r="B706" t="s">
        <v>6278</v>
      </c>
    </row>
    <row r="707" spans="1:2">
      <c r="A707" t="s">
        <v>1597</v>
      </c>
      <c r="B707" t="s">
        <v>6279</v>
      </c>
    </row>
    <row r="708" spans="1:2">
      <c r="A708" t="s">
        <v>1599</v>
      </c>
      <c r="B708" t="s">
        <v>6280</v>
      </c>
    </row>
    <row r="709" spans="1:2">
      <c r="A709" t="s">
        <v>1601</v>
      </c>
      <c r="B709" t="s">
        <v>1161</v>
      </c>
    </row>
    <row r="710" spans="1:2">
      <c r="A710" t="s">
        <v>1603</v>
      </c>
      <c r="B710" t="s">
        <v>1163</v>
      </c>
    </row>
    <row r="711" spans="1:2">
      <c r="A711" t="s">
        <v>1605</v>
      </c>
      <c r="B711" t="s">
        <v>6282</v>
      </c>
    </row>
    <row r="712" spans="1:2">
      <c r="A712" t="s">
        <v>1606</v>
      </c>
      <c r="B712" t="s">
        <v>6283</v>
      </c>
    </row>
    <row r="713" spans="1:2">
      <c r="A713" t="s">
        <v>1608</v>
      </c>
      <c r="B713" t="s">
        <v>6284</v>
      </c>
    </row>
    <row r="714" spans="1:2">
      <c r="A714" t="s">
        <v>1610</v>
      </c>
      <c r="B714" t="s">
        <v>2367</v>
      </c>
    </row>
    <row r="715" spans="1:2">
      <c r="A715" t="s">
        <v>1612</v>
      </c>
      <c r="B715" t="s">
        <v>2129</v>
      </c>
    </row>
    <row r="716" spans="1:2">
      <c r="A716" t="s">
        <v>1616</v>
      </c>
      <c r="B716" t="s">
        <v>6285</v>
      </c>
    </row>
    <row r="717" spans="1:2">
      <c r="A717" t="s">
        <v>1618</v>
      </c>
      <c r="B717" t="s">
        <v>6286</v>
      </c>
    </row>
    <row r="718" spans="1:2">
      <c r="A718" t="s">
        <v>1620</v>
      </c>
      <c r="B718" t="s">
        <v>1601</v>
      </c>
    </row>
    <row r="719" spans="1:2">
      <c r="A719" t="s">
        <v>1622</v>
      </c>
      <c r="B719" t="s">
        <v>6287</v>
      </c>
    </row>
    <row r="720" spans="1:2">
      <c r="A720" t="s">
        <v>1624</v>
      </c>
      <c r="B720" t="s">
        <v>2190</v>
      </c>
    </row>
    <row r="721" spans="1:2">
      <c r="A721" t="s">
        <v>1626</v>
      </c>
      <c r="B721" t="s">
        <v>6288</v>
      </c>
    </row>
    <row r="722" spans="1:2">
      <c r="A722" t="s">
        <v>1628</v>
      </c>
      <c r="B722" t="s">
        <v>6290</v>
      </c>
    </row>
    <row r="723" spans="1:2">
      <c r="A723" t="s">
        <v>1631</v>
      </c>
      <c r="B723" t="s">
        <v>6291</v>
      </c>
    </row>
    <row r="724" spans="1:2">
      <c r="A724" t="s">
        <v>1633</v>
      </c>
      <c r="B724" t="s">
        <v>1981</v>
      </c>
    </row>
    <row r="725" spans="1:2">
      <c r="A725" t="s">
        <v>1635</v>
      </c>
      <c r="B725" t="s">
        <v>933</v>
      </c>
    </row>
    <row r="726" spans="1:2">
      <c r="A726" t="s">
        <v>1637</v>
      </c>
      <c r="B726" t="s">
        <v>1753</v>
      </c>
    </row>
    <row r="727" spans="1:2">
      <c r="A727" t="s">
        <v>1639</v>
      </c>
      <c r="B727" t="s">
        <v>6292</v>
      </c>
    </row>
    <row r="728" spans="1:2">
      <c r="A728" t="s">
        <v>1641</v>
      </c>
      <c r="B728" t="s">
        <v>6293</v>
      </c>
    </row>
    <row r="729" spans="1:2">
      <c r="A729" t="s">
        <v>1643</v>
      </c>
      <c r="B729" t="s">
        <v>6294</v>
      </c>
    </row>
    <row r="730" spans="1:2">
      <c r="A730" t="s">
        <v>1645</v>
      </c>
      <c r="B730" t="s">
        <v>1838</v>
      </c>
    </row>
    <row r="731" spans="1:2">
      <c r="A731" t="s">
        <v>1647</v>
      </c>
      <c r="B731" t="s">
        <v>6296</v>
      </c>
    </row>
    <row r="732" spans="1:2">
      <c r="A732" t="s">
        <v>1649</v>
      </c>
      <c r="B732" t="s">
        <v>1082</v>
      </c>
    </row>
    <row r="733" spans="1:2">
      <c r="A733" t="s">
        <v>1651</v>
      </c>
      <c r="B733" t="s">
        <v>6298</v>
      </c>
    </row>
    <row r="734" spans="1:2">
      <c r="A734" t="s">
        <v>1653</v>
      </c>
      <c r="B734" t="s">
        <v>1175</v>
      </c>
    </row>
    <row r="735" spans="1:2">
      <c r="A735" t="s">
        <v>1655</v>
      </c>
      <c r="B735" t="s">
        <v>964</v>
      </c>
    </row>
    <row r="736" spans="1:2">
      <c r="A736" t="s">
        <v>1657</v>
      </c>
      <c r="B736" t="s">
        <v>6299</v>
      </c>
    </row>
    <row r="737" spans="1:2">
      <c r="A737" t="s">
        <v>1659</v>
      </c>
      <c r="B737" t="s">
        <v>6300</v>
      </c>
    </row>
    <row r="738" spans="1:2">
      <c r="A738" t="s">
        <v>1661</v>
      </c>
      <c r="B738" t="s">
        <v>6301</v>
      </c>
    </row>
    <row r="739" spans="1:2">
      <c r="A739" t="s">
        <v>1663</v>
      </c>
      <c r="B739" t="s">
        <v>6302</v>
      </c>
    </row>
    <row r="740" spans="1:2">
      <c r="A740" t="s">
        <v>1665</v>
      </c>
      <c r="B740" t="s">
        <v>6303</v>
      </c>
    </row>
    <row r="741" spans="1:2">
      <c r="A741" t="s">
        <v>1667</v>
      </c>
      <c r="B741" t="s">
        <v>1342</v>
      </c>
    </row>
    <row r="742" spans="1:2">
      <c r="A742" t="s">
        <v>1669</v>
      </c>
      <c r="B742" t="s">
        <v>2693</v>
      </c>
    </row>
    <row r="743" spans="1:2">
      <c r="A743" t="s">
        <v>1671</v>
      </c>
      <c r="B743" t="s">
        <v>6305</v>
      </c>
    </row>
    <row r="744" spans="1:2">
      <c r="A744" t="s">
        <v>1673</v>
      </c>
      <c r="B744" t="s">
        <v>2372</v>
      </c>
    </row>
    <row r="745" spans="1:2">
      <c r="A745" t="s">
        <v>1675</v>
      </c>
      <c r="B745" t="s">
        <v>6306</v>
      </c>
    </row>
    <row r="746" spans="1:2">
      <c r="A746" t="s">
        <v>1677</v>
      </c>
      <c r="B746" t="s">
        <v>6309</v>
      </c>
    </row>
    <row r="747" spans="1:2">
      <c r="A747" t="s">
        <v>1679</v>
      </c>
      <c r="B747" t="s">
        <v>6310</v>
      </c>
    </row>
    <row r="748" spans="1:2">
      <c r="A748" t="s">
        <v>1681</v>
      </c>
      <c r="B748" t="s">
        <v>6311</v>
      </c>
    </row>
    <row r="749" spans="1:2">
      <c r="A749" t="s">
        <v>1683</v>
      </c>
      <c r="B749" t="s">
        <v>6312</v>
      </c>
    </row>
    <row r="750" spans="1:2">
      <c r="A750" t="s">
        <v>1685</v>
      </c>
      <c r="B750" t="s">
        <v>2106</v>
      </c>
    </row>
    <row r="751" spans="1:2">
      <c r="A751" t="s">
        <v>1687</v>
      </c>
      <c r="B751" t="s">
        <v>1374</v>
      </c>
    </row>
    <row r="752" spans="1:2">
      <c r="A752" t="s">
        <v>1689</v>
      </c>
      <c r="B752" t="s">
        <v>6314</v>
      </c>
    </row>
    <row r="753" spans="1:2">
      <c r="A753" t="s">
        <v>1691</v>
      </c>
      <c r="B753" t="s">
        <v>6315</v>
      </c>
    </row>
    <row r="754" spans="1:2">
      <c r="A754" t="s">
        <v>1693</v>
      </c>
      <c r="B754" t="s">
        <v>3594</v>
      </c>
    </row>
    <row r="755" spans="1:2">
      <c r="A755" t="s">
        <v>1694</v>
      </c>
      <c r="B755" t="s">
        <v>1277</v>
      </c>
    </row>
    <row r="756" spans="1:2">
      <c r="A756" t="s">
        <v>1696</v>
      </c>
      <c r="B756" t="s">
        <v>2504</v>
      </c>
    </row>
    <row r="757" spans="1:2">
      <c r="A757" t="s">
        <v>1698</v>
      </c>
      <c r="B757" t="s">
        <v>6317</v>
      </c>
    </row>
    <row r="758" spans="1:2">
      <c r="A758" t="s">
        <v>1700</v>
      </c>
      <c r="B758" t="s">
        <v>6318</v>
      </c>
    </row>
    <row r="759" spans="1:2">
      <c r="A759" t="s">
        <v>1702</v>
      </c>
      <c r="B759" t="s">
        <v>6319</v>
      </c>
    </row>
    <row r="760" spans="1:2">
      <c r="A760" t="s">
        <v>1704</v>
      </c>
      <c r="B760" t="s">
        <v>6321</v>
      </c>
    </row>
    <row r="761" spans="1:2">
      <c r="A761" t="s">
        <v>1706</v>
      </c>
      <c r="B761" t="s">
        <v>6322</v>
      </c>
    </row>
    <row r="762" spans="1:2">
      <c r="A762" t="s">
        <v>1708</v>
      </c>
      <c r="B762" t="s">
        <v>2612</v>
      </c>
    </row>
    <row r="763" spans="1:2">
      <c r="A763" t="s">
        <v>1710</v>
      </c>
      <c r="B763" t="s">
        <v>1372</v>
      </c>
    </row>
    <row r="764" spans="1:2">
      <c r="A764" t="s">
        <v>1712</v>
      </c>
      <c r="B764" t="s">
        <v>6325</v>
      </c>
    </row>
    <row r="765" spans="1:2">
      <c r="A765" t="s">
        <v>1714</v>
      </c>
      <c r="B765" t="s">
        <v>1262</v>
      </c>
    </row>
    <row r="766" spans="1:2">
      <c r="A766" t="s">
        <v>1716</v>
      </c>
      <c r="B766" t="s">
        <v>6326</v>
      </c>
    </row>
    <row r="767" spans="1:2">
      <c r="A767" t="s">
        <v>1718</v>
      </c>
      <c r="B767" t="s">
        <v>6327</v>
      </c>
    </row>
    <row r="768" spans="1:2">
      <c r="A768" t="s">
        <v>1720</v>
      </c>
      <c r="B768" t="s">
        <v>6328</v>
      </c>
    </row>
    <row r="769" spans="1:2">
      <c r="A769" t="s">
        <v>1722</v>
      </c>
      <c r="B769" t="s">
        <v>6329</v>
      </c>
    </row>
    <row r="770" spans="1:2">
      <c r="A770" t="s">
        <v>1724</v>
      </c>
      <c r="B770" t="s">
        <v>1156</v>
      </c>
    </row>
    <row r="771" spans="1:2">
      <c r="A771" t="s">
        <v>1726</v>
      </c>
      <c r="B771" t="s">
        <v>6331</v>
      </c>
    </row>
    <row r="772" spans="1:2">
      <c r="A772" t="s">
        <v>1728</v>
      </c>
      <c r="B772" t="s">
        <v>6332</v>
      </c>
    </row>
    <row r="773" spans="1:2">
      <c r="A773" t="s">
        <v>1730</v>
      </c>
      <c r="B773" t="s">
        <v>6334</v>
      </c>
    </row>
    <row r="774" spans="1:2">
      <c r="A774" t="s">
        <v>1732</v>
      </c>
      <c r="B774" t="s">
        <v>2131</v>
      </c>
    </row>
    <row r="775" spans="1:2">
      <c r="A775" t="s">
        <v>1735</v>
      </c>
      <c r="B775" t="s">
        <v>1339</v>
      </c>
    </row>
    <row r="776" spans="1:2">
      <c r="A776" t="s">
        <v>1737</v>
      </c>
      <c r="B776" t="s">
        <v>6335</v>
      </c>
    </row>
    <row r="777" spans="1:2">
      <c r="A777" t="s">
        <v>1739</v>
      </c>
      <c r="B777" t="s">
        <v>6336</v>
      </c>
    </row>
    <row r="778" spans="1:2">
      <c r="A778" t="s">
        <v>1741</v>
      </c>
      <c r="B778" t="s">
        <v>6337</v>
      </c>
    </row>
    <row r="779" spans="1:2">
      <c r="A779" t="s">
        <v>1743</v>
      </c>
      <c r="B779" t="s">
        <v>6339</v>
      </c>
    </row>
    <row r="780" spans="1:2">
      <c r="A780" t="s">
        <v>1745</v>
      </c>
      <c r="B780" t="s">
        <v>6341</v>
      </c>
    </row>
    <row r="781" spans="1:2">
      <c r="A781" t="s">
        <v>1747</v>
      </c>
      <c r="B781" t="s">
        <v>1850</v>
      </c>
    </row>
    <row r="782" spans="1:2">
      <c r="A782" t="s">
        <v>1749</v>
      </c>
      <c r="B782" t="s">
        <v>6344</v>
      </c>
    </row>
    <row r="783" spans="1:2">
      <c r="A783" t="s">
        <v>1751</v>
      </c>
      <c r="B783" t="s">
        <v>6345</v>
      </c>
    </row>
    <row r="784" spans="1:2">
      <c r="A784" t="s">
        <v>1753</v>
      </c>
      <c r="B784" t="s">
        <v>6346</v>
      </c>
    </row>
    <row r="785" spans="1:2">
      <c r="A785" t="s">
        <v>1756</v>
      </c>
      <c r="B785" t="s">
        <v>6347</v>
      </c>
    </row>
    <row r="786" spans="1:2">
      <c r="A786" t="s">
        <v>1758</v>
      </c>
      <c r="B786" t="s">
        <v>6348</v>
      </c>
    </row>
    <row r="787" spans="1:2">
      <c r="A787" t="s">
        <v>1760</v>
      </c>
      <c r="B787" t="s">
        <v>6349</v>
      </c>
    </row>
    <row r="788" spans="1:2">
      <c r="A788" t="s">
        <v>1762</v>
      </c>
      <c r="B788" t="s">
        <v>1125</v>
      </c>
    </row>
    <row r="789" spans="1:2">
      <c r="A789" t="s">
        <v>1764</v>
      </c>
      <c r="B789" t="s">
        <v>6350</v>
      </c>
    </row>
    <row r="790" spans="1:2">
      <c r="A790" t="s">
        <v>1766</v>
      </c>
      <c r="B790" t="s">
        <v>6351</v>
      </c>
    </row>
    <row r="791" spans="1:2">
      <c r="A791" t="s">
        <v>1768</v>
      </c>
      <c r="B791" t="s">
        <v>1173</v>
      </c>
    </row>
    <row r="792" spans="1:2">
      <c r="A792" t="s">
        <v>1770</v>
      </c>
      <c r="B792" t="s">
        <v>1399</v>
      </c>
    </row>
    <row r="793" spans="1:2">
      <c r="A793" t="s">
        <v>1772</v>
      </c>
      <c r="B793" t="s">
        <v>1888</v>
      </c>
    </row>
    <row r="794" spans="1:2">
      <c r="A794" t="s">
        <v>1774</v>
      </c>
      <c r="B794" t="s">
        <v>3431</v>
      </c>
    </row>
    <row r="795" spans="1:2">
      <c r="A795" t="s">
        <v>1776</v>
      </c>
      <c r="B795" t="s">
        <v>6353</v>
      </c>
    </row>
    <row r="796" spans="1:2">
      <c r="A796" t="s">
        <v>1778</v>
      </c>
      <c r="B796" t="s">
        <v>6354</v>
      </c>
    </row>
    <row r="797" spans="1:2">
      <c r="A797" t="s">
        <v>1780</v>
      </c>
      <c r="B797" t="s">
        <v>2488</v>
      </c>
    </row>
    <row r="798" spans="1:2">
      <c r="A798" t="s">
        <v>1782</v>
      </c>
      <c r="B798" t="s">
        <v>6355</v>
      </c>
    </row>
    <row r="799" spans="1:2">
      <c r="A799" t="s">
        <v>1784</v>
      </c>
      <c r="B799" t="s">
        <v>966</v>
      </c>
    </row>
    <row r="800" spans="1:2">
      <c r="A800" t="s">
        <v>1786</v>
      </c>
      <c r="B800" t="s">
        <v>6356</v>
      </c>
    </row>
    <row r="801" spans="1:2">
      <c r="A801" t="s">
        <v>1788</v>
      </c>
      <c r="B801" t="s">
        <v>2096</v>
      </c>
    </row>
    <row r="802" spans="1:2">
      <c r="A802" t="s">
        <v>1791</v>
      </c>
      <c r="B802" t="s">
        <v>4108</v>
      </c>
    </row>
    <row r="803" spans="1:2">
      <c r="A803" t="s">
        <v>1793</v>
      </c>
      <c r="B803" t="s">
        <v>4159</v>
      </c>
    </row>
    <row r="804" spans="1:2">
      <c r="A804" t="s">
        <v>1795</v>
      </c>
      <c r="B804" t="s">
        <v>1186</v>
      </c>
    </row>
    <row r="805" spans="1:2">
      <c r="A805" t="s">
        <v>1797</v>
      </c>
      <c r="B805" t="s">
        <v>955</v>
      </c>
    </row>
    <row r="806" spans="1:2">
      <c r="A806" t="s">
        <v>1800</v>
      </c>
      <c r="B806" t="s">
        <v>6358</v>
      </c>
    </row>
    <row r="807" spans="1:2">
      <c r="A807" t="s">
        <v>1803</v>
      </c>
      <c r="B807" t="s">
        <v>2241</v>
      </c>
    </row>
    <row r="808" spans="1:2">
      <c r="A808" t="s">
        <v>1804</v>
      </c>
      <c r="B808" t="s">
        <v>6360</v>
      </c>
    </row>
    <row r="809" spans="1:2">
      <c r="A809" t="s">
        <v>1806</v>
      </c>
      <c r="B809" t="s">
        <v>6361</v>
      </c>
    </row>
    <row r="810" spans="1:2">
      <c r="A810" t="s">
        <v>1809</v>
      </c>
      <c r="B810" t="s">
        <v>6362</v>
      </c>
    </row>
    <row r="811" spans="1:2">
      <c r="A811" t="s">
        <v>1811</v>
      </c>
      <c r="B811" t="s">
        <v>6363</v>
      </c>
    </row>
    <row r="812" spans="1:2">
      <c r="A812" t="s">
        <v>1813</v>
      </c>
      <c r="B812" t="s">
        <v>1451</v>
      </c>
    </row>
    <row r="813" spans="1:2">
      <c r="A813" t="s">
        <v>1815</v>
      </c>
      <c r="B813" t="s">
        <v>1463</v>
      </c>
    </row>
    <row r="814" spans="1:2">
      <c r="A814" t="s">
        <v>1817</v>
      </c>
      <c r="B814" t="s">
        <v>1231</v>
      </c>
    </row>
    <row r="815" spans="1:2">
      <c r="A815" t="s">
        <v>1819</v>
      </c>
      <c r="B815" t="s">
        <v>2840</v>
      </c>
    </row>
    <row r="816" spans="1:2">
      <c r="A816" t="s">
        <v>1822</v>
      </c>
      <c r="B816" t="s">
        <v>3563</v>
      </c>
    </row>
    <row r="817" spans="1:2">
      <c r="A817" t="s">
        <v>1824</v>
      </c>
      <c r="B817" t="s">
        <v>1556</v>
      </c>
    </row>
    <row r="818" spans="1:2">
      <c r="A818" t="s">
        <v>1826</v>
      </c>
      <c r="B818" t="s">
        <v>2877</v>
      </c>
    </row>
    <row r="819" spans="1:2">
      <c r="A819" t="s">
        <v>1828</v>
      </c>
      <c r="B819" t="s">
        <v>6365</v>
      </c>
    </row>
    <row r="820" spans="1:2">
      <c r="A820" t="s">
        <v>1830</v>
      </c>
      <c r="B820" t="s">
        <v>1587</v>
      </c>
    </row>
    <row r="821" spans="1:2">
      <c r="A821" t="s">
        <v>1832</v>
      </c>
      <c r="B821" t="s">
        <v>1059</v>
      </c>
    </row>
    <row r="822" spans="1:2">
      <c r="A822" t="s">
        <v>1834</v>
      </c>
      <c r="B822" t="s">
        <v>2947</v>
      </c>
    </row>
    <row r="823" spans="1:2">
      <c r="A823" t="s">
        <v>1836</v>
      </c>
      <c r="B823" t="s">
        <v>1618</v>
      </c>
    </row>
    <row r="824" spans="1:2">
      <c r="A824" t="s">
        <v>1838</v>
      </c>
      <c r="B824" t="s">
        <v>1651</v>
      </c>
    </row>
    <row r="825" spans="1:2">
      <c r="A825" t="s">
        <v>1841</v>
      </c>
      <c r="B825" t="s">
        <v>6366</v>
      </c>
    </row>
    <row r="826" spans="1:2">
      <c r="A826" t="s">
        <v>1843</v>
      </c>
      <c r="B826" t="s">
        <v>6367</v>
      </c>
    </row>
    <row r="827" spans="1:2">
      <c r="A827" t="s">
        <v>1845</v>
      </c>
      <c r="B827" t="s">
        <v>1747</v>
      </c>
    </row>
    <row r="828" spans="1:2">
      <c r="A828" t="s">
        <v>1848</v>
      </c>
      <c r="B828" t="s">
        <v>6368</v>
      </c>
    </row>
    <row r="829" spans="1:2">
      <c r="A829" t="s">
        <v>1850</v>
      </c>
      <c r="B829" t="s">
        <v>6369</v>
      </c>
    </row>
    <row r="830" spans="1:2">
      <c r="A830" t="s">
        <v>1852</v>
      </c>
      <c r="B830" t="s">
        <v>6370</v>
      </c>
    </row>
    <row r="831" spans="1:2">
      <c r="A831" t="s">
        <v>1855</v>
      </c>
      <c r="B831" t="s">
        <v>6371</v>
      </c>
    </row>
    <row r="832" spans="1:2">
      <c r="A832" t="s">
        <v>1857</v>
      </c>
      <c r="B832" t="s">
        <v>2512</v>
      </c>
    </row>
    <row r="833" spans="1:2">
      <c r="A833" t="s">
        <v>1859</v>
      </c>
      <c r="B833" t="s">
        <v>6373</v>
      </c>
    </row>
    <row r="834" spans="1:2">
      <c r="A834" t="s">
        <v>1861</v>
      </c>
      <c r="B834" t="s">
        <v>6374</v>
      </c>
    </row>
    <row r="835" spans="1:2">
      <c r="A835" t="s">
        <v>1863</v>
      </c>
      <c r="B835" t="s">
        <v>6376</v>
      </c>
    </row>
    <row r="836" spans="1:2">
      <c r="A836" t="s">
        <v>1865</v>
      </c>
      <c r="B836" t="s">
        <v>6377</v>
      </c>
    </row>
    <row r="837" spans="1:2">
      <c r="A837" t="s">
        <v>1867</v>
      </c>
      <c r="B837" t="s">
        <v>6379</v>
      </c>
    </row>
    <row r="838" spans="1:2">
      <c r="A838" t="s">
        <v>1869</v>
      </c>
      <c r="B838" t="s">
        <v>6380</v>
      </c>
    </row>
    <row r="839" spans="1:2">
      <c r="A839" t="s">
        <v>1871</v>
      </c>
      <c r="B839" t="s">
        <v>6381</v>
      </c>
    </row>
    <row r="840" spans="1:2">
      <c r="A840" t="s">
        <v>1873</v>
      </c>
      <c r="B840" t="s">
        <v>2219</v>
      </c>
    </row>
    <row r="841" spans="1:2">
      <c r="A841" t="s">
        <v>1875</v>
      </c>
      <c r="B841" t="s">
        <v>6382</v>
      </c>
    </row>
    <row r="842" spans="1:2">
      <c r="A842" t="s">
        <v>1877</v>
      </c>
      <c r="B842" t="s">
        <v>2260</v>
      </c>
    </row>
    <row r="843" spans="1:2">
      <c r="A843" t="s">
        <v>1879</v>
      </c>
      <c r="B843" t="s">
        <v>4464</v>
      </c>
    </row>
    <row r="844" spans="1:2">
      <c r="A844" t="s">
        <v>1881</v>
      </c>
      <c r="B844" t="s">
        <v>6383</v>
      </c>
    </row>
    <row r="845" spans="1:2">
      <c r="A845" t="s">
        <v>1883</v>
      </c>
      <c r="B845" t="s">
        <v>2409</v>
      </c>
    </row>
    <row r="846" spans="1:2">
      <c r="A846" t="s">
        <v>1885</v>
      </c>
      <c r="B846" t="s">
        <v>6384</v>
      </c>
    </row>
    <row r="847" spans="1:2">
      <c r="A847" t="s">
        <v>1888</v>
      </c>
      <c r="B847" t="s">
        <v>6385</v>
      </c>
    </row>
    <row r="848" spans="1:2">
      <c r="A848" t="s">
        <v>1890</v>
      </c>
      <c r="B848" t="s">
        <v>1331</v>
      </c>
    </row>
    <row r="849" spans="1:2">
      <c r="A849" t="s">
        <v>1892</v>
      </c>
      <c r="B849" t="s">
        <v>3903</v>
      </c>
    </row>
    <row r="850" spans="1:2">
      <c r="A850" t="s">
        <v>1894</v>
      </c>
      <c r="B850" t="s">
        <v>1150</v>
      </c>
    </row>
    <row r="851" spans="1:2">
      <c r="A851" t="s">
        <v>1898</v>
      </c>
      <c r="B851" t="s">
        <v>6386</v>
      </c>
    </row>
    <row r="852" spans="1:2">
      <c r="A852" t="s">
        <v>1900</v>
      </c>
      <c r="B852" t="s">
        <v>3198</v>
      </c>
    </row>
    <row r="853" spans="1:2">
      <c r="A853" t="s">
        <v>1902</v>
      </c>
      <c r="B853" t="s">
        <v>2194</v>
      </c>
    </row>
    <row r="854" spans="1:2">
      <c r="A854" t="s">
        <v>1904</v>
      </c>
      <c r="B854" t="s">
        <v>6387</v>
      </c>
    </row>
    <row r="855" spans="1:2">
      <c r="A855" t="s">
        <v>1906</v>
      </c>
      <c r="B855" t="s">
        <v>6389</v>
      </c>
    </row>
    <row r="856" spans="1:2">
      <c r="A856" t="s">
        <v>1908</v>
      </c>
      <c r="B856" t="s">
        <v>6391</v>
      </c>
    </row>
    <row r="857" spans="1:2">
      <c r="A857" t="s">
        <v>1910</v>
      </c>
      <c r="B857" t="s">
        <v>6392</v>
      </c>
    </row>
    <row r="858" spans="1:2">
      <c r="A858" t="s">
        <v>1912</v>
      </c>
      <c r="B858" t="s">
        <v>1883</v>
      </c>
    </row>
    <row r="859" spans="1:2">
      <c r="A859" t="s">
        <v>1914</v>
      </c>
      <c r="B859" t="s">
        <v>1885</v>
      </c>
    </row>
    <row r="860" spans="1:2">
      <c r="A860" t="s">
        <v>1916</v>
      </c>
      <c r="B860" t="s">
        <v>6393</v>
      </c>
    </row>
    <row r="861" spans="1:2">
      <c r="A861" t="s">
        <v>1918</v>
      </c>
      <c r="B861" t="s">
        <v>1898</v>
      </c>
    </row>
    <row r="862" spans="1:2">
      <c r="A862" t="s">
        <v>1920</v>
      </c>
      <c r="B862" t="s">
        <v>6394</v>
      </c>
    </row>
    <row r="863" spans="1:2">
      <c r="A863" t="s">
        <v>1922</v>
      </c>
      <c r="B863" t="s">
        <v>1014</v>
      </c>
    </row>
    <row r="864" spans="1:2">
      <c r="A864" t="s">
        <v>1924</v>
      </c>
      <c r="B864" t="s">
        <v>6395</v>
      </c>
    </row>
    <row r="865" spans="1:2">
      <c r="A865" t="s">
        <v>1926</v>
      </c>
      <c r="B865" t="s">
        <v>6396</v>
      </c>
    </row>
    <row r="866" spans="1:2">
      <c r="A866" t="s">
        <v>1928</v>
      </c>
      <c r="B866" t="s">
        <v>2379</v>
      </c>
    </row>
    <row r="867" spans="1:2">
      <c r="A867" t="s">
        <v>1930</v>
      </c>
      <c r="B867" t="s">
        <v>6397</v>
      </c>
    </row>
    <row r="868" spans="1:2">
      <c r="A868" t="s">
        <v>1932</v>
      </c>
      <c r="B868" t="s">
        <v>4772</v>
      </c>
    </row>
    <row r="869" spans="1:2">
      <c r="A869" t="s">
        <v>1934</v>
      </c>
      <c r="B869" t="s">
        <v>1999</v>
      </c>
    </row>
    <row r="870" spans="1:2">
      <c r="A870" t="s">
        <v>1936</v>
      </c>
      <c r="B870" t="s">
        <v>2398</v>
      </c>
    </row>
    <row r="871" spans="1:2">
      <c r="A871" t="s">
        <v>1938</v>
      </c>
      <c r="B871" t="s">
        <v>4857</v>
      </c>
    </row>
    <row r="872" spans="1:2">
      <c r="A872" t="s">
        <v>1939</v>
      </c>
      <c r="B872" t="s">
        <v>1583</v>
      </c>
    </row>
    <row r="873" spans="1:2">
      <c r="A873" t="s">
        <v>1941</v>
      </c>
      <c r="B873" t="s">
        <v>6399</v>
      </c>
    </row>
    <row r="874" spans="1:2">
      <c r="A874" t="s">
        <v>1943</v>
      </c>
      <c r="B874" t="s">
        <v>3752</v>
      </c>
    </row>
    <row r="875" spans="1:2">
      <c r="A875" t="s">
        <v>1945</v>
      </c>
      <c r="B875" t="s">
        <v>2466</v>
      </c>
    </row>
    <row r="876" spans="1:2">
      <c r="A876" t="s">
        <v>1947</v>
      </c>
      <c r="B876" t="s">
        <v>2080</v>
      </c>
    </row>
    <row r="877" spans="1:2">
      <c r="A877" t="s">
        <v>1949</v>
      </c>
      <c r="B877" t="s">
        <v>6400</v>
      </c>
    </row>
    <row r="878" spans="1:2">
      <c r="A878" t="s">
        <v>1950</v>
      </c>
      <c r="B878" t="s">
        <v>6401</v>
      </c>
    </row>
    <row r="879" spans="1:2">
      <c r="A879" t="s">
        <v>1952</v>
      </c>
      <c r="B879" t="s">
        <v>6402</v>
      </c>
    </row>
    <row r="880" spans="1:2">
      <c r="A880" t="s">
        <v>1954</v>
      </c>
      <c r="B880" t="s">
        <v>6403</v>
      </c>
    </row>
    <row r="881" spans="1:2">
      <c r="A881" t="s">
        <v>1958</v>
      </c>
      <c r="B881" t="s">
        <v>3091</v>
      </c>
    </row>
    <row r="882" spans="1:2">
      <c r="A882" t="s">
        <v>1960</v>
      </c>
      <c r="B882" t="s">
        <v>2571</v>
      </c>
    </row>
    <row r="883" spans="1:2">
      <c r="A883" t="s">
        <v>1962</v>
      </c>
      <c r="B883" t="s">
        <v>1138</v>
      </c>
    </row>
    <row r="884" spans="1:2">
      <c r="A884" t="s">
        <v>1964</v>
      </c>
      <c r="B884" t="s">
        <v>6404</v>
      </c>
    </row>
    <row r="885" spans="1:2">
      <c r="A885" t="s">
        <v>1966</v>
      </c>
      <c r="B885" t="s">
        <v>6405</v>
      </c>
    </row>
    <row r="886" spans="1:2">
      <c r="A886" t="s">
        <v>1967</v>
      </c>
      <c r="B886" t="s">
        <v>6406</v>
      </c>
    </row>
    <row r="887" spans="1:2">
      <c r="A887" t="s">
        <v>1969</v>
      </c>
      <c r="B887" t="s">
        <v>6407</v>
      </c>
    </row>
    <row r="888" spans="1:2">
      <c r="A888" t="s">
        <v>1971</v>
      </c>
      <c r="B888" t="s">
        <v>6408</v>
      </c>
    </row>
    <row r="889" spans="1:2">
      <c r="A889" t="s">
        <v>1973</v>
      </c>
      <c r="B889" t="s">
        <v>2256</v>
      </c>
    </row>
    <row r="890" spans="1:2">
      <c r="A890" t="s">
        <v>1975</v>
      </c>
      <c r="B890" t="s">
        <v>2298</v>
      </c>
    </row>
    <row r="891" spans="1:2">
      <c r="A891" t="s">
        <v>1977</v>
      </c>
      <c r="B891" t="s">
        <v>1516</v>
      </c>
    </row>
    <row r="892" spans="1:2">
      <c r="A892" t="s">
        <v>1979</v>
      </c>
      <c r="B892" t="s">
        <v>1275</v>
      </c>
    </row>
    <row r="893" spans="1:2">
      <c r="A893" t="s">
        <v>1981</v>
      </c>
      <c r="B893" t="s">
        <v>2040</v>
      </c>
    </row>
    <row r="894" spans="1:2">
      <c r="A894" t="s">
        <v>1984</v>
      </c>
      <c r="B894" t="s">
        <v>2913</v>
      </c>
    </row>
    <row r="895" spans="1:2">
      <c r="A895" t="s">
        <v>1987</v>
      </c>
      <c r="B895" t="s">
        <v>1287</v>
      </c>
    </row>
    <row r="896" spans="1:2">
      <c r="A896" t="s">
        <v>1989</v>
      </c>
      <c r="B896" t="s">
        <v>1675</v>
      </c>
    </row>
    <row r="897" spans="1:2">
      <c r="A897" t="s">
        <v>1991</v>
      </c>
      <c r="B897" t="s">
        <v>1679</v>
      </c>
    </row>
    <row r="898" spans="1:2">
      <c r="A898" t="s">
        <v>1993</v>
      </c>
      <c r="B898" t="s">
        <v>2125</v>
      </c>
    </row>
    <row r="899" spans="1:2">
      <c r="A899" t="s">
        <v>1995</v>
      </c>
      <c r="B899" t="s">
        <v>2540</v>
      </c>
    </row>
    <row r="900" spans="1:2">
      <c r="A900" t="s">
        <v>1997</v>
      </c>
      <c r="B900" t="s">
        <v>6411</v>
      </c>
    </row>
    <row r="901" spans="1:2">
      <c r="A901" t="s">
        <v>1999</v>
      </c>
      <c r="B901" t="s">
        <v>6412</v>
      </c>
    </row>
    <row r="902" spans="1:2">
      <c r="A902" t="s">
        <v>2001</v>
      </c>
      <c r="B902" t="s">
        <v>6413</v>
      </c>
    </row>
    <row r="903" spans="1:2">
      <c r="A903" t="s">
        <v>2003</v>
      </c>
      <c r="B903" t="s">
        <v>1782</v>
      </c>
    </row>
    <row r="904" spans="1:2">
      <c r="A904" t="s">
        <v>2005</v>
      </c>
      <c r="B904" t="s">
        <v>6414</v>
      </c>
    </row>
    <row r="905" spans="1:2">
      <c r="A905" t="s">
        <v>2007</v>
      </c>
      <c r="B905" t="s">
        <v>6416</v>
      </c>
    </row>
    <row r="906" spans="1:2">
      <c r="A906" t="s">
        <v>2009</v>
      </c>
      <c r="B906" t="s">
        <v>6417</v>
      </c>
    </row>
    <row r="907" spans="1:2">
      <c r="A907" t="s">
        <v>2011</v>
      </c>
      <c r="B907" t="s">
        <v>6418</v>
      </c>
    </row>
    <row r="908" spans="1:2">
      <c r="A908" t="s">
        <v>2013</v>
      </c>
      <c r="B908" t="s">
        <v>6419</v>
      </c>
    </row>
    <row r="909" spans="1:2">
      <c r="A909" t="s">
        <v>2014</v>
      </c>
      <c r="B909" t="s">
        <v>1830</v>
      </c>
    </row>
    <row r="910" spans="1:2">
      <c r="A910" t="s">
        <v>2016</v>
      </c>
      <c r="B910" t="s">
        <v>6420</v>
      </c>
    </row>
    <row r="911" spans="1:2">
      <c r="A911" t="s">
        <v>2018</v>
      </c>
      <c r="B911" t="s">
        <v>6421</v>
      </c>
    </row>
    <row r="912" spans="1:2">
      <c r="A912" t="s">
        <v>2020</v>
      </c>
      <c r="B912" t="s">
        <v>6422</v>
      </c>
    </row>
    <row r="913" spans="1:2">
      <c r="A913" t="s">
        <v>2022</v>
      </c>
      <c r="B913" t="s">
        <v>1227</v>
      </c>
    </row>
    <row r="914" spans="1:2">
      <c r="A914" t="s">
        <v>2025</v>
      </c>
      <c r="B914" t="s">
        <v>6423</v>
      </c>
    </row>
    <row r="915" spans="1:2">
      <c r="A915" t="s">
        <v>2028</v>
      </c>
      <c r="B915" t="s">
        <v>2009</v>
      </c>
    </row>
    <row r="916" spans="1:2">
      <c r="A916" t="s">
        <v>2031</v>
      </c>
      <c r="B916" t="s">
        <v>4902</v>
      </c>
    </row>
    <row r="917" spans="1:2">
      <c r="A917" t="s">
        <v>2033</v>
      </c>
      <c r="B917" t="s">
        <v>6424</v>
      </c>
    </row>
    <row r="918" spans="1:2">
      <c r="A918" t="s">
        <v>2035</v>
      </c>
      <c r="B918" t="s">
        <v>2925</v>
      </c>
    </row>
    <row r="919" spans="1:2">
      <c r="A919" t="s">
        <v>2038</v>
      </c>
      <c r="B919" t="s">
        <v>2961</v>
      </c>
    </row>
    <row r="920" spans="1:2">
      <c r="A920" t="s">
        <v>2040</v>
      </c>
      <c r="B920" t="s">
        <v>6425</v>
      </c>
    </row>
    <row r="921" spans="1:2">
      <c r="A921" t="s">
        <v>2043</v>
      </c>
      <c r="B921" t="s">
        <v>6426</v>
      </c>
    </row>
    <row r="922" spans="1:2">
      <c r="A922" t="s">
        <v>2045</v>
      </c>
      <c r="B922" t="s">
        <v>6427</v>
      </c>
    </row>
    <row r="923" spans="1:2">
      <c r="A923" t="s">
        <v>2047</v>
      </c>
      <c r="B923" t="s">
        <v>6428</v>
      </c>
    </row>
    <row r="924" spans="1:2">
      <c r="A924" t="s">
        <v>2049</v>
      </c>
      <c r="B924" t="s">
        <v>6429</v>
      </c>
    </row>
    <row r="925" spans="1:2">
      <c r="A925" t="s">
        <v>2050</v>
      </c>
      <c r="B925" t="s">
        <v>2084</v>
      </c>
    </row>
    <row r="926" spans="1:2">
      <c r="A926" t="s">
        <v>2051</v>
      </c>
      <c r="B926" t="s">
        <v>6430</v>
      </c>
    </row>
    <row r="927" spans="1:2">
      <c r="A927" t="s">
        <v>2053</v>
      </c>
      <c r="B927" t="s">
        <v>3025</v>
      </c>
    </row>
    <row r="928" spans="1:2">
      <c r="A928" t="s">
        <v>2055</v>
      </c>
      <c r="B928" t="s">
        <v>6431</v>
      </c>
    </row>
    <row r="929" spans="1:2">
      <c r="A929" t="s">
        <v>2057</v>
      </c>
      <c r="B929" t="s">
        <v>2108</v>
      </c>
    </row>
    <row r="930" spans="1:2">
      <c r="A930" t="s">
        <v>2059</v>
      </c>
      <c r="B930" t="s">
        <v>6432</v>
      </c>
    </row>
    <row r="931" spans="1:2">
      <c r="A931" t="s">
        <v>2061</v>
      </c>
      <c r="B931" t="s">
        <v>6433</v>
      </c>
    </row>
    <row r="932" spans="1:2">
      <c r="A932" t="s">
        <v>2062</v>
      </c>
      <c r="B932" t="s">
        <v>2117</v>
      </c>
    </row>
    <row r="933" spans="1:2">
      <c r="A933" t="s">
        <v>2064</v>
      </c>
      <c r="B933" t="s">
        <v>6434</v>
      </c>
    </row>
    <row r="934" spans="1:2">
      <c r="A934" t="s">
        <v>2066</v>
      </c>
      <c r="B934" t="s">
        <v>6435</v>
      </c>
    </row>
    <row r="935" spans="1:2">
      <c r="A935" t="s">
        <v>2068</v>
      </c>
      <c r="B935" t="s">
        <v>6436</v>
      </c>
    </row>
    <row r="936" spans="1:2">
      <c r="A936" t="s">
        <v>2070</v>
      </c>
      <c r="B936" t="s">
        <v>6437</v>
      </c>
    </row>
    <row r="937" spans="1:2">
      <c r="A937" t="s">
        <v>2072</v>
      </c>
      <c r="B937" t="s">
        <v>6438</v>
      </c>
    </row>
    <row r="938" spans="1:2">
      <c r="A938" t="s">
        <v>2074</v>
      </c>
      <c r="B938" t="s">
        <v>6439</v>
      </c>
    </row>
    <row r="939" spans="1:2">
      <c r="A939" t="s">
        <v>2076</v>
      </c>
      <c r="B939" t="s">
        <v>6440</v>
      </c>
    </row>
    <row r="940" spans="1:2">
      <c r="A940" t="s">
        <v>2078</v>
      </c>
      <c r="B940" t="s">
        <v>6441</v>
      </c>
    </row>
    <row r="941" spans="1:2">
      <c r="A941" t="s">
        <v>2080</v>
      </c>
      <c r="B941" t="s">
        <v>6442</v>
      </c>
    </row>
    <row r="942" spans="1:2">
      <c r="A942" t="s">
        <v>2082</v>
      </c>
      <c r="B942" t="s">
        <v>6443</v>
      </c>
    </row>
    <row r="943" spans="1:2">
      <c r="A943" t="s">
        <v>2084</v>
      </c>
      <c r="B943" t="s">
        <v>6444</v>
      </c>
    </row>
    <row r="944" spans="1:2">
      <c r="A944" t="s">
        <v>2086</v>
      </c>
      <c r="B944" t="s">
        <v>6445</v>
      </c>
    </row>
    <row r="945" spans="1:2">
      <c r="A945" t="s">
        <v>2088</v>
      </c>
      <c r="B945" t="s">
        <v>2264</v>
      </c>
    </row>
    <row r="946" spans="1:2">
      <c r="A946" t="s">
        <v>2090</v>
      </c>
      <c r="B946" t="s">
        <v>1225</v>
      </c>
    </row>
    <row r="947" spans="1:2">
      <c r="A947" t="s">
        <v>2092</v>
      </c>
      <c r="B947" t="s">
        <v>2057</v>
      </c>
    </row>
    <row r="948" spans="1:2">
      <c r="A948" t="s">
        <v>2094</v>
      </c>
      <c r="B948" t="s">
        <v>6446</v>
      </c>
    </row>
    <row r="949" spans="1:2">
      <c r="A949" t="s">
        <v>2096</v>
      </c>
      <c r="B949" t="s">
        <v>6447</v>
      </c>
    </row>
    <row r="950" spans="1:2">
      <c r="A950" t="s">
        <v>2098</v>
      </c>
      <c r="B950" t="s">
        <v>6449</v>
      </c>
    </row>
    <row r="951" spans="1:2">
      <c r="A951" t="s">
        <v>2100</v>
      </c>
      <c r="B951" t="s">
        <v>5523</v>
      </c>
    </row>
    <row r="952" spans="1:2">
      <c r="A952" t="s">
        <v>2102</v>
      </c>
      <c r="B952" t="s">
        <v>6450</v>
      </c>
    </row>
    <row r="953" spans="1:2">
      <c r="A953" t="s">
        <v>2104</v>
      </c>
      <c r="B953" t="s">
        <v>6452</v>
      </c>
    </row>
    <row r="954" spans="1:2">
      <c r="A954" t="s">
        <v>2106</v>
      </c>
      <c r="B954" t="s">
        <v>1843</v>
      </c>
    </row>
    <row r="955" spans="1:2">
      <c r="A955" t="s">
        <v>2108</v>
      </c>
      <c r="B955" t="s">
        <v>1012</v>
      </c>
    </row>
    <row r="956" spans="1:2">
      <c r="A956" t="s">
        <v>2110</v>
      </c>
      <c r="B956" t="s">
        <v>2336</v>
      </c>
    </row>
    <row r="957" spans="1:2">
      <c r="A957" t="s">
        <v>2111</v>
      </c>
      <c r="B957" t="s">
        <v>2806</v>
      </c>
    </row>
    <row r="958" spans="1:2">
      <c r="A958" t="s">
        <v>2113</v>
      </c>
      <c r="B958" t="s">
        <v>6453</v>
      </c>
    </row>
    <row r="959" spans="1:2">
      <c r="A959" t="s">
        <v>2115</v>
      </c>
      <c r="B959" t="s">
        <v>4723</v>
      </c>
    </row>
    <row r="960" spans="1:2">
      <c r="A960" t="s">
        <v>2117</v>
      </c>
      <c r="B960" t="s">
        <v>1256</v>
      </c>
    </row>
    <row r="961" spans="1:2">
      <c r="A961" t="s">
        <v>2119</v>
      </c>
      <c r="B961" t="s">
        <v>2883</v>
      </c>
    </row>
    <row r="962" spans="1:2">
      <c r="A962" t="s">
        <v>2121</v>
      </c>
      <c r="B962" t="s">
        <v>6454</v>
      </c>
    </row>
    <row r="963" spans="1:2">
      <c r="A963" t="s">
        <v>2123</v>
      </c>
      <c r="B963" t="s">
        <v>1589</v>
      </c>
    </row>
    <row r="964" spans="1:2">
      <c r="A964" t="s">
        <v>2125</v>
      </c>
      <c r="B964" t="s">
        <v>2035</v>
      </c>
    </row>
    <row r="965" spans="1:2">
      <c r="A965" t="s">
        <v>2127</v>
      </c>
      <c r="B965" t="s">
        <v>6456</v>
      </c>
    </row>
    <row r="966" spans="1:2">
      <c r="A966" t="s">
        <v>2129</v>
      </c>
      <c r="B966" t="s">
        <v>6457</v>
      </c>
    </row>
    <row r="967" spans="1:2">
      <c r="A967" t="s">
        <v>2131</v>
      </c>
      <c r="B967" t="s">
        <v>6458</v>
      </c>
    </row>
    <row r="968" spans="1:2">
      <c r="A968" t="s">
        <v>2133</v>
      </c>
      <c r="B968" t="s">
        <v>5096</v>
      </c>
    </row>
    <row r="969" spans="1:2">
      <c r="A969" t="s">
        <v>2135</v>
      </c>
      <c r="B969" t="s">
        <v>6459</v>
      </c>
    </row>
    <row r="970" spans="1:2">
      <c r="A970" t="s">
        <v>2137</v>
      </c>
      <c r="B970" t="s">
        <v>6460</v>
      </c>
    </row>
    <row r="971" spans="1:2">
      <c r="A971" t="s">
        <v>2138</v>
      </c>
      <c r="B971" t="s">
        <v>1726</v>
      </c>
    </row>
    <row r="972" spans="1:2">
      <c r="A972" t="s">
        <v>2140</v>
      </c>
      <c r="B972" t="s">
        <v>1122</v>
      </c>
    </row>
    <row r="973" spans="1:2">
      <c r="A973" t="s">
        <v>2142</v>
      </c>
      <c r="B973" t="s">
        <v>6461</v>
      </c>
    </row>
    <row r="974" spans="1:2">
      <c r="A974" t="s">
        <v>2144</v>
      </c>
      <c r="B974" t="s">
        <v>6462</v>
      </c>
    </row>
    <row r="975" spans="1:2">
      <c r="A975" t="s">
        <v>2145</v>
      </c>
      <c r="B975" t="s">
        <v>1391</v>
      </c>
    </row>
    <row r="976" spans="1:2">
      <c r="A976" t="s">
        <v>2147</v>
      </c>
      <c r="B976" t="s">
        <v>2580</v>
      </c>
    </row>
    <row r="977" spans="1:2">
      <c r="A977" t="s">
        <v>2148</v>
      </c>
      <c r="B977" t="s">
        <v>6463</v>
      </c>
    </row>
    <row r="978" spans="1:2">
      <c r="A978" t="s">
        <v>2150</v>
      </c>
      <c r="B978" t="s">
        <v>6464</v>
      </c>
    </row>
    <row r="979" spans="1:2">
      <c r="A979" t="s">
        <v>2152</v>
      </c>
      <c r="B979" t="s">
        <v>6465</v>
      </c>
    </row>
    <row r="980" spans="1:2">
      <c r="A980" t="s">
        <v>2154</v>
      </c>
      <c r="B980" t="s">
        <v>6466</v>
      </c>
    </row>
    <row r="981" spans="1:2">
      <c r="A981" t="s">
        <v>2156</v>
      </c>
      <c r="B981" t="s">
        <v>6467</v>
      </c>
    </row>
    <row r="982" spans="1:2">
      <c r="A982" t="s">
        <v>2159</v>
      </c>
      <c r="B982" t="s">
        <v>6468</v>
      </c>
    </row>
    <row r="983" spans="1:2">
      <c r="A983" t="s">
        <v>2161</v>
      </c>
      <c r="B983" t="s">
        <v>6469</v>
      </c>
    </row>
    <row r="984" spans="1:2">
      <c r="A984" t="s">
        <v>2163</v>
      </c>
      <c r="B984" t="s">
        <v>6470</v>
      </c>
    </row>
    <row r="985" spans="1:2">
      <c r="A985" t="s">
        <v>2164</v>
      </c>
      <c r="B985" t="s">
        <v>2483</v>
      </c>
    </row>
    <row r="986" spans="1:2">
      <c r="A986" t="s">
        <v>2166</v>
      </c>
      <c r="B986" t="s">
        <v>6471</v>
      </c>
    </row>
    <row r="987" spans="1:2">
      <c r="A987" t="s">
        <v>2168</v>
      </c>
      <c r="B987" t="s">
        <v>6472</v>
      </c>
    </row>
    <row r="988" spans="1:2">
      <c r="A988" t="s">
        <v>2170</v>
      </c>
      <c r="B988" t="s">
        <v>6473</v>
      </c>
    </row>
    <row r="989" spans="1:2">
      <c r="A989" t="s">
        <v>2173</v>
      </c>
      <c r="B989" t="s">
        <v>6476</v>
      </c>
    </row>
    <row r="990" spans="1:2">
      <c r="A990" t="s">
        <v>2175</v>
      </c>
      <c r="B990" t="s">
        <v>6478</v>
      </c>
    </row>
    <row r="991" spans="1:2">
      <c r="A991" t="s">
        <v>2177</v>
      </c>
      <c r="B991" t="s">
        <v>1683</v>
      </c>
    </row>
    <row r="992" spans="1:2">
      <c r="A992" t="s">
        <v>2179</v>
      </c>
      <c r="B992" t="s">
        <v>3323</v>
      </c>
    </row>
    <row r="993" spans="1:2">
      <c r="A993" t="s">
        <v>2181</v>
      </c>
      <c r="B993" t="s">
        <v>6480</v>
      </c>
    </row>
    <row r="994" spans="1:2">
      <c r="A994" t="s">
        <v>2183</v>
      </c>
      <c r="B994" t="s">
        <v>1202</v>
      </c>
    </row>
    <row r="995" spans="1:2">
      <c r="A995" t="s">
        <v>2186</v>
      </c>
      <c r="B995" t="s">
        <v>6481</v>
      </c>
    </row>
    <row r="996" spans="1:2">
      <c r="A996" t="s">
        <v>2188</v>
      </c>
      <c r="B996" t="s">
        <v>2334</v>
      </c>
    </row>
    <row r="997" spans="1:2">
      <c r="A997" t="s">
        <v>2190</v>
      </c>
      <c r="B997" t="s">
        <v>3653</v>
      </c>
    </row>
    <row r="998" spans="1:2">
      <c r="A998" t="s">
        <v>2192</v>
      </c>
      <c r="B998" t="s">
        <v>6483</v>
      </c>
    </row>
    <row r="999" spans="1:2">
      <c r="A999" t="s">
        <v>2194</v>
      </c>
      <c r="B999" t="s">
        <v>2486</v>
      </c>
    </row>
    <row r="1000" spans="1:2">
      <c r="A1000" t="s">
        <v>2196</v>
      </c>
      <c r="B1000" t="s">
        <v>6484</v>
      </c>
    </row>
    <row r="1001" spans="1:2">
      <c r="A1001" t="s">
        <v>2198</v>
      </c>
      <c r="B1001" t="s">
        <v>1774</v>
      </c>
    </row>
    <row r="1002" spans="1:2">
      <c r="A1002" t="s">
        <v>2200</v>
      </c>
      <c r="B1002" t="s">
        <v>6485</v>
      </c>
    </row>
    <row r="1003" spans="1:2">
      <c r="A1003" t="s">
        <v>2202</v>
      </c>
      <c r="B1003" t="s">
        <v>6486</v>
      </c>
    </row>
    <row r="1004" spans="1:2">
      <c r="A1004" t="s">
        <v>2205</v>
      </c>
      <c r="B1004" t="s">
        <v>6487</v>
      </c>
    </row>
    <row r="1005" spans="1:2">
      <c r="A1005" t="s">
        <v>2208</v>
      </c>
      <c r="B1005" t="s">
        <v>6488</v>
      </c>
    </row>
    <row r="1006" spans="1:2">
      <c r="A1006" t="s">
        <v>2210</v>
      </c>
      <c r="B1006" t="s">
        <v>3233</v>
      </c>
    </row>
    <row r="1007" spans="1:2">
      <c r="A1007" t="s">
        <v>2212</v>
      </c>
      <c r="B1007" t="s">
        <v>6489</v>
      </c>
    </row>
    <row r="1008" spans="1:2">
      <c r="A1008" t="s">
        <v>2213</v>
      </c>
      <c r="B1008" t="s">
        <v>2361</v>
      </c>
    </row>
    <row r="1009" spans="1:2">
      <c r="A1009" t="s">
        <v>2215</v>
      </c>
      <c r="B1009" t="s">
        <v>6490</v>
      </c>
    </row>
    <row r="1010" spans="1:2">
      <c r="A1010" t="s">
        <v>2217</v>
      </c>
      <c r="B1010" t="s">
        <v>6491</v>
      </c>
    </row>
    <row r="1011" spans="1:2">
      <c r="A1011" t="s">
        <v>2219</v>
      </c>
      <c r="B1011" t="s">
        <v>1395</v>
      </c>
    </row>
    <row r="1012" spans="1:2">
      <c r="A1012" t="s">
        <v>2221</v>
      </c>
      <c r="B1012" t="s">
        <v>1815</v>
      </c>
    </row>
    <row r="1013" spans="1:2">
      <c r="A1013" t="s">
        <v>2223</v>
      </c>
      <c r="B1013" t="s">
        <v>1817</v>
      </c>
    </row>
    <row r="1014" spans="1:2">
      <c r="A1014" t="s">
        <v>2226</v>
      </c>
      <c r="B1014" t="s">
        <v>2223</v>
      </c>
    </row>
    <row r="1015" spans="1:2">
      <c r="A1015" t="s">
        <v>2228</v>
      </c>
      <c r="B1015" t="s">
        <v>2647</v>
      </c>
    </row>
    <row r="1016" spans="1:2">
      <c r="A1016" t="s">
        <v>2231</v>
      </c>
      <c r="B1016" t="s">
        <v>6494</v>
      </c>
    </row>
    <row r="1017" spans="1:2">
      <c r="A1017" t="s">
        <v>2233</v>
      </c>
      <c r="B1017" t="s">
        <v>4263</v>
      </c>
    </row>
    <row r="1018" spans="1:2">
      <c r="A1018" t="s">
        <v>2235</v>
      </c>
      <c r="B1018" t="s">
        <v>3325</v>
      </c>
    </row>
    <row r="1019" spans="1:2">
      <c r="A1019" t="s">
        <v>2237</v>
      </c>
      <c r="B1019" t="s">
        <v>1409</v>
      </c>
    </row>
    <row r="1020" spans="1:2">
      <c r="A1020" t="s">
        <v>2239</v>
      </c>
      <c r="B1020" t="s">
        <v>1415</v>
      </c>
    </row>
    <row r="1021" spans="1:2">
      <c r="A1021" t="s">
        <v>2241</v>
      </c>
      <c r="B1021" t="s">
        <v>6496</v>
      </c>
    </row>
    <row r="1022" spans="1:2">
      <c r="A1022" t="s">
        <v>2244</v>
      </c>
      <c r="B1022" t="s">
        <v>6497</v>
      </c>
    </row>
    <row r="1023" spans="1:2">
      <c r="A1023" t="s">
        <v>2246</v>
      </c>
      <c r="B1023" t="s">
        <v>6498</v>
      </c>
    </row>
    <row r="1024" spans="1:2">
      <c r="A1024" t="s">
        <v>2248</v>
      </c>
      <c r="B1024" t="s">
        <v>6499</v>
      </c>
    </row>
    <row r="1025" spans="1:2">
      <c r="A1025" t="s">
        <v>2250</v>
      </c>
      <c r="B1025" t="s">
        <v>6500</v>
      </c>
    </row>
    <row r="1026" spans="1:2">
      <c r="A1026" t="s">
        <v>2252</v>
      </c>
      <c r="B1026" t="s">
        <v>1845</v>
      </c>
    </row>
    <row r="1027" spans="1:2">
      <c r="A1027" t="s">
        <v>2254</v>
      </c>
      <c r="B1027" t="s">
        <v>6501</v>
      </c>
    </row>
    <row r="1028" spans="1:2">
      <c r="A1028" t="s">
        <v>2256</v>
      </c>
      <c r="B1028" t="s">
        <v>2262</v>
      </c>
    </row>
    <row r="1029" spans="1:2">
      <c r="A1029" t="s">
        <v>2258</v>
      </c>
      <c r="B1029" t="s">
        <v>6502</v>
      </c>
    </row>
    <row r="1030" spans="1:2">
      <c r="A1030" t="s">
        <v>2260</v>
      </c>
      <c r="B1030" t="s">
        <v>2272</v>
      </c>
    </row>
    <row r="1031" spans="1:2">
      <c r="A1031" t="s">
        <v>2262</v>
      </c>
      <c r="B1031" t="s">
        <v>2713</v>
      </c>
    </row>
    <row r="1032" spans="1:2">
      <c r="A1032" t="s">
        <v>2264</v>
      </c>
      <c r="B1032" t="s">
        <v>6503</v>
      </c>
    </row>
    <row r="1033" spans="1:2">
      <c r="A1033" t="s">
        <v>2266</v>
      </c>
      <c r="B1033" t="s">
        <v>3416</v>
      </c>
    </row>
    <row r="1034" spans="1:2">
      <c r="A1034" t="s">
        <v>2268</v>
      </c>
      <c r="B1034" t="s">
        <v>6504</v>
      </c>
    </row>
    <row r="1035" spans="1:2">
      <c r="A1035" t="s">
        <v>2270</v>
      </c>
      <c r="B1035" t="s">
        <v>3435</v>
      </c>
    </row>
    <row r="1036" spans="1:2">
      <c r="A1036" t="s">
        <v>2272</v>
      </c>
      <c r="B1036" t="s">
        <v>6505</v>
      </c>
    </row>
    <row r="1037" spans="1:2">
      <c r="A1037" t="s">
        <v>2274</v>
      </c>
      <c r="B1037" t="s">
        <v>6506</v>
      </c>
    </row>
    <row r="1038" spans="1:2">
      <c r="A1038" t="s">
        <v>2277</v>
      </c>
      <c r="B1038" t="s">
        <v>6507</v>
      </c>
    </row>
    <row r="1039" spans="1:2">
      <c r="A1039" t="s">
        <v>2280</v>
      </c>
      <c r="B1039" t="s">
        <v>1920</v>
      </c>
    </row>
    <row r="1040" spans="1:2">
      <c r="A1040" t="s">
        <v>2282</v>
      </c>
      <c r="B1040" t="s">
        <v>2316</v>
      </c>
    </row>
    <row r="1041" spans="1:2">
      <c r="A1041" t="s">
        <v>2284</v>
      </c>
      <c r="B1041" t="s">
        <v>6508</v>
      </c>
    </row>
    <row r="1042" spans="1:2">
      <c r="A1042" t="s">
        <v>2287</v>
      </c>
      <c r="B1042" t="s">
        <v>6509</v>
      </c>
    </row>
    <row r="1043" spans="1:2">
      <c r="A1043" t="s">
        <v>2289</v>
      </c>
      <c r="B1043" t="s">
        <v>4584</v>
      </c>
    </row>
    <row r="1044" spans="1:2">
      <c r="A1044" t="s">
        <v>2292</v>
      </c>
      <c r="B1044" t="s">
        <v>6510</v>
      </c>
    </row>
    <row r="1045" spans="1:2">
      <c r="A1045" t="s">
        <v>2294</v>
      </c>
      <c r="B1045" t="s">
        <v>2800</v>
      </c>
    </row>
    <row r="1046" spans="1:2">
      <c r="A1046" t="s">
        <v>2296</v>
      </c>
      <c r="B1046" t="s">
        <v>1502</v>
      </c>
    </row>
    <row r="1047" spans="1:2">
      <c r="A1047" t="s">
        <v>2298</v>
      </c>
      <c r="B1047" t="s">
        <v>1941</v>
      </c>
    </row>
    <row r="1048" spans="1:2">
      <c r="A1048" t="s">
        <v>2300</v>
      </c>
      <c r="B1048" t="s">
        <v>4628</v>
      </c>
    </row>
    <row r="1049" spans="1:2">
      <c r="A1049" t="s">
        <v>2302</v>
      </c>
      <c r="B1049" t="s">
        <v>1945</v>
      </c>
    </row>
    <row r="1050" spans="1:2">
      <c r="A1050" t="s">
        <v>2304</v>
      </c>
      <c r="B1050" t="s">
        <v>2828</v>
      </c>
    </row>
    <row r="1051" spans="1:2">
      <c r="A1051" t="s">
        <v>2306</v>
      </c>
      <c r="B1051" t="s">
        <v>6511</v>
      </c>
    </row>
    <row r="1052" spans="1:2">
      <c r="A1052" t="s">
        <v>2308</v>
      </c>
      <c r="B1052" t="s">
        <v>6512</v>
      </c>
    </row>
    <row r="1053" spans="1:2">
      <c r="A1053" t="s">
        <v>2310</v>
      </c>
      <c r="B1053" t="s">
        <v>4700</v>
      </c>
    </row>
    <row r="1054" spans="1:2">
      <c r="A1054" t="s">
        <v>2312</v>
      </c>
      <c r="B1054" t="s">
        <v>6514</v>
      </c>
    </row>
    <row r="1055" spans="1:2">
      <c r="A1055" t="s">
        <v>2314</v>
      </c>
      <c r="B1055" t="s">
        <v>1984</v>
      </c>
    </row>
    <row r="1056" spans="1:2">
      <c r="A1056" t="s">
        <v>2316</v>
      </c>
      <c r="B1056" t="s">
        <v>2868</v>
      </c>
    </row>
    <row r="1057" spans="1:2">
      <c r="A1057" t="s">
        <v>2318</v>
      </c>
      <c r="B1057" t="s">
        <v>6515</v>
      </c>
    </row>
    <row r="1058" spans="1:2">
      <c r="A1058" t="s">
        <v>2320</v>
      </c>
      <c r="B1058" t="s">
        <v>6516</v>
      </c>
    </row>
    <row r="1059" spans="1:2">
      <c r="A1059" t="s">
        <v>2322</v>
      </c>
      <c r="B1059" t="s">
        <v>4780</v>
      </c>
    </row>
    <row r="1060" spans="1:2">
      <c r="A1060" t="s">
        <v>2324</v>
      </c>
      <c r="B1060" t="s">
        <v>3600</v>
      </c>
    </row>
    <row r="1061" spans="1:2">
      <c r="A1061" t="s">
        <v>2326</v>
      </c>
      <c r="B1061" t="s">
        <v>6517</v>
      </c>
    </row>
    <row r="1062" spans="1:2">
      <c r="A1062" t="s">
        <v>2328</v>
      </c>
      <c r="B1062" t="s">
        <v>6518</v>
      </c>
    </row>
    <row r="1063" spans="1:2">
      <c r="A1063" t="s">
        <v>2330</v>
      </c>
      <c r="B1063" t="s">
        <v>2893</v>
      </c>
    </row>
    <row r="1064" spans="1:2">
      <c r="A1064" t="s">
        <v>2332</v>
      </c>
      <c r="B1064" t="s">
        <v>6519</v>
      </c>
    </row>
    <row r="1065" spans="1:2">
      <c r="A1065" t="s">
        <v>2334</v>
      </c>
      <c r="B1065" t="s">
        <v>2022</v>
      </c>
    </row>
    <row r="1066" spans="1:2">
      <c r="A1066" t="s">
        <v>2336</v>
      </c>
      <c r="B1066" t="s">
        <v>6520</v>
      </c>
    </row>
    <row r="1067" spans="1:2">
      <c r="A1067" t="s">
        <v>2338</v>
      </c>
      <c r="B1067" t="s">
        <v>2899</v>
      </c>
    </row>
    <row r="1068" spans="1:2">
      <c r="A1068" t="s">
        <v>2340</v>
      </c>
      <c r="B1068" t="s">
        <v>2045</v>
      </c>
    </row>
    <row r="1069" spans="1:2">
      <c r="A1069" t="s">
        <v>2342</v>
      </c>
      <c r="B1069" t="s">
        <v>3683</v>
      </c>
    </row>
    <row r="1070" spans="1:2">
      <c r="A1070" t="s">
        <v>2344</v>
      </c>
      <c r="B1070" t="s">
        <v>1610</v>
      </c>
    </row>
    <row r="1071" spans="1:2">
      <c r="A1071" t="s">
        <v>2346</v>
      </c>
      <c r="B1071" t="s">
        <v>2941</v>
      </c>
    </row>
    <row r="1072" spans="1:2">
      <c r="A1072" t="s">
        <v>2347</v>
      </c>
      <c r="B1072" t="s">
        <v>3721</v>
      </c>
    </row>
    <row r="1073" spans="1:2">
      <c r="A1073" t="s">
        <v>2349</v>
      </c>
      <c r="B1073" t="s">
        <v>2943</v>
      </c>
    </row>
    <row r="1074" spans="1:2">
      <c r="A1074" t="s">
        <v>2351</v>
      </c>
      <c r="B1074" t="s">
        <v>6521</v>
      </c>
    </row>
    <row r="1075" spans="1:2">
      <c r="A1075" t="s">
        <v>2353</v>
      </c>
      <c r="B1075" t="s">
        <v>2062</v>
      </c>
    </row>
    <row r="1076" spans="1:2">
      <c r="A1076" t="s">
        <v>2355</v>
      </c>
      <c r="B1076" t="s">
        <v>6522</v>
      </c>
    </row>
    <row r="1077" spans="1:2">
      <c r="A1077" t="s">
        <v>2357</v>
      </c>
      <c r="B1077" t="s">
        <v>6523</v>
      </c>
    </row>
    <row r="1078" spans="1:2">
      <c r="A1078" t="s">
        <v>2359</v>
      </c>
      <c r="B1078" t="s">
        <v>2471</v>
      </c>
    </row>
    <row r="1079" spans="1:2">
      <c r="A1079" t="s">
        <v>2361</v>
      </c>
      <c r="B1079" t="s">
        <v>3786</v>
      </c>
    </row>
    <row r="1080" spans="1:2">
      <c r="A1080" t="s">
        <v>2363</v>
      </c>
      <c r="B1080" t="s">
        <v>6524</v>
      </c>
    </row>
    <row r="1081" spans="1:2">
      <c r="A1081" t="s">
        <v>2365</v>
      </c>
      <c r="B1081" t="s">
        <v>6525</v>
      </c>
    </row>
    <row r="1082" spans="1:2">
      <c r="A1082" t="s">
        <v>2367</v>
      </c>
      <c r="B1082" t="s">
        <v>1677</v>
      </c>
    </row>
    <row r="1083" spans="1:2">
      <c r="A1083" t="s">
        <v>2369</v>
      </c>
      <c r="B1083" t="s">
        <v>6526</v>
      </c>
    </row>
    <row r="1084" spans="1:2">
      <c r="A1084" t="s">
        <v>2371</v>
      </c>
      <c r="B1084" t="s">
        <v>6527</v>
      </c>
    </row>
    <row r="1085" spans="1:2">
      <c r="A1085" t="s">
        <v>2372</v>
      </c>
      <c r="B1085" t="s">
        <v>6528</v>
      </c>
    </row>
    <row r="1086" spans="1:2">
      <c r="A1086" t="s">
        <v>2374</v>
      </c>
      <c r="B1086" t="s">
        <v>2119</v>
      </c>
    </row>
    <row r="1087" spans="1:2">
      <c r="A1087" t="s">
        <v>2376</v>
      </c>
      <c r="B1087" t="s">
        <v>3878</v>
      </c>
    </row>
    <row r="1088" spans="1:2">
      <c r="A1088" t="s">
        <v>2379</v>
      </c>
      <c r="B1088" t="s">
        <v>1708</v>
      </c>
    </row>
    <row r="1089" spans="1:2">
      <c r="A1089" t="s">
        <v>2381</v>
      </c>
      <c r="B1089" t="s">
        <v>2127</v>
      </c>
    </row>
    <row r="1090" spans="1:2">
      <c r="A1090" t="s">
        <v>2382</v>
      </c>
      <c r="B1090" t="s">
        <v>3050</v>
      </c>
    </row>
    <row r="1091" spans="1:2">
      <c r="A1091" t="s">
        <v>2384</v>
      </c>
      <c r="B1091" t="s">
        <v>6529</v>
      </c>
    </row>
    <row r="1092" spans="1:2">
      <c r="A1092" t="s">
        <v>2386</v>
      </c>
      <c r="B1092" t="s">
        <v>6530</v>
      </c>
    </row>
    <row r="1093" spans="1:2">
      <c r="A1093" t="s">
        <v>2388</v>
      </c>
      <c r="B1093" t="s">
        <v>2140</v>
      </c>
    </row>
    <row r="1094" spans="1:2">
      <c r="A1094" t="s">
        <v>2390</v>
      </c>
      <c r="B1094" t="s">
        <v>6531</v>
      </c>
    </row>
    <row r="1095" spans="1:2">
      <c r="A1095" t="s">
        <v>2392</v>
      </c>
      <c r="B1095" t="s">
        <v>6532</v>
      </c>
    </row>
    <row r="1096" spans="1:2">
      <c r="A1096" t="s">
        <v>2394</v>
      </c>
      <c r="B1096" t="s">
        <v>3073</v>
      </c>
    </row>
    <row r="1097" spans="1:2">
      <c r="A1097" t="s">
        <v>2396</v>
      </c>
      <c r="B1097" t="s">
        <v>3940</v>
      </c>
    </row>
    <row r="1098" spans="1:2">
      <c r="A1098" t="s">
        <v>2398</v>
      </c>
      <c r="B1098" t="s">
        <v>3081</v>
      </c>
    </row>
    <row r="1099" spans="1:2">
      <c r="A1099" t="s">
        <v>2401</v>
      </c>
      <c r="B1099" t="s">
        <v>6533</v>
      </c>
    </row>
    <row r="1100" spans="1:2">
      <c r="A1100" t="s">
        <v>2403</v>
      </c>
      <c r="B1100" t="s">
        <v>6534</v>
      </c>
    </row>
    <row r="1101" spans="1:2">
      <c r="A1101" t="s">
        <v>2405</v>
      </c>
      <c r="B1101" t="s">
        <v>6535</v>
      </c>
    </row>
    <row r="1102" spans="1:2">
      <c r="A1102" t="s">
        <v>2407</v>
      </c>
      <c r="B1102" t="s">
        <v>2563</v>
      </c>
    </row>
    <row r="1103" spans="1:2">
      <c r="A1103" t="s">
        <v>2409</v>
      </c>
      <c r="B1103" t="s">
        <v>6536</v>
      </c>
    </row>
    <row r="1104" spans="1:2">
      <c r="A1104" t="s">
        <v>2412</v>
      </c>
      <c r="B1104" t="s">
        <v>6537</v>
      </c>
    </row>
    <row r="1105" spans="1:2">
      <c r="A1105" t="s">
        <v>2414</v>
      </c>
      <c r="B1105" t="s">
        <v>3977</v>
      </c>
    </row>
    <row r="1106" spans="1:2">
      <c r="A1106" t="s">
        <v>2416</v>
      </c>
      <c r="B1106" t="s">
        <v>3991</v>
      </c>
    </row>
    <row r="1107" spans="1:2">
      <c r="A1107" t="s">
        <v>2418</v>
      </c>
      <c r="B1107" t="s">
        <v>6538</v>
      </c>
    </row>
    <row r="1108" spans="1:2">
      <c r="A1108" t="s">
        <v>2420</v>
      </c>
      <c r="B1108" t="s">
        <v>6539</v>
      </c>
    </row>
    <row r="1109" spans="1:2">
      <c r="A1109" t="s">
        <v>2422</v>
      </c>
      <c r="B1109" t="s">
        <v>6540</v>
      </c>
    </row>
    <row r="1110" spans="1:2">
      <c r="A1110" t="s">
        <v>2424</v>
      </c>
      <c r="B1110" t="s">
        <v>3148</v>
      </c>
    </row>
    <row r="1111" spans="1:2">
      <c r="A1111" t="s">
        <v>2426</v>
      </c>
      <c r="B1111" t="s">
        <v>3150</v>
      </c>
    </row>
    <row r="1112" spans="1:2">
      <c r="A1112" t="s">
        <v>2428</v>
      </c>
      <c r="B1112" t="s">
        <v>6541</v>
      </c>
    </row>
    <row r="1113" spans="1:2">
      <c r="A1113" t="s">
        <v>2430</v>
      </c>
      <c r="B1113" t="s">
        <v>6542</v>
      </c>
    </row>
    <row r="1114" spans="1:2">
      <c r="A1114" t="s">
        <v>2432</v>
      </c>
      <c r="B1114" t="s">
        <v>6543</v>
      </c>
    </row>
    <row r="1115" spans="1:2">
      <c r="A1115" t="s">
        <v>2433</v>
      </c>
      <c r="B1115" t="s">
        <v>6544</v>
      </c>
    </row>
    <row r="1116" spans="1:2">
      <c r="A1116" t="s">
        <v>2435</v>
      </c>
      <c r="B1116" t="s">
        <v>6545</v>
      </c>
    </row>
    <row r="1117" spans="1:2">
      <c r="A1117" t="s">
        <v>2437</v>
      </c>
      <c r="B1117" t="s">
        <v>6547</v>
      </c>
    </row>
    <row r="1118" spans="1:2">
      <c r="A1118" t="s">
        <v>2439</v>
      </c>
      <c r="B1118" t="s">
        <v>6549</v>
      </c>
    </row>
    <row r="1119" spans="1:2">
      <c r="A1119" t="s">
        <v>2441</v>
      </c>
      <c r="B1119" t="s">
        <v>6550</v>
      </c>
    </row>
    <row r="1120" spans="1:2">
      <c r="A1120" t="s">
        <v>2443</v>
      </c>
      <c r="B1120" t="s">
        <v>6551</v>
      </c>
    </row>
    <row r="1121" spans="1:2">
      <c r="A1121" t="s">
        <v>2445</v>
      </c>
      <c r="B1121" t="s">
        <v>6552</v>
      </c>
    </row>
    <row r="1122" spans="1:2">
      <c r="A1122" t="s">
        <v>2447</v>
      </c>
      <c r="B1122" t="s">
        <v>6553</v>
      </c>
    </row>
    <row r="1123" spans="1:2">
      <c r="A1123" t="s">
        <v>2449</v>
      </c>
      <c r="B1123" t="s">
        <v>6554</v>
      </c>
    </row>
    <row r="1124" spans="1:2">
      <c r="A1124" t="s">
        <v>2451</v>
      </c>
      <c r="B1124" t="s">
        <v>6555</v>
      </c>
    </row>
    <row r="1125" spans="1:2">
      <c r="A1125" t="s">
        <v>2453</v>
      </c>
      <c r="B1125" t="s">
        <v>6556</v>
      </c>
    </row>
    <row r="1126" spans="1:2">
      <c r="A1126" t="s">
        <v>2455</v>
      </c>
      <c r="B1126" t="s">
        <v>6557</v>
      </c>
    </row>
    <row r="1127" spans="1:2">
      <c r="A1127" t="s">
        <v>2458</v>
      </c>
      <c r="B1127" t="s">
        <v>6558</v>
      </c>
    </row>
    <row r="1128" spans="1:2">
      <c r="A1128" t="s">
        <v>2460</v>
      </c>
      <c r="B1128" t="s">
        <v>6559</v>
      </c>
    </row>
    <row r="1129" spans="1:2">
      <c r="A1129" t="s">
        <v>2462</v>
      </c>
      <c r="B1129" t="s">
        <v>6561</v>
      </c>
    </row>
    <row r="1130" spans="1:2">
      <c r="A1130" t="s">
        <v>2464</v>
      </c>
      <c r="B1130" t="s">
        <v>6562</v>
      </c>
    </row>
    <row r="1131" spans="1:2">
      <c r="A1131" t="s">
        <v>2466</v>
      </c>
      <c r="B1131" t="s">
        <v>6563</v>
      </c>
    </row>
    <row r="1132" spans="1:2">
      <c r="A1132" t="s">
        <v>2468</v>
      </c>
      <c r="B1132" t="s">
        <v>4025</v>
      </c>
    </row>
    <row r="1133" spans="1:2">
      <c r="A1133" t="s">
        <v>2470</v>
      </c>
      <c r="B1133" t="s">
        <v>6564</v>
      </c>
    </row>
    <row r="1134" spans="1:2">
      <c r="A1134" t="s">
        <v>2471</v>
      </c>
      <c r="B1134" t="s">
        <v>6565</v>
      </c>
    </row>
    <row r="1135" spans="1:2">
      <c r="A1135" t="s">
        <v>2473</v>
      </c>
      <c r="B1135" t="s">
        <v>6566</v>
      </c>
    </row>
    <row r="1136" spans="1:2">
      <c r="A1136" t="s">
        <v>2475</v>
      </c>
      <c r="B1136" t="s">
        <v>6567</v>
      </c>
    </row>
    <row r="1137" spans="1:2">
      <c r="A1137" t="s">
        <v>2477</v>
      </c>
      <c r="B1137" t="s">
        <v>6568</v>
      </c>
    </row>
    <row r="1138" spans="1:2">
      <c r="A1138" t="s">
        <v>2479</v>
      </c>
      <c r="B1138" t="s">
        <v>6570</v>
      </c>
    </row>
    <row r="1139" spans="1:2">
      <c r="A1139" t="s">
        <v>2481</v>
      </c>
      <c r="B1139" t="s">
        <v>6571</v>
      </c>
    </row>
    <row r="1140" spans="1:2">
      <c r="A1140" t="s">
        <v>2483</v>
      </c>
      <c r="B1140" t="s">
        <v>6572</v>
      </c>
    </row>
    <row r="1141" spans="1:2">
      <c r="A1141" t="s">
        <v>2486</v>
      </c>
      <c r="B1141" t="s">
        <v>6573</v>
      </c>
    </row>
    <row r="1142" spans="1:2">
      <c r="A1142" t="s">
        <v>2488</v>
      </c>
      <c r="B1142" t="s">
        <v>6574</v>
      </c>
    </row>
    <row r="1143" spans="1:2">
      <c r="A1143" t="s">
        <v>2490</v>
      </c>
      <c r="B1143" t="s">
        <v>6575</v>
      </c>
    </row>
    <row r="1144" spans="1:2">
      <c r="A1144" t="s">
        <v>2492</v>
      </c>
      <c r="B1144" t="s">
        <v>6576</v>
      </c>
    </row>
    <row r="1145" spans="1:2">
      <c r="A1145" t="s">
        <v>2494</v>
      </c>
      <c r="B1145" t="s">
        <v>6577</v>
      </c>
    </row>
    <row r="1146" spans="1:2">
      <c r="A1146" t="s">
        <v>2496</v>
      </c>
      <c r="B1146" t="s">
        <v>6578</v>
      </c>
    </row>
    <row r="1147" spans="1:2">
      <c r="A1147" t="s">
        <v>2498</v>
      </c>
      <c r="B1147" t="s">
        <v>6579</v>
      </c>
    </row>
    <row r="1148" spans="1:2">
      <c r="A1148" t="s">
        <v>2500</v>
      </c>
      <c r="B1148" t="s">
        <v>6580</v>
      </c>
    </row>
    <row r="1149" spans="1:2">
      <c r="A1149" t="s">
        <v>2502</v>
      </c>
      <c r="B1149" t="s">
        <v>6581</v>
      </c>
    </row>
    <row r="1150" spans="1:2">
      <c r="A1150" t="s">
        <v>2504</v>
      </c>
      <c r="B1150" t="s">
        <v>6582</v>
      </c>
    </row>
    <row r="1151" spans="1:2">
      <c r="A1151" t="s">
        <v>2506</v>
      </c>
      <c r="B1151" t="s">
        <v>3052</v>
      </c>
    </row>
    <row r="1152" spans="1:2">
      <c r="A1152" t="s">
        <v>2508</v>
      </c>
      <c r="B1152" t="s">
        <v>6583</v>
      </c>
    </row>
    <row r="1153" spans="1:2">
      <c r="A1153" t="s">
        <v>2510</v>
      </c>
      <c r="B1153" t="s">
        <v>6584</v>
      </c>
    </row>
    <row r="1154" spans="1:2">
      <c r="A1154" t="s">
        <v>2512</v>
      </c>
      <c r="B1154" t="s">
        <v>6585</v>
      </c>
    </row>
    <row r="1155" spans="1:2">
      <c r="A1155" t="s">
        <v>2516</v>
      </c>
      <c r="B1155" t="s">
        <v>6586</v>
      </c>
    </row>
    <row r="1156" spans="1:2">
      <c r="A1156" t="s">
        <v>2518</v>
      </c>
      <c r="B1156" t="s">
        <v>6587</v>
      </c>
    </row>
    <row r="1157" spans="1:2">
      <c r="A1157" t="s">
        <v>2520</v>
      </c>
      <c r="B1157" t="s">
        <v>6588</v>
      </c>
    </row>
    <row r="1158" spans="1:2">
      <c r="A1158" t="s">
        <v>2522</v>
      </c>
      <c r="B1158" t="s">
        <v>6589</v>
      </c>
    </row>
    <row r="1159" spans="1:2">
      <c r="A1159" t="s">
        <v>2524</v>
      </c>
      <c r="B1159" t="s">
        <v>6590</v>
      </c>
    </row>
    <row r="1160" spans="1:2">
      <c r="A1160" t="s">
        <v>2526</v>
      </c>
      <c r="B1160" t="s">
        <v>3626</v>
      </c>
    </row>
    <row r="1161" spans="1:2">
      <c r="A1161" t="s">
        <v>2528</v>
      </c>
      <c r="B1161" t="s">
        <v>2907</v>
      </c>
    </row>
    <row r="1162" spans="1:2">
      <c r="A1162" t="s">
        <v>2530</v>
      </c>
      <c r="B1162" t="s">
        <v>6591</v>
      </c>
    </row>
    <row r="1163" spans="1:2">
      <c r="A1163" t="s">
        <v>2533</v>
      </c>
      <c r="B1163" t="s">
        <v>6592</v>
      </c>
    </row>
    <row r="1164" spans="1:2">
      <c r="A1164" t="s">
        <v>2535</v>
      </c>
      <c r="B1164" t="s">
        <v>6593</v>
      </c>
    </row>
    <row r="1165" spans="1:2">
      <c r="A1165" t="s">
        <v>2538</v>
      </c>
      <c r="B1165" t="s">
        <v>6594</v>
      </c>
    </row>
    <row r="1166" spans="1:2">
      <c r="A1166" t="s">
        <v>2540</v>
      </c>
      <c r="B1166" t="s">
        <v>6595</v>
      </c>
    </row>
    <row r="1167" spans="1:2">
      <c r="A1167" t="s">
        <v>2542</v>
      </c>
      <c r="B1167" t="s">
        <v>2274</v>
      </c>
    </row>
    <row r="1168" spans="1:2">
      <c r="A1168" t="s">
        <v>2544</v>
      </c>
      <c r="B1168" t="s">
        <v>1465</v>
      </c>
    </row>
    <row r="1169" spans="1:2">
      <c r="A1169" t="s">
        <v>2546</v>
      </c>
      <c r="B1169" t="s">
        <v>1908</v>
      </c>
    </row>
    <row r="1170" spans="1:2">
      <c r="A1170" t="s">
        <v>2549</v>
      </c>
      <c r="B1170" t="s">
        <v>6597</v>
      </c>
    </row>
    <row r="1171" spans="1:2">
      <c r="A1171" t="s">
        <v>2551</v>
      </c>
      <c r="B1171" t="s">
        <v>6598</v>
      </c>
    </row>
    <row r="1172" spans="1:2">
      <c r="A1172" t="s">
        <v>2553</v>
      </c>
      <c r="B1172" t="s">
        <v>3588</v>
      </c>
    </row>
    <row r="1173" spans="1:2">
      <c r="A1173" t="s">
        <v>2555</v>
      </c>
      <c r="B1173" t="s">
        <v>6599</v>
      </c>
    </row>
    <row r="1174" spans="1:2">
      <c r="A1174" t="s">
        <v>2557</v>
      </c>
      <c r="B1174" t="s">
        <v>6600</v>
      </c>
    </row>
    <row r="1175" spans="1:2">
      <c r="A1175" t="s">
        <v>2559</v>
      </c>
      <c r="B1175" t="s">
        <v>6601</v>
      </c>
    </row>
    <row r="1176" spans="1:2">
      <c r="A1176" t="s">
        <v>2561</v>
      </c>
      <c r="B1176" t="s">
        <v>2951</v>
      </c>
    </row>
    <row r="1177" spans="1:2">
      <c r="A1177" t="s">
        <v>2563</v>
      </c>
      <c r="B1177" t="s">
        <v>6603</v>
      </c>
    </row>
    <row r="1178" spans="1:2">
      <c r="A1178" t="s">
        <v>2565</v>
      </c>
      <c r="B1178" t="s">
        <v>6604</v>
      </c>
    </row>
    <row r="1179" spans="1:2">
      <c r="A1179" t="s">
        <v>2567</v>
      </c>
      <c r="B1179" t="s">
        <v>1645</v>
      </c>
    </row>
    <row r="1180" spans="1:2">
      <c r="A1180" t="s">
        <v>2569</v>
      </c>
      <c r="B1180" t="s">
        <v>6605</v>
      </c>
    </row>
    <row r="1181" spans="1:2">
      <c r="A1181" t="s">
        <v>2571</v>
      </c>
      <c r="B1181" t="s">
        <v>3784</v>
      </c>
    </row>
    <row r="1182" spans="1:2">
      <c r="A1182" t="s">
        <v>2573</v>
      </c>
      <c r="B1182" t="s">
        <v>3821</v>
      </c>
    </row>
    <row r="1183" spans="1:2">
      <c r="A1183" t="s">
        <v>2574</v>
      </c>
      <c r="B1183" t="s">
        <v>3861</v>
      </c>
    </row>
    <row r="1184" spans="1:2">
      <c r="A1184" t="s">
        <v>2576</v>
      </c>
      <c r="B1184" t="s">
        <v>2111</v>
      </c>
    </row>
    <row r="1185" spans="1:2">
      <c r="A1185" t="s">
        <v>2578</v>
      </c>
      <c r="B1185" t="s">
        <v>6606</v>
      </c>
    </row>
    <row r="1186" spans="1:2">
      <c r="A1186" t="s">
        <v>2580</v>
      </c>
      <c r="B1186" t="s">
        <v>6607</v>
      </c>
    </row>
    <row r="1187" spans="1:2">
      <c r="A1187" t="s">
        <v>2582</v>
      </c>
      <c r="B1187" t="s">
        <v>6608</v>
      </c>
    </row>
    <row r="1188" spans="1:2">
      <c r="A1188" t="s">
        <v>2584</v>
      </c>
      <c r="B1188" t="s">
        <v>6609</v>
      </c>
    </row>
    <row r="1189" spans="1:2">
      <c r="A1189" t="s">
        <v>2586</v>
      </c>
      <c r="B1189" t="s">
        <v>6610</v>
      </c>
    </row>
    <row r="1190" spans="1:2">
      <c r="A1190" t="s">
        <v>2588</v>
      </c>
      <c r="B1190" t="s">
        <v>1926</v>
      </c>
    </row>
    <row r="1191" spans="1:2">
      <c r="A1191" t="s">
        <v>2590</v>
      </c>
      <c r="B1191" t="s">
        <v>6611</v>
      </c>
    </row>
    <row r="1192" spans="1:2">
      <c r="A1192" t="s">
        <v>2592</v>
      </c>
      <c r="B1192" t="s">
        <v>1751</v>
      </c>
    </row>
    <row r="1193" spans="1:2">
      <c r="A1193" t="s">
        <v>2594</v>
      </c>
      <c r="B1193" t="s">
        <v>6612</v>
      </c>
    </row>
    <row r="1194" spans="1:2">
      <c r="A1194" t="s">
        <v>2596</v>
      </c>
      <c r="B1194" t="s">
        <v>6613</v>
      </c>
    </row>
    <row r="1195" spans="1:2">
      <c r="A1195" t="s">
        <v>2598</v>
      </c>
      <c r="B1195" t="s">
        <v>6614</v>
      </c>
    </row>
    <row r="1196" spans="1:2">
      <c r="A1196" t="s">
        <v>2599</v>
      </c>
      <c r="B1196" t="s">
        <v>1780</v>
      </c>
    </row>
    <row r="1197" spans="1:2">
      <c r="A1197" t="s">
        <v>2601</v>
      </c>
      <c r="B1197" t="s">
        <v>1786</v>
      </c>
    </row>
    <row r="1198" spans="1:2">
      <c r="A1198" t="s">
        <v>2604</v>
      </c>
      <c r="B1198" t="s">
        <v>6615</v>
      </c>
    </row>
    <row r="1199" spans="1:2">
      <c r="A1199" t="s">
        <v>2606</v>
      </c>
      <c r="B1199" t="s">
        <v>6616</v>
      </c>
    </row>
    <row r="1200" spans="1:2">
      <c r="A1200" t="s">
        <v>2608</v>
      </c>
      <c r="B1200" t="s">
        <v>3196</v>
      </c>
    </row>
    <row r="1201" spans="1:2">
      <c r="A1201" t="s">
        <v>2610</v>
      </c>
      <c r="B1201" t="s">
        <v>6617</v>
      </c>
    </row>
    <row r="1202" spans="1:2">
      <c r="A1202" t="s">
        <v>2612</v>
      </c>
      <c r="B1202" t="s">
        <v>2599</v>
      </c>
    </row>
    <row r="1203" spans="1:2">
      <c r="A1203" t="s">
        <v>2615</v>
      </c>
      <c r="B1203" t="s">
        <v>6618</v>
      </c>
    </row>
    <row r="1204" spans="1:2">
      <c r="A1204" t="s">
        <v>2617</v>
      </c>
      <c r="B1204" t="s">
        <v>6619</v>
      </c>
    </row>
    <row r="1205" spans="1:2">
      <c r="A1205" t="s">
        <v>2619</v>
      </c>
      <c r="B1205" t="s">
        <v>3229</v>
      </c>
    </row>
    <row r="1206" spans="1:2">
      <c r="A1206" t="s">
        <v>2622</v>
      </c>
      <c r="B1206" t="s">
        <v>4054</v>
      </c>
    </row>
    <row r="1207" spans="1:2">
      <c r="A1207" t="s">
        <v>2625</v>
      </c>
      <c r="B1207" t="s">
        <v>3660</v>
      </c>
    </row>
    <row r="1208" spans="1:2">
      <c r="A1208" t="s">
        <v>2627</v>
      </c>
      <c r="B1208" t="s">
        <v>6621</v>
      </c>
    </row>
    <row r="1209" spans="1:2">
      <c r="A1209" t="s">
        <v>2629</v>
      </c>
      <c r="B1209" t="s">
        <v>1804</v>
      </c>
    </row>
    <row r="1210" spans="1:2">
      <c r="A1210" t="s">
        <v>2631</v>
      </c>
      <c r="B1210" t="s">
        <v>3271</v>
      </c>
    </row>
    <row r="1211" spans="1:2">
      <c r="A1211" t="s">
        <v>2633</v>
      </c>
      <c r="B1211" t="s">
        <v>2639</v>
      </c>
    </row>
    <row r="1212" spans="1:2">
      <c r="A1212" t="s">
        <v>2635</v>
      </c>
      <c r="B1212" t="s">
        <v>3298</v>
      </c>
    </row>
    <row r="1213" spans="1:2">
      <c r="A1213" t="s">
        <v>2637</v>
      </c>
      <c r="B1213" t="s">
        <v>6622</v>
      </c>
    </row>
    <row r="1214" spans="1:2">
      <c r="A1214" t="s">
        <v>2639</v>
      </c>
      <c r="B1214" t="s">
        <v>6623</v>
      </c>
    </row>
    <row r="1215" spans="1:2">
      <c r="A1215" t="s">
        <v>2641</v>
      </c>
      <c r="B1215" t="s">
        <v>6624</v>
      </c>
    </row>
    <row r="1216" spans="1:2">
      <c r="A1216" t="s">
        <v>2643</v>
      </c>
      <c r="B1216" t="s">
        <v>4294</v>
      </c>
    </row>
    <row r="1217" spans="1:2">
      <c r="A1217" t="s">
        <v>2645</v>
      </c>
      <c r="B1217" t="s">
        <v>6625</v>
      </c>
    </row>
    <row r="1218" spans="1:2">
      <c r="A1218" t="s">
        <v>2647</v>
      </c>
      <c r="B1218" t="s">
        <v>6626</v>
      </c>
    </row>
    <row r="1219" spans="1:2">
      <c r="A1219" t="s">
        <v>2649</v>
      </c>
      <c r="B1219" t="s">
        <v>6627</v>
      </c>
    </row>
    <row r="1220" spans="1:2">
      <c r="A1220" t="s">
        <v>2651</v>
      </c>
      <c r="B1220" t="s">
        <v>6628</v>
      </c>
    </row>
    <row r="1221" spans="1:2">
      <c r="A1221" t="s">
        <v>2653</v>
      </c>
      <c r="B1221" t="s">
        <v>6629</v>
      </c>
    </row>
    <row r="1222" spans="1:2">
      <c r="A1222" t="s">
        <v>2655</v>
      </c>
      <c r="B1222" t="s">
        <v>6630</v>
      </c>
    </row>
    <row r="1223" spans="1:2">
      <c r="A1223" t="s">
        <v>2658</v>
      </c>
      <c r="B1223" t="s">
        <v>2266</v>
      </c>
    </row>
    <row r="1224" spans="1:2">
      <c r="A1224" t="s">
        <v>2660</v>
      </c>
      <c r="B1224" t="s">
        <v>3394</v>
      </c>
    </row>
    <row r="1225" spans="1:2">
      <c r="A1225" t="s">
        <v>2663</v>
      </c>
      <c r="B1225" t="s">
        <v>6631</v>
      </c>
    </row>
    <row r="1226" spans="1:2">
      <c r="A1226" t="s">
        <v>2665</v>
      </c>
      <c r="B1226" t="s">
        <v>4400</v>
      </c>
    </row>
    <row r="1227" spans="1:2">
      <c r="A1227" t="s">
        <v>2667</v>
      </c>
      <c r="B1227" t="s">
        <v>6632</v>
      </c>
    </row>
    <row r="1228" spans="1:2">
      <c r="A1228" t="s">
        <v>2669</v>
      </c>
      <c r="B1228" t="s">
        <v>6633</v>
      </c>
    </row>
    <row r="1229" spans="1:2">
      <c r="A1229" t="s">
        <v>2671</v>
      </c>
      <c r="B1229" t="s">
        <v>6634</v>
      </c>
    </row>
    <row r="1230" spans="1:2">
      <c r="A1230" t="s">
        <v>2674</v>
      </c>
      <c r="B1230" t="s">
        <v>6635</v>
      </c>
    </row>
    <row r="1231" spans="1:2">
      <c r="A1231" t="s">
        <v>2676</v>
      </c>
      <c r="B1231" t="s">
        <v>6636</v>
      </c>
    </row>
    <row r="1232" spans="1:2">
      <c r="A1232" t="s">
        <v>2678</v>
      </c>
      <c r="B1232" t="s">
        <v>6639</v>
      </c>
    </row>
    <row r="1233" spans="1:2">
      <c r="A1233" t="s">
        <v>2681</v>
      </c>
      <c r="B1233" t="s">
        <v>6640</v>
      </c>
    </row>
    <row r="1234" spans="1:2">
      <c r="A1234" t="s">
        <v>2683</v>
      </c>
      <c r="B1234" t="s">
        <v>6641</v>
      </c>
    </row>
    <row r="1235" spans="1:2">
      <c r="A1235" t="s">
        <v>2685</v>
      </c>
      <c r="B1235" t="s">
        <v>2782</v>
      </c>
    </row>
    <row r="1236" spans="1:2">
      <c r="A1236" t="s">
        <v>2687</v>
      </c>
      <c r="B1236" t="s">
        <v>6642</v>
      </c>
    </row>
    <row r="1237" spans="1:2">
      <c r="A1237" t="s">
        <v>2689</v>
      </c>
      <c r="B1237" t="s">
        <v>2324</v>
      </c>
    </row>
    <row r="1238" spans="1:2">
      <c r="A1238" t="s">
        <v>2691</v>
      </c>
      <c r="B1238" t="s">
        <v>6643</v>
      </c>
    </row>
    <row r="1239" spans="1:2">
      <c r="A1239" t="s">
        <v>2693</v>
      </c>
      <c r="B1239" t="s">
        <v>6644</v>
      </c>
    </row>
    <row r="1240" spans="1:2">
      <c r="A1240" t="s">
        <v>2695</v>
      </c>
      <c r="B1240" t="s">
        <v>3499</v>
      </c>
    </row>
    <row r="1241" spans="1:2">
      <c r="A1241" t="s">
        <v>2697</v>
      </c>
      <c r="B1241" t="s">
        <v>3516</v>
      </c>
    </row>
    <row r="1242" spans="1:2">
      <c r="A1242" t="s">
        <v>2699</v>
      </c>
      <c r="B1242" t="s">
        <v>6645</v>
      </c>
    </row>
    <row r="1243" spans="1:2">
      <c r="A1243" t="s">
        <v>2701</v>
      </c>
      <c r="B1243" t="s">
        <v>6646</v>
      </c>
    </row>
    <row r="1244" spans="1:2">
      <c r="A1244" t="s">
        <v>2703</v>
      </c>
      <c r="B1244" t="s">
        <v>6647</v>
      </c>
    </row>
    <row r="1245" spans="1:2">
      <c r="A1245" t="s">
        <v>2705</v>
      </c>
      <c r="B1245" t="s">
        <v>6648</v>
      </c>
    </row>
    <row r="1246" spans="1:2">
      <c r="A1246" t="s">
        <v>2707</v>
      </c>
      <c r="B1246" t="s">
        <v>6649</v>
      </c>
    </row>
    <row r="1247" spans="1:2">
      <c r="A1247" t="s">
        <v>2709</v>
      </c>
      <c r="B1247" t="s">
        <v>6650</v>
      </c>
    </row>
    <row r="1248" spans="1:2">
      <c r="A1248" t="s">
        <v>2711</v>
      </c>
      <c r="B1248" t="s">
        <v>6651</v>
      </c>
    </row>
    <row r="1249" spans="1:2">
      <c r="A1249" t="s">
        <v>2713</v>
      </c>
      <c r="B1249" t="s">
        <v>2854</v>
      </c>
    </row>
    <row r="1250" spans="1:2">
      <c r="A1250" t="s">
        <v>2716</v>
      </c>
      <c r="B1250" t="s">
        <v>2856</v>
      </c>
    </row>
    <row r="1251" spans="1:2">
      <c r="A1251" t="s">
        <v>2718</v>
      </c>
      <c r="B1251" t="s">
        <v>1971</v>
      </c>
    </row>
    <row r="1252" spans="1:2">
      <c r="A1252" t="s">
        <v>2720</v>
      </c>
      <c r="B1252" t="s">
        <v>6652</v>
      </c>
    </row>
    <row r="1253" spans="1:2">
      <c r="A1253" t="s">
        <v>2722</v>
      </c>
      <c r="B1253" t="s">
        <v>6653</v>
      </c>
    </row>
    <row r="1254" spans="1:2">
      <c r="A1254" t="s">
        <v>2725</v>
      </c>
      <c r="B1254" t="s">
        <v>6654</v>
      </c>
    </row>
    <row r="1255" spans="1:2">
      <c r="A1255" t="s">
        <v>2727</v>
      </c>
      <c r="B1255" t="s">
        <v>6655</v>
      </c>
    </row>
    <row r="1256" spans="1:2">
      <c r="A1256" t="s">
        <v>2729</v>
      </c>
      <c r="B1256" t="s">
        <v>6656</v>
      </c>
    </row>
    <row r="1257" spans="1:2">
      <c r="A1257" t="s">
        <v>2731</v>
      </c>
      <c r="B1257" t="s">
        <v>2390</v>
      </c>
    </row>
    <row r="1258" spans="1:2">
      <c r="A1258" t="s">
        <v>2733</v>
      </c>
      <c r="B1258" t="s">
        <v>6657</v>
      </c>
    </row>
    <row r="1259" spans="1:2">
      <c r="A1259" t="s">
        <v>2735</v>
      </c>
      <c r="B1259" t="s">
        <v>2887</v>
      </c>
    </row>
    <row r="1260" spans="1:2">
      <c r="A1260" t="s">
        <v>2737</v>
      </c>
      <c r="B1260" t="s">
        <v>6658</v>
      </c>
    </row>
    <row r="1261" spans="1:2">
      <c r="A1261" t="s">
        <v>2740</v>
      </c>
      <c r="B1261" t="s">
        <v>3630</v>
      </c>
    </row>
    <row r="1262" spans="1:2">
      <c r="A1262" t="s">
        <v>2742</v>
      </c>
      <c r="B1262" t="s">
        <v>6659</v>
      </c>
    </row>
    <row r="1263" spans="1:2">
      <c r="A1263" t="s">
        <v>2744</v>
      </c>
      <c r="B1263" t="s">
        <v>3675</v>
      </c>
    </row>
    <row r="1264" spans="1:2">
      <c r="A1264" t="s">
        <v>2746</v>
      </c>
      <c r="B1264" t="s">
        <v>2047</v>
      </c>
    </row>
    <row r="1265" spans="1:2">
      <c r="A1265" t="s">
        <v>2748</v>
      </c>
      <c r="B1265" t="s">
        <v>3687</v>
      </c>
    </row>
    <row r="1266" spans="1:2">
      <c r="A1266" t="s">
        <v>2750</v>
      </c>
      <c r="B1266" t="s">
        <v>6660</v>
      </c>
    </row>
    <row r="1267" spans="1:2">
      <c r="A1267" t="s">
        <v>2752</v>
      </c>
      <c r="B1267" t="s">
        <v>6661</v>
      </c>
    </row>
    <row r="1268" spans="1:2">
      <c r="A1268" t="s">
        <v>2754</v>
      </c>
      <c r="B1268" t="s">
        <v>2949</v>
      </c>
    </row>
    <row r="1269" spans="1:2">
      <c r="A1269" t="s">
        <v>2756</v>
      </c>
      <c r="B1269" t="s">
        <v>3730</v>
      </c>
    </row>
    <row r="1270" spans="1:2">
      <c r="A1270" t="s">
        <v>2758</v>
      </c>
      <c r="B1270" t="s">
        <v>2967</v>
      </c>
    </row>
    <row r="1271" spans="1:2">
      <c r="A1271" t="s">
        <v>2760</v>
      </c>
      <c r="B1271" t="s">
        <v>6662</v>
      </c>
    </row>
    <row r="1272" spans="1:2">
      <c r="A1272" t="s">
        <v>2762</v>
      </c>
      <c r="B1272" t="s">
        <v>3758</v>
      </c>
    </row>
    <row r="1273" spans="1:2">
      <c r="A1273" t="s">
        <v>2764</v>
      </c>
      <c r="B1273" t="s">
        <v>2976</v>
      </c>
    </row>
    <row r="1274" spans="1:2">
      <c r="A1274" t="s">
        <v>2766</v>
      </c>
      <c r="B1274" t="s">
        <v>3748</v>
      </c>
    </row>
    <row r="1275" spans="1:2">
      <c r="A1275" t="s">
        <v>2768</v>
      </c>
      <c r="B1275" t="s">
        <v>6663</v>
      </c>
    </row>
    <row r="1276" spans="1:2">
      <c r="A1276" t="s">
        <v>2770</v>
      </c>
      <c r="B1276" t="s">
        <v>1653</v>
      </c>
    </row>
    <row r="1277" spans="1:2">
      <c r="A1277" t="s">
        <v>2772</v>
      </c>
      <c r="B1277" t="s">
        <v>2082</v>
      </c>
    </row>
    <row r="1278" spans="1:2">
      <c r="A1278" t="s">
        <v>2774</v>
      </c>
      <c r="B1278" t="s">
        <v>6664</v>
      </c>
    </row>
    <row r="1279" spans="1:2">
      <c r="A1279" t="s">
        <v>2776</v>
      </c>
      <c r="B1279" t="s">
        <v>6665</v>
      </c>
    </row>
    <row r="1280" spans="1:2">
      <c r="A1280" t="s">
        <v>2778</v>
      </c>
      <c r="B1280" t="s">
        <v>6666</v>
      </c>
    </row>
    <row r="1281" spans="1:2">
      <c r="A1281" t="s">
        <v>2780</v>
      </c>
      <c r="B1281" t="s">
        <v>2492</v>
      </c>
    </row>
    <row r="1282" spans="1:2">
      <c r="A1282" t="s">
        <v>2782</v>
      </c>
      <c r="B1282" t="s">
        <v>6667</v>
      </c>
    </row>
    <row r="1283" spans="1:2">
      <c r="A1283" t="s">
        <v>2784</v>
      </c>
      <c r="B1283" t="s">
        <v>6668</v>
      </c>
    </row>
    <row r="1284" spans="1:2">
      <c r="A1284" t="s">
        <v>2786</v>
      </c>
      <c r="B1284" t="s">
        <v>2104</v>
      </c>
    </row>
    <row r="1285" spans="1:2">
      <c r="A1285" t="s">
        <v>2788</v>
      </c>
      <c r="B1285" t="s">
        <v>6669</v>
      </c>
    </row>
    <row r="1286" spans="1:2">
      <c r="A1286" t="s">
        <v>2790</v>
      </c>
      <c r="B1286" t="s">
        <v>3036</v>
      </c>
    </row>
    <row r="1287" spans="1:2">
      <c r="A1287" t="s">
        <v>2792</v>
      </c>
      <c r="B1287" t="s">
        <v>6670</v>
      </c>
    </row>
    <row r="1288" spans="1:2">
      <c r="A1288" t="s">
        <v>2794</v>
      </c>
      <c r="B1288" t="s">
        <v>6671</v>
      </c>
    </row>
    <row r="1289" spans="1:2">
      <c r="A1289" t="s">
        <v>2796</v>
      </c>
      <c r="B1289" t="s">
        <v>6672</v>
      </c>
    </row>
    <row r="1290" spans="1:2">
      <c r="A1290" t="s">
        <v>2798</v>
      </c>
      <c r="B1290" t="s">
        <v>3895</v>
      </c>
    </row>
    <row r="1291" spans="1:2">
      <c r="A1291" t="s">
        <v>2800</v>
      </c>
      <c r="B1291" t="s">
        <v>6673</v>
      </c>
    </row>
    <row r="1292" spans="1:2">
      <c r="A1292" t="s">
        <v>2802</v>
      </c>
      <c r="B1292" t="s">
        <v>6674</v>
      </c>
    </row>
    <row r="1293" spans="1:2">
      <c r="A1293" t="s">
        <v>2804</v>
      </c>
      <c r="B1293" t="s">
        <v>6675</v>
      </c>
    </row>
    <row r="1294" spans="1:2">
      <c r="A1294" t="s">
        <v>2806</v>
      </c>
      <c r="B1294" t="s">
        <v>6676</v>
      </c>
    </row>
    <row r="1295" spans="1:2">
      <c r="A1295" t="s">
        <v>2808</v>
      </c>
      <c r="B1295" t="s">
        <v>6677</v>
      </c>
    </row>
    <row r="1296" spans="1:2">
      <c r="A1296" t="s">
        <v>2810</v>
      </c>
      <c r="B1296" t="s">
        <v>3068</v>
      </c>
    </row>
    <row r="1297" spans="1:2">
      <c r="A1297" t="s">
        <v>2812</v>
      </c>
      <c r="B1297" t="s">
        <v>6678</v>
      </c>
    </row>
    <row r="1298" spans="1:2">
      <c r="A1298" t="s">
        <v>2814</v>
      </c>
      <c r="B1298" t="s">
        <v>3934</v>
      </c>
    </row>
    <row r="1299" spans="1:2">
      <c r="A1299" t="s">
        <v>2816</v>
      </c>
      <c r="B1299" t="s">
        <v>6679</v>
      </c>
    </row>
    <row r="1300" spans="1:2">
      <c r="A1300" t="s">
        <v>2818</v>
      </c>
      <c r="B1300" t="s">
        <v>3083</v>
      </c>
    </row>
    <row r="1301" spans="1:2">
      <c r="A1301" t="s">
        <v>2820</v>
      </c>
      <c r="B1301" t="s">
        <v>6680</v>
      </c>
    </row>
    <row r="1302" spans="1:2">
      <c r="A1302" t="s">
        <v>2822</v>
      </c>
      <c r="B1302" t="s">
        <v>6681</v>
      </c>
    </row>
    <row r="1303" spans="1:2">
      <c r="A1303" t="s">
        <v>2824</v>
      </c>
      <c r="B1303" t="s">
        <v>2555</v>
      </c>
    </row>
    <row r="1304" spans="1:2">
      <c r="A1304" t="s">
        <v>2826</v>
      </c>
      <c r="B1304" t="s">
        <v>6682</v>
      </c>
    </row>
    <row r="1305" spans="1:2">
      <c r="A1305" t="s">
        <v>2828</v>
      </c>
      <c r="B1305" t="s">
        <v>6683</v>
      </c>
    </row>
    <row r="1306" spans="1:2">
      <c r="A1306" t="s">
        <v>2830</v>
      </c>
      <c r="B1306" t="s">
        <v>6684</v>
      </c>
    </row>
    <row r="1307" spans="1:2">
      <c r="A1307" t="s">
        <v>2831</v>
      </c>
      <c r="B1307" t="s">
        <v>3120</v>
      </c>
    </row>
    <row r="1308" spans="1:2">
      <c r="A1308" t="s">
        <v>2833</v>
      </c>
      <c r="B1308" t="s">
        <v>6685</v>
      </c>
    </row>
    <row r="1309" spans="1:2">
      <c r="A1309" t="s">
        <v>2835</v>
      </c>
      <c r="B1309" t="s">
        <v>3126</v>
      </c>
    </row>
    <row r="1310" spans="1:2">
      <c r="A1310" t="s">
        <v>2838</v>
      </c>
      <c r="B1310" t="s">
        <v>6687</v>
      </c>
    </row>
    <row r="1311" spans="1:2">
      <c r="A1311" t="s">
        <v>2840</v>
      </c>
      <c r="B1311" t="s">
        <v>6688</v>
      </c>
    </row>
    <row r="1312" spans="1:2">
      <c r="A1312" t="s">
        <v>2842</v>
      </c>
      <c r="B1312" t="s">
        <v>2816</v>
      </c>
    </row>
    <row r="1313" spans="1:2">
      <c r="A1313" t="s">
        <v>2844</v>
      </c>
      <c r="B1313" t="s">
        <v>6689</v>
      </c>
    </row>
    <row r="1314" spans="1:2">
      <c r="A1314" t="s">
        <v>2846</v>
      </c>
      <c r="B1314" t="s">
        <v>6690</v>
      </c>
    </row>
    <row r="1315" spans="1:2">
      <c r="A1315" t="s">
        <v>2848</v>
      </c>
      <c r="B1315" t="s">
        <v>6691</v>
      </c>
    </row>
    <row r="1316" spans="1:2">
      <c r="A1316" t="s">
        <v>2850</v>
      </c>
      <c r="B1316" t="s">
        <v>5438</v>
      </c>
    </row>
    <row r="1317" spans="1:2">
      <c r="A1317" t="s">
        <v>2852</v>
      </c>
      <c r="B1317" t="s">
        <v>6692</v>
      </c>
    </row>
    <row r="1318" spans="1:2">
      <c r="A1318" t="s">
        <v>2854</v>
      </c>
      <c r="B1318" t="s">
        <v>3166</v>
      </c>
    </row>
    <row r="1319" spans="1:2">
      <c r="A1319" t="s">
        <v>2856</v>
      </c>
      <c r="B1319" t="s">
        <v>5469</v>
      </c>
    </row>
    <row r="1320" spans="1:2">
      <c r="A1320" t="s">
        <v>2858</v>
      </c>
      <c r="B1320" t="s">
        <v>6693</v>
      </c>
    </row>
    <row r="1321" spans="1:2">
      <c r="A1321" t="s">
        <v>2861</v>
      </c>
      <c r="B1321" t="s">
        <v>6694</v>
      </c>
    </row>
    <row r="1322" spans="1:2">
      <c r="A1322" t="s">
        <v>2863</v>
      </c>
      <c r="B1322" t="s">
        <v>6695</v>
      </c>
    </row>
    <row r="1323" spans="1:2">
      <c r="A1323" t="s">
        <v>2864</v>
      </c>
      <c r="B1323" t="s">
        <v>6696</v>
      </c>
    </row>
    <row r="1324" spans="1:2">
      <c r="A1324" t="s">
        <v>2866</v>
      </c>
      <c r="B1324" t="s">
        <v>6697</v>
      </c>
    </row>
    <row r="1325" spans="1:2">
      <c r="A1325" t="s">
        <v>2868</v>
      </c>
      <c r="B1325" t="s">
        <v>6698</v>
      </c>
    </row>
    <row r="1326" spans="1:2">
      <c r="A1326" t="s">
        <v>2870</v>
      </c>
      <c r="B1326" t="s">
        <v>6699</v>
      </c>
    </row>
    <row r="1327" spans="1:2">
      <c r="A1327" t="s">
        <v>2873</v>
      </c>
      <c r="B1327" t="s">
        <v>4342</v>
      </c>
    </row>
    <row r="1328" spans="1:2">
      <c r="A1328" t="s">
        <v>2875</v>
      </c>
      <c r="B1328" t="s">
        <v>2699</v>
      </c>
    </row>
    <row r="1329" spans="1:2">
      <c r="A1329" t="s">
        <v>2877</v>
      </c>
      <c r="B1329" t="s">
        <v>6700</v>
      </c>
    </row>
    <row r="1330" spans="1:2">
      <c r="A1330" t="s">
        <v>2879</v>
      </c>
      <c r="B1330" t="s">
        <v>6701</v>
      </c>
    </row>
    <row r="1331" spans="1:2">
      <c r="A1331" t="s">
        <v>2881</v>
      </c>
      <c r="B1331" t="s">
        <v>6702</v>
      </c>
    </row>
    <row r="1332" spans="1:2">
      <c r="A1332" t="s">
        <v>2883</v>
      </c>
      <c r="B1332" t="s">
        <v>6703</v>
      </c>
    </row>
    <row r="1333" spans="1:2">
      <c r="A1333" t="s">
        <v>2885</v>
      </c>
      <c r="B1333" t="s">
        <v>6704</v>
      </c>
    </row>
    <row r="1334" spans="1:2">
      <c r="A1334" t="s">
        <v>2887</v>
      </c>
      <c r="B1334" t="s">
        <v>6705</v>
      </c>
    </row>
    <row r="1335" spans="1:2">
      <c r="A1335" t="s">
        <v>2889</v>
      </c>
      <c r="B1335" t="s">
        <v>6706</v>
      </c>
    </row>
    <row r="1336" spans="1:2">
      <c r="A1336" t="s">
        <v>2891</v>
      </c>
      <c r="B1336" t="s">
        <v>6707</v>
      </c>
    </row>
    <row r="1337" spans="1:2">
      <c r="A1337" t="s">
        <v>2893</v>
      </c>
      <c r="B1337" t="s">
        <v>6708</v>
      </c>
    </row>
    <row r="1338" spans="1:2">
      <c r="A1338" t="s">
        <v>2895</v>
      </c>
      <c r="B1338" t="s">
        <v>6711</v>
      </c>
    </row>
    <row r="1339" spans="1:2">
      <c r="A1339" t="s">
        <v>2897</v>
      </c>
      <c r="B1339" t="s">
        <v>6712</v>
      </c>
    </row>
    <row r="1340" spans="1:2">
      <c r="A1340" t="s">
        <v>2899</v>
      </c>
      <c r="B1340" t="s">
        <v>6713</v>
      </c>
    </row>
    <row r="1341" spans="1:2">
      <c r="A1341" t="s">
        <v>2901</v>
      </c>
      <c r="B1341" t="s">
        <v>2284</v>
      </c>
    </row>
    <row r="1342" spans="1:2">
      <c r="A1342" t="s">
        <v>2903</v>
      </c>
      <c r="B1342" t="s">
        <v>6714</v>
      </c>
    </row>
    <row r="1343" spans="1:2">
      <c r="A1343" t="s">
        <v>2905</v>
      </c>
      <c r="B1343" t="s">
        <v>6715</v>
      </c>
    </row>
    <row r="1344" spans="1:2">
      <c r="A1344" t="s">
        <v>2907</v>
      </c>
      <c r="B1344" t="s">
        <v>6716</v>
      </c>
    </row>
    <row r="1345" spans="1:2">
      <c r="A1345" t="s">
        <v>2909</v>
      </c>
      <c r="B1345" t="s">
        <v>6718</v>
      </c>
    </row>
    <row r="1346" spans="1:2">
      <c r="A1346" t="s">
        <v>2911</v>
      </c>
      <c r="B1346" t="s">
        <v>6719</v>
      </c>
    </row>
    <row r="1347" spans="1:2">
      <c r="A1347" t="s">
        <v>2913</v>
      </c>
      <c r="B1347" t="s">
        <v>6720</v>
      </c>
    </row>
    <row r="1348" spans="1:2">
      <c r="A1348" t="s">
        <v>2915</v>
      </c>
      <c r="B1348" t="s">
        <v>6721</v>
      </c>
    </row>
    <row r="1349" spans="1:2">
      <c r="A1349" t="s">
        <v>2917</v>
      </c>
      <c r="B1349" t="s">
        <v>6722</v>
      </c>
    </row>
    <row r="1350" spans="1:2">
      <c r="A1350" t="s">
        <v>2920</v>
      </c>
      <c r="B1350" t="s">
        <v>3725</v>
      </c>
    </row>
    <row r="1351" spans="1:2">
      <c r="A1351" t="s">
        <v>2921</v>
      </c>
      <c r="B1351" t="s">
        <v>6723</v>
      </c>
    </row>
    <row r="1352" spans="1:2">
      <c r="A1352" t="s">
        <v>2922</v>
      </c>
      <c r="B1352" t="s">
        <v>5239</v>
      </c>
    </row>
    <row r="1353" spans="1:2">
      <c r="A1353" t="s">
        <v>2924</v>
      </c>
      <c r="B1353" t="s">
        <v>6724</v>
      </c>
    </row>
    <row r="1354" spans="1:2">
      <c r="A1354" t="s">
        <v>2925</v>
      </c>
      <c r="B1354" t="s">
        <v>6725</v>
      </c>
    </row>
    <row r="1355" spans="1:2">
      <c r="A1355" t="s">
        <v>2927</v>
      </c>
      <c r="B1355" t="s">
        <v>6726</v>
      </c>
    </row>
    <row r="1356" spans="1:2">
      <c r="A1356" t="s">
        <v>2929</v>
      </c>
      <c r="B1356" t="s">
        <v>2758</v>
      </c>
    </row>
    <row r="1357" spans="1:2">
      <c r="A1357" t="s">
        <v>2931</v>
      </c>
      <c r="B1357" t="s">
        <v>6727</v>
      </c>
    </row>
    <row r="1358" spans="1:2">
      <c r="A1358" t="s">
        <v>2933</v>
      </c>
      <c r="B1358" t="s">
        <v>6728</v>
      </c>
    </row>
    <row r="1359" spans="1:2">
      <c r="A1359" t="s">
        <v>2935</v>
      </c>
      <c r="B1359" t="s">
        <v>6729</v>
      </c>
    </row>
    <row r="1360" spans="1:2">
      <c r="A1360" t="s">
        <v>2937</v>
      </c>
      <c r="B1360" t="s">
        <v>6730</v>
      </c>
    </row>
    <row r="1361" spans="1:2">
      <c r="A1361" t="s">
        <v>2939</v>
      </c>
      <c r="B1361" t="s">
        <v>6731</v>
      </c>
    </row>
    <row r="1362" spans="1:2">
      <c r="A1362" t="s">
        <v>2941</v>
      </c>
      <c r="B1362" t="s">
        <v>6732</v>
      </c>
    </row>
    <row r="1363" spans="1:2">
      <c r="A1363" t="s">
        <v>2943</v>
      </c>
      <c r="B1363" t="s">
        <v>6733</v>
      </c>
    </row>
    <row r="1364" spans="1:2">
      <c r="A1364" t="s">
        <v>2945</v>
      </c>
      <c r="B1364" t="s">
        <v>6734</v>
      </c>
    </row>
    <row r="1365" spans="1:2">
      <c r="A1365" t="s">
        <v>2947</v>
      </c>
      <c r="B1365" t="s">
        <v>6735</v>
      </c>
    </row>
    <row r="1366" spans="1:2">
      <c r="A1366" t="s">
        <v>2949</v>
      </c>
      <c r="B1366" t="s">
        <v>4983</v>
      </c>
    </row>
    <row r="1367" spans="1:2">
      <c r="A1367" t="s">
        <v>2951</v>
      </c>
      <c r="B1367" t="s">
        <v>3831</v>
      </c>
    </row>
    <row r="1368" spans="1:2">
      <c r="A1368" t="s">
        <v>2954</v>
      </c>
      <c r="B1368" t="s">
        <v>3972</v>
      </c>
    </row>
    <row r="1369" spans="1:2">
      <c r="A1369" t="s">
        <v>2957</v>
      </c>
      <c r="B1369" t="s">
        <v>6736</v>
      </c>
    </row>
    <row r="1370" spans="1:2">
      <c r="A1370" t="s">
        <v>2959</v>
      </c>
      <c r="B1370" t="s">
        <v>6737</v>
      </c>
    </row>
    <row r="1371" spans="1:2">
      <c r="A1371" t="s">
        <v>2961</v>
      </c>
      <c r="B1371" t="s">
        <v>6738</v>
      </c>
    </row>
    <row r="1372" spans="1:2">
      <c r="A1372" t="s">
        <v>2963</v>
      </c>
      <c r="B1372" t="s">
        <v>6739</v>
      </c>
    </row>
    <row r="1373" spans="1:2">
      <c r="A1373" t="s">
        <v>2965</v>
      </c>
      <c r="B1373" t="s">
        <v>6740</v>
      </c>
    </row>
    <row r="1374" spans="1:2">
      <c r="A1374" t="s">
        <v>2967</v>
      </c>
      <c r="B1374" t="s">
        <v>6741</v>
      </c>
    </row>
    <row r="1375" spans="1:2">
      <c r="A1375" t="s">
        <v>2970</v>
      </c>
      <c r="B1375" t="s">
        <v>6743</v>
      </c>
    </row>
    <row r="1376" spans="1:2">
      <c r="A1376" t="s">
        <v>2972</v>
      </c>
      <c r="B1376" t="s">
        <v>6744</v>
      </c>
    </row>
    <row r="1377" spans="1:2">
      <c r="A1377" t="s">
        <v>2974</v>
      </c>
      <c r="B1377" t="s">
        <v>3134</v>
      </c>
    </row>
    <row r="1378" spans="1:2">
      <c r="A1378" t="s">
        <v>2976</v>
      </c>
      <c r="B1378" t="s">
        <v>2663</v>
      </c>
    </row>
    <row r="1379" spans="1:2">
      <c r="A1379" t="s">
        <v>2978</v>
      </c>
      <c r="B1379" t="s">
        <v>3330</v>
      </c>
    </row>
    <row r="1380" spans="1:2">
      <c r="A1380" t="s">
        <v>2980</v>
      </c>
      <c r="B1380" t="s">
        <v>6745</v>
      </c>
    </row>
    <row r="1381" spans="1:2">
      <c r="A1381" t="s">
        <v>2982</v>
      </c>
      <c r="B1381" t="s">
        <v>6746</v>
      </c>
    </row>
    <row r="1382" spans="1:2">
      <c r="A1382" t="s">
        <v>2984</v>
      </c>
      <c r="B1382" t="s">
        <v>1251</v>
      </c>
    </row>
    <row r="1383" spans="1:2">
      <c r="A1383" t="s">
        <v>2986</v>
      </c>
      <c r="B1383" t="s">
        <v>6748</v>
      </c>
    </row>
    <row r="1384" spans="1:2">
      <c r="A1384" t="s">
        <v>2988</v>
      </c>
      <c r="B1384" t="s">
        <v>6749</v>
      </c>
    </row>
    <row r="1385" spans="1:2">
      <c r="A1385" t="s">
        <v>2990</v>
      </c>
      <c r="B1385" t="s">
        <v>3628</v>
      </c>
    </row>
    <row r="1386" spans="1:2">
      <c r="A1386" t="s">
        <v>2992</v>
      </c>
      <c r="B1386" t="s">
        <v>2051</v>
      </c>
    </row>
    <row r="1387" spans="1:2">
      <c r="A1387" t="s">
        <v>2994</v>
      </c>
      <c r="B1387" t="s">
        <v>6751</v>
      </c>
    </row>
    <row r="1388" spans="1:2">
      <c r="A1388" t="s">
        <v>2996</v>
      </c>
      <c r="B1388" t="s">
        <v>6752</v>
      </c>
    </row>
    <row r="1389" spans="1:2">
      <c r="A1389" t="s">
        <v>2998</v>
      </c>
      <c r="B1389" t="s">
        <v>6753</v>
      </c>
    </row>
    <row r="1390" spans="1:2">
      <c r="A1390" t="s">
        <v>3000</v>
      </c>
      <c r="B1390" t="s">
        <v>6754</v>
      </c>
    </row>
    <row r="1391" spans="1:2">
      <c r="A1391" t="s">
        <v>3002</v>
      </c>
      <c r="B1391" t="s">
        <v>6755</v>
      </c>
    </row>
    <row r="1392" spans="1:2">
      <c r="A1392" t="s">
        <v>3004</v>
      </c>
      <c r="B1392" t="s">
        <v>3809</v>
      </c>
    </row>
    <row r="1393" spans="1:2">
      <c r="A1393" t="s">
        <v>3006</v>
      </c>
      <c r="B1393" t="s">
        <v>3819</v>
      </c>
    </row>
    <row r="1394" spans="1:2">
      <c r="A1394" t="s">
        <v>3008</v>
      </c>
      <c r="B1394" t="s">
        <v>6756</v>
      </c>
    </row>
    <row r="1395" spans="1:2">
      <c r="A1395" t="s">
        <v>3010</v>
      </c>
      <c r="B1395" t="s">
        <v>3876</v>
      </c>
    </row>
    <row r="1396" spans="1:2">
      <c r="A1396" t="s">
        <v>3012</v>
      </c>
      <c r="B1396" t="s">
        <v>6757</v>
      </c>
    </row>
    <row r="1397" spans="1:2">
      <c r="A1397" t="s">
        <v>3014</v>
      </c>
      <c r="B1397" t="s">
        <v>6758</v>
      </c>
    </row>
    <row r="1398" spans="1:2">
      <c r="A1398" t="s">
        <v>3017</v>
      </c>
      <c r="B1398" t="s">
        <v>6759</v>
      </c>
    </row>
    <row r="1399" spans="1:2">
      <c r="A1399" t="s">
        <v>3019</v>
      </c>
      <c r="B1399" t="s">
        <v>6760</v>
      </c>
    </row>
    <row r="1400" spans="1:2">
      <c r="A1400" t="s">
        <v>3021</v>
      </c>
      <c r="B1400" t="s">
        <v>3932</v>
      </c>
    </row>
    <row r="1401" spans="1:2">
      <c r="A1401" t="s">
        <v>3023</v>
      </c>
      <c r="B1401" t="s">
        <v>6762</v>
      </c>
    </row>
    <row r="1402" spans="1:2">
      <c r="A1402" t="s">
        <v>3025</v>
      </c>
      <c r="B1402" t="s">
        <v>3097</v>
      </c>
    </row>
    <row r="1403" spans="1:2">
      <c r="A1403" t="s">
        <v>3027</v>
      </c>
      <c r="B1403" t="s">
        <v>6763</v>
      </c>
    </row>
    <row r="1404" spans="1:2">
      <c r="A1404" t="s">
        <v>3030</v>
      </c>
      <c r="B1404" t="s">
        <v>4046</v>
      </c>
    </row>
    <row r="1405" spans="1:2">
      <c r="A1405" t="s">
        <v>3032</v>
      </c>
      <c r="B1405" t="s">
        <v>6764</v>
      </c>
    </row>
    <row r="1406" spans="1:2">
      <c r="A1406" t="s">
        <v>3034</v>
      </c>
      <c r="B1406" t="s">
        <v>6765</v>
      </c>
    </row>
    <row r="1407" spans="1:2">
      <c r="A1407" t="s">
        <v>3036</v>
      </c>
      <c r="B1407" t="s">
        <v>4042</v>
      </c>
    </row>
    <row r="1408" spans="1:2">
      <c r="A1408" t="s">
        <v>3038</v>
      </c>
      <c r="B1408" t="s">
        <v>6766</v>
      </c>
    </row>
    <row r="1409" spans="1:2">
      <c r="A1409" t="s">
        <v>3040</v>
      </c>
      <c r="B1409" t="s">
        <v>6767</v>
      </c>
    </row>
    <row r="1410" spans="1:2">
      <c r="A1410" t="s">
        <v>3042</v>
      </c>
      <c r="B1410" t="s">
        <v>3235</v>
      </c>
    </row>
    <row r="1411" spans="1:2">
      <c r="A1411" t="s">
        <v>3043</v>
      </c>
      <c r="B1411" t="s">
        <v>2196</v>
      </c>
    </row>
    <row r="1412" spans="1:2">
      <c r="A1412" t="s">
        <v>3045</v>
      </c>
      <c r="B1412" t="s">
        <v>5016</v>
      </c>
    </row>
    <row r="1413" spans="1:2">
      <c r="A1413" t="s">
        <v>3047</v>
      </c>
      <c r="B1413" t="s">
        <v>6768</v>
      </c>
    </row>
    <row r="1414" spans="1:2">
      <c r="A1414" t="s">
        <v>3048</v>
      </c>
      <c r="B1414" t="s">
        <v>2217</v>
      </c>
    </row>
    <row r="1415" spans="1:2">
      <c r="A1415" t="s">
        <v>3050</v>
      </c>
      <c r="B1415" t="s">
        <v>6769</v>
      </c>
    </row>
    <row r="1416" spans="1:2">
      <c r="A1416" t="s">
        <v>3052</v>
      </c>
      <c r="B1416" t="s">
        <v>6770</v>
      </c>
    </row>
    <row r="1417" spans="1:2">
      <c r="A1417" t="s">
        <v>3054</v>
      </c>
      <c r="B1417" t="s">
        <v>6771</v>
      </c>
    </row>
    <row r="1418" spans="1:2">
      <c r="A1418" t="s">
        <v>3056</v>
      </c>
      <c r="B1418" t="s">
        <v>2725</v>
      </c>
    </row>
    <row r="1419" spans="1:2">
      <c r="A1419" t="s">
        <v>3057</v>
      </c>
      <c r="B1419" t="s">
        <v>3497</v>
      </c>
    </row>
    <row r="1420" spans="1:2">
      <c r="A1420" t="s">
        <v>3059</v>
      </c>
      <c r="B1420" t="s">
        <v>6772</v>
      </c>
    </row>
    <row r="1421" spans="1:2">
      <c r="A1421" t="s">
        <v>3061</v>
      </c>
      <c r="B1421" t="s">
        <v>4672</v>
      </c>
    </row>
    <row r="1422" spans="1:2">
      <c r="A1422" t="s">
        <v>3063</v>
      </c>
      <c r="B1422" t="s">
        <v>6773</v>
      </c>
    </row>
    <row r="1423" spans="1:2">
      <c r="A1423" t="s">
        <v>3064</v>
      </c>
      <c r="B1423" t="s">
        <v>6774</v>
      </c>
    </row>
    <row r="1424" spans="1:2">
      <c r="A1424" t="s">
        <v>3066</v>
      </c>
      <c r="B1424" t="s">
        <v>6775</v>
      </c>
    </row>
    <row r="1425" spans="1:2">
      <c r="A1425" t="s">
        <v>3068</v>
      </c>
      <c r="B1425" t="s">
        <v>3555</v>
      </c>
    </row>
    <row r="1426" spans="1:2">
      <c r="A1426" t="s">
        <v>3071</v>
      </c>
      <c r="B1426" t="s">
        <v>2885</v>
      </c>
    </row>
    <row r="1427" spans="1:2">
      <c r="A1427" t="s">
        <v>3072</v>
      </c>
      <c r="B1427" t="s">
        <v>2401</v>
      </c>
    </row>
    <row r="1428" spans="1:2">
      <c r="A1428" t="s">
        <v>3073</v>
      </c>
      <c r="B1428" t="s">
        <v>3695</v>
      </c>
    </row>
    <row r="1429" spans="1:2">
      <c r="A1429" t="s">
        <v>3075</v>
      </c>
      <c r="B1429" t="s">
        <v>6776</v>
      </c>
    </row>
    <row r="1430" spans="1:2">
      <c r="A1430" t="s">
        <v>3077</v>
      </c>
      <c r="B1430" t="s">
        <v>6777</v>
      </c>
    </row>
    <row r="1431" spans="1:2">
      <c r="A1431" t="s">
        <v>3079</v>
      </c>
      <c r="B1431" t="s">
        <v>6778</v>
      </c>
    </row>
    <row r="1432" spans="1:2">
      <c r="A1432" t="s">
        <v>3081</v>
      </c>
      <c r="B1432" t="s">
        <v>6779</v>
      </c>
    </row>
    <row r="1433" spans="1:2">
      <c r="A1433" t="s">
        <v>3083</v>
      </c>
      <c r="B1433" t="s">
        <v>6780</v>
      </c>
    </row>
    <row r="1434" spans="1:2">
      <c r="A1434" t="s">
        <v>3085</v>
      </c>
      <c r="B1434" t="s">
        <v>6781</v>
      </c>
    </row>
    <row r="1435" spans="1:2">
      <c r="A1435" t="s">
        <v>3087</v>
      </c>
      <c r="B1435" t="s">
        <v>3043</v>
      </c>
    </row>
    <row r="1436" spans="1:2">
      <c r="A1436" t="s">
        <v>3089</v>
      </c>
      <c r="B1436" t="s">
        <v>3064</v>
      </c>
    </row>
    <row r="1437" spans="1:2">
      <c r="A1437" t="s">
        <v>3091</v>
      </c>
      <c r="B1437" t="s">
        <v>6263</v>
      </c>
    </row>
    <row r="1438" spans="1:2">
      <c r="A1438" t="s">
        <v>3093</v>
      </c>
      <c r="B1438" t="s">
        <v>6782</v>
      </c>
    </row>
    <row r="1439" spans="1:2">
      <c r="A1439" t="s">
        <v>3095</v>
      </c>
      <c r="B1439" t="s">
        <v>3962</v>
      </c>
    </row>
    <row r="1440" spans="1:2">
      <c r="A1440" t="s">
        <v>3097</v>
      </c>
      <c r="B1440" t="s">
        <v>6783</v>
      </c>
    </row>
    <row r="1441" spans="1:2">
      <c r="A1441" t="s">
        <v>3099</v>
      </c>
      <c r="B1441" t="s">
        <v>3128</v>
      </c>
    </row>
    <row r="1442" spans="1:2">
      <c r="A1442" t="s">
        <v>3101</v>
      </c>
      <c r="B1442" t="s">
        <v>6784</v>
      </c>
    </row>
    <row r="1443" spans="1:2">
      <c r="A1443" t="s">
        <v>3104</v>
      </c>
      <c r="B1443" t="s">
        <v>6785</v>
      </c>
    </row>
    <row r="1444" spans="1:2">
      <c r="A1444" t="s">
        <v>3106</v>
      </c>
      <c r="B1444" t="s">
        <v>6786</v>
      </c>
    </row>
    <row r="1445" spans="1:2">
      <c r="A1445" t="s">
        <v>3107</v>
      </c>
      <c r="B1445" t="s">
        <v>6787</v>
      </c>
    </row>
    <row r="1446" spans="1:2">
      <c r="A1446" t="s">
        <v>3109</v>
      </c>
      <c r="B1446" t="s">
        <v>6788</v>
      </c>
    </row>
    <row r="1447" spans="1:2">
      <c r="A1447" t="s">
        <v>3111</v>
      </c>
      <c r="B1447" t="s">
        <v>6789</v>
      </c>
    </row>
    <row r="1448" spans="1:2">
      <c r="A1448" t="s">
        <v>3113</v>
      </c>
      <c r="B1448" t="s">
        <v>6790</v>
      </c>
    </row>
    <row r="1449" spans="1:2">
      <c r="A1449" t="s">
        <v>3116</v>
      </c>
      <c r="B1449" t="s">
        <v>6791</v>
      </c>
    </row>
    <row r="1450" spans="1:2">
      <c r="A1450" t="s">
        <v>3118</v>
      </c>
      <c r="B1450" t="s">
        <v>6792</v>
      </c>
    </row>
    <row r="1451" spans="1:2">
      <c r="A1451" t="s">
        <v>3120</v>
      </c>
      <c r="B1451" t="s">
        <v>6793</v>
      </c>
    </row>
    <row r="1452" spans="1:2">
      <c r="A1452" t="s">
        <v>3122</v>
      </c>
      <c r="B1452" t="s">
        <v>6794</v>
      </c>
    </row>
    <row r="1453" spans="1:2">
      <c r="A1453" t="s">
        <v>3124</v>
      </c>
      <c r="B1453" t="s">
        <v>6795</v>
      </c>
    </row>
    <row r="1454" spans="1:2">
      <c r="A1454" t="s">
        <v>3126</v>
      </c>
      <c r="B1454" t="s">
        <v>6796</v>
      </c>
    </row>
    <row r="1455" spans="1:2">
      <c r="A1455" t="s">
        <v>3128</v>
      </c>
      <c r="B1455" t="s">
        <v>6797</v>
      </c>
    </row>
    <row r="1456" spans="1:2">
      <c r="A1456" t="s">
        <v>3130</v>
      </c>
      <c r="B1456" t="s">
        <v>6798</v>
      </c>
    </row>
    <row r="1457" spans="1:2">
      <c r="A1457" t="s">
        <v>3132</v>
      </c>
      <c r="B1457" t="s">
        <v>6799</v>
      </c>
    </row>
    <row r="1458" spans="1:2">
      <c r="A1458" t="s">
        <v>3134</v>
      </c>
      <c r="B1458" t="s">
        <v>6800</v>
      </c>
    </row>
    <row r="1459" spans="1:2">
      <c r="A1459" t="s">
        <v>3136</v>
      </c>
      <c r="B1459" t="s">
        <v>6801</v>
      </c>
    </row>
    <row r="1460" spans="1:2">
      <c r="A1460" t="s">
        <v>3138</v>
      </c>
      <c r="B1460" t="s">
        <v>6802</v>
      </c>
    </row>
    <row r="1461" spans="1:2">
      <c r="A1461" t="s">
        <v>3140</v>
      </c>
      <c r="B1461" t="s">
        <v>6803</v>
      </c>
    </row>
    <row r="1462" spans="1:2">
      <c r="A1462" t="s">
        <v>3142</v>
      </c>
      <c r="B1462" t="s">
        <v>6804</v>
      </c>
    </row>
    <row r="1463" spans="1:2">
      <c r="A1463" t="s">
        <v>3144</v>
      </c>
      <c r="B1463" t="s">
        <v>6805</v>
      </c>
    </row>
    <row r="1464" spans="1:2">
      <c r="A1464" t="s">
        <v>3146</v>
      </c>
      <c r="B1464" t="s">
        <v>4908</v>
      </c>
    </row>
    <row r="1465" spans="1:2">
      <c r="A1465" t="s">
        <v>3148</v>
      </c>
      <c r="B1465" t="s">
        <v>6806</v>
      </c>
    </row>
    <row r="1466" spans="1:2">
      <c r="A1466" t="s">
        <v>3150</v>
      </c>
      <c r="B1466" t="s">
        <v>6807</v>
      </c>
    </row>
    <row r="1467" spans="1:2">
      <c r="A1467" t="s">
        <v>3152</v>
      </c>
      <c r="B1467" t="s">
        <v>6808</v>
      </c>
    </row>
    <row r="1468" spans="1:2">
      <c r="A1468" t="s">
        <v>3154</v>
      </c>
      <c r="B1468" t="s">
        <v>6809</v>
      </c>
    </row>
    <row r="1469" spans="1:2">
      <c r="A1469" t="s">
        <v>3157</v>
      </c>
      <c r="B1469" t="s">
        <v>6812</v>
      </c>
    </row>
    <row r="1470" spans="1:2">
      <c r="A1470" t="s">
        <v>3159</v>
      </c>
      <c r="B1470" t="s">
        <v>6813</v>
      </c>
    </row>
    <row r="1471" spans="1:2">
      <c r="A1471" t="s">
        <v>3161</v>
      </c>
      <c r="B1471" t="s">
        <v>6814</v>
      </c>
    </row>
    <row r="1472" spans="1:2">
      <c r="A1472" t="s">
        <v>3163</v>
      </c>
      <c r="B1472" t="s">
        <v>6815</v>
      </c>
    </row>
    <row r="1473" spans="1:2">
      <c r="A1473" t="s">
        <v>3166</v>
      </c>
      <c r="B1473" t="s">
        <v>6816</v>
      </c>
    </row>
    <row r="1474" spans="1:2">
      <c r="A1474" t="s">
        <v>3168</v>
      </c>
      <c r="B1474" t="s">
        <v>6817</v>
      </c>
    </row>
    <row r="1475" spans="1:2">
      <c r="A1475" t="s">
        <v>3170</v>
      </c>
      <c r="B1475" t="s">
        <v>6818</v>
      </c>
    </row>
    <row r="1476" spans="1:2">
      <c r="A1476" t="s">
        <v>3173</v>
      </c>
      <c r="B1476" t="s">
        <v>3451</v>
      </c>
    </row>
    <row r="1477" spans="1:2">
      <c r="A1477" t="s">
        <v>3175</v>
      </c>
      <c r="B1477" t="s">
        <v>6819</v>
      </c>
    </row>
    <row r="1478" spans="1:2">
      <c r="A1478" t="s">
        <v>3177</v>
      </c>
      <c r="B1478" t="s">
        <v>6820</v>
      </c>
    </row>
    <row r="1479" spans="1:2">
      <c r="A1479" t="s">
        <v>3179</v>
      </c>
      <c r="B1479" t="s">
        <v>6821</v>
      </c>
    </row>
    <row r="1480" spans="1:2">
      <c r="A1480" t="s">
        <v>3181</v>
      </c>
      <c r="B1480" t="s">
        <v>6822</v>
      </c>
    </row>
    <row r="1481" spans="1:2">
      <c r="A1481" t="s">
        <v>3184</v>
      </c>
      <c r="B1481" t="s">
        <v>6823</v>
      </c>
    </row>
    <row r="1482" spans="1:2">
      <c r="A1482" t="s">
        <v>3186</v>
      </c>
      <c r="B1482" t="s">
        <v>6824</v>
      </c>
    </row>
    <row r="1483" spans="1:2">
      <c r="A1483" t="s">
        <v>3189</v>
      </c>
      <c r="B1483" t="s">
        <v>6825</v>
      </c>
    </row>
    <row r="1484" spans="1:2">
      <c r="A1484" t="s">
        <v>3191</v>
      </c>
      <c r="B1484" t="s">
        <v>3279</v>
      </c>
    </row>
    <row r="1485" spans="1:2">
      <c r="A1485" t="s">
        <v>3192</v>
      </c>
      <c r="B1485" t="s">
        <v>6826</v>
      </c>
    </row>
    <row r="1486" spans="1:2">
      <c r="A1486" t="s">
        <v>3194</v>
      </c>
      <c r="B1486" t="s">
        <v>6827</v>
      </c>
    </row>
    <row r="1487" spans="1:2">
      <c r="A1487" t="s">
        <v>3196</v>
      </c>
      <c r="B1487" t="s">
        <v>6828</v>
      </c>
    </row>
    <row r="1488" spans="1:2">
      <c r="A1488" t="s">
        <v>3198</v>
      </c>
      <c r="B1488" t="s">
        <v>3418</v>
      </c>
    </row>
    <row r="1489" spans="1:2">
      <c r="A1489" t="s">
        <v>3200</v>
      </c>
      <c r="B1489" t="s">
        <v>1947</v>
      </c>
    </row>
    <row r="1490" spans="1:2">
      <c r="A1490" t="s">
        <v>3203</v>
      </c>
      <c r="B1490" t="s">
        <v>2394</v>
      </c>
    </row>
    <row r="1491" spans="1:2">
      <c r="A1491" t="s">
        <v>3205</v>
      </c>
      <c r="B1491" t="s">
        <v>2403</v>
      </c>
    </row>
    <row r="1492" spans="1:2">
      <c r="A1492" t="s">
        <v>3207</v>
      </c>
      <c r="B1492" t="s">
        <v>3642</v>
      </c>
    </row>
    <row r="1493" spans="1:2">
      <c r="A1493" t="s">
        <v>3209</v>
      </c>
      <c r="B1493" t="s">
        <v>4930</v>
      </c>
    </row>
    <row r="1494" spans="1:2">
      <c r="A1494" t="s">
        <v>3211</v>
      </c>
      <c r="B1494" t="s">
        <v>2990</v>
      </c>
    </row>
    <row r="1495" spans="1:2">
      <c r="A1495" t="s">
        <v>3213</v>
      </c>
      <c r="B1495" t="s">
        <v>1730</v>
      </c>
    </row>
    <row r="1496" spans="1:2">
      <c r="A1496" t="s">
        <v>3215</v>
      </c>
      <c r="B1496" t="s">
        <v>6830</v>
      </c>
    </row>
    <row r="1497" spans="1:2">
      <c r="A1497" t="s">
        <v>3217</v>
      </c>
      <c r="B1497" t="s">
        <v>6831</v>
      </c>
    </row>
    <row r="1498" spans="1:2">
      <c r="A1498" t="s">
        <v>3219</v>
      </c>
      <c r="B1498" t="s">
        <v>6832</v>
      </c>
    </row>
    <row r="1499" spans="1:2">
      <c r="A1499" t="s">
        <v>3221</v>
      </c>
    </row>
    <row r="1500" spans="1:2">
      <c r="A1500" t="s">
        <v>3223</v>
      </c>
    </row>
    <row r="1501" spans="1:2">
      <c r="A1501" t="s">
        <v>3225</v>
      </c>
    </row>
    <row r="1502" spans="1:2">
      <c r="A1502" t="s">
        <v>3227</v>
      </c>
    </row>
    <row r="1503" spans="1:2">
      <c r="A1503" t="s">
        <v>3229</v>
      </c>
    </row>
    <row r="1504" spans="1:2">
      <c r="A1504" t="s">
        <v>3231</v>
      </c>
    </row>
    <row r="1505" spans="1:1">
      <c r="A1505" t="s">
        <v>3233</v>
      </c>
    </row>
    <row r="1506" spans="1:1">
      <c r="A1506" t="s">
        <v>3235</v>
      </c>
    </row>
    <row r="1507" spans="1:1">
      <c r="A1507" t="s">
        <v>3237</v>
      </c>
    </row>
    <row r="1508" spans="1:1">
      <c r="A1508" t="s">
        <v>3239</v>
      </c>
    </row>
    <row r="1509" spans="1:1">
      <c r="A1509" t="s">
        <v>3242</v>
      </c>
    </row>
    <row r="1510" spans="1:1">
      <c r="A1510" t="s">
        <v>3244</v>
      </c>
    </row>
    <row r="1511" spans="1:1">
      <c r="A1511" t="s">
        <v>3246</v>
      </c>
    </row>
    <row r="1512" spans="1:1">
      <c r="A1512" t="s">
        <v>3248</v>
      </c>
    </row>
    <row r="1513" spans="1:1">
      <c r="A1513" t="s">
        <v>3252</v>
      </c>
    </row>
    <row r="1514" spans="1:1">
      <c r="A1514" t="s">
        <v>3255</v>
      </c>
    </row>
    <row r="1515" spans="1:1">
      <c r="A1515" t="s">
        <v>3257</v>
      </c>
    </row>
    <row r="1516" spans="1:1">
      <c r="A1516" t="s">
        <v>3259</v>
      </c>
    </row>
    <row r="1517" spans="1:1">
      <c r="A1517" t="s">
        <v>3261</v>
      </c>
    </row>
    <row r="1518" spans="1:1">
      <c r="A1518" t="s">
        <v>3263</v>
      </c>
    </row>
    <row r="1519" spans="1:1">
      <c r="A1519" t="s">
        <v>3265</v>
      </c>
    </row>
    <row r="1520" spans="1:1">
      <c r="A1520" t="s">
        <v>3267</v>
      </c>
    </row>
    <row r="1521" spans="1:1">
      <c r="A1521" t="s">
        <v>3269</v>
      </c>
    </row>
    <row r="1522" spans="1:1">
      <c r="A1522" t="s">
        <v>3271</v>
      </c>
    </row>
    <row r="1523" spans="1:1">
      <c r="A1523" t="s">
        <v>3273</v>
      </c>
    </row>
    <row r="1524" spans="1:1">
      <c r="A1524" t="s">
        <v>3275</v>
      </c>
    </row>
    <row r="1525" spans="1:1">
      <c r="A1525" t="s">
        <v>3277</v>
      </c>
    </row>
    <row r="1526" spans="1:1">
      <c r="A1526" t="s">
        <v>3279</v>
      </c>
    </row>
    <row r="1527" spans="1:1">
      <c r="A1527" t="s">
        <v>3282</v>
      </c>
    </row>
    <row r="1528" spans="1:1">
      <c r="A1528" t="s">
        <v>3285</v>
      </c>
    </row>
    <row r="1529" spans="1:1">
      <c r="A1529" t="s">
        <v>3287</v>
      </c>
    </row>
    <row r="1530" spans="1:1">
      <c r="A1530" t="s">
        <v>3289</v>
      </c>
    </row>
    <row r="1531" spans="1:1">
      <c r="A1531" t="s">
        <v>3291</v>
      </c>
    </row>
    <row r="1532" spans="1:1">
      <c r="A1532" t="s">
        <v>3293</v>
      </c>
    </row>
    <row r="1533" spans="1:1">
      <c r="A1533" t="s">
        <v>3295</v>
      </c>
    </row>
    <row r="1534" spans="1:1">
      <c r="A1534" t="s">
        <v>3298</v>
      </c>
    </row>
    <row r="1535" spans="1:1">
      <c r="A1535" t="s">
        <v>3300</v>
      </c>
    </row>
    <row r="1536" spans="1:1">
      <c r="A1536" t="s">
        <v>3302</v>
      </c>
    </row>
    <row r="1537" spans="1:1">
      <c r="A1537" t="s">
        <v>3304</v>
      </c>
    </row>
    <row r="1538" spans="1:1">
      <c r="A1538" t="s">
        <v>3306</v>
      </c>
    </row>
    <row r="1539" spans="1:1">
      <c r="A1539" t="s">
        <v>3308</v>
      </c>
    </row>
    <row r="1540" spans="1:1">
      <c r="A1540" t="s">
        <v>3310</v>
      </c>
    </row>
    <row r="1541" spans="1:1">
      <c r="A1541" t="s">
        <v>3312</v>
      </c>
    </row>
    <row r="1542" spans="1:1">
      <c r="A1542" t="s">
        <v>3314</v>
      </c>
    </row>
    <row r="1543" spans="1:1">
      <c r="A1543" t="s">
        <v>3316</v>
      </c>
    </row>
    <row r="1544" spans="1:1">
      <c r="A1544" t="s">
        <v>3318</v>
      </c>
    </row>
    <row r="1545" spans="1:1">
      <c r="A1545" t="s">
        <v>3321</v>
      </c>
    </row>
    <row r="1546" spans="1:1">
      <c r="A1546" t="s">
        <v>3323</v>
      </c>
    </row>
    <row r="1547" spans="1:1">
      <c r="A1547" t="s">
        <v>3325</v>
      </c>
    </row>
    <row r="1548" spans="1:1">
      <c r="A1548" t="s">
        <v>3328</v>
      </c>
    </row>
    <row r="1549" spans="1:1">
      <c r="A1549" t="s">
        <v>3330</v>
      </c>
    </row>
    <row r="1550" spans="1:1">
      <c r="A1550" t="s">
        <v>3332</v>
      </c>
    </row>
    <row r="1551" spans="1:1">
      <c r="A1551" t="s">
        <v>3334</v>
      </c>
    </row>
    <row r="1552" spans="1:1">
      <c r="A1552" t="s">
        <v>3336</v>
      </c>
    </row>
    <row r="1553" spans="1:1">
      <c r="A1553" t="s">
        <v>3338</v>
      </c>
    </row>
    <row r="1554" spans="1:1">
      <c r="A1554" t="s">
        <v>3340</v>
      </c>
    </row>
    <row r="1555" spans="1:1">
      <c r="A1555" t="s">
        <v>3342</v>
      </c>
    </row>
    <row r="1556" spans="1:1">
      <c r="A1556" t="s">
        <v>3344</v>
      </c>
    </row>
    <row r="1557" spans="1:1">
      <c r="A1557" t="s">
        <v>3346</v>
      </c>
    </row>
    <row r="1558" spans="1:1">
      <c r="A1558" t="s">
        <v>3348</v>
      </c>
    </row>
    <row r="1559" spans="1:1">
      <c r="A1559" t="s">
        <v>3350</v>
      </c>
    </row>
    <row r="1560" spans="1:1">
      <c r="A1560" t="s">
        <v>3352</v>
      </c>
    </row>
    <row r="1561" spans="1:1">
      <c r="A1561" t="s">
        <v>3354</v>
      </c>
    </row>
    <row r="1562" spans="1:1">
      <c r="A1562" t="s">
        <v>3356</v>
      </c>
    </row>
    <row r="1563" spans="1:1">
      <c r="A1563" t="s">
        <v>3358</v>
      </c>
    </row>
    <row r="1564" spans="1:1">
      <c r="A1564" t="s">
        <v>3360</v>
      </c>
    </row>
    <row r="1565" spans="1:1">
      <c r="A1565" t="s">
        <v>3362</v>
      </c>
    </row>
    <row r="1566" spans="1:1">
      <c r="A1566" t="s">
        <v>3364</v>
      </c>
    </row>
    <row r="1567" spans="1:1">
      <c r="A1567" t="s">
        <v>3366</v>
      </c>
    </row>
    <row r="1568" spans="1:1">
      <c r="A1568" t="s">
        <v>3368</v>
      </c>
    </row>
    <row r="1569" spans="1:1">
      <c r="A1569" t="s">
        <v>3370</v>
      </c>
    </row>
    <row r="1570" spans="1:1">
      <c r="A1570" t="s">
        <v>3372</v>
      </c>
    </row>
    <row r="1571" spans="1:1">
      <c r="A1571" t="s">
        <v>3374</v>
      </c>
    </row>
    <row r="1572" spans="1:1">
      <c r="A1572" t="s">
        <v>3376</v>
      </c>
    </row>
    <row r="1573" spans="1:1">
      <c r="A1573" t="s">
        <v>3378</v>
      </c>
    </row>
    <row r="1574" spans="1:1">
      <c r="A1574" t="s">
        <v>3380</v>
      </c>
    </row>
    <row r="1575" spans="1:1">
      <c r="A1575" t="s">
        <v>3382</v>
      </c>
    </row>
    <row r="1576" spans="1:1">
      <c r="A1576" t="s">
        <v>3384</v>
      </c>
    </row>
    <row r="1577" spans="1:1">
      <c r="A1577" t="s">
        <v>3386</v>
      </c>
    </row>
    <row r="1578" spans="1:1">
      <c r="A1578" t="s">
        <v>3388</v>
      </c>
    </row>
    <row r="1579" spans="1:1">
      <c r="A1579" t="s">
        <v>3390</v>
      </c>
    </row>
    <row r="1580" spans="1:1">
      <c r="A1580" t="s">
        <v>3392</v>
      </c>
    </row>
    <row r="1581" spans="1:1">
      <c r="A1581" t="s">
        <v>3394</v>
      </c>
    </row>
    <row r="1582" spans="1:1">
      <c r="A1582" t="s">
        <v>3396</v>
      </c>
    </row>
    <row r="1583" spans="1:1">
      <c r="A1583" t="s">
        <v>3398</v>
      </c>
    </row>
    <row r="1584" spans="1:1">
      <c r="A1584" t="s">
        <v>3400</v>
      </c>
    </row>
    <row r="1585" spans="1:1">
      <c r="A1585" t="s">
        <v>3402</v>
      </c>
    </row>
    <row r="1586" spans="1:1">
      <c r="A1586" t="s">
        <v>3404</v>
      </c>
    </row>
    <row r="1587" spans="1:1">
      <c r="A1587" t="s">
        <v>3406</v>
      </c>
    </row>
    <row r="1588" spans="1:1">
      <c r="A1588" t="s">
        <v>3408</v>
      </c>
    </row>
    <row r="1589" spans="1:1">
      <c r="A1589" t="s">
        <v>3410</v>
      </c>
    </row>
    <row r="1590" spans="1:1">
      <c r="A1590" t="s">
        <v>3412</v>
      </c>
    </row>
    <row r="1591" spans="1:1">
      <c r="A1591" t="s">
        <v>3414</v>
      </c>
    </row>
    <row r="1592" spans="1:1">
      <c r="A1592" t="s">
        <v>3416</v>
      </c>
    </row>
    <row r="1593" spans="1:1">
      <c r="A1593" t="s">
        <v>3418</v>
      </c>
    </row>
    <row r="1594" spans="1:1">
      <c r="A1594" t="s">
        <v>3420</v>
      </c>
    </row>
    <row r="1595" spans="1:1">
      <c r="A1595" t="s">
        <v>3422</v>
      </c>
    </row>
    <row r="1596" spans="1:1">
      <c r="A1596" t="s">
        <v>3424</v>
      </c>
    </row>
    <row r="1597" spans="1:1">
      <c r="A1597" t="s">
        <v>3427</v>
      </c>
    </row>
    <row r="1598" spans="1:1">
      <c r="A1598" t="s">
        <v>3429</v>
      </c>
    </row>
    <row r="1599" spans="1:1">
      <c r="A1599" t="s">
        <v>3431</v>
      </c>
    </row>
    <row r="1600" spans="1:1">
      <c r="A1600" t="s">
        <v>3433</v>
      </c>
    </row>
    <row r="1601" spans="1:1">
      <c r="A1601" t="s">
        <v>3435</v>
      </c>
    </row>
    <row r="1602" spans="1:1">
      <c r="A1602" t="s">
        <v>3437</v>
      </c>
    </row>
    <row r="1603" spans="1:1">
      <c r="A1603" t="s">
        <v>3439</v>
      </c>
    </row>
    <row r="1604" spans="1:1">
      <c r="A1604" t="s">
        <v>3441</v>
      </c>
    </row>
    <row r="1605" spans="1:1">
      <c r="A1605" t="s">
        <v>3443</v>
      </c>
    </row>
    <row r="1606" spans="1:1">
      <c r="A1606" t="s">
        <v>3445</v>
      </c>
    </row>
    <row r="1607" spans="1:1">
      <c r="A1607" t="s">
        <v>3447</v>
      </c>
    </row>
    <row r="1608" spans="1:1">
      <c r="A1608" t="s">
        <v>3449</v>
      </c>
    </row>
    <row r="1609" spans="1:1">
      <c r="A1609" t="s">
        <v>3451</v>
      </c>
    </row>
    <row r="1610" spans="1:1">
      <c r="A1610" t="s">
        <v>3453</v>
      </c>
    </row>
    <row r="1611" spans="1:1">
      <c r="A1611" t="s">
        <v>3455</v>
      </c>
    </row>
    <row r="1612" spans="1:1">
      <c r="A1612" t="s">
        <v>3457</v>
      </c>
    </row>
    <row r="1613" spans="1:1">
      <c r="A1613" t="s">
        <v>3459</v>
      </c>
    </row>
    <row r="1614" spans="1:1">
      <c r="A1614" t="s">
        <v>3461</v>
      </c>
    </row>
    <row r="1615" spans="1:1">
      <c r="A1615" t="s">
        <v>3463</v>
      </c>
    </row>
    <row r="1616" spans="1:1">
      <c r="A1616" t="s">
        <v>3465</v>
      </c>
    </row>
    <row r="1617" spans="1:1">
      <c r="A1617" t="s">
        <v>3467</v>
      </c>
    </row>
    <row r="1618" spans="1:1">
      <c r="A1618" t="s">
        <v>3469</v>
      </c>
    </row>
    <row r="1619" spans="1:1">
      <c r="A1619" t="s">
        <v>3471</v>
      </c>
    </row>
    <row r="1620" spans="1:1">
      <c r="A1620" t="s">
        <v>3473</v>
      </c>
    </row>
    <row r="1621" spans="1:1">
      <c r="A1621" t="s">
        <v>3475</v>
      </c>
    </row>
    <row r="1622" spans="1:1">
      <c r="A1622" t="s">
        <v>3477</v>
      </c>
    </row>
    <row r="1623" spans="1:1">
      <c r="A1623" t="s">
        <v>3479</v>
      </c>
    </row>
    <row r="1624" spans="1:1">
      <c r="A1624" t="s">
        <v>3481</v>
      </c>
    </row>
    <row r="1625" spans="1:1">
      <c r="A1625" t="s">
        <v>3483</v>
      </c>
    </row>
    <row r="1626" spans="1:1">
      <c r="A1626" t="s">
        <v>3485</v>
      </c>
    </row>
    <row r="1627" spans="1:1">
      <c r="A1627" t="s">
        <v>3487</v>
      </c>
    </row>
    <row r="1628" spans="1:1">
      <c r="A1628" t="s">
        <v>3489</v>
      </c>
    </row>
    <row r="1629" spans="1:1">
      <c r="A1629" t="s">
        <v>3491</v>
      </c>
    </row>
    <row r="1630" spans="1:1">
      <c r="A1630" t="s">
        <v>3493</v>
      </c>
    </row>
    <row r="1631" spans="1:1">
      <c r="A1631" t="s">
        <v>3495</v>
      </c>
    </row>
    <row r="1632" spans="1:1">
      <c r="A1632" t="s">
        <v>3497</v>
      </c>
    </row>
    <row r="1633" spans="1:1">
      <c r="A1633" t="s">
        <v>3499</v>
      </c>
    </row>
    <row r="1634" spans="1:1">
      <c r="A1634" t="s">
        <v>3501</v>
      </c>
    </row>
    <row r="1635" spans="1:1">
      <c r="A1635" t="s">
        <v>3503</v>
      </c>
    </row>
    <row r="1636" spans="1:1">
      <c r="A1636" t="s">
        <v>3505</v>
      </c>
    </row>
    <row r="1637" spans="1:1">
      <c r="A1637" t="s">
        <v>3507</v>
      </c>
    </row>
    <row r="1638" spans="1:1">
      <c r="A1638" t="s">
        <v>3509</v>
      </c>
    </row>
    <row r="1639" spans="1:1">
      <c r="A1639" t="s">
        <v>3512</v>
      </c>
    </row>
    <row r="1640" spans="1:1">
      <c r="A1640" t="s">
        <v>3514</v>
      </c>
    </row>
    <row r="1641" spans="1:1">
      <c r="A1641" t="s">
        <v>3516</v>
      </c>
    </row>
    <row r="1642" spans="1:1">
      <c r="A1642" t="s">
        <v>3518</v>
      </c>
    </row>
    <row r="1643" spans="1:1">
      <c r="A1643" t="s">
        <v>3520</v>
      </c>
    </row>
    <row r="1644" spans="1:1">
      <c r="A1644" t="s">
        <v>3522</v>
      </c>
    </row>
    <row r="1645" spans="1:1">
      <c r="A1645" t="s">
        <v>3524</v>
      </c>
    </row>
    <row r="1646" spans="1:1">
      <c r="A1646" t="s">
        <v>3527</v>
      </c>
    </row>
    <row r="1647" spans="1:1">
      <c r="A1647" t="s">
        <v>3529</v>
      </c>
    </row>
    <row r="1648" spans="1:1">
      <c r="A1648" t="s">
        <v>3531</v>
      </c>
    </row>
    <row r="1649" spans="1:1">
      <c r="A1649" t="s">
        <v>3533</v>
      </c>
    </row>
    <row r="1650" spans="1:1">
      <c r="A1650" t="s">
        <v>3535</v>
      </c>
    </row>
    <row r="1651" spans="1:1">
      <c r="A1651" t="s">
        <v>3537</v>
      </c>
    </row>
    <row r="1652" spans="1:1">
      <c r="A1652" t="s">
        <v>3539</v>
      </c>
    </row>
    <row r="1653" spans="1:1">
      <c r="A1653" t="s">
        <v>3541</v>
      </c>
    </row>
    <row r="1654" spans="1:1">
      <c r="A1654" t="s">
        <v>3543</v>
      </c>
    </row>
    <row r="1655" spans="1:1">
      <c r="A1655" t="s">
        <v>3545</v>
      </c>
    </row>
    <row r="1656" spans="1:1">
      <c r="A1656" t="s">
        <v>3547</v>
      </c>
    </row>
    <row r="1657" spans="1:1">
      <c r="A1657" t="s">
        <v>3549</v>
      </c>
    </row>
    <row r="1658" spans="1:1">
      <c r="A1658" t="s">
        <v>3551</v>
      </c>
    </row>
    <row r="1659" spans="1:1">
      <c r="A1659" t="s">
        <v>3553</v>
      </c>
    </row>
    <row r="1660" spans="1:1">
      <c r="A1660" t="s">
        <v>3555</v>
      </c>
    </row>
    <row r="1661" spans="1:1">
      <c r="A1661" t="s">
        <v>3557</v>
      </c>
    </row>
    <row r="1662" spans="1:1">
      <c r="A1662" t="s">
        <v>3559</v>
      </c>
    </row>
    <row r="1663" spans="1:1">
      <c r="A1663" t="s">
        <v>3561</v>
      </c>
    </row>
    <row r="1664" spans="1:1">
      <c r="A1664" t="s">
        <v>3563</v>
      </c>
    </row>
    <row r="1665" spans="1:1">
      <c r="A1665" t="s">
        <v>3565</v>
      </c>
    </row>
    <row r="1666" spans="1:1">
      <c r="A1666" t="s">
        <v>3567</v>
      </c>
    </row>
    <row r="1667" spans="1:1">
      <c r="A1667" t="s">
        <v>3569</v>
      </c>
    </row>
    <row r="1668" spans="1:1">
      <c r="A1668" t="s">
        <v>3571</v>
      </c>
    </row>
    <row r="1669" spans="1:1">
      <c r="A1669" t="s">
        <v>3573</v>
      </c>
    </row>
    <row r="1670" spans="1:1">
      <c r="A1670" t="s">
        <v>3575</v>
      </c>
    </row>
    <row r="1671" spans="1:1">
      <c r="A1671" t="s">
        <v>3577</v>
      </c>
    </row>
    <row r="1672" spans="1:1">
      <c r="A1672" t="s">
        <v>3579</v>
      </c>
    </row>
    <row r="1673" spans="1:1">
      <c r="A1673" t="s">
        <v>3581</v>
      </c>
    </row>
    <row r="1674" spans="1:1">
      <c r="A1674" t="s">
        <v>3583</v>
      </c>
    </row>
    <row r="1675" spans="1:1">
      <c r="A1675" t="s">
        <v>3585</v>
      </c>
    </row>
    <row r="1676" spans="1:1">
      <c r="A1676" t="s">
        <v>3586</v>
      </c>
    </row>
    <row r="1677" spans="1:1">
      <c r="A1677" t="s">
        <v>3588</v>
      </c>
    </row>
    <row r="1678" spans="1:1">
      <c r="A1678" t="s">
        <v>3590</v>
      </c>
    </row>
    <row r="1679" spans="1:1">
      <c r="A1679" t="s">
        <v>3592</v>
      </c>
    </row>
    <row r="1680" spans="1:1">
      <c r="A1680" t="s">
        <v>3594</v>
      </c>
    </row>
    <row r="1681" spans="1:1">
      <c r="A1681" t="s">
        <v>3596</v>
      </c>
    </row>
    <row r="1682" spans="1:1">
      <c r="A1682" t="s">
        <v>3598</v>
      </c>
    </row>
    <row r="1683" spans="1:1">
      <c r="A1683" t="s">
        <v>3600</v>
      </c>
    </row>
    <row r="1684" spans="1:1">
      <c r="A1684" t="s">
        <v>3602</v>
      </c>
    </row>
    <row r="1685" spans="1:1">
      <c r="A1685" t="s">
        <v>3603</v>
      </c>
    </row>
    <row r="1686" spans="1:1">
      <c r="A1686" t="s">
        <v>3605</v>
      </c>
    </row>
    <row r="1687" spans="1:1">
      <c r="A1687" t="s">
        <v>3607</v>
      </c>
    </row>
    <row r="1688" spans="1:1">
      <c r="A1688" t="s">
        <v>3609</v>
      </c>
    </row>
    <row r="1689" spans="1:1">
      <c r="A1689" t="s">
        <v>3611</v>
      </c>
    </row>
    <row r="1690" spans="1:1">
      <c r="A1690" t="s">
        <v>3613</v>
      </c>
    </row>
    <row r="1691" spans="1:1">
      <c r="A1691" t="s">
        <v>3615</v>
      </c>
    </row>
    <row r="1692" spans="1:1">
      <c r="A1692" t="s">
        <v>3617</v>
      </c>
    </row>
    <row r="1693" spans="1:1">
      <c r="A1693" t="s">
        <v>3619</v>
      </c>
    </row>
    <row r="1694" spans="1:1">
      <c r="A1694" t="s">
        <v>3621</v>
      </c>
    </row>
    <row r="1695" spans="1:1">
      <c r="A1695" t="s">
        <v>3624</v>
      </c>
    </row>
    <row r="1696" spans="1:1">
      <c r="A1696" t="s">
        <v>3626</v>
      </c>
    </row>
    <row r="1697" spans="1:1">
      <c r="A1697" t="s">
        <v>3628</v>
      </c>
    </row>
    <row r="1698" spans="1:1">
      <c r="A1698" t="s">
        <v>3630</v>
      </c>
    </row>
    <row r="1699" spans="1:1">
      <c r="A1699" t="s">
        <v>3632</v>
      </c>
    </row>
    <row r="1700" spans="1:1">
      <c r="A1700" t="s">
        <v>3634</v>
      </c>
    </row>
    <row r="1701" spans="1:1">
      <c r="A1701" t="s">
        <v>3636</v>
      </c>
    </row>
    <row r="1702" spans="1:1">
      <c r="A1702" t="s">
        <v>3638</v>
      </c>
    </row>
    <row r="1703" spans="1:1">
      <c r="A1703" t="s">
        <v>3640</v>
      </c>
    </row>
    <row r="1704" spans="1:1">
      <c r="A1704" t="s">
        <v>3642</v>
      </c>
    </row>
    <row r="1705" spans="1:1">
      <c r="A1705" t="s">
        <v>3644</v>
      </c>
    </row>
    <row r="1706" spans="1:1">
      <c r="A1706" t="s">
        <v>3646</v>
      </c>
    </row>
    <row r="1707" spans="1:1">
      <c r="A1707" t="s">
        <v>3648</v>
      </c>
    </row>
    <row r="1708" spans="1:1">
      <c r="A1708" t="s">
        <v>3651</v>
      </c>
    </row>
    <row r="1709" spans="1:1">
      <c r="A1709" t="s">
        <v>3653</v>
      </c>
    </row>
    <row r="1710" spans="1:1">
      <c r="A1710" t="s">
        <v>3656</v>
      </c>
    </row>
    <row r="1711" spans="1:1">
      <c r="A1711" t="s">
        <v>3658</v>
      </c>
    </row>
    <row r="1712" spans="1:1">
      <c r="A1712" t="s">
        <v>3660</v>
      </c>
    </row>
    <row r="1713" spans="1:1">
      <c r="A1713" t="s">
        <v>3662</v>
      </c>
    </row>
    <row r="1714" spans="1:1">
      <c r="A1714" t="s">
        <v>3664</v>
      </c>
    </row>
    <row r="1715" spans="1:1">
      <c r="A1715" t="s">
        <v>3666</v>
      </c>
    </row>
    <row r="1716" spans="1:1">
      <c r="A1716" t="s">
        <v>3669</v>
      </c>
    </row>
    <row r="1717" spans="1:1">
      <c r="A1717" t="s">
        <v>3671</v>
      </c>
    </row>
    <row r="1718" spans="1:1">
      <c r="A1718" t="s">
        <v>3673</v>
      </c>
    </row>
    <row r="1719" spans="1:1">
      <c r="A1719" t="s">
        <v>3675</v>
      </c>
    </row>
    <row r="1720" spans="1:1">
      <c r="A1720" t="s">
        <v>3677</v>
      </c>
    </row>
    <row r="1721" spans="1:1">
      <c r="A1721" t="s">
        <v>3679</v>
      </c>
    </row>
    <row r="1722" spans="1:1">
      <c r="A1722" t="s">
        <v>3681</v>
      </c>
    </row>
    <row r="1723" spans="1:1">
      <c r="A1723" t="s">
        <v>3683</v>
      </c>
    </row>
    <row r="1724" spans="1:1">
      <c r="A1724" t="s">
        <v>3685</v>
      </c>
    </row>
    <row r="1725" spans="1:1">
      <c r="A1725" t="s">
        <v>3687</v>
      </c>
    </row>
    <row r="1726" spans="1:1">
      <c r="A1726" t="s">
        <v>3689</v>
      </c>
    </row>
    <row r="1727" spans="1:1">
      <c r="A1727" t="s">
        <v>3691</v>
      </c>
    </row>
    <row r="1728" spans="1:1">
      <c r="A1728" t="s">
        <v>3693</v>
      </c>
    </row>
    <row r="1729" spans="1:1">
      <c r="A1729" t="s">
        <v>3695</v>
      </c>
    </row>
    <row r="1730" spans="1:1">
      <c r="A1730" t="s">
        <v>3697</v>
      </c>
    </row>
    <row r="1731" spans="1:1">
      <c r="A1731" t="s">
        <v>3699</v>
      </c>
    </row>
    <row r="1732" spans="1:1">
      <c r="A1732" t="s">
        <v>3701</v>
      </c>
    </row>
    <row r="1733" spans="1:1">
      <c r="A1733" t="s">
        <v>3703</v>
      </c>
    </row>
    <row r="1734" spans="1:1">
      <c r="A1734" t="s">
        <v>3705</v>
      </c>
    </row>
    <row r="1735" spans="1:1">
      <c r="A1735" t="s">
        <v>3708</v>
      </c>
    </row>
    <row r="1736" spans="1:1">
      <c r="A1736" t="s">
        <v>3710</v>
      </c>
    </row>
    <row r="1737" spans="1:1">
      <c r="A1737" t="s">
        <v>3712</v>
      </c>
    </row>
    <row r="1738" spans="1:1">
      <c r="A1738" t="s">
        <v>3714</v>
      </c>
    </row>
    <row r="1739" spans="1:1">
      <c r="A1739" t="s">
        <v>3716</v>
      </c>
    </row>
    <row r="1740" spans="1:1">
      <c r="A1740" t="s">
        <v>3718</v>
      </c>
    </row>
    <row r="1741" spans="1:1">
      <c r="A1741" t="s">
        <v>3721</v>
      </c>
    </row>
    <row r="1742" spans="1:1">
      <c r="A1742" t="s">
        <v>3723</v>
      </c>
    </row>
    <row r="1743" spans="1:1">
      <c r="A1743" t="s">
        <v>3725</v>
      </c>
    </row>
    <row r="1744" spans="1:1">
      <c r="A1744" t="s">
        <v>3728</v>
      </c>
    </row>
    <row r="1745" spans="1:1">
      <c r="A1745" t="s">
        <v>3730</v>
      </c>
    </row>
    <row r="1746" spans="1:1">
      <c r="A1746" t="s">
        <v>3732</v>
      </c>
    </row>
    <row r="1747" spans="1:1">
      <c r="A1747" t="s">
        <v>3734</v>
      </c>
    </row>
    <row r="1748" spans="1:1">
      <c r="A1748" t="s">
        <v>3736</v>
      </c>
    </row>
    <row r="1749" spans="1:1">
      <c r="A1749" t="s">
        <v>3738</v>
      </c>
    </row>
    <row r="1750" spans="1:1">
      <c r="A1750" t="s">
        <v>3740</v>
      </c>
    </row>
    <row r="1751" spans="1:1">
      <c r="A1751" t="s">
        <v>3742</v>
      </c>
    </row>
    <row r="1752" spans="1:1">
      <c r="A1752" t="s">
        <v>3744</v>
      </c>
    </row>
    <row r="1753" spans="1:1">
      <c r="A1753" t="s">
        <v>3746</v>
      </c>
    </row>
    <row r="1754" spans="1:1">
      <c r="A1754" t="s">
        <v>3748</v>
      </c>
    </row>
    <row r="1755" spans="1:1">
      <c r="A1755" t="s">
        <v>3750</v>
      </c>
    </row>
    <row r="1756" spans="1:1">
      <c r="A1756" t="s">
        <v>3752</v>
      </c>
    </row>
    <row r="1757" spans="1:1">
      <c r="A1757" t="s">
        <v>3754</v>
      </c>
    </row>
    <row r="1758" spans="1:1">
      <c r="A1758" t="s">
        <v>3756</v>
      </c>
    </row>
    <row r="1759" spans="1:1">
      <c r="A1759" t="s">
        <v>3758</v>
      </c>
    </row>
    <row r="1760" spans="1:1">
      <c r="A1760" t="s">
        <v>3760</v>
      </c>
    </row>
    <row r="1761" spans="1:1">
      <c r="A1761" t="s">
        <v>3762</v>
      </c>
    </row>
    <row r="1762" spans="1:1">
      <c r="A1762" t="s">
        <v>3764</v>
      </c>
    </row>
    <row r="1763" spans="1:1">
      <c r="A1763" t="s">
        <v>3766</v>
      </c>
    </row>
    <row r="1764" spans="1:1">
      <c r="A1764" t="s">
        <v>3768</v>
      </c>
    </row>
    <row r="1765" spans="1:1">
      <c r="A1765" t="s">
        <v>3770</v>
      </c>
    </row>
    <row r="1766" spans="1:1">
      <c r="A1766" t="s">
        <v>3772</v>
      </c>
    </row>
    <row r="1767" spans="1:1">
      <c r="A1767" t="s">
        <v>3775</v>
      </c>
    </row>
    <row r="1768" spans="1:1">
      <c r="A1768" t="s">
        <v>3777</v>
      </c>
    </row>
    <row r="1769" spans="1:1">
      <c r="A1769" t="s">
        <v>3779</v>
      </c>
    </row>
    <row r="1770" spans="1:1">
      <c r="A1770" t="s">
        <v>3780</v>
      </c>
    </row>
    <row r="1771" spans="1:1">
      <c r="A1771" t="s">
        <v>3782</v>
      </c>
    </row>
    <row r="1772" spans="1:1">
      <c r="A1772" t="s">
        <v>3784</v>
      </c>
    </row>
    <row r="1773" spans="1:1">
      <c r="A1773" t="s">
        <v>3786</v>
      </c>
    </row>
    <row r="1774" spans="1:1">
      <c r="A1774" t="s">
        <v>3788</v>
      </c>
    </row>
    <row r="1775" spans="1:1">
      <c r="A1775" t="s">
        <v>3790</v>
      </c>
    </row>
    <row r="1776" spans="1:1">
      <c r="A1776" t="s">
        <v>3792</v>
      </c>
    </row>
    <row r="1777" spans="1:1">
      <c r="A1777" t="s">
        <v>3794</v>
      </c>
    </row>
    <row r="1778" spans="1:1">
      <c r="A1778" t="s">
        <v>3796</v>
      </c>
    </row>
    <row r="1779" spans="1:1">
      <c r="A1779" t="s">
        <v>3798</v>
      </c>
    </row>
    <row r="1780" spans="1:1">
      <c r="A1780" t="s">
        <v>3800</v>
      </c>
    </row>
    <row r="1781" spans="1:1">
      <c r="A1781" t="s">
        <v>3802</v>
      </c>
    </row>
    <row r="1782" spans="1:1">
      <c r="A1782" t="s">
        <v>3804</v>
      </c>
    </row>
    <row r="1783" spans="1:1">
      <c r="A1783" t="s">
        <v>3806</v>
      </c>
    </row>
    <row r="1784" spans="1:1">
      <c r="A1784" t="s">
        <v>3808</v>
      </c>
    </row>
    <row r="1785" spans="1:1">
      <c r="A1785" t="s">
        <v>3809</v>
      </c>
    </row>
    <row r="1786" spans="1:1">
      <c r="A1786" t="s">
        <v>3811</v>
      </c>
    </row>
    <row r="1787" spans="1:1">
      <c r="A1787" t="s">
        <v>3813</v>
      </c>
    </row>
    <row r="1788" spans="1:1">
      <c r="A1788" t="s">
        <v>3815</v>
      </c>
    </row>
    <row r="1789" spans="1:1">
      <c r="A1789" t="s">
        <v>3817</v>
      </c>
    </row>
    <row r="1790" spans="1:1">
      <c r="A1790" t="s">
        <v>3819</v>
      </c>
    </row>
    <row r="1791" spans="1:1">
      <c r="A1791" t="s">
        <v>3821</v>
      </c>
    </row>
    <row r="1792" spans="1:1">
      <c r="A1792" t="s">
        <v>3823</v>
      </c>
    </row>
    <row r="1793" spans="1:1">
      <c r="A1793" t="s">
        <v>3825</v>
      </c>
    </row>
    <row r="1794" spans="1:1">
      <c r="A1794" t="s">
        <v>3827</v>
      </c>
    </row>
    <row r="1795" spans="1:1">
      <c r="A1795" t="s">
        <v>3829</v>
      </c>
    </row>
    <row r="1796" spans="1:1">
      <c r="A1796" t="s">
        <v>3831</v>
      </c>
    </row>
    <row r="1797" spans="1:1">
      <c r="A1797" t="s">
        <v>3833</v>
      </c>
    </row>
    <row r="1798" spans="1:1">
      <c r="A1798" t="s">
        <v>3835</v>
      </c>
    </row>
    <row r="1799" spans="1:1">
      <c r="A1799" t="s">
        <v>3837</v>
      </c>
    </row>
    <row r="1800" spans="1:1">
      <c r="A1800" t="s">
        <v>3839</v>
      </c>
    </row>
    <row r="1801" spans="1:1">
      <c r="A1801" t="s">
        <v>3841</v>
      </c>
    </row>
    <row r="1802" spans="1:1">
      <c r="A1802" t="s">
        <v>3843</v>
      </c>
    </row>
    <row r="1803" spans="1:1">
      <c r="A1803" t="s">
        <v>3845</v>
      </c>
    </row>
    <row r="1804" spans="1:1">
      <c r="A1804" t="s">
        <v>3847</v>
      </c>
    </row>
    <row r="1805" spans="1:1">
      <c r="A1805" t="s">
        <v>3849</v>
      </c>
    </row>
    <row r="1806" spans="1:1">
      <c r="A1806" t="s">
        <v>3851</v>
      </c>
    </row>
    <row r="1807" spans="1:1">
      <c r="A1807" t="s">
        <v>3853</v>
      </c>
    </row>
    <row r="1808" spans="1:1">
      <c r="A1808" t="s">
        <v>3855</v>
      </c>
    </row>
    <row r="1809" spans="1:1">
      <c r="A1809" t="s">
        <v>3857</v>
      </c>
    </row>
    <row r="1810" spans="1:1">
      <c r="A1810" t="s">
        <v>3859</v>
      </c>
    </row>
    <row r="1811" spans="1:1">
      <c r="A1811" t="s">
        <v>3861</v>
      </c>
    </row>
    <row r="1812" spans="1:1">
      <c r="A1812" t="s">
        <v>3863</v>
      </c>
    </row>
    <row r="1813" spans="1:1">
      <c r="A1813" t="s">
        <v>3866</v>
      </c>
    </row>
    <row r="1814" spans="1:1">
      <c r="A1814" t="s">
        <v>3868</v>
      </c>
    </row>
    <row r="1815" spans="1:1">
      <c r="A1815" t="s">
        <v>3870</v>
      </c>
    </row>
    <row r="1816" spans="1:1">
      <c r="A1816" t="s">
        <v>3872</v>
      </c>
    </row>
    <row r="1817" spans="1:1">
      <c r="A1817" t="s">
        <v>3874</v>
      </c>
    </row>
    <row r="1818" spans="1:1">
      <c r="A1818" t="s">
        <v>3876</v>
      </c>
    </row>
    <row r="1819" spans="1:1">
      <c r="A1819" t="s">
        <v>3878</v>
      </c>
    </row>
    <row r="1820" spans="1:1">
      <c r="A1820" t="s">
        <v>3880</v>
      </c>
    </row>
    <row r="1821" spans="1:1">
      <c r="A1821" t="s">
        <v>3882</v>
      </c>
    </row>
    <row r="1822" spans="1:1">
      <c r="A1822" t="s">
        <v>3885</v>
      </c>
    </row>
    <row r="1823" spans="1:1">
      <c r="A1823" t="s">
        <v>3887</v>
      </c>
    </row>
    <row r="1824" spans="1:1">
      <c r="A1824" t="s">
        <v>3889</v>
      </c>
    </row>
    <row r="1825" spans="1:1">
      <c r="A1825" t="s">
        <v>3891</v>
      </c>
    </row>
    <row r="1826" spans="1:1">
      <c r="A1826" t="s">
        <v>3893</v>
      </c>
    </row>
    <row r="1827" spans="1:1">
      <c r="A1827" t="s">
        <v>3895</v>
      </c>
    </row>
    <row r="1828" spans="1:1">
      <c r="A1828" t="s">
        <v>3897</v>
      </c>
    </row>
    <row r="1829" spans="1:1">
      <c r="A1829" t="s">
        <v>3899</v>
      </c>
    </row>
    <row r="1830" spans="1:1">
      <c r="A1830" t="s">
        <v>3901</v>
      </c>
    </row>
    <row r="1831" spans="1:1">
      <c r="A1831" t="s">
        <v>3903</v>
      </c>
    </row>
    <row r="1832" spans="1:1">
      <c r="A1832" t="s">
        <v>3905</v>
      </c>
    </row>
    <row r="1833" spans="1:1">
      <c r="A1833" t="s">
        <v>3908</v>
      </c>
    </row>
    <row r="1834" spans="1:1">
      <c r="A1834" t="s">
        <v>3909</v>
      </c>
    </row>
    <row r="1835" spans="1:1">
      <c r="A1835" t="s">
        <v>3911</v>
      </c>
    </row>
    <row r="1836" spans="1:1">
      <c r="A1836" t="s">
        <v>3913</v>
      </c>
    </row>
    <row r="1837" spans="1:1">
      <c r="A1837" t="s">
        <v>3915</v>
      </c>
    </row>
    <row r="1838" spans="1:1">
      <c r="A1838" t="s">
        <v>3917</v>
      </c>
    </row>
    <row r="1839" spans="1:1">
      <c r="A1839" t="s">
        <v>3919</v>
      </c>
    </row>
    <row r="1840" spans="1:1">
      <c r="A1840" t="s">
        <v>3922</v>
      </c>
    </row>
    <row r="1841" spans="1:1">
      <c r="A1841" t="s">
        <v>3924</v>
      </c>
    </row>
    <row r="1842" spans="1:1">
      <c r="A1842" t="s">
        <v>3926</v>
      </c>
    </row>
    <row r="1843" spans="1:1">
      <c r="A1843" t="s">
        <v>3928</v>
      </c>
    </row>
    <row r="1844" spans="1:1">
      <c r="A1844" t="s">
        <v>3930</v>
      </c>
    </row>
    <row r="1845" spans="1:1">
      <c r="A1845" t="s">
        <v>3932</v>
      </c>
    </row>
    <row r="1846" spans="1:1">
      <c r="A1846" t="s">
        <v>3934</v>
      </c>
    </row>
    <row r="1847" spans="1:1">
      <c r="A1847" t="s">
        <v>3936</v>
      </c>
    </row>
    <row r="1848" spans="1:1">
      <c r="A1848" t="s">
        <v>3938</v>
      </c>
    </row>
    <row r="1849" spans="1:1">
      <c r="A1849" t="s">
        <v>3940</v>
      </c>
    </row>
    <row r="1850" spans="1:1">
      <c r="A1850" t="s">
        <v>3942</v>
      </c>
    </row>
    <row r="1851" spans="1:1">
      <c r="A1851" t="s">
        <v>3944</v>
      </c>
    </row>
    <row r="1852" spans="1:1">
      <c r="A1852" t="s">
        <v>3946</v>
      </c>
    </row>
    <row r="1853" spans="1:1">
      <c r="A1853" t="s">
        <v>3949</v>
      </c>
    </row>
    <row r="1854" spans="1:1">
      <c r="A1854" t="s">
        <v>3951</v>
      </c>
    </row>
    <row r="1855" spans="1:1">
      <c r="A1855" t="s">
        <v>3953</v>
      </c>
    </row>
    <row r="1856" spans="1:1">
      <c r="A1856" t="s">
        <v>3955</v>
      </c>
    </row>
    <row r="1857" spans="1:1">
      <c r="A1857" t="s">
        <v>3957</v>
      </c>
    </row>
    <row r="1858" spans="1:1">
      <c r="A1858" t="s">
        <v>3960</v>
      </c>
    </row>
    <row r="1859" spans="1:1">
      <c r="A1859" t="s">
        <v>3962</v>
      </c>
    </row>
    <row r="1860" spans="1:1">
      <c r="A1860" t="s">
        <v>3964</v>
      </c>
    </row>
    <row r="1861" spans="1:1">
      <c r="A1861" t="s">
        <v>3966</v>
      </c>
    </row>
    <row r="1862" spans="1:1">
      <c r="A1862" t="s">
        <v>3968</v>
      </c>
    </row>
    <row r="1863" spans="1:1">
      <c r="A1863" t="s">
        <v>3970</v>
      </c>
    </row>
    <row r="1864" spans="1:1">
      <c r="A1864" t="s">
        <v>3972</v>
      </c>
    </row>
    <row r="1865" spans="1:1">
      <c r="A1865" t="s">
        <v>3974</v>
      </c>
    </row>
    <row r="1866" spans="1:1">
      <c r="A1866" t="s">
        <v>3976</v>
      </c>
    </row>
    <row r="1867" spans="1:1">
      <c r="A1867" t="s">
        <v>3977</v>
      </c>
    </row>
    <row r="1868" spans="1:1">
      <c r="A1868" t="s">
        <v>3979</v>
      </c>
    </row>
    <row r="1869" spans="1:1">
      <c r="A1869" t="s">
        <v>3981</v>
      </c>
    </row>
    <row r="1870" spans="1:1">
      <c r="A1870" t="s">
        <v>3983</v>
      </c>
    </row>
    <row r="1871" spans="1:1">
      <c r="A1871" t="s">
        <v>3985</v>
      </c>
    </row>
    <row r="1872" spans="1:1">
      <c r="A1872" t="s">
        <v>3987</v>
      </c>
    </row>
    <row r="1873" spans="1:1">
      <c r="A1873" t="s">
        <v>3989</v>
      </c>
    </row>
    <row r="1874" spans="1:1">
      <c r="A1874" t="s">
        <v>3991</v>
      </c>
    </row>
    <row r="1875" spans="1:1">
      <c r="A1875" t="s">
        <v>3993</v>
      </c>
    </row>
    <row r="1876" spans="1:1">
      <c r="A1876" t="s">
        <v>3995</v>
      </c>
    </row>
    <row r="1877" spans="1:1">
      <c r="A1877" t="s">
        <v>3997</v>
      </c>
    </row>
    <row r="1878" spans="1:1">
      <c r="A1878" t="s">
        <v>3999</v>
      </c>
    </row>
    <row r="1879" spans="1:1">
      <c r="A1879" t="s">
        <v>4001</v>
      </c>
    </row>
    <row r="1880" spans="1:1">
      <c r="A1880" t="s">
        <v>4003</v>
      </c>
    </row>
    <row r="1881" spans="1:1">
      <c r="A1881" t="s">
        <v>4005</v>
      </c>
    </row>
    <row r="1882" spans="1:1">
      <c r="A1882" t="s">
        <v>4007</v>
      </c>
    </row>
    <row r="1883" spans="1:1">
      <c r="A1883" t="s">
        <v>4009</v>
      </c>
    </row>
    <row r="1884" spans="1:1">
      <c r="A1884" t="s">
        <v>4011</v>
      </c>
    </row>
    <row r="1885" spans="1:1">
      <c r="A1885" t="s">
        <v>4013</v>
      </c>
    </row>
    <row r="1886" spans="1:1">
      <c r="A1886" t="s">
        <v>4015</v>
      </c>
    </row>
    <row r="1887" spans="1:1">
      <c r="A1887" t="s">
        <v>4017</v>
      </c>
    </row>
    <row r="1888" spans="1:1">
      <c r="A1888" t="s">
        <v>4019</v>
      </c>
    </row>
    <row r="1889" spans="1:1">
      <c r="A1889" t="s">
        <v>4021</v>
      </c>
    </row>
    <row r="1890" spans="1:1">
      <c r="A1890" t="s">
        <v>4023</v>
      </c>
    </row>
    <row r="1891" spans="1:1">
      <c r="A1891" t="s">
        <v>4025</v>
      </c>
    </row>
    <row r="1892" spans="1:1">
      <c r="A1892" t="s">
        <v>4027</v>
      </c>
    </row>
    <row r="1893" spans="1:1">
      <c r="A1893" t="s">
        <v>4029</v>
      </c>
    </row>
    <row r="1894" spans="1:1">
      <c r="A1894" t="s">
        <v>4031</v>
      </c>
    </row>
    <row r="1895" spans="1:1">
      <c r="A1895" t="s">
        <v>4033</v>
      </c>
    </row>
    <row r="1896" spans="1:1">
      <c r="A1896" t="s">
        <v>4036</v>
      </c>
    </row>
    <row r="1897" spans="1:1">
      <c r="A1897" t="s">
        <v>4038</v>
      </c>
    </row>
    <row r="1898" spans="1:1">
      <c r="A1898" t="s">
        <v>4040</v>
      </c>
    </row>
    <row r="1899" spans="1:1">
      <c r="A1899" t="s">
        <v>4042</v>
      </c>
    </row>
    <row r="1900" spans="1:1">
      <c r="A1900" t="s">
        <v>4044</v>
      </c>
    </row>
    <row r="1901" spans="1:1">
      <c r="A1901" t="s">
        <v>4046</v>
      </c>
    </row>
    <row r="1902" spans="1:1">
      <c r="A1902" t="s">
        <v>4048</v>
      </c>
    </row>
    <row r="1903" spans="1:1">
      <c r="A1903" t="s">
        <v>4050</v>
      </c>
    </row>
    <row r="1904" spans="1:1">
      <c r="A1904" t="s">
        <v>4052</v>
      </c>
    </row>
    <row r="1905" spans="1:1">
      <c r="A1905" t="s">
        <v>4054</v>
      </c>
    </row>
    <row r="1906" spans="1:1">
      <c r="A1906" t="s">
        <v>4057</v>
      </c>
    </row>
    <row r="1907" spans="1:1">
      <c r="A1907" t="s">
        <v>4059</v>
      </c>
    </row>
    <row r="1908" spans="1:1">
      <c r="A1908" t="s">
        <v>4062</v>
      </c>
    </row>
    <row r="1909" spans="1:1">
      <c r="A1909" t="s">
        <v>4064</v>
      </c>
    </row>
    <row r="1910" spans="1:1">
      <c r="A1910" t="s">
        <v>4066</v>
      </c>
    </row>
    <row r="1911" spans="1:1">
      <c r="A1911" t="s">
        <v>4068</v>
      </c>
    </row>
    <row r="1912" spans="1:1">
      <c r="A1912" t="s">
        <v>4070</v>
      </c>
    </row>
    <row r="1913" spans="1:1">
      <c r="A1913" t="s">
        <v>4072</v>
      </c>
    </row>
    <row r="1914" spans="1:1">
      <c r="A1914" t="s">
        <v>4074</v>
      </c>
    </row>
    <row r="1915" spans="1:1">
      <c r="A1915" t="s">
        <v>4077</v>
      </c>
    </row>
    <row r="1916" spans="1:1">
      <c r="A1916" t="s">
        <v>4079</v>
      </c>
    </row>
    <row r="1917" spans="1:1">
      <c r="A1917" t="s">
        <v>4082</v>
      </c>
    </row>
    <row r="1918" spans="1:1">
      <c r="A1918" t="s">
        <v>4084</v>
      </c>
    </row>
    <row r="1919" spans="1:1">
      <c r="A1919" t="s">
        <v>4086</v>
      </c>
    </row>
    <row r="1920" spans="1:1">
      <c r="A1920" t="s">
        <v>4088</v>
      </c>
    </row>
    <row r="1921" spans="1:1">
      <c r="A1921" t="s">
        <v>4090</v>
      </c>
    </row>
    <row r="1922" spans="1:1">
      <c r="A1922" t="s">
        <v>4092</v>
      </c>
    </row>
    <row r="1923" spans="1:1">
      <c r="A1923" t="s">
        <v>4094</v>
      </c>
    </row>
    <row r="1924" spans="1:1">
      <c r="A1924" t="s">
        <v>4096</v>
      </c>
    </row>
    <row r="1925" spans="1:1">
      <c r="A1925" t="s">
        <v>4098</v>
      </c>
    </row>
    <row r="1926" spans="1:1">
      <c r="A1926" t="s">
        <v>4100</v>
      </c>
    </row>
    <row r="1927" spans="1:1">
      <c r="A1927" t="s">
        <v>4102</v>
      </c>
    </row>
    <row r="1928" spans="1:1">
      <c r="A1928" t="s">
        <v>4104</v>
      </c>
    </row>
    <row r="1929" spans="1:1">
      <c r="A1929" t="s">
        <v>4106</v>
      </c>
    </row>
    <row r="1930" spans="1:1">
      <c r="A1930" t="s">
        <v>4108</v>
      </c>
    </row>
    <row r="1931" spans="1:1">
      <c r="A1931" t="s">
        <v>4110</v>
      </c>
    </row>
    <row r="1932" spans="1:1">
      <c r="A1932" t="s">
        <v>4112</v>
      </c>
    </row>
    <row r="1933" spans="1:1">
      <c r="A1933" t="s">
        <v>4114</v>
      </c>
    </row>
    <row r="1934" spans="1:1">
      <c r="A1934" t="s">
        <v>4116</v>
      </c>
    </row>
    <row r="1935" spans="1:1">
      <c r="A1935" t="s">
        <v>4118</v>
      </c>
    </row>
    <row r="1936" spans="1:1">
      <c r="A1936" t="s">
        <v>4120</v>
      </c>
    </row>
    <row r="1937" spans="1:1">
      <c r="A1937" t="s">
        <v>4122</v>
      </c>
    </row>
    <row r="1938" spans="1:1">
      <c r="A1938" t="s">
        <v>4125</v>
      </c>
    </row>
    <row r="1939" spans="1:1">
      <c r="A1939" t="s">
        <v>4127</v>
      </c>
    </row>
    <row r="1940" spans="1:1">
      <c r="A1940" t="s">
        <v>4129</v>
      </c>
    </row>
    <row r="1941" spans="1:1">
      <c r="A1941" t="s">
        <v>4131</v>
      </c>
    </row>
    <row r="1942" spans="1:1">
      <c r="A1942" t="s">
        <v>4133</v>
      </c>
    </row>
    <row r="1943" spans="1:1">
      <c r="A1943" t="s">
        <v>4135</v>
      </c>
    </row>
    <row r="1944" spans="1:1">
      <c r="A1944" t="s">
        <v>4137</v>
      </c>
    </row>
    <row r="1945" spans="1:1">
      <c r="A1945" t="s">
        <v>4139</v>
      </c>
    </row>
    <row r="1946" spans="1:1">
      <c r="A1946" t="s">
        <v>4141</v>
      </c>
    </row>
    <row r="1947" spans="1:1">
      <c r="A1947" t="s">
        <v>4143</v>
      </c>
    </row>
    <row r="1948" spans="1:1">
      <c r="A1948" t="s">
        <v>4146</v>
      </c>
    </row>
    <row r="1949" spans="1:1">
      <c r="A1949" t="s">
        <v>4148</v>
      </c>
    </row>
    <row r="1950" spans="1:1">
      <c r="A1950" t="s">
        <v>4150</v>
      </c>
    </row>
    <row r="1951" spans="1:1">
      <c r="A1951" t="s">
        <v>4152</v>
      </c>
    </row>
    <row r="1952" spans="1:1">
      <c r="A1952" t="s">
        <v>4154</v>
      </c>
    </row>
    <row r="1953" spans="1:1">
      <c r="A1953" t="s">
        <v>4156</v>
      </c>
    </row>
    <row r="1954" spans="1:1">
      <c r="A1954" t="s">
        <v>4158</v>
      </c>
    </row>
    <row r="1955" spans="1:1">
      <c r="A1955" t="s">
        <v>4159</v>
      </c>
    </row>
    <row r="1956" spans="1:1">
      <c r="A1956" t="s">
        <v>4161</v>
      </c>
    </row>
    <row r="1957" spans="1:1">
      <c r="A1957" t="s">
        <v>4162</v>
      </c>
    </row>
    <row r="1958" spans="1:1">
      <c r="A1958" t="s">
        <v>4164</v>
      </c>
    </row>
    <row r="1959" spans="1:1">
      <c r="A1959" t="s">
        <v>4166</v>
      </c>
    </row>
    <row r="1960" spans="1:1">
      <c r="A1960" t="s">
        <v>4168</v>
      </c>
    </row>
    <row r="1961" spans="1:1">
      <c r="A1961" t="s">
        <v>4170</v>
      </c>
    </row>
    <row r="1962" spans="1:1">
      <c r="A1962" t="s">
        <v>4172</v>
      </c>
    </row>
    <row r="1963" spans="1:1">
      <c r="A1963" t="s">
        <v>4174</v>
      </c>
    </row>
    <row r="1964" spans="1:1">
      <c r="A1964" t="s">
        <v>4176</v>
      </c>
    </row>
    <row r="1965" spans="1:1">
      <c r="A1965" t="s">
        <v>4178</v>
      </c>
    </row>
    <row r="1966" spans="1:1">
      <c r="A1966" t="s">
        <v>4180</v>
      </c>
    </row>
    <row r="1967" spans="1:1">
      <c r="A1967" t="s">
        <v>4182</v>
      </c>
    </row>
    <row r="1968" spans="1:1">
      <c r="A1968" t="s">
        <v>4184</v>
      </c>
    </row>
    <row r="1969" spans="1:1">
      <c r="A1969" t="s">
        <v>4186</v>
      </c>
    </row>
    <row r="1970" spans="1:1">
      <c r="A1970" t="s">
        <v>4188</v>
      </c>
    </row>
    <row r="1971" spans="1:1">
      <c r="A1971" t="s">
        <v>4190</v>
      </c>
    </row>
    <row r="1972" spans="1:1">
      <c r="A1972" t="s">
        <v>4192</v>
      </c>
    </row>
    <row r="1973" spans="1:1">
      <c r="A1973" t="s">
        <v>4194</v>
      </c>
    </row>
    <row r="1974" spans="1:1">
      <c r="A1974" t="s">
        <v>4196</v>
      </c>
    </row>
    <row r="1975" spans="1:1">
      <c r="A1975" t="s">
        <v>4198</v>
      </c>
    </row>
    <row r="1976" spans="1:1">
      <c r="A1976" t="s">
        <v>4200</v>
      </c>
    </row>
    <row r="1977" spans="1:1">
      <c r="A1977" t="s">
        <v>4202</v>
      </c>
    </row>
    <row r="1978" spans="1:1">
      <c r="A1978" t="s">
        <v>4204</v>
      </c>
    </row>
    <row r="1979" spans="1:1">
      <c r="A1979" t="s">
        <v>4206</v>
      </c>
    </row>
    <row r="1980" spans="1:1">
      <c r="A1980" t="s">
        <v>4208</v>
      </c>
    </row>
    <row r="1981" spans="1:1">
      <c r="A1981" t="s">
        <v>4210</v>
      </c>
    </row>
    <row r="1982" spans="1:1">
      <c r="A1982" t="s">
        <v>4212</v>
      </c>
    </row>
    <row r="1983" spans="1:1">
      <c r="A1983" t="s">
        <v>4214</v>
      </c>
    </row>
    <row r="1984" spans="1:1">
      <c r="A1984" t="s">
        <v>4216</v>
      </c>
    </row>
    <row r="1985" spans="1:1">
      <c r="A1985" t="s">
        <v>4218</v>
      </c>
    </row>
    <row r="1986" spans="1:1">
      <c r="A1986" t="s">
        <v>4220</v>
      </c>
    </row>
    <row r="1987" spans="1:1">
      <c r="A1987" t="s">
        <v>4222</v>
      </c>
    </row>
    <row r="1988" spans="1:1">
      <c r="A1988" t="s">
        <v>4224</v>
      </c>
    </row>
    <row r="1989" spans="1:1">
      <c r="A1989" t="s">
        <v>4226</v>
      </c>
    </row>
    <row r="1990" spans="1:1">
      <c r="A1990" t="s">
        <v>4228</v>
      </c>
    </row>
    <row r="1991" spans="1:1">
      <c r="A1991" t="s">
        <v>4231</v>
      </c>
    </row>
    <row r="1992" spans="1:1">
      <c r="A1992" t="s">
        <v>4233</v>
      </c>
    </row>
    <row r="1993" spans="1:1">
      <c r="A1993" t="s">
        <v>4235</v>
      </c>
    </row>
    <row r="1994" spans="1:1">
      <c r="A1994" t="s">
        <v>4237</v>
      </c>
    </row>
    <row r="1995" spans="1:1">
      <c r="A1995" t="s">
        <v>4239</v>
      </c>
    </row>
    <row r="1996" spans="1:1">
      <c r="A1996" t="s">
        <v>4241</v>
      </c>
    </row>
    <row r="1997" spans="1:1">
      <c r="A1997" t="s">
        <v>4243</v>
      </c>
    </row>
    <row r="1998" spans="1:1">
      <c r="A1998" t="s">
        <v>4245</v>
      </c>
    </row>
    <row r="1999" spans="1:1">
      <c r="A1999" t="s">
        <v>4247</v>
      </c>
    </row>
    <row r="2000" spans="1:1">
      <c r="A2000" t="s">
        <v>4249</v>
      </c>
    </row>
    <row r="2001" spans="1:1">
      <c r="A2001" t="s">
        <v>4251</v>
      </c>
    </row>
    <row r="2002" spans="1:1">
      <c r="A2002" t="s">
        <v>4253</v>
      </c>
    </row>
    <row r="2003" spans="1:1">
      <c r="A2003" t="s">
        <v>4255</v>
      </c>
    </row>
    <row r="2004" spans="1:1">
      <c r="A2004" t="s">
        <v>4257</v>
      </c>
    </row>
    <row r="2005" spans="1:1">
      <c r="A2005" t="s">
        <v>4259</v>
      </c>
    </row>
    <row r="2006" spans="1:1">
      <c r="A2006" t="s">
        <v>4261</v>
      </c>
    </row>
    <row r="2007" spans="1:1">
      <c r="A2007" t="s">
        <v>4263</v>
      </c>
    </row>
    <row r="2008" spans="1:1">
      <c r="A2008" t="s">
        <v>4265</v>
      </c>
    </row>
    <row r="2009" spans="1:1">
      <c r="A2009" t="s">
        <v>4267</v>
      </c>
    </row>
    <row r="2010" spans="1:1">
      <c r="A2010" t="s">
        <v>4269</v>
      </c>
    </row>
    <row r="2011" spans="1:1">
      <c r="A2011" t="s">
        <v>4271</v>
      </c>
    </row>
    <row r="2012" spans="1:1">
      <c r="A2012" t="s">
        <v>4273</v>
      </c>
    </row>
    <row r="2013" spans="1:1">
      <c r="A2013" t="s">
        <v>4275</v>
      </c>
    </row>
    <row r="2014" spans="1:1">
      <c r="A2014" t="s">
        <v>4277</v>
      </c>
    </row>
    <row r="2015" spans="1:1">
      <c r="A2015" t="s">
        <v>4279</v>
      </c>
    </row>
    <row r="2016" spans="1:1">
      <c r="A2016" t="s">
        <v>4281</v>
      </c>
    </row>
    <row r="2017" spans="1:1">
      <c r="A2017" t="s">
        <v>4283</v>
      </c>
    </row>
    <row r="2018" spans="1:1">
      <c r="A2018" t="s">
        <v>4285</v>
      </c>
    </row>
    <row r="2019" spans="1:1">
      <c r="A2019" t="s">
        <v>4286</v>
      </c>
    </row>
    <row r="2020" spans="1:1">
      <c r="A2020" t="s">
        <v>4288</v>
      </c>
    </row>
    <row r="2021" spans="1:1">
      <c r="A2021" t="s">
        <v>4290</v>
      </c>
    </row>
    <row r="2022" spans="1:1">
      <c r="A2022" t="s">
        <v>4292</v>
      </c>
    </row>
    <row r="2023" spans="1:1">
      <c r="A2023" t="s">
        <v>4294</v>
      </c>
    </row>
    <row r="2024" spans="1:1">
      <c r="A2024" t="s">
        <v>4296</v>
      </c>
    </row>
    <row r="2025" spans="1:1">
      <c r="A2025" t="s">
        <v>4297</v>
      </c>
    </row>
    <row r="2026" spans="1:1">
      <c r="A2026" t="s">
        <v>4299</v>
      </c>
    </row>
    <row r="2027" spans="1:1">
      <c r="A2027" t="s">
        <v>4302</v>
      </c>
    </row>
    <row r="2028" spans="1:1">
      <c r="A2028" t="s">
        <v>4304</v>
      </c>
    </row>
    <row r="2029" spans="1:1">
      <c r="A2029" t="s">
        <v>4306</v>
      </c>
    </row>
    <row r="2030" spans="1:1">
      <c r="A2030" t="s">
        <v>4308</v>
      </c>
    </row>
    <row r="2031" spans="1:1">
      <c r="A2031" t="s">
        <v>4310</v>
      </c>
    </row>
    <row r="2032" spans="1:1">
      <c r="A2032" t="s">
        <v>4312</v>
      </c>
    </row>
    <row r="2033" spans="1:1">
      <c r="A2033" t="s">
        <v>4314</v>
      </c>
    </row>
    <row r="2034" spans="1:1">
      <c r="A2034" t="s">
        <v>4316</v>
      </c>
    </row>
    <row r="2035" spans="1:1">
      <c r="A2035" t="s">
        <v>4318</v>
      </c>
    </row>
    <row r="2036" spans="1:1">
      <c r="A2036" t="s">
        <v>4320</v>
      </c>
    </row>
    <row r="2037" spans="1:1">
      <c r="A2037" t="s">
        <v>4322</v>
      </c>
    </row>
    <row r="2038" spans="1:1">
      <c r="A2038" t="s">
        <v>4324</v>
      </c>
    </row>
    <row r="2039" spans="1:1">
      <c r="A2039" t="s">
        <v>4326</v>
      </c>
    </row>
    <row r="2040" spans="1:1">
      <c r="A2040" t="s">
        <v>4328</v>
      </c>
    </row>
    <row r="2041" spans="1:1">
      <c r="A2041" t="s">
        <v>4330</v>
      </c>
    </row>
    <row r="2042" spans="1:1">
      <c r="A2042" t="s">
        <v>4332</v>
      </c>
    </row>
    <row r="2043" spans="1:1">
      <c r="A2043" t="s">
        <v>4334</v>
      </c>
    </row>
    <row r="2044" spans="1:1">
      <c r="A2044" t="s">
        <v>4336</v>
      </c>
    </row>
    <row r="2045" spans="1:1">
      <c r="A2045" t="s">
        <v>4338</v>
      </c>
    </row>
    <row r="2046" spans="1:1">
      <c r="A2046" t="s">
        <v>4340</v>
      </c>
    </row>
    <row r="2047" spans="1:1">
      <c r="A2047" t="s">
        <v>4342</v>
      </c>
    </row>
    <row r="2048" spans="1:1">
      <c r="A2048" t="s">
        <v>4344</v>
      </c>
    </row>
    <row r="2049" spans="1:1">
      <c r="A2049" t="s">
        <v>4346</v>
      </c>
    </row>
    <row r="2050" spans="1:1">
      <c r="A2050" t="s">
        <v>4348</v>
      </c>
    </row>
    <row r="2051" spans="1:1">
      <c r="A2051" t="s">
        <v>4350</v>
      </c>
    </row>
    <row r="2052" spans="1:1">
      <c r="A2052" t="s">
        <v>4352</v>
      </c>
    </row>
    <row r="2053" spans="1:1">
      <c r="A2053" t="s">
        <v>4354</v>
      </c>
    </row>
    <row r="2054" spans="1:1">
      <c r="A2054" t="s">
        <v>4356</v>
      </c>
    </row>
    <row r="2055" spans="1:1">
      <c r="A2055" t="s">
        <v>4358</v>
      </c>
    </row>
    <row r="2056" spans="1:1">
      <c r="A2056" t="s">
        <v>4360</v>
      </c>
    </row>
    <row r="2057" spans="1:1">
      <c r="A2057" t="s">
        <v>4362</v>
      </c>
    </row>
    <row r="2058" spans="1:1">
      <c r="A2058" t="s">
        <v>4364</v>
      </c>
    </row>
    <row r="2059" spans="1:1">
      <c r="A2059" t="s">
        <v>4366</v>
      </c>
    </row>
    <row r="2060" spans="1:1">
      <c r="A2060" t="s">
        <v>4368</v>
      </c>
    </row>
    <row r="2061" spans="1:1">
      <c r="A2061" t="s">
        <v>4370</v>
      </c>
    </row>
    <row r="2062" spans="1:1">
      <c r="A2062" t="s">
        <v>4372</v>
      </c>
    </row>
    <row r="2063" spans="1:1">
      <c r="A2063" t="s">
        <v>4374</v>
      </c>
    </row>
    <row r="2064" spans="1:1">
      <c r="A2064" t="s">
        <v>4376</v>
      </c>
    </row>
    <row r="2065" spans="1:1">
      <c r="A2065" t="s">
        <v>4378</v>
      </c>
    </row>
    <row r="2066" spans="1:1">
      <c r="A2066" t="s">
        <v>4380</v>
      </c>
    </row>
    <row r="2067" spans="1:1">
      <c r="A2067" t="s">
        <v>4382</v>
      </c>
    </row>
    <row r="2068" spans="1:1">
      <c r="A2068" t="s">
        <v>4384</v>
      </c>
    </row>
    <row r="2069" spans="1:1">
      <c r="A2069" t="s">
        <v>4386</v>
      </c>
    </row>
    <row r="2070" spans="1:1">
      <c r="A2070" t="s">
        <v>4389</v>
      </c>
    </row>
    <row r="2071" spans="1:1">
      <c r="A2071" t="s">
        <v>4392</v>
      </c>
    </row>
    <row r="2072" spans="1:1">
      <c r="A2072" t="s">
        <v>4394</v>
      </c>
    </row>
    <row r="2073" spans="1:1">
      <c r="A2073" t="s">
        <v>4396</v>
      </c>
    </row>
    <row r="2074" spans="1:1">
      <c r="A2074" t="s">
        <v>4398</v>
      </c>
    </row>
    <row r="2075" spans="1:1">
      <c r="A2075" t="s">
        <v>4400</v>
      </c>
    </row>
    <row r="2076" spans="1:1">
      <c r="A2076" t="s">
        <v>4402</v>
      </c>
    </row>
    <row r="2077" spans="1:1">
      <c r="A2077" t="s">
        <v>4404</v>
      </c>
    </row>
    <row r="2078" spans="1:1">
      <c r="A2078" t="s">
        <v>4406</v>
      </c>
    </row>
    <row r="2079" spans="1:1">
      <c r="A2079" t="s">
        <v>4408</v>
      </c>
    </row>
    <row r="2080" spans="1:1">
      <c r="A2080" t="s">
        <v>4410</v>
      </c>
    </row>
    <row r="2081" spans="1:1">
      <c r="A2081" t="s">
        <v>4412</v>
      </c>
    </row>
    <row r="2082" spans="1:1">
      <c r="A2082" t="s">
        <v>4414</v>
      </c>
    </row>
    <row r="2083" spans="1:1">
      <c r="A2083" t="s">
        <v>4416</v>
      </c>
    </row>
    <row r="2084" spans="1:1">
      <c r="A2084" t="s">
        <v>4418</v>
      </c>
    </row>
    <row r="2085" spans="1:1">
      <c r="A2085" t="s">
        <v>4420</v>
      </c>
    </row>
    <row r="2086" spans="1:1">
      <c r="A2086" t="s">
        <v>4422</v>
      </c>
    </row>
    <row r="2087" spans="1:1">
      <c r="A2087" t="s">
        <v>4424</v>
      </c>
    </row>
    <row r="2088" spans="1:1">
      <c r="A2088" t="s">
        <v>4426</v>
      </c>
    </row>
    <row r="2089" spans="1:1">
      <c r="A2089" t="s">
        <v>4428</v>
      </c>
    </row>
    <row r="2090" spans="1:1">
      <c r="A2090" t="s">
        <v>4430</v>
      </c>
    </row>
    <row r="2091" spans="1:1">
      <c r="A2091" t="s">
        <v>4432</v>
      </c>
    </row>
    <row r="2092" spans="1:1">
      <c r="A2092" t="s">
        <v>4434</v>
      </c>
    </row>
    <row r="2093" spans="1:1">
      <c r="A2093" t="s">
        <v>4436</v>
      </c>
    </row>
    <row r="2094" spans="1:1">
      <c r="A2094" t="s">
        <v>4438</v>
      </c>
    </row>
    <row r="2095" spans="1:1">
      <c r="A2095" t="s">
        <v>4440</v>
      </c>
    </row>
    <row r="2096" spans="1:1">
      <c r="A2096" t="s">
        <v>4442</v>
      </c>
    </row>
    <row r="2097" spans="1:1">
      <c r="A2097" t="s">
        <v>4444</v>
      </c>
    </row>
    <row r="2098" spans="1:1">
      <c r="A2098" t="s">
        <v>4446</v>
      </c>
    </row>
    <row r="2099" spans="1:1">
      <c r="A2099" t="s">
        <v>4448</v>
      </c>
    </row>
    <row r="2100" spans="1:1">
      <c r="A2100" t="s">
        <v>4450</v>
      </c>
    </row>
    <row r="2101" spans="1:1">
      <c r="A2101" t="s">
        <v>4451</v>
      </c>
    </row>
    <row r="2102" spans="1:1">
      <c r="A2102" t="s">
        <v>4453</v>
      </c>
    </row>
    <row r="2103" spans="1:1">
      <c r="A2103" t="s">
        <v>4455</v>
      </c>
    </row>
    <row r="2104" spans="1:1">
      <c r="A2104" t="s">
        <v>4458</v>
      </c>
    </row>
    <row r="2105" spans="1:1">
      <c r="A2105" t="s">
        <v>4460</v>
      </c>
    </row>
    <row r="2106" spans="1:1">
      <c r="A2106" t="s">
        <v>4462</v>
      </c>
    </row>
    <row r="2107" spans="1:1">
      <c r="A2107" t="s">
        <v>4464</v>
      </c>
    </row>
    <row r="2108" spans="1:1">
      <c r="A2108" t="s">
        <v>4466</v>
      </c>
    </row>
    <row r="2109" spans="1:1">
      <c r="A2109" t="s">
        <v>4468</v>
      </c>
    </row>
    <row r="2110" spans="1:1">
      <c r="A2110" t="s">
        <v>4470</v>
      </c>
    </row>
    <row r="2111" spans="1:1">
      <c r="A2111" t="s">
        <v>4472</v>
      </c>
    </row>
    <row r="2112" spans="1:1">
      <c r="A2112" t="s">
        <v>4474</v>
      </c>
    </row>
    <row r="2113" spans="1:1">
      <c r="A2113" t="s">
        <v>4476</v>
      </c>
    </row>
    <row r="2114" spans="1:1">
      <c r="A2114" t="s">
        <v>4478</v>
      </c>
    </row>
    <row r="2115" spans="1:1">
      <c r="A2115" t="s">
        <v>4479</v>
      </c>
    </row>
    <row r="2116" spans="1:1">
      <c r="A2116" t="s">
        <v>4480</v>
      </c>
    </row>
    <row r="2117" spans="1:1">
      <c r="A2117" t="s">
        <v>4481</v>
      </c>
    </row>
    <row r="2118" spans="1:1">
      <c r="A2118" t="s">
        <v>4483</v>
      </c>
    </row>
    <row r="2119" spans="1:1">
      <c r="A2119" t="s">
        <v>4484</v>
      </c>
    </row>
    <row r="2120" spans="1:1">
      <c r="A2120" t="s">
        <v>4486</v>
      </c>
    </row>
    <row r="2121" spans="1:1">
      <c r="A2121" t="s">
        <v>4488</v>
      </c>
    </row>
    <row r="2122" spans="1:1">
      <c r="A2122" t="s">
        <v>4490</v>
      </c>
    </row>
    <row r="2123" spans="1:1">
      <c r="A2123" t="s">
        <v>4492</v>
      </c>
    </row>
    <row r="2124" spans="1:1">
      <c r="A2124" t="s">
        <v>4494</v>
      </c>
    </row>
    <row r="2125" spans="1:1">
      <c r="A2125" t="s">
        <v>4495</v>
      </c>
    </row>
    <row r="2126" spans="1:1">
      <c r="A2126" t="s">
        <v>4497</v>
      </c>
    </row>
    <row r="2127" spans="1:1">
      <c r="A2127" t="s">
        <v>4499</v>
      </c>
    </row>
    <row r="2128" spans="1:1">
      <c r="A2128" t="s">
        <v>4500</v>
      </c>
    </row>
    <row r="2129" spans="1:1">
      <c r="A2129" t="s">
        <v>4502</v>
      </c>
    </row>
    <row r="2130" spans="1:1">
      <c r="A2130" t="s">
        <v>4504</v>
      </c>
    </row>
    <row r="2131" spans="1:1">
      <c r="A2131" t="s">
        <v>4506</v>
      </c>
    </row>
    <row r="2132" spans="1:1">
      <c r="A2132" t="s">
        <v>4507</v>
      </c>
    </row>
    <row r="2133" spans="1:1">
      <c r="A2133" t="s">
        <v>4509</v>
      </c>
    </row>
    <row r="2134" spans="1:1">
      <c r="A2134" t="s">
        <v>4510</v>
      </c>
    </row>
    <row r="2135" spans="1:1">
      <c r="A2135" t="s">
        <v>4512</v>
      </c>
    </row>
    <row r="2136" spans="1:1">
      <c r="A2136" t="s">
        <v>4514</v>
      </c>
    </row>
    <row r="2137" spans="1:1">
      <c r="A2137" t="s">
        <v>4516</v>
      </c>
    </row>
    <row r="2138" spans="1:1">
      <c r="A2138" t="s">
        <v>4517</v>
      </c>
    </row>
    <row r="2139" spans="1:1">
      <c r="A2139" t="s">
        <v>4519</v>
      </c>
    </row>
    <row r="2140" spans="1:1">
      <c r="A2140" t="s">
        <v>4521</v>
      </c>
    </row>
    <row r="2141" spans="1:1">
      <c r="A2141" t="s">
        <v>4523</v>
      </c>
    </row>
    <row r="2142" spans="1:1">
      <c r="A2142" t="s">
        <v>4525</v>
      </c>
    </row>
    <row r="2143" spans="1:1">
      <c r="A2143" t="s">
        <v>4527</v>
      </c>
    </row>
    <row r="2144" spans="1:1">
      <c r="A2144" t="s">
        <v>4529</v>
      </c>
    </row>
    <row r="2145" spans="1:1">
      <c r="A2145" t="s">
        <v>4531</v>
      </c>
    </row>
    <row r="2146" spans="1:1">
      <c r="A2146" t="s">
        <v>4532</v>
      </c>
    </row>
    <row r="2147" spans="1:1">
      <c r="A2147" t="s">
        <v>4534</v>
      </c>
    </row>
    <row r="2148" spans="1:1">
      <c r="A2148" t="s">
        <v>4536</v>
      </c>
    </row>
    <row r="2149" spans="1:1">
      <c r="A2149" t="s">
        <v>4538</v>
      </c>
    </row>
    <row r="2150" spans="1:1">
      <c r="A2150" t="s">
        <v>4540</v>
      </c>
    </row>
    <row r="2151" spans="1:1">
      <c r="A2151" t="s">
        <v>4542</v>
      </c>
    </row>
    <row r="2152" spans="1:1">
      <c r="A2152" t="s">
        <v>4544</v>
      </c>
    </row>
    <row r="2153" spans="1:1">
      <c r="A2153" t="s">
        <v>4546</v>
      </c>
    </row>
    <row r="2154" spans="1:1">
      <c r="A2154" t="s">
        <v>4548</v>
      </c>
    </row>
    <row r="2155" spans="1:1">
      <c r="A2155" t="s">
        <v>4550</v>
      </c>
    </row>
    <row r="2156" spans="1:1">
      <c r="A2156" t="s">
        <v>4552</v>
      </c>
    </row>
    <row r="2157" spans="1:1">
      <c r="A2157" t="s">
        <v>4554</v>
      </c>
    </row>
    <row r="2158" spans="1:1">
      <c r="A2158" t="s">
        <v>4556</v>
      </c>
    </row>
    <row r="2159" spans="1:1">
      <c r="A2159" t="s">
        <v>4558</v>
      </c>
    </row>
    <row r="2160" spans="1:1">
      <c r="A2160" t="s">
        <v>4560</v>
      </c>
    </row>
    <row r="2161" spans="1:1">
      <c r="A2161" t="s">
        <v>4562</v>
      </c>
    </row>
    <row r="2162" spans="1:1">
      <c r="A2162" t="s">
        <v>4564</v>
      </c>
    </row>
    <row r="2163" spans="1:1">
      <c r="A2163" t="s">
        <v>4566</v>
      </c>
    </row>
    <row r="2164" spans="1:1">
      <c r="A2164" t="s">
        <v>4568</v>
      </c>
    </row>
    <row r="2165" spans="1:1">
      <c r="A2165" t="s">
        <v>4570</v>
      </c>
    </row>
    <row r="2166" spans="1:1">
      <c r="A2166" t="s">
        <v>4572</v>
      </c>
    </row>
    <row r="2167" spans="1:1">
      <c r="A2167" t="s">
        <v>4574</v>
      </c>
    </row>
    <row r="2168" spans="1:1">
      <c r="A2168" t="s">
        <v>4576</v>
      </c>
    </row>
    <row r="2169" spans="1:1">
      <c r="A2169" t="s">
        <v>4578</v>
      </c>
    </row>
    <row r="2170" spans="1:1">
      <c r="A2170" t="s">
        <v>4580</v>
      </c>
    </row>
    <row r="2171" spans="1:1">
      <c r="A2171" t="s">
        <v>4582</v>
      </c>
    </row>
    <row r="2172" spans="1:1">
      <c r="A2172" t="s">
        <v>4584</v>
      </c>
    </row>
    <row r="2173" spans="1:1">
      <c r="A2173" t="s">
        <v>4586</v>
      </c>
    </row>
    <row r="2174" spans="1:1">
      <c r="A2174" t="s">
        <v>4588</v>
      </c>
    </row>
    <row r="2175" spans="1:1">
      <c r="A2175" t="s">
        <v>4590</v>
      </c>
    </row>
    <row r="2176" spans="1:1">
      <c r="A2176" t="s">
        <v>4592</v>
      </c>
    </row>
    <row r="2177" spans="1:1">
      <c r="A2177" t="s">
        <v>4594</v>
      </c>
    </row>
    <row r="2178" spans="1:1">
      <c r="A2178" t="s">
        <v>4596</v>
      </c>
    </row>
    <row r="2179" spans="1:1">
      <c r="A2179" t="s">
        <v>4598</v>
      </c>
    </row>
    <row r="2180" spans="1:1">
      <c r="A2180" t="s">
        <v>4600</v>
      </c>
    </row>
    <row r="2181" spans="1:1">
      <c r="A2181" t="s">
        <v>4601</v>
      </c>
    </row>
    <row r="2182" spans="1:1">
      <c r="A2182" t="s">
        <v>4603</v>
      </c>
    </row>
    <row r="2183" spans="1:1">
      <c r="A2183" t="s">
        <v>4605</v>
      </c>
    </row>
    <row r="2184" spans="1:1">
      <c r="A2184" t="s">
        <v>4607</v>
      </c>
    </row>
    <row r="2185" spans="1:1">
      <c r="A2185" t="s">
        <v>4609</v>
      </c>
    </row>
    <row r="2186" spans="1:1">
      <c r="A2186" t="s">
        <v>4610</v>
      </c>
    </row>
    <row r="2187" spans="1:1">
      <c r="A2187" t="s">
        <v>4612</v>
      </c>
    </row>
    <row r="2188" spans="1:1">
      <c r="A2188" t="s">
        <v>4614</v>
      </c>
    </row>
    <row r="2189" spans="1:1">
      <c r="A2189" t="s">
        <v>4616</v>
      </c>
    </row>
    <row r="2190" spans="1:1">
      <c r="A2190" t="s">
        <v>4618</v>
      </c>
    </row>
    <row r="2191" spans="1:1">
      <c r="A2191" t="s">
        <v>4620</v>
      </c>
    </row>
    <row r="2192" spans="1:1">
      <c r="A2192" t="s">
        <v>4622</v>
      </c>
    </row>
    <row r="2193" spans="1:1">
      <c r="A2193" t="s">
        <v>4624</v>
      </c>
    </row>
    <row r="2194" spans="1:1">
      <c r="A2194" t="s">
        <v>4626</v>
      </c>
    </row>
    <row r="2195" spans="1:1">
      <c r="A2195" t="s">
        <v>4628</v>
      </c>
    </row>
    <row r="2196" spans="1:1">
      <c r="A2196" t="s">
        <v>4630</v>
      </c>
    </row>
    <row r="2197" spans="1:1">
      <c r="A2197" t="s">
        <v>4632</v>
      </c>
    </row>
    <row r="2198" spans="1:1">
      <c r="A2198" t="s">
        <v>4634</v>
      </c>
    </row>
    <row r="2199" spans="1:1">
      <c r="A2199" t="s">
        <v>4636</v>
      </c>
    </row>
    <row r="2200" spans="1:1">
      <c r="A2200" t="s">
        <v>4637</v>
      </c>
    </row>
    <row r="2201" spans="1:1">
      <c r="A2201" t="s">
        <v>4639</v>
      </c>
    </row>
    <row r="2202" spans="1:1">
      <c r="A2202" t="s">
        <v>4641</v>
      </c>
    </row>
    <row r="2203" spans="1:1">
      <c r="A2203" t="s">
        <v>4643</v>
      </c>
    </row>
    <row r="2204" spans="1:1">
      <c r="A2204" t="s">
        <v>4644</v>
      </c>
    </row>
    <row r="2205" spans="1:1">
      <c r="A2205" t="s">
        <v>4646</v>
      </c>
    </row>
    <row r="2206" spans="1:1">
      <c r="A2206" t="s">
        <v>4648</v>
      </c>
    </row>
    <row r="2207" spans="1:1">
      <c r="A2207" t="s">
        <v>4650</v>
      </c>
    </row>
    <row r="2208" spans="1:1">
      <c r="A2208" t="s">
        <v>4652</v>
      </c>
    </row>
    <row r="2209" spans="1:1">
      <c r="A2209" t="s">
        <v>4654</v>
      </c>
    </row>
    <row r="2210" spans="1:1">
      <c r="A2210" t="s">
        <v>4656</v>
      </c>
    </row>
    <row r="2211" spans="1:1">
      <c r="A2211" t="s">
        <v>4658</v>
      </c>
    </row>
    <row r="2212" spans="1:1">
      <c r="A2212" t="s">
        <v>4660</v>
      </c>
    </row>
    <row r="2213" spans="1:1">
      <c r="A2213" t="s">
        <v>4662</v>
      </c>
    </row>
    <row r="2214" spans="1:1">
      <c r="A2214" t="s">
        <v>4664</v>
      </c>
    </row>
    <row r="2215" spans="1:1">
      <c r="A2215" t="s">
        <v>4666</v>
      </c>
    </row>
    <row r="2216" spans="1:1">
      <c r="A2216" t="s">
        <v>4668</v>
      </c>
    </row>
    <row r="2217" spans="1:1">
      <c r="A2217" t="s">
        <v>4670</v>
      </c>
    </row>
    <row r="2218" spans="1:1">
      <c r="A2218" t="s">
        <v>4672</v>
      </c>
    </row>
    <row r="2219" spans="1:1">
      <c r="A2219" t="s">
        <v>4674</v>
      </c>
    </row>
    <row r="2220" spans="1:1">
      <c r="A2220" t="s">
        <v>4676</v>
      </c>
    </row>
    <row r="2221" spans="1:1">
      <c r="A2221" t="s">
        <v>4678</v>
      </c>
    </row>
    <row r="2222" spans="1:1">
      <c r="A2222" t="s">
        <v>4680</v>
      </c>
    </row>
    <row r="2223" spans="1:1">
      <c r="A2223" t="s">
        <v>4682</v>
      </c>
    </row>
    <row r="2224" spans="1:1">
      <c r="A2224" t="s">
        <v>4684</v>
      </c>
    </row>
    <row r="2225" spans="1:1">
      <c r="A2225" t="s">
        <v>4686</v>
      </c>
    </row>
    <row r="2226" spans="1:1">
      <c r="A2226" t="s">
        <v>4688</v>
      </c>
    </row>
    <row r="2227" spans="1:1">
      <c r="A2227" t="s">
        <v>4690</v>
      </c>
    </row>
    <row r="2228" spans="1:1">
      <c r="A2228" t="s">
        <v>4692</v>
      </c>
    </row>
    <row r="2229" spans="1:1">
      <c r="A2229" t="s">
        <v>4694</v>
      </c>
    </row>
    <row r="2230" spans="1:1">
      <c r="A2230" t="s">
        <v>4695</v>
      </c>
    </row>
    <row r="2231" spans="1:1">
      <c r="A2231" t="s">
        <v>4697</v>
      </c>
    </row>
    <row r="2232" spans="1:1">
      <c r="A2232" t="s">
        <v>4699</v>
      </c>
    </row>
    <row r="2233" spans="1:1">
      <c r="A2233" t="s">
        <v>4700</v>
      </c>
    </row>
    <row r="2234" spans="1:1">
      <c r="A2234" t="s">
        <v>4702</v>
      </c>
    </row>
    <row r="2235" spans="1:1">
      <c r="A2235" t="s">
        <v>4704</v>
      </c>
    </row>
    <row r="2236" spans="1:1">
      <c r="A2236" t="s">
        <v>4706</v>
      </c>
    </row>
    <row r="2237" spans="1:1">
      <c r="A2237" t="s">
        <v>4708</v>
      </c>
    </row>
    <row r="2238" spans="1:1">
      <c r="A2238" t="s">
        <v>4710</v>
      </c>
    </row>
    <row r="2239" spans="1:1">
      <c r="A2239" t="s">
        <v>4712</v>
      </c>
    </row>
    <row r="2240" spans="1:1">
      <c r="A2240" t="s">
        <v>4714</v>
      </c>
    </row>
    <row r="2241" spans="1:1">
      <c r="A2241" t="s">
        <v>4716</v>
      </c>
    </row>
    <row r="2242" spans="1:1">
      <c r="A2242" t="s">
        <v>4717</v>
      </c>
    </row>
    <row r="2243" spans="1:1">
      <c r="A2243" t="s">
        <v>4719</v>
      </c>
    </row>
    <row r="2244" spans="1:1">
      <c r="A2244" t="s">
        <v>4721</v>
      </c>
    </row>
    <row r="2245" spans="1:1">
      <c r="A2245" t="s">
        <v>4723</v>
      </c>
    </row>
    <row r="2246" spans="1:1">
      <c r="A2246" t="s">
        <v>4725</v>
      </c>
    </row>
    <row r="2247" spans="1:1">
      <c r="A2247" t="s">
        <v>4727</v>
      </c>
    </row>
    <row r="2248" spans="1:1">
      <c r="A2248" t="s">
        <v>4729</v>
      </c>
    </row>
    <row r="2249" spans="1:1">
      <c r="A2249" t="s">
        <v>4731</v>
      </c>
    </row>
    <row r="2250" spans="1:1">
      <c r="A2250" t="s">
        <v>4733</v>
      </c>
    </row>
    <row r="2251" spans="1:1">
      <c r="A2251" t="s">
        <v>4735</v>
      </c>
    </row>
    <row r="2252" spans="1:1">
      <c r="A2252" t="s">
        <v>4737</v>
      </c>
    </row>
    <row r="2253" spans="1:1">
      <c r="A2253" t="s">
        <v>4739</v>
      </c>
    </row>
    <row r="2254" spans="1:1">
      <c r="A2254" t="s">
        <v>4741</v>
      </c>
    </row>
    <row r="2255" spans="1:1">
      <c r="A2255" t="s">
        <v>4743</v>
      </c>
    </row>
    <row r="2256" spans="1:1">
      <c r="A2256" t="s">
        <v>4745</v>
      </c>
    </row>
    <row r="2257" spans="1:1">
      <c r="A2257" t="s">
        <v>4746</v>
      </c>
    </row>
    <row r="2258" spans="1:1">
      <c r="A2258" t="s">
        <v>4748</v>
      </c>
    </row>
    <row r="2259" spans="1:1">
      <c r="A2259" t="s">
        <v>4750</v>
      </c>
    </row>
    <row r="2260" spans="1:1">
      <c r="A2260" t="s">
        <v>4752</v>
      </c>
    </row>
    <row r="2261" spans="1:1">
      <c r="A2261" t="s">
        <v>4754</v>
      </c>
    </row>
    <row r="2262" spans="1:1">
      <c r="A2262" t="s">
        <v>4756</v>
      </c>
    </row>
    <row r="2263" spans="1:1">
      <c r="A2263" t="s">
        <v>4758</v>
      </c>
    </row>
    <row r="2264" spans="1:1">
      <c r="A2264" t="s">
        <v>4760</v>
      </c>
    </row>
    <row r="2265" spans="1:1">
      <c r="A2265" t="s">
        <v>4762</v>
      </c>
    </row>
    <row r="2266" spans="1:1">
      <c r="A2266" t="s">
        <v>4764</v>
      </c>
    </row>
    <row r="2267" spans="1:1">
      <c r="A2267" t="s">
        <v>4766</v>
      </c>
    </row>
    <row r="2268" spans="1:1">
      <c r="A2268" t="s">
        <v>4768</v>
      </c>
    </row>
    <row r="2269" spans="1:1">
      <c r="A2269" t="s">
        <v>4770</v>
      </c>
    </row>
    <row r="2270" spans="1:1">
      <c r="A2270" t="s">
        <v>4772</v>
      </c>
    </row>
    <row r="2271" spans="1:1">
      <c r="A2271" t="s">
        <v>4774</v>
      </c>
    </row>
    <row r="2272" spans="1:1">
      <c r="A2272" t="s">
        <v>4776</v>
      </c>
    </row>
    <row r="2273" spans="1:1">
      <c r="A2273" t="s">
        <v>4778</v>
      </c>
    </row>
    <row r="2274" spans="1:1">
      <c r="A2274" t="s">
        <v>4780</v>
      </c>
    </row>
    <row r="2275" spans="1:1">
      <c r="A2275" t="s">
        <v>4782</v>
      </c>
    </row>
    <row r="2276" spans="1:1">
      <c r="A2276" t="s">
        <v>4784</v>
      </c>
    </row>
    <row r="2277" spans="1:1">
      <c r="A2277" t="s">
        <v>4786</v>
      </c>
    </row>
    <row r="2278" spans="1:1">
      <c r="A2278" t="s">
        <v>4788</v>
      </c>
    </row>
    <row r="2279" spans="1:1">
      <c r="A2279" t="s">
        <v>4790</v>
      </c>
    </row>
    <row r="2280" spans="1:1">
      <c r="A2280" t="s">
        <v>4792</v>
      </c>
    </row>
    <row r="2281" spans="1:1">
      <c r="A2281" t="s">
        <v>4794</v>
      </c>
    </row>
    <row r="2282" spans="1:1">
      <c r="A2282" t="s">
        <v>4796</v>
      </c>
    </row>
    <row r="2283" spans="1:1">
      <c r="A2283" t="s">
        <v>4798</v>
      </c>
    </row>
    <row r="2284" spans="1:1">
      <c r="A2284" t="s">
        <v>4800</v>
      </c>
    </row>
    <row r="2285" spans="1:1">
      <c r="A2285" t="s">
        <v>4802</v>
      </c>
    </row>
    <row r="2286" spans="1:1">
      <c r="A2286" t="s">
        <v>4804</v>
      </c>
    </row>
    <row r="2287" spans="1:1">
      <c r="A2287" t="s">
        <v>4805</v>
      </c>
    </row>
    <row r="2288" spans="1:1">
      <c r="A2288" t="s">
        <v>4807</v>
      </c>
    </row>
    <row r="2289" spans="1:1">
      <c r="A2289" t="s">
        <v>4809</v>
      </c>
    </row>
    <row r="2290" spans="1:1">
      <c r="A2290" t="s">
        <v>4811</v>
      </c>
    </row>
    <row r="2291" spans="1:1">
      <c r="A2291" t="s">
        <v>4813</v>
      </c>
    </row>
    <row r="2292" spans="1:1">
      <c r="A2292" t="s">
        <v>4815</v>
      </c>
    </row>
    <row r="2293" spans="1:1">
      <c r="A2293" t="s">
        <v>4817</v>
      </c>
    </row>
    <row r="2294" spans="1:1">
      <c r="A2294" t="s">
        <v>4819</v>
      </c>
    </row>
    <row r="2295" spans="1:1">
      <c r="A2295" t="s">
        <v>4821</v>
      </c>
    </row>
    <row r="2296" spans="1:1">
      <c r="A2296" t="s">
        <v>4823</v>
      </c>
    </row>
    <row r="2297" spans="1:1">
      <c r="A2297" t="s">
        <v>4825</v>
      </c>
    </row>
    <row r="2298" spans="1:1">
      <c r="A2298" t="s">
        <v>4827</v>
      </c>
    </row>
    <row r="2299" spans="1:1">
      <c r="A2299" t="s">
        <v>4829</v>
      </c>
    </row>
    <row r="2300" spans="1:1">
      <c r="A2300" t="s">
        <v>4831</v>
      </c>
    </row>
    <row r="2301" spans="1:1">
      <c r="A2301" t="s">
        <v>4833</v>
      </c>
    </row>
    <row r="2302" spans="1:1">
      <c r="A2302" t="s">
        <v>4835</v>
      </c>
    </row>
    <row r="2303" spans="1:1">
      <c r="A2303" t="s">
        <v>4837</v>
      </c>
    </row>
    <row r="2304" spans="1:1">
      <c r="A2304" t="s">
        <v>4839</v>
      </c>
    </row>
    <row r="2305" spans="1:1">
      <c r="A2305" t="s">
        <v>4841</v>
      </c>
    </row>
    <row r="2306" spans="1:1">
      <c r="A2306" t="s">
        <v>4843</v>
      </c>
    </row>
    <row r="2307" spans="1:1">
      <c r="A2307" t="s">
        <v>4845</v>
      </c>
    </row>
    <row r="2308" spans="1:1">
      <c r="A2308" t="s">
        <v>4847</v>
      </c>
    </row>
    <row r="2309" spans="1:1">
      <c r="A2309" t="s">
        <v>4849</v>
      </c>
    </row>
    <row r="2310" spans="1:1">
      <c r="A2310" t="s">
        <v>4851</v>
      </c>
    </row>
    <row r="2311" spans="1:1">
      <c r="A2311" t="s">
        <v>4853</v>
      </c>
    </row>
    <row r="2312" spans="1:1">
      <c r="A2312" t="s">
        <v>4855</v>
      </c>
    </row>
    <row r="2313" spans="1:1">
      <c r="A2313" t="s">
        <v>4857</v>
      </c>
    </row>
    <row r="2314" spans="1:1">
      <c r="A2314" t="s">
        <v>4860</v>
      </c>
    </row>
    <row r="2315" spans="1:1">
      <c r="A2315" t="s">
        <v>4862</v>
      </c>
    </row>
    <row r="2316" spans="1:1">
      <c r="A2316" t="s">
        <v>4864</v>
      </c>
    </row>
    <row r="2317" spans="1:1">
      <c r="A2317" t="s">
        <v>4866</v>
      </c>
    </row>
    <row r="2318" spans="1:1">
      <c r="A2318" t="s">
        <v>4868</v>
      </c>
    </row>
    <row r="2319" spans="1:1">
      <c r="A2319" t="s">
        <v>4870</v>
      </c>
    </row>
    <row r="2320" spans="1:1">
      <c r="A2320" t="s">
        <v>4872</v>
      </c>
    </row>
    <row r="2321" spans="1:1">
      <c r="A2321" t="s">
        <v>4873</v>
      </c>
    </row>
    <row r="2322" spans="1:1">
      <c r="A2322" t="s">
        <v>4875</v>
      </c>
    </row>
    <row r="2323" spans="1:1">
      <c r="A2323" t="s">
        <v>4877</v>
      </c>
    </row>
    <row r="2324" spans="1:1">
      <c r="A2324" t="s">
        <v>4879</v>
      </c>
    </row>
    <row r="2325" spans="1:1">
      <c r="A2325" t="s">
        <v>4881</v>
      </c>
    </row>
    <row r="2326" spans="1:1">
      <c r="A2326" t="s">
        <v>4883</v>
      </c>
    </row>
    <row r="2327" spans="1:1">
      <c r="A2327" t="s">
        <v>4885</v>
      </c>
    </row>
    <row r="2328" spans="1:1">
      <c r="A2328" t="s">
        <v>4887</v>
      </c>
    </row>
    <row r="2329" spans="1:1">
      <c r="A2329" t="s">
        <v>4889</v>
      </c>
    </row>
    <row r="2330" spans="1:1">
      <c r="A2330" t="s">
        <v>4891</v>
      </c>
    </row>
    <row r="2331" spans="1:1">
      <c r="A2331" t="s">
        <v>4893</v>
      </c>
    </row>
    <row r="2332" spans="1:1">
      <c r="A2332" t="s">
        <v>4895</v>
      </c>
    </row>
    <row r="2333" spans="1:1">
      <c r="A2333" t="s">
        <v>4897</v>
      </c>
    </row>
    <row r="2334" spans="1:1">
      <c r="A2334" t="s">
        <v>4898</v>
      </c>
    </row>
    <row r="2335" spans="1:1">
      <c r="A2335" t="s">
        <v>4900</v>
      </c>
    </row>
    <row r="2336" spans="1:1">
      <c r="A2336" t="s">
        <v>4902</v>
      </c>
    </row>
    <row r="2337" spans="1:1">
      <c r="A2337" t="s">
        <v>4904</v>
      </c>
    </row>
    <row r="2338" spans="1:1">
      <c r="A2338" t="s">
        <v>4906</v>
      </c>
    </row>
    <row r="2339" spans="1:1">
      <c r="A2339" t="s">
        <v>4908</v>
      </c>
    </row>
    <row r="2340" spans="1:1">
      <c r="A2340" t="s">
        <v>4910</v>
      </c>
    </row>
    <row r="2341" spans="1:1">
      <c r="A2341" t="s">
        <v>4912</v>
      </c>
    </row>
    <row r="2342" spans="1:1">
      <c r="A2342" t="s">
        <v>4914</v>
      </c>
    </row>
    <row r="2343" spans="1:1">
      <c r="A2343" t="s">
        <v>4917</v>
      </c>
    </row>
    <row r="2344" spans="1:1">
      <c r="A2344" t="s">
        <v>4918</v>
      </c>
    </row>
    <row r="2345" spans="1:1">
      <c r="A2345" t="s">
        <v>4920</v>
      </c>
    </row>
    <row r="2346" spans="1:1">
      <c r="A2346" t="s">
        <v>4922</v>
      </c>
    </row>
    <row r="2347" spans="1:1">
      <c r="A2347" t="s">
        <v>4924</v>
      </c>
    </row>
    <row r="2348" spans="1:1">
      <c r="A2348" t="s">
        <v>4926</v>
      </c>
    </row>
    <row r="2349" spans="1:1">
      <c r="A2349" t="s">
        <v>4928</v>
      </c>
    </row>
    <row r="2350" spans="1:1">
      <c r="A2350" t="s">
        <v>4930</v>
      </c>
    </row>
    <row r="2351" spans="1:1">
      <c r="A2351" t="s">
        <v>4932</v>
      </c>
    </row>
    <row r="2352" spans="1:1">
      <c r="A2352" t="s">
        <v>4934</v>
      </c>
    </row>
    <row r="2353" spans="1:1">
      <c r="A2353" t="s">
        <v>4937</v>
      </c>
    </row>
    <row r="2354" spans="1:1">
      <c r="A2354" t="s">
        <v>4939</v>
      </c>
    </row>
    <row r="2355" spans="1:1">
      <c r="A2355" t="s">
        <v>4942</v>
      </c>
    </row>
    <row r="2356" spans="1:1">
      <c r="A2356" t="s">
        <v>4943</v>
      </c>
    </row>
    <row r="2357" spans="1:1">
      <c r="A2357" t="s">
        <v>4945</v>
      </c>
    </row>
    <row r="2358" spans="1:1">
      <c r="A2358" t="s">
        <v>4947</v>
      </c>
    </row>
    <row r="2359" spans="1:1">
      <c r="A2359" t="s">
        <v>4949</v>
      </c>
    </row>
    <row r="2360" spans="1:1">
      <c r="A2360" t="s">
        <v>4951</v>
      </c>
    </row>
    <row r="2361" spans="1:1">
      <c r="A2361" t="s">
        <v>4953</v>
      </c>
    </row>
    <row r="2362" spans="1:1">
      <c r="A2362" t="s">
        <v>4955</v>
      </c>
    </row>
    <row r="2363" spans="1:1">
      <c r="A2363" t="s">
        <v>4957</v>
      </c>
    </row>
    <row r="2364" spans="1:1">
      <c r="A2364" t="s">
        <v>4959</v>
      </c>
    </row>
    <row r="2365" spans="1:1">
      <c r="A2365" t="s">
        <v>4961</v>
      </c>
    </row>
    <row r="2366" spans="1:1">
      <c r="A2366" t="s">
        <v>4963</v>
      </c>
    </row>
    <row r="2367" spans="1:1">
      <c r="A2367" t="s">
        <v>4965</v>
      </c>
    </row>
    <row r="2368" spans="1:1">
      <c r="A2368" t="s">
        <v>4967</v>
      </c>
    </row>
    <row r="2369" spans="1:1">
      <c r="A2369" t="s">
        <v>4969</v>
      </c>
    </row>
    <row r="2370" spans="1:1">
      <c r="A2370" t="s">
        <v>4971</v>
      </c>
    </row>
    <row r="2371" spans="1:1">
      <c r="A2371" t="s">
        <v>4973</v>
      </c>
    </row>
    <row r="2372" spans="1:1">
      <c r="A2372" t="s">
        <v>4975</v>
      </c>
    </row>
    <row r="2373" spans="1:1">
      <c r="A2373" t="s">
        <v>4977</v>
      </c>
    </row>
    <row r="2374" spans="1:1">
      <c r="A2374" t="s">
        <v>4979</v>
      </c>
    </row>
    <row r="2375" spans="1:1">
      <c r="A2375" t="s">
        <v>4981</v>
      </c>
    </row>
    <row r="2376" spans="1:1">
      <c r="A2376" t="s">
        <v>4983</v>
      </c>
    </row>
    <row r="2377" spans="1:1">
      <c r="A2377" t="s">
        <v>4985</v>
      </c>
    </row>
    <row r="2378" spans="1:1">
      <c r="A2378" t="s">
        <v>4987</v>
      </c>
    </row>
    <row r="2379" spans="1:1">
      <c r="A2379" t="s">
        <v>4989</v>
      </c>
    </row>
    <row r="2380" spans="1:1">
      <c r="A2380" t="s">
        <v>4991</v>
      </c>
    </row>
    <row r="2381" spans="1:1">
      <c r="A2381" t="s">
        <v>4993</v>
      </c>
    </row>
    <row r="2382" spans="1:1">
      <c r="A2382" t="s">
        <v>4996</v>
      </c>
    </row>
    <row r="2383" spans="1:1">
      <c r="A2383" t="s">
        <v>4998</v>
      </c>
    </row>
    <row r="2384" spans="1:1">
      <c r="A2384" t="s">
        <v>5000</v>
      </c>
    </row>
    <row r="2385" spans="1:1">
      <c r="A2385" t="s">
        <v>5002</v>
      </c>
    </row>
    <row r="2386" spans="1:1">
      <c r="A2386" t="s">
        <v>5004</v>
      </c>
    </row>
    <row r="2387" spans="1:1">
      <c r="A2387" t="s">
        <v>5006</v>
      </c>
    </row>
    <row r="2388" spans="1:1">
      <c r="A2388" t="s">
        <v>5008</v>
      </c>
    </row>
    <row r="2389" spans="1:1">
      <c r="A2389" t="s">
        <v>5010</v>
      </c>
    </row>
    <row r="2390" spans="1:1">
      <c r="A2390" t="s">
        <v>5012</v>
      </c>
    </row>
    <row r="2391" spans="1:1">
      <c r="A2391" t="s">
        <v>5014</v>
      </c>
    </row>
    <row r="2392" spans="1:1">
      <c r="A2392" t="s">
        <v>5016</v>
      </c>
    </row>
    <row r="2393" spans="1:1">
      <c r="A2393" t="s">
        <v>5018</v>
      </c>
    </row>
    <row r="2394" spans="1:1">
      <c r="A2394" t="s">
        <v>5020</v>
      </c>
    </row>
    <row r="2395" spans="1:1">
      <c r="A2395" t="s">
        <v>5022</v>
      </c>
    </row>
    <row r="2396" spans="1:1">
      <c r="A2396" t="s">
        <v>5023</v>
      </c>
    </row>
    <row r="2397" spans="1:1">
      <c r="A2397" t="s">
        <v>5025</v>
      </c>
    </row>
    <row r="2398" spans="1:1">
      <c r="A2398" t="s">
        <v>5027</v>
      </c>
    </row>
    <row r="2399" spans="1:1">
      <c r="A2399" t="s">
        <v>5029</v>
      </c>
    </row>
    <row r="2400" spans="1:1">
      <c r="A2400" t="s">
        <v>5031</v>
      </c>
    </row>
    <row r="2401" spans="1:1">
      <c r="A2401" t="s">
        <v>5033</v>
      </c>
    </row>
    <row r="2402" spans="1:1">
      <c r="A2402" t="s">
        <v>5035</v>
      </c>
    </row>
    <row r="2403" spans="1:1">
      <c r="A2403" t="s">
        <v>5037</v>
      </c>
    </row>
    <row r="2404" spans="1:1">
      <c r="A2404" t="s">
        <v>5040</v>
      </c>
    </row>
    <row r="2405" spans="1:1">
      <c r="A2405" t="s">
        <v>5042</v>
      </c>
    </row>
    <row r="2406" spans="1:1">
      <c r="A2406" t="s">
        <v>5044</v>
      </c>
    </row>
    <row r="2407" spans="1:1">
      <c r="A2407" t="s">
        <v>5046</v>
      </c>
    </row>
    <row r="2408" spans="1:1">
      <c r="A2408" t="s">
        <v>5048</v>
      </c>
    </row>
    <row r="2409" spans="1:1">
      <c r="A2409" t="s">
        <v>5050</v>
      </c>
    </row>
    <row r="2410" spans="1:1">
      <c r="A2410" t="s">
        <v>5052</v>
      </c>
    </row>
    <row r="2411" spans="1:1">
      <c r="A2411" t="s">
        <v>5054</v>
      </c>
    </row>
    <row r="2412" spans="1:1">
      <c r="A2412" t="s">
        <v>5055</v>
      </c>
    </row>
    <row r="2413" spans="1:1">
      <c r="A2413" t="s">
        <v>5057</v>
      </c>
    </row>
    <row r="2414" spans="1:1">
      <c r="A2414" t="s">
        <v>5059</v>
      </c>
    </row>
    <row r="2415" spans="1:1">
      <c r="A2415" t="s">
        <v>5061</v>
      </c>
    </row>
    <row r="2416" spans="1:1">
      <c r="A2416" t="s">
        <v>5063</v>
      </c>
    </row>
    <row r="2417" spans="1:1">
      <c r="A2417" t="s">
        <v>5065</v>
      </c>
    </row>
    <row r="2418" spans="1:1">
      <c r="A2418" t="s">
        <v>5066</v>
      </c>
    </row>
    <row r="2419" spans="1:1">
      <c r="A2419" t="s">
        <v>5068</v>
      </c>
    </row>
    <row r="2420" spans="1:1">
      <c r="A2420" t="s">
        <v>5070</v>
      </c>
    </row>
    <row r="2421" spans="1:1">
      <c r="A2421" t="s">
        <v>5072</v>
      </c>
    </row>
    <row r="2422" spans="1:1">
      <c r="A2422" t="s">
        <v>5074</v>
      </c>
    </row>
    <row r="2423" spans="1:1">
      <c r="A2423" t="s">
        <v>5076</v>
      </c>
    </row>
    <row r="2424" spans="1:1">
      <c r="A2424" t="s">
        <v>5078</v>
      </c>
    </row>
    <row r="2425" spans="1:1">
      <c r="A2425" t="s">
        <v>5080</v>
      </c>
    </row>
    <row r="2426" spans="1:1">
      <c r="A2426" t="s">
        <v>5082</v>
      </c>
    </row>
    <row r="2427" spans="1:1">
      <c r="A2427" t="s">
        <v>5084</v>
      </c>
    </row>
    <row r="2428" spans="1:1">
      <c r="A2428" t="s">
        <v>5086</v>
      </c>
    </row>
    <row r="2429" spans="1:1">
      <c r="A2429" t="s">
        <v>5088</v>
      </c>
    </row>
    <row r="2430" spans="1:1">
      <c r="A2430" t="s">
        <v>5090</v>
      </c>
    </row>
    <row r="2431" spans="1:1">
      <c r="A2431" t="s">
        <v>5092</v>
      </c>
    </row>
    <row r="2432" spans="1:1">
      <c r="A2432" t="s">
        <v>5094</v>
      </c>
    </row>
    <row r="2433" spans="1:1">
      <c r="A2433" t="s">
        <v>5096</v>
      </c>
    </row>
    <row r="2434" spans="1:1">
      <c r="A2434" t="s">
        <v>5098</v>
      </c>
    </row>
    <row r="2435" spans="1:1">
      <c r="A2435" t="s">
        <v>5100</v>
      </c>
    </row>
    <row r="2436" spans="1:1">
      <c r="A2436" t="s">
        <v>5101</v>
      </c>
    </row>
    <row r="2437" spans="1:1">
      <c r="A2437" t="s">
        <v>5103</v>
      </c>
    </row>
    <row r="2438" spans="1:1">
      <c r="A2438" t="s">
        <v>5105</v>
      </c>
    </row>
    <row r="2439" spans="1:1">
      <c r="A2439" t="s">
        <v>5108</v>
      </c>
    </row>
    <row r="2440" spans="1:1">
      <c r="A2440" t="s">
        <v>5110</v>
      </c>
    </row>
    <row r="2441" spans="1:1">
      <c r="A2441" t="s">
        <v>5111</v>
      </c>
    </row>
    <row r="2442" spans="1:1">
      <c r="A2442" t="s">
        <v>5113</v>
      </c>
    </row>
    <row r="2443" spans="1:1">
      <c r="A2443" t="s">
        <v>5115</v>
      </c>
    </row>
    <row r="2444" spans="1:1">
      <c r="A2444" t="s">
        <v>5117</v>
      </c>
    </row>
    <row r="2445" spans="1:1">
      <c r="A2445" t="s">
        <v>5119</v>
      </c>
    </row>
    <row r="2446" spans="1:1">
      <c r="A2446" t="s">
        <v>5121</v>
      </c>
    </row>
    <row r="2447" spans="1:1">
      <c r="A2447" t="s">
        <v>5123</v>
      </c>
    </row>
    <row r="2448" spans="1:1">
      <c r="A2448" t="s">
        <v>5125</v>
      </c>
    </row>
    <row r="2449" spans="1:1">
      <c r="A2449" t="s">
        <v>5127</v>
      </c>
    </row>
    <row r="2450" spans="1:1">
      <c r="A2450" t="s">
        <v>5129</v>
      </c>
    </row>
    <row r="2451" spans="1:1">
      <c r="A2451" t="s">
        <v>5131</v>
      </c>
    </row>
    <row r="2452" spans="1:1">
      <c r="A2452" t="s">
        <v>5133</v>
      </c>
    </row>
    <row r="2453" spans="1:1">
      <c r="A2453" t="s">
        <v>5134</v>
      </c>
    </row>
    <row r="2454" spans="1:1">
      <c r="A2454" t="s">
        <v>5136</v>
      </c>
    </row>
    <row r="2455" spans="1:1">
      <c r="A2455" t="s">
        <v>5138</v>
      </c>
    </row>
    <row r="2456" spans="1:1">
      <c r="A2456" t="s">
        <v>5140</v>
      </c>
    </row>
    <row r="2457" spans="1:1">
      <c r="A2457" t="s">
        <v>5142</v>
      </c>
    </row>
    <row r="2458" spans="1:1">
      <c r="A2458" t="s">
        <v>5144</v>
      </c>
    </row>
    <row r="2459" spans="1:1">
      <c r="A2459" t="s">
        <v>5146</v>
      </c>
    </row>
    <row r="2460" spans="1:1">
      <c r="A2460" t="s">
        <v>5148</v>
      </c>
    </row>
    <row r="2461" spans="1:1">
      <c r="A2461" t="s">
        <v>5150</v>
      </c>
    </row>
    <row r="2462" spans="1:1">
      <c r="A2462" t="s">
        <v>5152</v>
      </c>
    </row>
    <row r="2463" spans="1:1">
      <c r="A2463" t="s">
        <v>5154</v>
      </c>
    </row>
    <row r="2464" spans="1:1">
      <c r="A2464" t="s">
        <v>5156</v>
      </c>
    </row>
    <row r="2465" spans="1:1">
      <c r="A2465" t="s">
        <v>5158</v>
      </c>
    </row>
    <row r="2466" spans="1:1">
      <c r="A2466" t="s">
        <v>5160</v>
      </c>
    </row>
    <row r="2467" spans="1:1">
      <c r="A2467" t="s">
        <v>5162</v>
      </c>
    </row>
    <row r="2468" spans="1:1">
      <c r="A2468" t="s">
        <v>5164</v>
      </c>
    </row>
    <row r="2469" spans="1:1">
      <c r="A2469" t="s">
        <v>5166</v>
      </c>
    </row>
    <row r="2470" spans="1:1">
      <c r="A2470" t="s">
        <v>5168</v>
      </c>
    </row>
    <row r="2471" spans="1:1">
      <c r="A2471" t="s">
        <v>5170</v>
      </c>
    </row>
    <row r="2472" spans="1:1">
      <c r="A2472" t="s">
        <v>5172</v>
      </c>
    </row>
    <row r="2473" spans="1:1">
      <c r="A2473" t="s">
        <v>5175</v>
      </c>
    </row>
    <row r="2474" spans="1:1">
      <c r="A2474" t="s">
        <v>5177</v>
      </c>
    </row>
    <row r="2475" spans="1:1">
      <c r="A2475" t="s">
        <v>5179</v>
      </c>
    </row>
    <row r="2476" spans="1:1">
      <c r="A2476" t="s">
        <v>5181</v>
      </c>
    </row>
    <row r="2477" spans="1:1">
      <c r="A2477" t="s">
        <v>5184</v>
      </c>
    </row>
    <row r="2478" spans="1:1">
      <c r="A2478" t="s">
        <v>5186</v>
      </c>
    </row>
    <row r="2479" spans="1:1">
      <c r="A2479" t="s">
        <v>5188</v>
      </c>
    </row>
    <row r="2480" spans="1:1">
      <c r="A2480" t="s">
        <v>5189</v>
      </c>
    </row>
    <row r="2481" spans="1:1">
      <c r="A2481" t="s">
        <v>5191</v>
      </c>
    </row>
    <row r="2482" spans="1:1">
      <c r="A2482" t="s">
        <v>5194</v>
      </c>
    </row>
    <row r="2483" spans="1:1">
      <c r="A2483" t="s">
        <v>5195</v>
      </c>
    </row>
    <row r="2484" spans="1:1">
      <c r="A2484" t="s">
        <v>5197</v>
      </c>
    </row>
    <row r="2485" spans="1:1">
      <c r="A2485" t="s">
        <v>5199</v>
      </c>
    </row>
    <row r="2486" spans="1:1">
      <c r="A2486" t="s">
        <v>5200</v>
      </c>
    </row>
    <row r="2487" spans="1:1">
      <c r="A2487" t="s">
        <v>5201</v>
      </c>
    </row>
    <row r="2488" spans="1:1">
      <c r="A2488" t="s">
        <v>5203</v>
      </c>
    </row>
    <row r="2489" spans="1:1">
      <c r="A2489" t="s">
        <v>5205</v>
      </c>
    </row>
    <row r="2490" spans="1:1">
      <c r="A2490" t="s">
        <v>5206</v>
      </c>
    </row>
    <row r="2491" spans="1:1">
      <c r="A2491" t="s">
        <v>5207</v>
      </c>
    </row>
    <row r="2492" spans="1:1">
      <c r="A2492" t="s">
        <v>5208</v>
      </c>
    </row>
    <row r="2493" spans="1:1">
      <c r="A2493" t="s">
        <v>5209</v>
      </c>
    </row>
    <row r="2494" spans="1:1">
      <c r="A2494" t="s">
        <v>5211</v>
      </c>
    </row>
    <row r="2495" spans="1:1">
      <c r="A2495" t="s">
        <v>5213</v>
      </c>
    </row>
    <row r="2496" spans="1:1">
      <c r="A2496" t="s">
        <v>5215</v>
      </c>
    </row>
    <row r="2497" spans="1:1">
      <c r="A2497" t="s">
        <v>5217</v>
      </c>
    </row>
    <row r="2498" spans="1:1">
      <c r="A2498" t="s">
        <v>5219</v>
      </c>
    </row>
    <row r="2499" spans="1:1">
      <c r="A2499" t="s">
        <v>5221</v>
      </c>
    </row>
    <row r="2500" spans="1:1">
      <c r="A2500" t="s">
        <v>5223</v>
      </c>
    </row>
    <row r="2501" spans="1:1">
      <c r="A2501" t="s">
        <v>5225</v>
      </c>
    </row>
    <row r="2502" spans="1:1">
      <c r="A2502" t="s">
        <v>5227</v>
      </c>
    </row>
    <row r="2503" spans="1:1">
      <c r="A2503" t="s">
        <v>5229</v>
      </c>
    </row>
    <row r="2504" spans="1:1">
      <c r="A2504" t="s">
        <v>5231</v>
      </c>
    </row>
    <row r="2505" spans="1:1">
      <c r="A2505" t="s">
        <v>5233</v>
      </c>
    </row>
    <row r="2506" spans="1:1">
      <c r="A2506" t="s">
        <v>5235</v>
      </c>
    </row>
    <row r="2507" spans="1:1">
      <c r="A2507" t="s">
        <v>5237</v>
      </c>
    </row>
    <row r="2508" spans="1:1">
      <c r="A2508" t="s">
        <v>5239</v>
      </c>
    </row>
    <row r="2509" spans="1:1">
      <c r="A2509" t="s">
        <v>5241</v>
      </c>
    </row>
    <row r="2510" spans="1:1">
      <c r="A2510" t="s">
        <v>5243</v>
      </c>
    </row>
    <row r="2511" spans="1:1">
      <c r="A2511" t="s">
        <v>5245</v>
      </c>
    </row>
    <row r="2512" spans="1:1">
      <c r="A2512" t="s">
        <v>5247</v>
      </c>
    </row>
    <row r="2513" spans="1:1">
      <c r="A2513" t="s">
        <v>5249</v>
      </c>
    </row>
    <row r="2514" spans="1:1">
      <c r="A2514" t="s">
        <v>5251</v>
      </c>
    </row>
    <row r="2515" spans="1:1">
      <c r="A2515" t="s">
        <v>5253</v>
      </c>
    </row>
    <row r="2516" spans="1:1">
      <c r="A2516" t="s">
        <v>5254</v>
      </c>
    </row>
    <row r="2517" spans="1:1">
      <c r="A2517" t="s">
        <v>5256</v>
      </c>
    </row>
    <row r="2518" spans="1:1">
      <c r="A2518" t="s">
        <v>5258</v>
      </c>
    </row>
    <row r="2519" spans="1:1">
      <c r="A2519" t="s">
        <v>5260</v>
      </c>
    </row>
    <row r="2520" spans="1:1">
      <c r="A2520" t="s">
        <v>5262</v>
      </c>
    </row>
    <row r="2521" spans="1:1">
      <c r="A2521" t="s">
        <v>5264</v>
      </c>
    </row>
    <row r="2522" spans="1:1">
      <c r="A2522" t="s">
        <v>5266</v>
      </c>
    </row>
    <row r="2523" spans="1:1">
      <c r="A2523" t="s">
        <v>5268</v>
      </c>
    </row>
    <row r="2524" spans="1:1">
      <c r="A2524" t="s">
        <v>5270</v>
      </c>
    </row>
    <row r="2525" spans="1:1">
      <c r="A2525" t="s">
        <v>5272</v>
      </c>
    </row>
    <row r="2526" spans="1:1">
      <c r="A2526" t="s">
        <v>5274</v>
      </c>
    </row>
    <row r="2527" spans="1:1">
      <c r="A2527" t="s">
        <v>5275</v>
      </c>
    </row>
    <row r="2528" spans="1:1">
      <c r="A2528" t="s">
        <v>5277</v>
      </c>
    </row>
    <row r="2529" spans="1:1">
      <c r="A2529" t="s">
        <v>5279</v>
      </c>
    </row>
    <row r="2530" spans="1:1">
      <c r="A2530" t="s">
        <v>5281</v>
      </c>
    </row>
    <row r="2531" spans="1:1">
      <c r="A2531" t="s">
        <v>5283</v>
      </c>
    </row>
    <row r="2532" spans="1:1">
      <c r="A2532" t="s">
        <v>5285</v>
      </c>
    </row>
    <row r="2533" spans="1:1">
      <c r="A2533" t="s">
        <v>5287</v>
      </c>
    </row>
    <row r="2534" spans="1:1">
      <c r="A2534" t="s">
        <v>5289</v>
      </c>
    </row>
    <row r="2535" spans="1:1">
      <c r="A2535" t="s">
        <v>5291</v>
      </c>
    </row>
    <row r="2536" spans="1:1">
      <c r="A2536" t="s">
        <v>5293</v>
      </c>
    </row>
    <row r="2537" spans="1:1">
      <c r="A2537" t="s">
        <v>5295</v>
      </c>
    </row>
    <row r="2538" spans="1:1">
      <c r="A2538" t="s">
        <v>5297</v>
      </c>
    </row>
    <row r="2539" spans="1:1">
      <c r="A2539" t="s">
        <v>5299</v>
      </c>
    </row>
    <row r="2540" spans="1:1">
      <c r="A2540" t="s">
        <v>5301</v>
      </c>
    </row>
    <row r="2541" spans="1:1">
      <c r="A2541" t="s">
        <v>5303</v>
      </c>
    </row>
    <row r="2542" spans="1:1">
      <c r="A2542" t="s">
        <v>5305</v>
      </c>
    </row>
    <row r="2543" spans="1:1">
      <c r="A2543" t="s">
        <v>5307</v>
      </c>
    </row>
    <row r="2544" spans="1:1">
      <c r="A2544" t="s">
        <v>5309</v>
      </c>
    </row>
    <row r="2545" spans="1:1">
      <c r="A2545" t="s">
        <v>5311</v>
      </c>
    </row>
    <row r="2546" spans="1:1">
      <c r="A2546" t="s">
        <v>5313</v>
      </c>
    </row>
    <row r="2547" spans="1:1">
      <c r="A2547" t="s">
        <v>5314</v>
      </c>
    </row>
    <row r="2548" spans="1:1">
      <c r="A2548" t="s">
        <v>5316</v>
      </c>
    </row>
    <row r="2549" spans="1:1">
      <c r="A2549" t="s">
        <v>5318</v>
      </c>
    </row>
    <row r="2550" spans="1:1">
      <c r="A2550" t="s">
        <v>5320</v>
      </c>
    </row>
    <row r="2551" spans="1:1">
      <c r="A2551" t="s">
        <v>5322</v>
      </c>
    </row>
    <row r="2552" spans="1:1">
      <c r="A2552" t="s">
        <v>5324</v>
      </c>
    </row>
    <row r="2553" spans="1:1">
      <c r="A2553" t="s">
        <v>5326</v>
      </c>
    </row>
    <row r="2554" spans="1:1">
      <c r="A2554" t="s">
        <v>5328</v>
      </c>
    </row>
    <row r="2555" spans="1:1">
      <c r="A2555" t="s">
        <v>5330</v>
      </c>
    </row>
    <row r="2556" spans="1:1">
      <c r="A2556" t="s">
        <v>5332</v>
      </c>
    </row>
    <row r="2557" spans="1:1">
      <c r="A2557" t="s">
        <v>5335</v>
      </c>
    </row>
    <row r="2558" spans="1:1">
      <c r="A2558" t="s">
        <v>5337</v>
      </c>
    </row>
    <row r="2559" spans="1:1">
      <c r="A2559" t="s">
        <v>5338</v>
      </c>
    </row>
    <row r="2560" spans="1:1">
      <c r="A2560" t="s">
        <v>5340</v>
      </c>
    </row>
    <row r="2561" spans="1:1">
      <c r="A2561" t="s">
        <v>5342</v>
      </c>
    </row>
    <row r="2562" spans="1:1">
      <c r="A2562" t="s">
        <v>5344</v>
      </c>
    </row>
    <row r="2563" spans="1:1">
      <c r="A2563" t="s">
        <v>5346</v>
      </c>
    </row>
    <row r="2564" spans="1:1">
      <c r="A2564" t="s">
        <v>5348</v>
      </c>
    </row>
    <row r="2565" spans="1:1">
      <c r="A2565" t="s">
        <v>5350</v>
      </c>
    </row>
    <row r="2566" spans="1:1">
      <c r="A2566" t="s">
        <v>5352</v>
      </c>
    </row>
    <row r="2567" spans="1:1">
      <c r="A2567" t="s">
        <v>5354</v>
      </c>
    </row>
    <row r="2568" spans="1:1">
      <c r="A2568" t="s">
        <v>5356</v>
      </c>
    </row>
    <row r="2569" spans="1:1">
      <c r="A2569" t="s">
        <v>5358</v>
      </c>
    </row>
    <row r="2570" spans="1:1">
      <c r="A2570" t="s">
        <v>5360</v>
      </c>
    </row>
    <row r="2571" spans="1:1">
      <c r="A2571" t="s">
        <v>5362</v>
      </c>
    </row>
    <row r="2572" spans="1:1">
      <c r="A2572" t="s">
        <v>5364</v>
      </c>
    </row>
    <row r="2573" spans="1:1">
      <c r="A2573" t="s">
        <v>5366</v>
      </c>
    </row>
    <row r="2574" spans="1:1">
      <c r="A2574" t="s">
        <v>5368</v>
      </c>
    </row>
    <row r="2575" spans="1:1">
      <c r="A2575" t="s">
        <v>5370</v>
      </c>
    </row>
    <row r="2576" spans="1:1">
      <c r="A2576" t="s">
        <v>5372</v>
      </c>
    </row>
    <row r="2577" spans="1:1">
      <c r="A2577" t="s">
        <v>5374</v>
      </c>
    </row>
    <row r="2578" spans="1:1">
      <c r="A2578" t="s">
        <v>5376</v>
      </c>
    </row>
    <row r="2579" spans="1:1">
      <c r="A2579" t="s">
        <v>5378</v>
      </c>
    </row>
    <row r="2580" spans="1:1">
      <c r="A2580" t="s">
        <v>5380</v>
      </c>
    </row>
    <row r="2581" spans="1:1">
      <c r="A2581" t="s">
        <v>5382</v>
      </c>
    </row>
    <row r="2582" spans="1:1">
      <c r="A2582" t="s">
        <v>5385</v>
      </c>
    </row>
    <row r="2583" spans="1:1">
      <c r="A2583" t="s">
        <v>5387</v>
      </c>
    </row>
    <row r="2584" spans="1:1">
      <c r="A2584" t="s">
        <v>5389</v>
      </c>
    </row>
    <row r="2585" spans="1:1">
      <c r="A2585" t="s">
        <v>5391</v>
      </c>
    </row>
    <row r="2586" spans="1:1">
      <c r="A2586" t="s">
        <v>5394</v>
      </c>
    </row>
    <row r="2587" spans="1:1">
      <c r="A2587" t="s">
        <v>5396</v>
      </c>
    </row>
    <row r="2588" spans="1:1">
      <c r="A2588" t="s">
        <v>5398</v>
      </c>
    </row>
    <row r="2589" spans="1:1">
      <c r="A2589" t="s">
        <v>5400</v>
      </c>
    </row>
    <row r="2590" spans="1:1">
      <c r="A2590" t="s">
        <v>5402</v>
      </c>
    </row>
    <row r="2591" spans="1:1">
      <c r="A2591" t="s">
        <v>5404</v>
      </c>
    </row>
    <row r="2592" spans="1:1">
      <c r="A2592" t="s">
        <v>5406</v>
      </c>
    </row>
    <row r="2593" spans="1:1">
      <c r="A2593" t="s">
        <v>5408</v>
      </c>
    </row>
    <row r="2594" spans="1:1">
      <c r="A2594" t="s">
        <v>5410</v>
      </c>
    </row>
    <row r="2595" spans="1:1">
      <c r="A2595" t="s">
        <v>5412</v>
      </c>
    </row>
    <row r="2596" spans="1:1">
      <c r="A2596" t="s">
        <v>5414</v>
      </c>
    </row>
    <row r="2597" spans="1:1">
      <c r="A2597" t="s">
        <v>5416</v>
      </c>
    </row>
    <row r="2598" spans="1:1">
      <c r="A2598" t="s">
        <v>5418</v>
      </c>
    </row>
    <row r="2599" spans="1:1">
      <c r="A2599" t="s">
        <v>5420</v>
      </c>
    </row>
    <row r="2600" spans="1:1">
      <c r="A2600" t="s">
        <v>5422</v>
      </c>
    </row>
    <row r="2601" spans="1:1">
      <c r="A2601" t="s">
        <v>5424</v>
      </c>
    </row>
    <row r="2602" spans="1:1">
      <c r="A2602" t="s">
        <v>5426</v>
      </c>
    </row>
    <row r="2603" spans="1:1">
      <c r="A2603" t="s">
        <v>5428</v>
      </c>
    </row>
    <row r="2604" spans="1:1">
      <c r="A2604" t="s">
        <v>5430</v>
      </c>
    </row>
    <row r="2605" spans="1:1">
      <c r="A2605" t="s">
        <v>5432</v>
      </c>
    </row>
    <row r="2606" spans="1:1">
      <c r="A2606" t="s">
        <v>5434</v>
      </c>
    </row>
    <row r="2607" spans="1:1">
      <c r="A2607" t="s">
        <v>5436</v>
      </c>
    </row>
    <row r="2608" spans="1:1">
      <c r="A2608" t="s">
        <v>5438</v>
      </c>
    </row>
    <row r="2609" spans="1:1">
      <c r="A2609" t="s">
        <v>5440</v>
      </c>
    </row>
    <row r="2610" spans="1:1">
      <c r="A2610" t="s">
        <v>5441</v>
      </c>
    </row>
    <row r="2611" spans="1:1">
      <c r="A2611" t="s">
        <v>5443</v>
      </c>
    </row>
    <row r="2612" spans="1:1">
      <c r="A2612" t="s">
        <v>5445</v>
      </c>
    </row>
    <row r="2613" spans="1:1">
      <c r="A2613" t="s">
        <v>5447</v>
      </c>
    </row>
    <row r="2614" spans="1:1">
      <c r="A2614" t="s">
        <v>5449</v>
      </c>
    </row>
    <row r="2615" spans="1:1">
      <c r="A2615" t="s">
        <v>5451</v>
      </c>
    </row>
    <row r="2616" spans="1:1">
      <c r="A2616" t="s">
        <v>5453</v>
      </c>
    </row>
    <row r="2617" spans="1:1">
      <c r="A2617" t="s">
        <v>5455</v>
      </c>
    </row>
    <row r="2618" spans="1:1">
      <c r="A2618" t="s">
        <v>5457</v>
      </c>
    </row>
    <row r="2619" spans="1:1">
      <c r="A2619" t="s">
        <v>5459</v>
      </c>
    </row>
    <row r="2620" spans="1:1">
      <c r="A2620" t="s">
        <v>5461</v>
      </c>
    </row>
    <row r="2621" spans="1:1">
      <c r="A2621" t="s">
        <v>5463</v>
      </c>
    </row>
    <row r="2622" spans="1:1">
      <c r="A2622" t="s">
        <v>5465</v>
      </c>
    </row>
    <row r="2623" spans="1:1">
      <c r="A2623" t="s">
        <v>5467</v>
      </c>
    </row>
    <row r="2624" spans="1:1">
      <c r="A2624" t="s">
        <v>5469</v>
      </c>
    </row>
    <row r="2625" spans="1:1">
      <c r="A2625" t="s">
        <v>5471</v>
      </c>
    </row>
    <row r="2626" spans="1:1">
      <c r="A2626" t="s">
        <v>5473</v>
      </c>
    </row>
    <row r="2627" spans="1:1">
      <c r="A2627" t="s">
        <v>5475</v>
      </c>
    </row>
    <row r="2628" spans="1:1">
      <c r="A2628" t="s">
        <v>5476</v>
      </c>
    </row>
    <row r="2629" spans="1:1">
      <c r="A2629" t="s">
        <v>5478</v>
      </c>
    </row>
    <row r="2630" spans="1:1">
      <c r="A2630" t="s">
        <v>5480</v>
      </c>
    </row>
    <row r="2631" spans="1:1">
      <c r="A2631" t="s">
        <v>5482</v>
      </c>
    </row>
    <row r="2632" spans="1:1">
      <c r="A2632" t="s">
        <v>5484</v>
      </c>
    </row>
    <row r="2633" spans="1:1">
      <c r="A2633" t="s">
        <v>5486</v>
      </c>
    </row>
    <row r="2634" spans="1:1">
      <c r="A2634" t="s">
        <v>5488</v>
      </c>
    </row>
    <row r="2635" spans="1:1">
      <c r="A2635" t="s">
        <v>5490</v>
      </c>
    </row>
    <row r="2636" spans="1:1">
      <c r="A2636" t="s">
        <v>5492</v>
      </c>
    </row>
    <row r="2637" spans="1:1">
      <c r="A2637" t="s">
        <v>5494</v>
      </c>
    </row>
    <row r="2638" spans="1:1">
      <c r="A2638" t="s">
        <v>5496</v>
      </c>
    </row>
    <row r="2639" spans="1:1">
      <c r="A2639" t="s">
        <v>5498</v>
      </c>
    </row>
    <row r="2640" spans="1:1">
      <c r="A2640" t="s">
        <v>5500</v>
      </c>
    </row>
    <row r="2641" spans="1:1">
      <c r="A2641" t="s">
        <v>5501</v>
      </c>
    </row>
    <row r="2642" spans="1:1">
      <c r="A2642" t="s">
        <v>5503</v>
      </c>
    </row>
    <row r="2643" spans="1:1">
      <c r="A2643" t="s">
        <v>5505</v>
      </c>
    </row>
    <row r="2644" spans="1:1">
      <c r="A2644" t="s">
        <v>5507</v>
      </c>
    </row>
    <row r="2645" spans="1:1">
      <c r="A2645" t="s">
        <v>5509</v>
      </c>
    </row>
    <row r="2646" spans="1:1">
      <c r="A2646" t="s">
        <v>5511</v>
      </c>
    </row>
    <row r="2647" spans="1:1">
      <c r="A2647" t="s">
        <v>5513</v>
      </c>
    </row>
    <row r="2648" spans="1:1">
      <c r="A2648" t="s">
        <v>5515</v>
      </c>
    </row>
    <row r="2649" spans="1:1">
      <c r="A2649" t="s">
        <v>5517</v>
      </c>
    </row>
    <row r="2650" spans="1:1">
      <c r="A2650" t="s">
        <v>5519</v>
      </c>
    </row>
    <row r="2651" spans="1:1">
      <c r="A2651" t="s">
        <v>5521</v>
      </c>
    </row>
    <row r="2652" spans="1:1">
      <c r="A2652" t="s">
        <v>5523</v>
      </c>
    </row>
    <row r="2653" spans="1:1">
      <c r="A2653" t="s">
        <v>5525</v>
      </c>
    </row>
    <row r="2654" spans="1:1">
      <c r="A2654" t="s">
        <v>5526</v>
      </c>
    </row>
    <row r="2655" spans="1:1">
      <c r="A2655" t="s">
        <v>5528</v>
      </c>
    </row>
    <row r="2656" spans="1:1">
      <c r="A2656" t="s">
        <v>5530</v>
      </c>
    </row>
    <row r="2657" spans="1:1">
      <c r="A2657" t="s">
        <v>5532</v>
      </c>
    </row>
    <row r="2658" spans="1:1">
      <c r="A2658" t="s">
        <v>5534</v>
      </c>
    </row>
    <row r="2659" spans="1:1">
      <c r="A2659" t="s">
        <v>5536</v>
      </c>
    </row>
    <row r="2660" spans="1:1">
      <c r="A2660" t="s">
        <v>5538</v>
      </c>
    </row>
    <row r="2661" spans="1:1">
      <c r="A2661" t="s">
        <v>5540</v>
      </c>
    </row>
    <row r="2662" spans="1:1">
      <c r="A2662" t="s">
        <v>5542</v>
      </c>
    </row>
    <row r="2663" spans="1:1">
      <c r="A2663" t="s">
        <v>5544</v>
      </c>
    </row>
    <row r="2664" spans="1:1">
      <c r="A2664" t="s">
        <v>5546</v>
      </c>
    </row>
    <row r="2665" spans="1:1">
      <c r="A2665" t="s">
        <v>5548</v>
      </c>
    </row>
    <row r="2666" spans="1:1">
      <c r="A2666" t="s">
        <v>5550</v>
      </c>
    </row>
    <row r="2667" spans="1:1">
      <c r="A2667" t="s">
        <v>5552</v>
      </c>
    </row>
    <row r="2668" spans="1:1">
      <c r="A2668" t="s">
        <v>5554</v>
      </c>
    </row>
    <row r="2669" spans="1:1">
      <c r="A2669" t="s">
        <v>5556</v>
      </c>
    </row>
    <row r="2670" spans="1:1">
      <c r="A2670" t="s">
        <v>5558</v>
      </c>
    </row>
    <row r="2671" spans="1:1">
      <c r="A2671" t="s">
        <v>5560</v>
      </c>
    </row>
    <row r="2672" spans="1:1">
      <c r="A2672" t="s">
        <v>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2026-08-06T04:45:44Z</dcterms:created>
  <dcterms:modified xsi:type="dcterms:W3CDTF">2026-08-06T06:00:59Z</dcterms:modified>
  <cp:category/>
  <cp:contentStatus/>
</cp:coreProperties>
</file>